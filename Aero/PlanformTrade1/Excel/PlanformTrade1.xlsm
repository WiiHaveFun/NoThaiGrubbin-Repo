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54336324-A44F-42C4-B92F-30589F79E8CE}" xr6:coauthVersionLast="47" xr6:coauthVersionMax="47" xr10:uidLastSave="{00000000-0000-0000-0000-000000000000}"/>
  <bookViews>
    <workbookView xWindow="-110" yWindow="-110" windowWidth="19420" windowHeight="11500" tabRatio="834" firstSheet="20" activeTab="24" xr2:uid="{1A557924-2838-4D8E-AED1-AE1D7172D44B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polar1" sheetId="60" state="hidden" r:id="rId14"/>
    <sheet name="polar2" sheetId="61" state="hidden" r:id="rId15"/>
    <sheet name="polar4" sheetId="62" state="hidden" r:id="rId16"/>
    <sheet name="polar8" sheetId="63" state="hidden" r:id="rId17"/>
    <sheet name="CDCL" sheetId="16" state="hidden" r:id="rId18"/>
    <sheet name="A_CDCL" sheetId="64" state="hidden" r:id="rId19"/>
    <sheet name="A_CDCL(Re)" sheetId="58" state="hidden" r:id="rId20"/>
    <sheet name="Study_1" sheetId="39" r:id="rId21"/>
    <sheet name="Study_2" sheetId="57" r:id="rId22"/>
    <sheet name="Study_3" sheetId="56" r:id="rId23"/>
    <sheet name="Study_4" sheetId="65" r:id="rId24"/>
    <sheet name="Variables" sheetId="1" r:id="rId25"/>
    <sheet name="BuildAVL" sheetId="3" r:id="rId26"/>
    <sheet name="CruiseCDCL" sheetId="27" r:id="rId27"/>
    <sheet name="CruiseST" sheetId="4" r:id="rId28"/>
    <sheet name="CruiseFS" sheetId="5" r:id="rId29"/>
    <sheet name="CDCL(Re)" sheetId="6" r:id="rId30"/>
  </sheets>
  <functionGroups builtInGroupCount="19"/>
  <definedNames>
    <definedName name="_xleta.PI" hidden="1" xlm="1">#NAME?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13" hidden="1">polar1!$A$1:$D$22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14" hidden="1">polar2!$A$1:$D$22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15" hidden="1">polar4!$A$1:$D$22</definedName>
    <definedName name="ExternalData_4" localSheetId="6" hidden="1">'T1_Re40 000_M0 84_N5 0_XtrTop 5'!$A$1:$L$79</definedName>
    <definedName name="ExternalData_5" localSheetId="16" hidden="1">polar8!$A$1:$D$22</definedName>
    <definedName name="ExternalData_5" localSheetId="5" hidden="1">'T1_Re60 000_M0 84_N5 0_XtrTop 5'!$A$1:$L$69</definedName>
    <definedName name="ExternalData_6" localSheetId="4" hidden="1">'T1_Re80 000_M0 84_N5 0_XtrTop 5'!$A$1:$L$70</definedName>
    <definedName name="ExternalData_7" localSheetId="3" hidden="1">'T1_Re100 000_M0 84_N5 0_XtrTop '!$A$1:$L$69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18" hidden="1">A_CDCL!$G$8,A_CDCL!$G$12</definedName>
    <definedName name="solver_adj" localSheetId="17" hidden="1">CDCL!$G$8,CDCL!$G$12</definedName>
    <definedName name="solver_adj" localSheetId="24" hidden="1">Variables!#REF!</definedName>
    <definedName name="solver_cvg" localSheetId="18" hidden="1">0.0001</definedName>
    <definedName name="solver_cvg" localSheetId="17" hidden="1">0.0001</definedName>
    <definedName name="solver_cvg" localSheetId="24" hidden="1">0.00001</definedName>
    <definedName name="solver_drv" localSheetId="18" hidden="1">2</definedName>
    <definedName name="solver_drv" localSheetId="17" hidden="1">2</definedName>
    <definedName name="solver_drv" localSheetId="24" hidden="1">1</definedName>
    <definedName name="solver_eng" localSheetId="18" hidden="1">3</definedName>
    <definedName name="solver_eng" localSheetId="17" hidden="1">3</definedName>
    <definedName name="solver_eng" localSheetId="24" hidden="1">1</definedName>
    <definedName name="solver_est" localSheetId="18" hidden="1">1</definedName>
    <definedName name="solver_est" localSheetId="17" hidden="1">1</definedName>
    <definedName name="solver_est" localSheetId="24" hidden="1">1</definedName>
    <definedName name="solver_itr" localSheetId="18" hidden="1">2147483647</definedName>
    <definedName name="solver_itr" localSheetId="17" hidden="1">2147483647</definedName>
    <definedName name="solver_itr" localSheetId="24" hidden="1">2147483647</definedName>
    <definedName name="solver_lhs1" localSheetId="18" hidden="1">A_CDCL!$G$12</definedName>
    <definedName name="solver_lhs1" localSheetId="17" hidden="1">CDCL!$G$12</definedName>
    <definedName name="solver_lhs1" localSheetId="24" hidden="1">Variables!#REF!</definedName>
    <definedName name="solver_lhs2" localSheetId="18" hidden="1">A_CDCL!$G$12</definedName>
    <definedName name="solver_lhs2" localSheetId="17" hidden="1">CDCL!$G$12</definedName>
    <definedName name="solver_lhs2" localSheetId="24" hidden="1">Variables!#REF!</definedName>
    <definedName name="solver_lhs3" localSheetId="18" hidden="1">A_CDCL!$G$8</definedName>
    <definedName name="solver_lhs3" localSheetId="17" hidden="1">CDCL!$G$8</definedName>
    <definedName name="solver_lhs4" localSheetId="18" hidden="1">A_CDCL!$G$8</definedName>
    <definedName name="solver_lhs4" localSheetId="17" hidden="1">CDCL!$G$8</definedName>
    <definedName name="solver_lhs5" localSheetId="18" hidden="1">A_CDCL!$G$8</definedName>
    <definedName name="solver_lhs5" localSheetId="17" hidden="1">CDCL!$G$8</definedName>
    <definedName name="solver_lhs6" localSheetId="18" hidden="1">A_CDCL!$G$8</definedName>
    <definedName name="solver_lhs6" localSheetId="17" hidden="1">CDCL!$G$8</definedName>
    <definedName name="solver_lhs7" localSheetId="18" hidden="1">A_CDCL!$G$8</definedName>
    <definedName name="solver_lhs7" localSheetId="17" hidden="1">CDCL!$G$8</definedName>
    <definedName name="solver_lhs8" localSheetId="18" hidden="1">A_CDCL!$G$8</definedName>
    <definedName name="solver_lhs8" localSheetId="17" hidden="1">CDCL!$G$8</definedName>
    <definedName name="solver_lhs9" localSheetId="18" hidden="1">A_CDCL!$G$8</definedName>
    <definedName name="solver_lhs9" localSheetId="17" hidden="1">CDCL!$G$8</definedName>
    <definedName name="solver_mip" localSheetId="18" hidden="1">2147483647</definedName>
    <definedName name="solver_mip" localSheetId="17" hidden="1">2147483647</definedName>
    <definedName name="solver_mip" localSheetId="24" hidden="1">2147483647</definedName>
    <definedName name="solver_mni" localSheetId="18" hidden="1">30</definedName>
    <definedName name="solver_mni" localSheetId="17" hidden="1">30</definedName>
    <definedName name="solver_mni" localSheetId="24" hidden="1">30</definedName>
    <definedName name="solver_mrt" localSheetId="18" hidden="1">0.075</definedName>
    <definedName name="solver_mrt" localSheetId="17" hidden="1">0.075</definedName>
    <definedName name="solver_mrt" localSheetId="24" hidden="1">0.1</definedName>
    <definedName name="solver_msl" localSheetId="18" hidden="1">2</definedName>
    <definedName name="solver_msl" localSheetId="17" hidden="1">2</definedName>
    <definedName name="solver_msl" localSheetId="24" hidden="1">1</definedName>
    <definedName name="solver_neg" localSheetId="18" hidden="1">1</definedName>
    <definedName name="solver_neg" localSheetId="17" hidden="1">1</definedName>
    <definedName name="solver_neg" localSheetId="24" hidden="1">1</definedName>
    <definedName name="solver_nod" localSheetId="18" hidden="1">2147483647</definedName>
    <definedName name="solver_nod" localSheetId="17" hidden="1">2147483647</definedName>
    <definedName name="solver_nod" localSheetId="24" hidden="1">2147483647</definedName>
    <definedName name="solver_num" localSheetId="18" hidden="1">5</definedName>
    <definedName name="solver_num" localSheetId="17" hidden="1">5</definedName>
    <definedName name="solver_num" localSheetId="24" hidden="1">2</definedName>
    <definedName name="solver_nwt" localSheetId="18" hidden="1">1</definedName>
    <definedName name="solver_nwt" localSheetId="17" hidden="1">1</definedName>
    <definedName name="solver_nwt" localSheetId="24" hidden="1">1</definedName>
    <definedName name="solver_opt" localSheetId="18" hidden="1">A_CDCL!$G$12</definedName>
    <definedName name="solver_opt" localSheetId="17" hidden="1">CDCL!$G$12</definedName>
    <definedName name="solver_opt" localSheetId="24" hidden="1">Variables!#REF!</definedName>
    <definedName name="solver_pre" localSheetId="18" hidden="1">0.000001</definedName>
    <definedName name="solver_pre" localSheetId="17" hidden="1">0.000001</definedName>
    <definedName name="solver_pre" localSheetId="24" hidden="1">0.000001</definedName>
    <definedName name="solver_rbv" localSheetId="18" hidden="1">2</definedName>
    <definedName name="solver_rbv" localSheetId="17" hidden="1">2</definedName>
    <definedName name="solver_rbv" localSheetId="24" hidden="1">1</definedName>
    <definedName name="solver_rel1" localSheetId="18" hidden="1">1</definedName>
    <definedName name="solver_rel1" localSheetId="17" hidden="1">1</definedName>
    <definedName name="solver_rel1" localSheetId="24" hidden="1">1</definedName>
    <definedName name="solver_rel2" localSheetId="18" hidden="1">4</definedName>
    <definedName name="solver_rel2" localSheetId="17" hidden="1">4</definedName>
    <definedName name="solver_rel2" localSheetId="24" hidden="1">3</definedName>
    <definedName name="solver_rel3" localSheetId="18" hidden="1">1</definedName>
    <definedName name="solver_rel3" localSheetId="17" hidden="1">1</definedName>
    <definedName name="solver_rel4" localSheetId="18" hidden="1">4</definedName>
    <definedName name="solver_rel4" localSheetId="17" hidden="1">4</definedName>
    <definedName name="solver_rel5" localSheetId="18" hidden="1">3</definedName>
    <definedName name="solver_rel5" localSheetId="17" hidden="1">3</definedName>
    <definedName name="solver_rel6" localSheetId="18" hidden="1">3</definedName>
    <definedName name="solver_rel6" localSheetId="17" hidden="1">3</definedName>
    <definedName name="solver_rel7" localSheetId="18" hidden="1">3</definedName>
    <definedName name="solver_rel7" localSheetId="17" hidden="1">3</definedName>
    <definedName name="solver_rel8" localSheetId="18" hidden="1">3</definedName>
    <definedName name="solver_rel8" localSheetId="17" hidden="1">3</definedName>
    <definedName name="solver_rel9" localSheetId="18" hidden="1">3</definedName>
    <definedName name="solver_rel9" localSheetId="17" hidden="1">3</definedName>
    <definedName name="solver_rhs1" localSheetId="18" hidden="1">A_CDCL!$G$28</definedName>
    <definedName name="solver_rhs1" localSheetId="17" hidden="1">CDCL!$G$28</definedName>
    <definedName name="solver_rhs1" localSheetId="24" hidden="1">Variables!#REF!</definedName>
    <definedName name="solver_rhs2" localSheetId="18" hidden="1">"integer"</definedName>
    <definedName name="solver_rhs2" localSheetId="17" hidden="1">"integer"</definedName>
    <definedName name="solver_rhs2" localSheetId="24" hidden="1">Variables!#REF!</definedName>
    <definedName name="solver_rhs3" localSheetId="18" hidden="1">A_CDCL!$G$12-1</definedName>
    <definedName name="solver_rhs3" localSheetId="17" hidden="1">CDCL!$G$12-1</definedName>
    <definedName name="solver_rhs4" localSheetId="18" hidden="1">"integer"</definedName>
    <definedName name="solver_rhs4" localSheetId="17" hidden="1">"integer"</definedName>
    <definedName name="solver_rhs5" localSheetId="18" hidden="1">1</definedName>
    <definedName name="solver_rhs5" localSheetId="17" hidden="1">1</definedName>
    <definedName name="solver_rhs6" localSheetId="18" hidden="1">0</definedName>
    <definedName name="solver_rhs6" localSheetId="17" hidden="1">0</definedName>
    <definedName name="solver_rhs7" localSheetId="18" hidden="1">0</definedName>
    <definedName name="solver_rhs7" localSheetId="17" hidden="1">0</definedName>
    <definedName name="solver_rhs8" localSheetId="18" hidden="1">0</definedName>
    <definedName name="solver_rhs8" localSheetId="17" hidden="1">0</definedName>
    <definedName name="solver_rhs9" localSheetId="18" hidden="1">0</definedName>
    <definedName name="solver_rhs9" localSheetId="17" hidden="1">0</definedName>
    <definedName name="solver_rlx" localSheetId="18" hidden="1">2</definedName>
    <definedName name="solver_rlx" localSheetId="17" hidden="1">2</definedName>
    <definedName name="solver_rlx" localSheetId="24" hidden="1">2</definedName>
    <definedName name="solver_rsd" localSheetId="18" hidden="1">0</definedName>
    <definedName name="solver_rsd" localSheetId="17" hidden="1">0</definedName>
    <definedName name="solver_rsd" localSheetId="24" hidden="1">12</definedName>
    <definedName name="solver_scl" localSheetId="18" hidden="1">2</definedName>
    <definedName name="solver_scl" localSheetId="17" hidden="1">2</definedName>
    <definedName name="solver_scl" localSheetId="24" hidden="1">1</definedName>
    <definedName name="solver_sho" localSheetId="18" hidden="1">2</definedName>
    <definedName name="solver_sho" localSheetId="17" hidden="1">2</definedName>
    <definedName name="solver_sho" localSheetId="24" hidden="1">2</definedName>
    <definedName name="solver_ssz" localSheetId="18" hidden="1">100</definedName>
    <definedName name="solver_ssz" localSheetId="17" hidden="1">100</definedName>
    <definedName name="solver_ssz" localSheetId="24" hidden="1">200</definedName>
    <definedName name="solver_tim" localSheetId="18" hidden="1">2147483647</definedName>
    <definedName name="solver_tim" localSheetId="17" hidden="1">2147483647</definedName>
    <definedName name="solver_tim" localSheetId="24" hidden="1">300</definedName>
    <definedName name="solver_tol" localSheetId="18" hidden="1">0.01</definedName>
    <definedName name="solver_tol" localSheetId="17" hidden="1">0.01</definedName>
    <definedName name="solver_tol" localSheetId="24" hidden="1">0.01</definedName>
    <definedName name="solver_typ" localSheetId="18" hidden="1">1</definedName>
    <definedName name="solver_typ" localSheetId="17" hidden="1">1</definedName>
    <definedName name="solver_typ" localSheetId="24" hidden="1">2</definedName>
    <definedName name="solver_val" localSheetId="18" hidden="1">0</definedName>
    <definedName name="solver_val" localSheetId="17" hidden="1">0</definedName>
    <definedName name="solver_val" localSheetId="24" hidden="1">0</definedName>
    <definedName name="solver_ver" localSheetId="18" hidden="1">3</definedName>
    <definedName name="solver_ver" localSheetId="17" hidden="1">3</definedName>
    <definedName name="solver_ver" localSheetId="24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4" l="1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I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I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I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I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I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I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I10" i="65"/>
  <c r="H10" i="65"/>
  <c r="G10" i="65"/>
  <c r="F10" i="65"/>
  <c r="E10" i="65"/>
  <c r="D10" i="65"/>
  <c r="C10" i="65"/>
  <c r="E4" i="65"/>
  <c r="E3" i="65"/>
  <c r="E2" i="65"/>
  <c r="AB39" i="6"/>
  <c r="AB40" i="6"/>
  <c r="AB41" i="6"/>
  <c r="AB42" i="6"/>
  <c r="AB43" i="6"/>
  <c r="AB38" i="6"/>
  <c r="Z39" i="6"/>
  <c r="Z40" i="6"/>
  <c r="Z41" i="6"/>
  <c r="Z42" i="6"/>
  <c r="Z43" i="6"/>
  <c r="Z38" i="6"/>
  <c r="X39" i="6"/>
  <c r="X40" i="6"/>
  <c r="X41" i="6"/>
  <c r="X42" i="6"/>
  <c r="X43" i="6"/>
  <c r="X38" i="6"/>
  <c r="Y31" i="6"/>
  <c r="Z31" i="6" s="1"/>
  <c r="Y32" i="6"/>
  <c r="Z32" i="6" s="1"/>
  <c r="Y33" i="6"/>
  <c r="Z33" i="6" s="1"/>
  <c r="Y34" i="6"/>
  <c r="Z34" i="6" s="1"/>
  <c r="Y35" i="6"/>
  <c r="Z35" i="6" s="1"/>
  <c r="Y30" i="6"/>
  <c r="Z30" i="6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C43" i="64"/>
  <c r="C42" i="64"/>
  <c r="C41" i="64"/>
  <c r="C40" i="64"/>
  <c r="C39" i="64"/>
  <c r="C38" i="64"/>
  <c r="C37" i="64"/>
  <c r="C36" i="64"/>
  <c r="C35" i="64"/>
  <c r="C34" i="64"/>
  <c r="C33" i="64"/>
  <c r="C32" i="64"/>
  <c r="G31" i="64"/>
  <c r="G32" i="64" s="1"/>
  <c r="AC34" i="64" s="1"/>
  <c r="C31" i="64"/>
  <c r="C30" i="64"/>
  <c r="C29" i="64"/>
  <c r="C28" i="64"/>
  <c r="C27" i="64"/>
  <c r="C26" i="64"/>
  <c r="C25" i="64"/>
  <c r="G23" i="64"/>
  <c r="G14" i="64"/>
  <c r="G14" i="64" a="1"/>
  <c r="G13" i="64" a="1"/>
  <c r="G13" i="64" s="1"/>
  <c r="G10" i="64"/>
  <c r="G10" i="64" a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D4" i="64" a="1"/>
  <c r="A4" i="64" a="1"/>
  <c r="B4" i="64" a="1"/>
  <c r="B4" i="64" l="1"/>
  <c r="A4" i="64"/>
  <c r="D4" i="64"/>
  <c r="AA34" i="64"/>
  <c r="AB34" i="64"/>
  <c r="W34" i="64"/>
  <c r="X34" i="64"/>
  <c r="E4" i="56"/>
  <c r="N11" i="1"/>
  <c r="N5" i="1"/>
  <c r="N9" i="1" s="1"/>
  <c r="N10" i="1" s="1"/>
  <c r="I18" i="6"/>
  <c r="H9" i="27" s="1"/>
  <c r="F13" i="3"/>
  <c r="B5" i="3"/>
  <c r="B5" i="1"/>
  <c r="B12" i="1"/>
  <c r="F8" i="3" s="1"/>
  <c r="AC34" i="16"/>
  <c r="H5" i="27" l="1"/>
  <c r="G26" i="64"/>
  <c r="G25" i="64"/>
  <c r="G28" i="64"/>
  <c r="G5" i="64"/>
  <c r="N6" i="1"/>
  <c r="E20" i="1"/>
  <c r="E21" i="1" s="1"/>
  <c r="E23" i="1" s="1"/>
  <c r="I21" i="1" s="1"/>
  <c r="A5" i="27"/>
  <c r="B5" i="27" s="1"/>
  <c r="B4" i="3"/>
  <c r="O7" i="1"/>
  <c r="O11" i="1" s="1"/>
  <c r="B13" i="1"/>
  <c r="G31" i="16"/>
  <c r="G32" i="16" s="1"/>
  <c r="I24" i="1"/>
  <c r="B3" i="3"/>
  <c r="Z34" i="64" l="1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F12" i="3" s="1"/>
  <c r="A9" i="27"/>
  <c r="I22" i="1"/>
  <c r="I23" i="1" s="1"/>
  <c r="G21" i="64" l="1"/>
  <c r="O44" i="64" s="1"/>
  <c r="G16" i="64"/>
  <c r="C16" i="64"/>
  <c r="C17" i="64"/>
  <c r="C12" i="64"/>
  <c r="C22" i="64"/>
  <c r="C18" i="64"/>
  <c r="C23" i="64"/>
  <c r="C9" i="64"/>
  <c r="C10" i="64"/>
  <c r="C15" i="64"/>
  <c r="C19" i="64"/>
  <c r="C24" i="64"/>
  <c r="C14" i="64"/>
  <c r="C20" i="64"/>
  <c r="C13" i="64"/>
  <c r="C21" i="64"/>
  <c r="C1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O9" i="1" s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I11" i="64" l="1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O10" i="1" s="1"/>
  <c r="A4" i="16"/>
  <c r="B4" i="16"/>
  <c r="D4" i="16"/>
  <c r="U34" i="64" l="1"/>
  <c r="D9" i="27"/>
  <c r="E5" i="27"/>
  <c r="D5" i="27"/>
  <c r="C5" i="27"/>
  <c r="G5" i="27"/>
  <c r="F5" i="27"/>
  <c r="E9" i="27"/>
  <c r="F9" i="27"/>
  <c r="B9" i="27"/>
  <c r="G9" i="27"/>
  <c r="C9" i="27"/>
  <c r="F15" i="3"/>
  <c r="G5" i="16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8" background="1" saveData="1">
    <dbPr connection="Provider=Microsoft.Mashup.OleDb.1;Data Source=$Workbook$;Location=polar1;Extended Properties=&quot;&quot;" command="SELECT * FROM [polar1]"/>
  </connection>
  <connection id="2" xr16:uid="{A472F2AE-CB8F-401E-853A-80A6064250C5}" keepAlive="1" name="Query - polar2" description="Connection to the 'polar2' query in the workbook." type="5" refreshedVersion="8" background="1" saveData="1">
    <dbPr connection="Provider=Microsoft.Mashup.OleDb.1;Data Source=$Workbook$;Location=polar2;Extended Properties=&quot;&quot;" command="SELECT * FROM [polar2]"/>
  </connection>
  <connection id="3" xr16:uid="{C250AF62-6947-4FCF-8094-2D05B2DE4ECB}" keepAlive="1" name="Query - polar4" description="Connection to the 'polar4' query in the workbook." type="5" refreshedVersion="8" background="1" saveData="1">
    <dbPr connection="Provider=Microsoft.Mashup.OleDb.1;Data Source=$Workbook$;Location=polar4;Extended Properties=&quot;&quot;" command="SELECT * FROM [polar4]"/>
  </connection>
  <connection id="4" xr16:uid="{656B54B5-00E5-4943-B1FA-0FF36544001A}" keepAlive="1" name="Query - polar8" description="Connection to the 'polar8' query in the workbook." type="5" refreshedVersion="8" background="1" saveData="1">
    <dbPr connection="Provider=Microsoft.Mashup.OleDb.1;Data Source=$Workbook$;Location=polar8;Extended Properties=&quot;&quot;" command="SELECT * FROM [polar8]"/>
  </connection>
  <connection id="5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6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7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8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9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10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11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12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13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14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15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16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17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18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<sst xmlns="http://schemas.openxmlformats.org/spreadsheetml/2006/main" count="887" uniqueCount="288">
  <si>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</si>
  <si>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</si>
  <si>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</si>
  <si>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</si>
  <si>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</si>
  <si>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</si>
  <si>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</si>
  <si>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</si>
  <si>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</si>
  <si>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</si>
  <si>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</si>
  <si>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</si>
  <si>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</si>
  <si>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</si>
  <si>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</si>
  <si>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</si>
  <si>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</si>
  <si>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</si>
  <si>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</si>
  <si>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</si>
  <si>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</si>
  <si>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</si>
  <si>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</si>
  <si>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</si>
  <si>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</si>
  <si>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</si>
  <si>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</si>
  <si>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</si>
  <si>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</si>
  <si>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</si>
  <si>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</si>
  <si>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</si>
  <si>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</si>
  <si>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</si>
  <si>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</si>
  <si>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</si>
  <si>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</si>
  <si>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</si>
  <si>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</si>
  <si>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</si>
  <si>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</si>
  <si>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</si>
  <si>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</si>
  <si>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</si>
  <si>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</si>
  <si>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</si>
  <si>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</si>
  <si>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</si>
  <si>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</si>
  <si>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</si>
  <si>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</si>
  <si>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</si>
  <si>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</si>
  <si>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</si>
  <si>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</si>
  <si>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</si>
  <si>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</si>
  <si>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</si>
  <si>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</si>
  <si>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</si>
  <si>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</si>
  <si>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</si>
  <si>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</si>
  <si>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</si>
  <si>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</si>
  <si>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</si>
  <si>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</si>
  <si>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</si>
  <si>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</si>
  <si>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</si>
  <si>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</si>
  <si>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</si>
  <si>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</si>
  <si>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</si>
  <si>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</si>
  <si>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</si>
  <si>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</si>
  <si>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</si>
  <si>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</si>
  <si>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</si>
  <si>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</si>
  <si>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</si>
  <si>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</si>
  <si>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</si>
  <si>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</si>
  <si>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</si>
  <si>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</si>
  <si>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</si>
  <si>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</si>
  <si>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</si>
  <si>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</si>
  <si>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</si>
  <si>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</si>
  <si>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</si>
  <si>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</si>
  <si>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</si>
  <si>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</si>
  <si>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</si>
  <si>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</si>
  <si>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</si>
  <si>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</si>
  <si>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</si>
  <si>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</si>
  <si>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</si>
  <si>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</si>
  <si>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</si>
  <si>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</si>
  <si>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</si>
  <si>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</si>
  <si>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</si>
  <si>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</si>
  <si>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</si>
  <si>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</si>
  <si>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</si>
  <si>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</si>
  <si>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</si>
  <si>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</si>
  <si>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</si>
  <si>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</si>
  <si>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</si>
  <si>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</si>
  <si>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</si>
  <si>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</si>
  <si>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</si>
  <si>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</si>
  <si>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</si>
  <si>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</si>
  <si>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</si>
  <si>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</si>
  <si>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</si>
  <si>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</si>
  <si>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</si>
  <si>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</si>
  <si>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</si>
  <si>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</si>
  <si>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</si>
  <si>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</si>
  <si>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</si>
  <si>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</si>
  <si>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</si>
  <si>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</si>
  <si>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</si>
  <si>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</si>
  <si>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</si>
  <si>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</si>
  <si>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</si>
  <si>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</si>
  <si>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</si>
  <si>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</si>
  <si>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</si>
  <si>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</si>
  <si>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</si>
  <si>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</si>
  <si>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</si>
  <si>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</si>
  <si>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</si>
  <si>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</si>
  <si>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</si>
  <si>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</si>
  <si>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</si>
  <si>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</si>
  <si>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</si>
  <si>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</si>
  <si>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</si>
  <si>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</si>
  <si>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</si>
  <si>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</si>
  <si>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</si>
  <si>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</si>
  <si>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</si>
  <si>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</si>
  <si>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</si>
  <si>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</si>
  <si>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</si>
  <si>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</si>
  <si>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</si>
  <si>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</si>
  <si>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</si>
  <si>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</si>
  <si>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</si>
  <si>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</si>
  <si>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</si>
  <si>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</si>
  <si>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</si>
  <si>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</si>
  <si>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</si>
  <si>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</si>
  <si>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</si>
  <si>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</si>
  <si>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</si>
  <si>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</si>
  <si>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</si>
  <si>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</si>
  <si>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</si>
  <si>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</si>
  <si>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</si>
  <si>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</si>
  <si>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</si>
  <si>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</si>
  <si>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</si>
  <si>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</si>
  <si>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</si>
  <si>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</si>
  <si>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</si>
  <si>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</si>
  <si>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</si>
  <si>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</si>
  <si>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</si>
  <si>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</si>
  <si>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</si>
  <si>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</si>
  <si>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</si>
  <si>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</si>
  <si>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</si>
  <si>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</si>
  <si>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</si>
  <si>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</si>
  <si>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</si>
  <si>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</si>
  <si>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</si>
  <si>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hinge</t>
  </si>
  <si>
    <t>thru</t>
  </si>
  <si>
    <t>LE</t>
  </si>
  <si>
    <t>Deflect</t>
  </si>
  <si>
    <t>Area,</t>
  </si>
  <si>
    <t>j</t>
  </si>
  <si>
    <t>Area</t>
  </si>
  <si>
    <t>c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</si>
  <si>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</si>
  <si>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</si>
  <si>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</si>
  <si>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</si>
  <si>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</si>
  <si>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</si>
  <si>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</si>
  <si>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</si>
  <si>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</si>
  <si>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</si>
  <si>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</si>
  <si>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</si>
  <si>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</si>
  <si>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</si>
  <si>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</si>
  <si>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</si>
  <si>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</si>
  <si>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</si>
  <si>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</si>
  <si>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</si>
  <si>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</si>
  <si>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</si>
  <si>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</si>
  <si>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</si>
  <si>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</si>
  <si>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</si>
  <si>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</si>
  <si>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</si>
  <si>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</si>
  <si>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</si>
  <si>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</si>
  <si>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</si>
  <si>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</si>
  <si>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</si>
  <si>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</si>
  <si>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</si>
  <si>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</si>
  <si>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</si>
  <si>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</si>
  <si>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</si>
  <si>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</si>
  <si>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</si>
  <si>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</si>
  <si>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</si>
  <si>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</si>
  <si>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</si>
  <si>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</si>
  <si>
    <t>CM</t>
  </si>
  <si>
    <t>polar8</t>
  </si>
  <si>
    <t>T1_Re60 000_M0 84_N5 0_XtrTop 5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</si>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</sst>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6.28E-3</c:v>
                </c:pt>
                <c:pt idx="1">
                  <c:v>5.94E-3</c:v>
                </c:pt>
                <c:pt idx="2">
                  <c:v>5.6800000000000002E-3</c:v>
                </c:pt>
                <c:pt idx="3">
                  <c:v>5.4799999999999996E-3</c:v>
                </c:pt>
                <c:pt idx="4">
                  <c:v>5.3600000000000002E-3</c:v>
                </c:pt>
                <c:pt idx="5">
                  <c:v>5.28E-3</c:v>
                </c:pt>
                <c:pt idx="6">
                  <c:v>5.2300000000000003E-3</c:v>
                </c:pt>
                <c:pt idx="7">
                  <c:v>5.1900000000000002E-3</c:v>
                </c:pt>
                <c:pt idx="8">
                  <c:v>5.1599999999999997E-3</c:v>
                </c:pt>
                <c:pt idx="9">
                  <c:v>5.1500000000000001E-3</c:v>
                </c:pt>
                <c:pt idx="10">
                  <c:v>5.13E-3</c:v>
                </c:pt>
                <c:pt idx="11">
                  <c:v>5.1200000000000004E-3</c:v>
                </c:pt>
                <c:pt idx="12">
                  <c:v>5.1200000000000004E-3</c:v>
                </c:pt>
                <c:pt idx="13">
                  <c:v>5.11E-3</c:v>
                </c:pt>
                <c:pt idx="14">
                  <c:v>5.11E-3</c:v>
                </c:pt>
                <c:pt idx="15">
                  <c:v>5.1000000000000004E-3</c:v>
                </c:pt>
                <c:pt idx="16">
                  <c:v>5.1000000000000004E-3</c:v>
                </c:pt>
                <c:pt idx="17">
                  <c:v>5.1000000000000004E-3</c:v>
                </c:pt>
                <c:pt idx="18">
                  <c:v>5.0899999999999999E-3</c:v>
                </c:pt>
                <c:pt idx="19">
                  <c:v>5.0899999999999999E-3</c:v>
                </c:pt>
                <c:pt idx="20">
                  <c:v>5.0899999999999999E-3</c:v>
                </c:pt>
                <c:pt idx="21">
                  <c:v>5.0899999999999999E-3</c:v>
                </c:pt>
                <c:pt idx="22">
                  <c:v>5.0899999999999999E-3</c:v>
                </c:pt>
                <c:pt idx="23">
                  <c:v>5.0899999999999999E-3</c:v>
                </c:pt>
                <c:pt idx="24">
                  <c:v>5.0899999999999999E-3</c:v>
                </c:pt>
                <c:pt idx="25">
                  <c:v>5.0899999999999999E-3</c:v>
                </c:pt>
                <c:pt idx="26">
                  <c:v>5.0899999999999999E-3</c:v>
                </c:pt>
                <c:pt idx="27">
                  <c:v>5.0899999999999999E-3</c:v>
                </c:pt>
                <c:pt idx="28">
                  <c:v>5.1000000000000004E-3</c:v>
                </c:pt>
                <c:pt idx="29">
                  <c:v>5.1000000000000004E-3</c:v>
                </c:pt>
                <c:pt idx="30">
                  <c:v>5.1000000000000004E-3</c:v>
                </c:pt>
                <c:pt idx="31">
                  <c:v>5.13E-3</c:v>
                </c:pt>
                <c:pt idx="32">
                  <c:v>5.1399999999999996E-3</c:v>
                </c:pt>
                <c:pt idx="33">
                  <c:v>5.1500000000000001E-3</c:v>
                </c:pt>
                <c:pt idx="34">
                  <c:v>5.1599999999999997E-3</c:v>
                </c:pt>
                <c:pt idx="35">
                  <c:v>5.1700000000000001E-3</c:v>
                </c:pt>
                <c:pt idx="36">
                  <c:v>5.1700000000000001E-3</c:v>
                </c:pt>
                <c:pt idx="37">
                  <c:v>5.1799999999999997E-3</c:v>
                </c:pt>
                <c:pt idx="38">
                  <c:v>5.1799999999999997E-3</c:v>
                </c:pt>
                <c:pt idx="39">
                  <c:v>5.1900000000000002E-3</c:v>
                </c:pt>
                <c:pt idx="40">
                  <c:v>5.1900000000000002E-3</c:v>
                </c:pt>
                <c:pt idx="41">
                  <c:v>5.1999999999999998E-3</c:v>
                </c:pt>
                <c:pt idx="42">
                  <c:v>5.1999999999999998E-3</c:v>
                </c:pt>
                <c:pt idx="43">
                  <c:v>5.2100000000000002E-3</c:v>
                </c:pt>
                <c:pt idx="44">
                  <c:v>5.2300000000000003E-3</c:v>
                </c:pt>
                <c:pt idx="45">
                  <c:v>5.2500000000000003E-3</c:v>
                </c:pt>
                <c:pt idx="46">
                  <c:v>5.2599999999999999E-3</c:v>
                </c:pt>
                <c:pt idx="47">
                  <c:v>5.2500000000000003E-3</c:v>
                </c:pt>
                <c:pt idx="48">
                  <c:v>5.2599999999999999E-3</c:v>
                </c:pt>
                <c:pt idx="49">
                  <c:v>5.2700000000000004E-3</c:v>
                </c:pt>
                <c:pt idx="50">
                  <c:v>5.2900000000000004E-3</c:v>
                </c:pt>
                <c:pt idx="51">
                  <c:v>5.3E-3</c:v>
                </c:pt>
                <c:pt idx="52">
                  <c:v>5.3200000000000001E-3</c:v>
                </c:pt>
                <c:pt idx="53">
                  <c:v>5.3400000000000001E-3</c:v>
                </c:pt>
                <c:pt idx="54">
                  <c:v>5.3600000000000002E-3</c:v>
                </c:pt>
                <c:pt idx="55">
                  <c:v>5.3800000000000002E-3</c:v>
                </c:pt>
                <c:pt idx="56">
                  <c:v>5.4000000000000003E-3</c:v>
                </c:pt>
                <c:pt idx="57">
                  <c:v>5.4200000000000003E-3</c:v>
                </c:pt>
                <c:pt idx="58">
                  <c:v>5.4299999999999999E-3</c:v>
                </c:pt>
                <c:pt idx="59">
                  <c:v>5.45E-3</c:v>
                </c:pt>
                <c:pt idx="60">
                  <c:v>5.47E-3</c:v>
                </c:pt>
                <c:pt idx="61">
                  <c:v>5.4900000000000001E-3</c:v>
                </c:pt>
                <c:pt idx="62">
                  <c:v>5.4999999999999997E-3</c:v>
                </c:pt>
                <c:pt idx="63">
                  <c:v>5.5199999999999997E-3</c:v>
                </c:pt>
                <c:pt idx="64">
                  <c:v>5.5500000000000002E-3</c:v>
                </c:pt>
                <c:pt idx="65">
                  <c:v>5.5700000000000003E-3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-5.5500000000000001E-2</c:v>
                </c:pt>
                <c:pt idx="1">
                  <c:v>-4.4900000000000002E-2</c:v>
                </c:pt>
                <c:pt idx="2">
                  <c:v>-3.3700000000000001E-2</c:v>
                </c:pt>
                <c:pt idx="3">
                  <c:v>-2.1999999999999999E-2</c:v>
                </c:pt>
                <c:pt idx="4">
                  <c:v>-0.01</c:v>
                </c:pt>
                <c:pt idx="5">
                  <c:v>2.0999999999999999E-3</c:v>
                </c:pt>
                <c:pt idx="6">
                  <c:v>1.4200000000000001E-2</c:v>
                </c:pt>
                <c:pt idx="7">
                  <c:v>2.6100000000000002E-2</c:v>
                </c:pt>
                <c:pt idx="8">
                  <c:v>3.7999999999999999E-2</c:v>
                </c:pt>
                <c:pt idx="9">
                  <c:v>4.9799999999999997E-2</c:v>
                </c:pt>
                <c:pt idx="10">
                  <c:v>6.1600000000000002E-2</c:v>
                </c:pt>
                <c:pt idx="11">
                  <c:v>7.3300000000000004E-2</c:v>
                </c:pt>
                <c:pt idx="12">
                  <c:v>8.4900000000000003E-2</c:v>
                </c:pt>
                <c:pt idx="13">
                  <c:v>9.64E-2</c:v>
                </c:pt>
                <c:pt idx="14">
                  <c:v>0.1079</c:v>
                </c:pt>
                <c:pt idx="15">
                  <c:v>0.1193</c:v>
                </c:pt>
                <c:pt idx="16">
                  <c:v>0.13070000000000001</c:v>
                </c:pt>
                <c:pt idx="17">
                  <c:v>0.1421</c:v>
                </c:pt>
                <c:pt idx="18">
                  <c:v>0.15340000000000001</c:v>
                </c:pt>
                <c:pt idx="19">
                  <c:v>0.1646</c:v>
                </c:pt>
                <c:pt idx="20">
                  <c:v>0.1759</c:v>
                </c:pt>
                <c:pt idx="21">
                  <c:v>0.18709999999999999</c:v>
                </c:pt>
                <c:pt idx="22">
                  <c:v>0.1983</c:v>
                </c:pt>
                <c:pt idx="23">
                  <c:v>0.2094</c:v>
                </c:pt>
                <c:pt idx="24">
                  <c:v>0.2205</c:v>
                </c:pt>
                <c:pt idx="25">
                  <c:v>0.23169999999999999</c:v>
                </c:pt>
                <c:pt idx="26">
                  <c:v>0.24279999999999999</c:v>
                </c:pt>
                <c:pt idx="27">
                  <c:v>0.25390000000000001</c:v>
                </c:pt>
                <c:pt idx="28">
                  <c:v>0.26490000000000002</c:v>
                </c:pt>
                <c:pt idx="29">
                  <c:v>0.27600000000000002</c:v>
                </c:pt>
                <c:pt idx="30">
                  <c:v>0.28710000000000002</c:v>
                </c:pt>
                <c:pt idx="31">
                  <c:v>0.29770000000000002</c:v>
                </c:pt>
                <c:pt idx="32">
                  <c:v>0.30869999999999997</c:v>
                </c:pt>
                <c:pt idx="33">
                  <c:v>0.3196</c:v>
                </c:pt>
                <c:pt idx="34">
                  <c:v>0.3306</c:v>
                </c:pt>
                <c:pt idx="35">
                  <c:v>0.34150000000000003</c:v>
                </c:pt>
                <c:pt idx="36">
                  <c:v>0.35260000000000002</c:v>
                </c:pt>
                <c:pt idx="37">
                  <c:v>0.36359999999999998</c:v>
                </c:pt>
                <c:pt idx="38">
                  <c:v>0.37469999999999998</c:v>
                </c:pt>
                <c:pt idx="39">
                  <c:v>0.38579999999999998</c:v>
                </c:pt>
                <c:pt idx="40">
                  <c:v>0.39689999999999998</c:v>
                </c:pt>
                <c:pt idx="41">
                  <c:v>0.40799999999999997</c:v>
                </c:pt>
                <c:pt idx="42">
                  <c:v>0.41909999999999997</c:v>
                </c:pt>
                <c:pt idx="43">
                  <c:v>0.43030000000000002</c:v>
                </c:pt>
                <c:pt idx="44">
                  <c:v>0.44130000000000003</c:v>
                </c:pt>
                <c:pt idx="45">
                  <c:v>0.45219999999999999</c:v>
                </c:pt>
                <c:pt idx="46">
                  <c:v>0.46339999999999998</c:v>
                </c:pt>
                <c:pt idx="47">
                  <c:v>0.47470000000000001</c:v>
                </c:pt>
                <c:pt idx="48">
                  <c:v>0.48599999999999999</c:v>
                </c:pt>
                <c:pt idx="49">
                  <c:v>0.49719999999999998</c:v>
                </c:pt>
                <c:pt idx="50">
                  <c:v>0.50860000000000005</c:v>
                </c:pt>
                <c:pt idx="51">
                  <c:v>0.51990000000000003</c:v>
                </c:pt>
                <c:pt idx="52">
                  <c:v>0.53129999999999999</c:v>
                </c:pt>
                <c:pt idx="53">
                  <c:v>0.54269999999999996</c:v>
                </c:pt>
                <c:pt idx="54">
                  <c:v>0.55410000000000004</c:v>
                </c:pt>
                <c:pt idx="55">
                  <c:v>0.5655</c:v>
                </c:pt>
                <c:pt idx="56">
                  <c:v>0.57699999999999996</c:v>
                </c:pt>
                <c:pt idx="57">
                  <c:v>0.58860000000000001</c:v>
                </c:pt>
                <c:pt idx="58">
                  <c:v>0.60029999999999994</c:v>
                </c:pt>
                <c:pt idx="59">
                  <c:v>0.61209999999999998</c:v>
                </c:pt>
                <c:pt idx="60">
                  <c:v>0.624</c:v>
                </c:pt>
                <c:pt idx="61">
                  <c:v>0.63590000000000002</c:v>
                </c:pt>
                <c:pt idx="62">
                  <c:v>0.64800000000000002</c:v>
                </c:pt>
                <c:pt idx="63">
                  <c:v>0.66010000000000002</c:v>
                </c:pt>
                <c:pt idx="64">
                  <c:v>0.6724</c:v>
                </c:pt>
                <c:pt idx="65">
                  <c:v>0.68479999999999996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5.3600000000000002E-3</c:v>
                </c:pt>
                <c:pt idx="1">
                  <c:v>5.3545730027548212E-3</c:v>
                </c:pt>
                <c:pt idx="2">
                  <c:v>5.3492011019283751E-3</c:v>
                </c:pt>
                <c:pt idx="3">
                  <c:v>5.343884297520661E-3</c:v>
                </c:pt>
                <c:pt idx="4">
                  <c:v>5.3386225895316807E-3</c:v>
                </c:pt>
                <c:pt idx="5">
                  <c:v>5.3334159779614325E-3</c:v>
                </c:pt>
                <c:pt idx="6">
                  <c:v>5.3282644628099172E-3</c:v>
                </c:pt>
                <c:pt idx="7">
                  <c:v>5.3231680440771348E-3</c:v>
                </c:pt>
                <c:pt idx="8">
                  <c:v>5.3181267217630853E-3</c:v>
                </c:pt>
                <c:pt idx="9">
                  <c:v>5.3131404958677688E-3</c:v>
                </c:pt>
                <c:pt idx="10">
                  <c:v>5.3082093663911843E-3</c:v>
                </c:pt>
                <c:pt idx="11">
                  <c:v>5.3033333333333335E-3</c:v>
                </c:pt>
                <c:pt idx="12">
                  <c:v>5.2985123966942148E-3</c:v>
                </c:pt>
                <c:pt idx="13">
                  <c:v>5.293746556473829E-3</c:v>
                </c:pt>
                <c:pt idx="14">
                  <c:v>5.2890358126721762E-3</c:v>
                </c:pt>
                <c:pt idx="15">
                  <c:v>5.2843801652892562E-3</c:v>
                </c:pt>
                <c:pt idx="16">
                  <c:v>5.2797796143250692E-3</c:v>
                </c:pt>
                <c:pt idx="17">
                  <c:v>5.2752341597796142E-3</c:v>
                </c:pt>
                <c:pt idx="18">
                  <c:v>5.270743801652893E-3</c:v>
                </c:pt>
                <c:pt idx="19">
                  <c:v>5.2663085399449038E-3</c:v>
                </c:pt>
                <c:pt idx="20">
                  <c:v>5.2619283746556476E-3</c:v>
                </c:pt>
                <c:pt idx="21">
                  <c:v>5.2576033057851242E-3</c:v>
                </c:pt>
                <c:pt idx="22">
                  <c:v>5.2533333333333338E-3</c:v>
                </c:pt>
                <c:pt idx="23">
                  <c:v>5.2491184573002754E-3</c:v>
                </c:pt>
                <c:pt idx="24">
                  <c:v>5.2449586776859508E-3</c:v>
                </c:pt>
                <c:pt idx="25">
                  <c:v>5.2408539944903583E-3</c:v>
                </c:pt>
                <c:pt idx="26">
                  <c:v>5.2368044077134987E-3</c:v>
                </c:pt>
                <c:pt idx="27">
                  <c:v>5.2328099173553719E-3</c:v>
                </c:pt>
                <c:pt idx="28">
                  <c:v>5.2288705234159781E-3</c:v>
                </c:pt>
                <c:pt idx="29">
                  <c:v>5.2249862258953172E-3</c:v>
                </c:pt>
                <c:pt idx="30">
                  <c:v>5.2211570247933884E-3</c:v>
                </c:pt>
                <c:pt idx="31">
                  <c:v>5.2173829201101925E-3</c:v>
                </c:pt>
                <c:pt idx="32">
                  <c:v>5.2136639118457303E-3</c:v>
                </c:pt>
                <c:pt idx="33">
                  <c:v>5.2100000000000002E-3</c:v>
                </c:pt>
                <c:pt idx="34">
                  <c:v>5.206391184573003E-3</c:v>
                </c:pt>
                <c:pt idx="35">
                  <c:v>5.2028374655647388E-3</c:v>
                </c:pt>
                <c:pt idx="36">
                  <c:v>5.1993388429752065E-3</c:v>
                </c:pt>
                <c:pt idx="37">
                  <c:v>5.1958953168044081E-3</c:v>
                </c:pt>
                <c:pt idx="38">
                  <c:v>5.1925068870523417E-3</c:v>
                </c:pt>
                <c:pt idx="39">
                  <c:v>5.1891735537190082E-3</c:v>
                </c:pt>
                <c:pt idx="40">
                  <c:v>5.1858953168044076E-3</c:v>
                </c:pt>
                <c:pt idx="41">
                  <c:v>5.18267217630854E-3</c:v>
                </c:pt>
                <c:pt idx="42">
                  <c:v>5.1795041322314052E-3</c:v>
                </c:pt>
                <c:pt idx="43">
                  <c:v>5.1763911845730025E-3</c:v>
                </c:pt>
                <c:pt idx="44">
                  <c:v>5.1733333333333336E-3</c:v>
                </c:pt>
                <c:pt idx="45">
                  <c:v>5.1703305785123967E-3</c:v>
                </c:pt>
                <c:pt idx="46">
                  <c:v>5.1673829201101928E-3</c:v>
                </c:pt>
                <c:pt idx="47">
                  <c:v>5.1644903581267217E-3</c:v>
                </c:pt>
                <c:pt idx="48">
                  <c:v>5.1616528925619836E-3</c:v>
                </c:pt>
                <c:pt idx="49">
                  <c:v>5.1588705234159775E-3</c:v>
                </c:pt>
                <c:pt idx="50">
                  <c:v>5.1561432506887052E-3</c:v>
                </c:pt>
                <c:pt idx="51">
                  <c:v>5.153471074380165E-3</c:v>
                </c:pt>
                <c:pt idx="52">
                  <c:v>5.1508539944903585E-3</c:v>
                </c:pt>
                <c:pt idx="53">
                  <c:v>5.1482920110192841E-3</c:v>
                </c:pt>
                <c:pt idx="54">
                  <c:v>5.1457851239669417E-3</c:v>
                </c:pt>
                <c:pt idx="55">
                  <c:v>5.1433333333333331E-3</c:v>
                </c:pt>
                <c:pt idx="56">
                  <c:v>5.1409366391184574E-3</c:v>
                </c:pt>
                <c:pt idx="57">
                  <c:v>5.1385950413223138E-3</c:v>
                </c:pt>
                <c:pt idx="58">
                  <c:v>5.1363085399449039E-3</c:v>
                </c:pt>
                <c:pt idx="59">
                  <c:v>5.1340771349862261E-3</c:v>
                </c:pt>
                <c:pt idx="60">
                  <c:v>5.1319008264462812E-3</c:v>
                </c:pt>
                <c:pt idx="61">
                  <c:v>5.1297796143250692E-3</c:v>
                </c:pt>
                <c:pt idx="62">
                  <c:v>5.1277134986225893E-3</c:v>
                </c:pt>
                <c:pt idx="63">
                  <c:v>5.1257024793388431E-3</c:v>
                </c:pt>
                <c:pt idx="64">
                  <c:v>5.123746556473829E-3</c:v>
                </c:pt>
                <c:pt idx="65">
                  <c:v>5.1218457300275478E-3</c:v>
                </c:pt>
                <c:pt idx="66">
                  <c:v>5.1199999999999996E-3</c:v>
                </c:pt>
                <c:pt idx="67">
                  <c:v>5.1182093663911842E-3</c:v>
                </c:pt>
                <c:pt idx="68">
                  <c:v>5.1164738292011017E-3</c:v>
                </c:pt>
                <c:pt idx="69">
                  <c:v>5.1147933884297522E-3</c:v>
                </c:pt>
                <c:pt idx="70">
                  <c:v>5.1131680440771347E-3</c:v>
                </c:pt>
                <c:pt idx="71">
                  <c:v>5.111597796143251E-3</c:v>
                </c:pt>
                <c:pt idx="72">
                  <c:v>5.1100826446280993E-3</c:v>
                </c:pt>
                <c:pt idx="73">
                  <c:v>5.1086225895316806E-3</c:v>
                </c:pt>
                <c:pt idx="74">
                  <c:v>5.1072176308539947E-3</c:v>
                </c:pt>
                <c:pt idx="75">
                  <c:v>5.105867768595041E-3</c:v>
                </c:pt>
                <c:pt idx="76">
                  <c:v>5.1045730027548209E-3</c:v>
                </c:pt>
                <c:pt idx="77">
                  <c:v>5.103333333333333E-3</c:v>
                </c:pt>
                <c:pt idx="78">
                  <c:v>5.1021487603305788E-3</c:v>
                </c:pt>
                <c:pt idx="79">
                  <c:v>5.1010192837465567E-3</c:v>
                </c:pt>
                <c:pt idx="80">
                  <c:v>5.0999449035812675E-3</c:v>
                </c:pt>
                <c:pt idx="81">
                  <c:v>5.0989256198347103E-3</c:v>
                </c:pt>
                <c:pt idx="82">
                  <c:v>5.0979614325068869E-3</c:v>
                </c:pt>
                <c:pt idx="83">
                  <c:v>5.0970523415977964E-3</c:v>
                </c:pt>
                <c:pt idx="84">
                  <c:v>5.096198347107438E-3</c:v>
                </c:pt>
                <c:pt idx="85">
                  <c:v>5.0953994490358125E-3</c:v>
                </c:pt>
                <c:pt idx="86">
                  <c:v>5.0946556473829199E-3</c:v>
                </c:pt>
                <c:pt idx="87">
                  <c:v>5.0939669421487602E-3</c:v>
                </c:pt>
                <c:pt idx="88">
                  <c:v>5.0933333333333334E-3</c:v>
                </c:pt>
                <c:pt idx="89">
                  <c:v>5.0927548209366387E-3</c:v>
                </c:pt>
                <c:pt idx="90">
                  <c:v>5.0922314049586777E-3</c:v>
                </c:pt>
                <c:pt idx="91">
                  <c:v>5.0917630853994488E-3</c:v>
                </c:pt>
                <c:pt idx="92">
                  <c:v>5.0913498622589528E-3</c:v>
                </c:pt>
                <c:pt idx="93">
                  <c:v>5.0909917355371898E-3</c:v>
                </c:pt>
                <c:pt idx="94">
                  <c:v>5.0906887052341596E-3</c:v>
                </c:pt>
                <c:pt idx="95">
                  <c:v>5.0904407713498624E-3</c:v>
                </c:pt>
                <c:pt idx="96">
                  <c:v>5.0902479338842972E-3</c:v>
                </c:pt>
                <c:pt idx="97">
                  <c:v>5.0901101928374657E-3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-0.01</c:v>
                </c:pt>
                <c:pt idx="1">
                  <c:v>-8.3494949494949504E-3</c:v>
                </c:pt>
                <c:pt idx="2">
                  <c:v>-6.6989898989898988E-3</c:v>
                </c:pt>
                <c:pt idx="3">
                  <c:v>-5.0484848484848481E-3</c:v>
                </c:pt>
                <c:pt idx="4">
                  <c:v>-3.3979797979797974E-3</c:v>
                </c:pt>
                <c:pt idx="5">
                  <c:v>-1.7474747474747476E-3</c:v>
                </c:pt>
                <c:pt idx="6">
                  <c:v>-9.6969696969696068E-5</c:v>
                </c:pt>
                <c:pt idx="7">
                  <c:v>1.5535353535353555E-3</c:v>
                </c:pt>
                <c:pt idx="8">
                  <c:v>3.2040404040404053E-3</c:v>
                </c:pt>
                <c:pt idx="9">
                  <c:v>4.8545454545454551E-3</c:v>
                </c:pt>
                <c:pt idx="10">
                  <c:v>6.505050505050505E-3</c:v>
                </c:pt>
                <c:pt idx="11">
                  <c:v>8.1555555555555565E-3</c:v>
                </c:pt>
                <c:pt idx="12">
                  <c:v>9.8060606060606081E-3</c:v>
                </c:pt>
                <c:pt idx="13">
                  <c:v>1.1456565656565656E-2</c:v>
                </c:pt>
                <c:pt idx="14">
                  <c:v>1.3107070707070711E-2</c:v>
                </c:pt>
                <c:pt idx="15">
                  <c:v>1.4757575757575759E-2</c:v>
                </c:pt>
                <c:pt idx="16">
                  <c:v>1.6408080808080809E-2</c:v>
                </c:pt>
                <c:pt idx="17">
                  <c:v>1.8058585858585864E-2</c:v>
                </c:pt>
                <c:pt idx="18">
                  <c:v>1.9709090909090912E-2</c:v>
                </c:pt>
                <c:pt idx="19">
                  <c:v>2.135959595959596E-2</c:v>
                </c:pt>
                <c:pt idx="20">
                  <c:v>2.3010101010101008E-2</c:v>
                </c:pt>
                <c:pt idx="21">
                  <c:v>2.4660606060606063E-2</c:v>
                </c:pt>
                <c:pt idx="22">
                  <c:v>2.6311111111111112E-2</c:v>
                </c:pt>
                <c:pt idx="23">
                  <c:v>2.7961616161616167E-2</c:v>
                </c:pt>
                <c:pt idx="24">
                  <c:v>2.9612121212121215E-2</c:v>
                </c:pt>
                <c:pt idx="25">
                  <c:v>3.126262626262627E-2</c:v>
                </c:pt>
                <c:pt idx="26">
                  <c:v>3.2913131313131311E-2</c:v>
                </c:pt>
                <c:pt idx="27">
                  <c:v>3.4563636363636366E-2</c:v>
                </c:pt>
                <c:pt idx="28">
                  <c:v>3.6214141414141421E-2</c:v>
                </c:pt>
                <c:pt idx="29">
                  <c:v>3.7864646464646469E-2</c:v>
                </c:pt>
                <c:pt idx="30">
                  <c:v>3.9515151515151517E-2</c:v>
                </c:pt>
                <c:pt idx="31">
                  <c:v>4.1165656565656565E-2</c:v>
                </c:pt>
                <c:pt idx="32">
                  <c:v>4.281616161616162E-2</c:v>
                </c:pt>
                <c:pt idx="33">
                  <c:v>4.4466666666666675E-2</c:v>
                </c:pt>
                <c:pt idx="34">
                  <c:v>4.6117171717171723E-2</c:v>
                </c:pt>
                <c:pt idx="35">
                  <c:v>4.7767676767676771E-2</c:v>
                </c:pt>
                <c:pt idx="36">
                  <c:v>4.9418181818181819E-2</c:v>
                </c:pt>
                <c:pt idx="37">
                  <c:v>5.1068686868686874E-2</c:v>
                </c:pt>
                <c:pt idx="38">
                  <c:v>5.2719191919191923E-2</c:v>
                </c:pt>
                <c:pt idx="39">
                  <c:v>5.4369696969696964E-2</c:v>
                </c:pt>
                <c:pt idx="40">
                  <c:v>5.6020202020202019E-2</c:v>
                </c:pt>
                <c:pt idx="41">
                  <c:v>5.7670707070707074E-2</c:v>
                </c:pt>
                <c:pt idx="42">
                  <c:v>5.9321212121212129E-2</c:v>
                </c:pt>
                <c:pt idx="43">
                  <c:v>6.0971717171717184E-2</c:v>
                </c:pt>
                <c:pt idx="44">
                  <c:v>6.2622222222222232E-2</c:v>
                </c:pt>
                <c:pt idx="45">
                  <c:v>6.4272727272727287E-2</c:v>
                </c:pt>
                <c:pt idx="46">
                  <c:v>6.5923232323232342E-2</c:v>
                </c:pt>
                <c:pt idx="47">
                  <c:v>6.7573737373737383E-2</c:v>
                </c:pt>
                <c:pt idx="48">
                  <c:v>6.9224242424242438E-2</c:v>
                </c:pt>
                <c:pt idx="49">
                  <c:v>7.0874747474747479E-2</c:v>
                </c:pt>
                <c:pt idx="50">
                  <c:v>7.2525252525252548E-2</c:v>
                </c:pt>
                <c:pt idx="51">
                  <c:v>7.4175757575757589E-2</c:v>
                </c:pt>
                <c:pt idx="52">
                  <c:v>7.582626262626263E-2</c:v>
                </c:pt>
                <c:pt idx="53">
                  <c:v>7.7476767676767699E-2</c:v>
                </c:pt>
                <c:pt idx="54">
                  <c:v>7.9127272727272741E-2</c:v>
                </c:pt>
                <c:pt idx="55">
                  <c:v>8.0777777777777782E-2</c:v>
                </c:pt>
                <c:pt idx="56">
                  <c:v>8.2428282828282851E-2</c:v>
                </c:pt>
                <c:pt idx="57">
                  <c:v>8.4078787878787892E-2</c:v>
                </c:pt>
                <c:pt idx="58">
                  <c:v>8.5729292929292947E-2</c:v>
                </c:pt>
                <c:pt idx="59">
                  <c:v>8.7379797979797988E-2</c:v>
                </c:pt>
                <c:pt idx="60">
                  <c:v>8.9030303030303043E-2</c:v>
                </c:pt>
                <c:pt idx="61">
                  <c:v>9.0680808080808098E-2</c:v>
                </c:pt>
                <c:pt idx="62">
                  <c:v>9.2331313131313139E-2</c:v>
                </c:pt>
                <c:pt idx="63">
                  <c:v>9.3981818181818208E-2</c:v>
                </c:pt>
                <c:pt idx="64">
                  <c:v>9.5632323232323249E-2</c:v>
                </c:pt>
                <c:pt idx="65">
                  <c:v>9.728282828282829E-2</c:v>
                </c:pt>
                <c:pt idx="66">
                  <c:v>9.8933333333333359E-2</c:v>
                </c:pt>
                <c:pt idx="67">
                  <c:v>0.1005838383838384</c:v>
                </c:pt>
                <c:pt idx="68">
                  <c:v>0.10223434343434346</c:v>
                </c:pt>
                <c:pt idx="69">
                  <c:v>0.1038848484848485</c:v>
                </c:pt>
                <c:pt idx="70">
                  <c:v>0.10553535353535355</c:v>
                </c:pt>
                <c:pt idx="71">
                  <c:v>0.10718585858585861</c:v>
                </c:pt>
                <c:pt idx="72">
                  <c:v>0.10883636363636365</c:v>
                </c:pt>
                <c:pt idx="73">
                  <c:v>0.11048686868686872</c:v>
                </c:pt>
                <c:pt idx="74">
                  <c:v>0.11213737373737376</c:v>
                </c:pt>
                <c:pt idx="75">
                  <c:v>0.1137878787878788</c:v>
                </c:pt>
                <c:pt idx="76">
                  <c:v>0.11543838383838385</c:v>
                </c:pt>
                <c:pt idx="77">
                  <c:v>0.1170888888888889</c:v>
                </c:pt>
                <c:pt idx="78">
                  <c:v>0.11873939393939394</c:v>
                </c:pt>
                <c:pt idx="79">
                  <c:v>0.12038989898989901</c:v>
                </c:pt>
                <c:pt idx="80">
                  <c:v>0.12204040404040405</c:v>
                </c:pt>
                <c:pt idx="81">
                  <c:v>0.12369090909090912</c:v>
                </c:pt>
                <c:pt idx="82">
                  <c:v>0.12534141414141414</c:v>
                </c:pt>
                <c:pt idx="83">
                  <c:v>0.12699191919191918</c:v>
                </c:pt>
                <c:pt idx="84">
                  <c:v>0.12864242424242425</c:v>
                </c:pt>
                <c:pt idx="85">
                  <c:v>0.13029292929292929</c:v>
                </c:pt>
                <c:pt idx="86">
                  <c:v>0.13194343434343436</c:v>
                </c:pt>
                <c:pt idx="87">
                  <c:v>0.1335939393939394</c:v>
                </c:pt>
                <c:pt idx="88">
                  <c:v>0.13524444444444444</c:v>
                </c:pt>
                <c:pt idx="89">
                  <c:v>0.13689494949494951</c:v>
                </c:pt>
                <c:pt idx="90">
                  <c:v>0.13854545454545455</c:v>
                </c:pt>
                <c:pt idx="91">
                  <c:v>0.14019595959595962</c:v>
                </c:pt>
                <c:pt idx="92">
                  <c:v>0.14184646464646467</c:v>
                </c:pt>
                <c:pt idx="93">
                  <c:v>0.14349696969696971</c:v>
                </c:pt>
                <c:pt idx="94">
                  <c:v>0.14514747474747475</c:v>
                </c:pt>
                <c:pt idx="95">
                  <c:v>0.14679797979797982</c:v>
                </c:pt>
                <c:pt idx="96">
                  <c:v>0.14844848484848486</c:v>
                </c:pt>
                <c:pt idx="97">
                  <c:v>0.1500989898989899</c:v>
                </c:pt>
                <c:pt idx="98">
                  <c:v>0.15174949494949494</c:v>
                </c:pt>
                <c:pt idx="99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5.4299999999999999E-3</c:v>
                </c:pt>
                <c:pt idx="1">
                  <c:v>5.4231660034690333E-3</c:v>
                </c:pt>
                <c:pt idx="2">
                  <c:v>5.4164013876135085E-3</c:v>
                </c:pt>
                <c:pt idx="3">
                  <c:v>5.4097061524334255E-3</c:v>
                </c:pt>
                <c:pt idx="4">
                  <c:v>5.4030802979287825E-3</c:v>
                </c:pt>
                <c:pt idx="5">
                  <c:v>5.3965238240995814E-3</c:v>
                </c:pt>
                <c:pt idx="6">
                  <c:v>5.3900367309458221E-3</c:v>
                </c:pt>
                <c:pt idx="7">
                  <c:v>5.3836190184675028E-3</c:v>
                </c:pt>
                <c:pt idx="8">
                  <c:v>5.3772706866646262E-3</c:v>
                </c:pt>
                <c:pt idx="9">
                  <c:v>5.3709917355371896E-3</c:v>
                </c:pt>
                <c:pt idx="10">
                  <c:v>5.3647821650851957E-3</c:v>
                </c:pt>
                <c:pt idx="11">
                  <c:v>5.3586419753086419E-3</c:v>
                </c:pt>
                <c:pt idx="12">
                  <c:v>5.3525711662075299E-3</c:v>
                </c:pt>
                <c:pt idx="13">
                  <c:v>5.3465697377818588E-3</c:v>
                </c:pt>
                <c:pt idx="14">
                  <c:v>5.3406376900316296E-3</c:v>
                </c:pt>
                <c:pt idx="15">
                  <c:v>5.3347750229568412E-3</c:v>
                </c:pt>
                <c:pt idx="16">
                  <c:v>5.3289817365574938E-3</c:v>
                </c:pt>
                <c:pt idx="17">
                  <c:v>5.3232578308335882E-3</c:v>
                </c:pt>
                <c:pt idx="18">
                  <c:v>5.3176033057851235E-3</c:v>
                </c:pt>
                <c:pt idx="19">
                  <c:v>5.3120181614121006E-3</c:v>
                </c:pt>
                <c:pt idx="20">
                  <c:v>5.3065023977145187E-3</c:v>
                </c:pt>
                <c:pt idx="21">
                  <c:v>5.3010560146923786E-3</c:v>
                </c:pt>
                <c:pt idx="22">
                  <c:v>5.2956790123456785E-3</c:v>
                </c:pt>
                <c:pt idx="23">
                  <c:v>5.2903713906744211E-3</c:v>
                </c:pt>
                <c:pt idx="24">
                  <c:v>5.2851331496786037E-3</c:v>
                </c:pt>
                <c:pt idx="25">
                  <c:v>5.2799642893582291E-3</c:v>
                </c:pt>
                <c:pt idx="26">
                  <c:v>5.2748648097132944E-3</c:v>
                </c:pt>
                <c:pt idx="27">
                  <c:v>5.2698347107438016E-3</c:v>
                </c:pt>
                <c:pt idx="28">
                  <c:v>5.2648739924497498E-3</c:v>
                </c:pt>
                <c:pt idx="29">
                  <c:v>5.2599826548311397E-3</c:v>
                </c:pt>
                <c:pt idx="30">
                  <c:v>5.2551606978879705E-3</c:v>
                </c:pt>
                <c:pt idx="31">
                  <c:v>5.2504081216202423E-3</c:v>
                </c:pt>
                <c:pt idx="32">
                  <c:v>5.2457249260279559E-3</c:v>
                </c:pt>
                <c:pt idx="33">
                  <c:v>5.2411111111111113E-3</c:v>
                </c:pt>
                <c:pt idx="34">
                  <c:v>5.2365666768697068E-3</c:v>
                </c:pt>
                <c:pt idx="35">
                  <c:v>5.232091623303744E-3</c:v>
                </c:pt>
                <c:pt idx="36">
                  <c:v>5.2276859504132231E-3</c:v>
                </c:pt>
                <c:pt idx="37">
                  <c:v>5.2233496581981431E-3</c:v>
                </c:pt>
                <c:pt idx="38">
                  <c:v>5.219082746658504E-3</c:v>
                </c:pt>
                <c:pt idx="39">
                  <c:v>5.2148852157943067E-3</c:v>
                </c:pt>
                <c:pt idx="40">
                  <c:v>5.2107570656055504E-3</c:v>
                </c:pt>
                <c:pt idx="41">
                  <c:v>5.206698296092235E-3</c:v>
                </c:pt>
                <c:pt idx="42">
                  <c:v>5.2027089072543614E-3</c:v>
                </c:pt>
                <c:pt idx="43">
                  <c:v>5.1987888990919296E-3</c:v>
                </c:pt>
                <c:pt idx="44">
                  <c:v>5.1949382716049378E-3</c:v>
                </c:pt>
                <c:pt idx="45">
                  <c:v>5.1911570247933879E-3</c:v>
                </c:pt>
                <c:pt idx="46">
                  <c:v>5.1874451586572798E-3</c:v>
                </c:pt>
                <c:pt idx="47">
                  <c:v>5.1838026731966125E-3</c:v>
                </c:pt>
                <c:pt idx="48">
                  <c:v>5.1802295684113863E-3</c:v>
                </c:pt>
                <c:pt idx="49">
                  <c:v>5.1767258443016018E-3</c:v>
                </c:pt>
                <c:pt idx="50">
                  <c:v>5.1732915008672583E-3</c:v>
                </c:pt>
                <c:pt idx="51">
                  <c:v>5.1699265381083565E-3</c:v>
                </c:pt>
                <c:pt idx="52">
                  <c:v>5.1666309560248957E-3</c:v>
                </c:pt>
                <c:pt idx="53">
                  <c:v>5.1634047546168758E-3</c:v>
                </c:pt>
                <c:pt idx="54">
                  <c:v>5.1602479338842978E-3</c:v>
                </c:pt>
                <c:pt idx="55">
                  <c:v>5.1571604938271606E-3</c:v>
                </c:pt>
                <c:pt idx="56">
                  <c:v>5.1541424344454644E-3</c:v>
                </c:pt>
                <c:pt idx="57">
                  <c:v>5.15119375573921E-3</c:v>
                </c:pt>
                <c:pt idx="58">
                  <c:v>5.1483144577083974E-3</c:v>
                </c:pt>
                <c:pt idx="59">
                  <c:v>5.1455045403530249E-3</c:v>
                </c:pt>
                <c:pt idx="60">
                  <c:v>5.1427640036730941E-3</c:v>
                </c:pt>
                <c:pt idx="61">
                  <c:v>5.1400928476686052E-3</c:v>
                </c:pt>
                <c:pt idx="62">
                  <c:v>5.1374910723395572E-3</c:v>
                </c:pt>
                <c:pt idx="63">
                  <c:v>5.1349586776859501E-3</c:v>
                </c:pt>
                <c:pt idx="64">
                  <c:v>5.1324956637077849E-3</c:v>
                </c:pt>
                <c:pt idx="65">
                  <c:v>5.1301020304050605E-3</c:v>
                </c:pt>
                <c:pt idx="66">
                  <c:v>5.127777777777778E-3</c:v>
                </c:pt>
                <c:pt idx="67">
                  <c:v>5.1255229058259364E-3</c:v>
                </c:pt>
                <c:pt idx="68">
                  <c:v>5.1233374145495357E-3</c:v>
                </c:pt>
                <c:pt idx="69">
                  <c:v>5.1212213039485768E-3</c:v>
                </c:pt>
                <c:pt idx="70">
                  <c:v>5.1191745740230589E-3</c:v>
                </c:pt>
                <c:pt idx="71">
                  <c:v>5.1171972247729819E-3</c:v>
                </c:pt>
                <c:pt idx="72">
                  <c:v>5.1152892561983467E-3</c:v>
                </c:pt>
                <c:pt idx="73">
                  <c:v>5.1134506682991533E-3</c:v>
                </c:pt>
                <c:pt idx="74">
                  <c:v>5.1116814610753999E-3</c:v>
                </c:pt>
                <c:pt idx="75">
                  <c:v>5.1099816345270893E-3</c:v>
                </c:pt>
                <c:pt idx="76">
                  <c:v>5.1083511886542187E-3</c:v>
                </c:pt>
                <c:pt idx="77">
                  <c:v>5.1067901234567899E-3</c:v>
                </c:pt>
                <c:pt idx="78">
                  <c:v>5.1052984389348029E-3</c:v>
                </c:pt>
                <c:pt idx="79">
                  <c:v>5.1038761350882559E-3</c:v>
                </c:pt>
                <c:pt idx="80">
                  <c:v>5.1025232119171508E-3</c:v>
                </c:pt>
                <c:pt idx="81">
                  <c:v>5.1012396694214875E-3</c:v>
                </c:pt>
                <c:pt idx="82">
                  <c:v>5.1000255076012651E-3</c:v>
                </c:pt>
                <c:pt idx="83">
                  <c:v>5.0988807264564836E-3</c:v>
                </c:pt>
                <c:pt idx="84">
                  <c:v>5.0978053259871439E-3</c:v>
                </c:pt>
                <c:pt idx="85">
                  <c:v>5.0967993061932452E-3</c:v>
                </c:pt>
                <c:pt idx="86">
                  <c:v>5.0958626670747883E-3</c:v>
                </c:pt>
                <c:pt idx="87">
                  <c:v>5.0949954086317722E-3</c:v>
                </c:pt>
                <c:pt idx="88">
                  <c:v>5.0941975308641972E-3</c:v>
                </c:pt>
                <c:pt idx="89">
                  <c:v>5.0934690337720639E-3</c:v>
                </c:pt>
                <c:pt idx="90">
                  <c:v>5.0928099173553716E-3</c:v>
                </c:pt>
                <c:pt idx="91">
                  <c:v>5.092220181614121E-3</c:v>
                </c:pt>
                <c:pt idx="92">
                  <c:v>5.0916998265483114E-3</c:v>
                </c:pt>
                <c:pt idx="93">
                  <c:v>5.0912488521579428E-3</c:v>
                </c:pt>
                <c:pt idx="94">
                  <c:v>5.0908672584430159E-3</c:v>
                </c:pt>
                <c:pt idx="95">
                  <c:v>5.09055504540353E-3</c:v>
                </c:pt>
                <c:pt idx="96">
                  <c:v>5.0903122130394858E-3</c:v>
                </c:pt>
                <c:pt idx="97">
                  <c:v>5.0901387613508826E-3</c:v>
                </c:pt>
                <c:pt idx="98">
                  <c:v>5.0900346903377204E-3</c:v>
                </c:pt>
                <c:pt idx="99">
                  <c:v>5.0899999999999999E-3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0.60029999999999994</c:v>
                </c:pt>
                <c:pt idx="1">
                  <c:v>0.59578585858585853</c:v>
                </c:pt>
                <c:pt idx="2">
                  <c:v>0.59127171717171711</c:v>
                </c:pt>
                <c:pt idx="3">
                  <c:v>0.5867575757575757</c:v>
                </c:pt>
                <c:pt idx="4">
                  <c:v>0.58224343434343429</c:v>
                </c:pt>
                <c:pt idx="5">
                  <c:v>0.57772929292929287</c:v>
                </c:pt>
                <c:pt idx="6">
                  <c:v>0.57321515151515146</c:v>
                </c:pt>
                <c:pt idx="7">
                  <c:v>0.56870101010101004</c:v>
                </c:pt>
                <c:pt idx="8">
                  <c:v>0.56418686868686863</c:v>
                </c:pt>
                <c:pt idx="9">
                  <c:v>0.55967272727272721</c:v>
                </c:pt>
                <c:pt idx="10">
                  <c:v>0.5551585858585858</c:v>
                </c:pt>
                <c:pt idx="11">
                  <c:v>0.55064444444444438</c:v>
                </c:pt>
                <c:pt idx="12">
                  <c:v>0.54613030303030297</c:v>
                </c:pt>
                <c:pt idx="13">
                  <c:v>0.54161616161616155</c:v>
                </c:pt>
                <c:pt idx="14">
                  <c:v>0.53710202020202014</c:v>
                </c:pt>
                <c:pt idx="15">
                  <c:v>0.53258787878787872</c:v>
                </c:pt>
                <c:pt idx="16">
                  <c:v>0.52807373737373731</c:v>
                </c:pt>
                <c:pt idx="17">
                  <c:v>0.52355959595959589</c:v>
                </c:pt>
                <c:pt idx="18">
                  <c:v>0.51904545454545448</c:v>
                </c:pt>
                <c:pt idx="19">
                  <c:v>0.51453131313131306</c:v>
                </c:pt>
                <c:pt idx="20">
                  <c:v>0.51001717171717165</c:v>
                </c:pt>
                <c:pt idx="21">
                  <c:v>0.50550303030303023</c:v>
                </c:pt>
                <c:pt idx="22">
                  <c:v>0.50098888888888882</c:v>
                </c:pt>
                <c:pt idx="23">
                  <c:v>0.4964747474747474</c:v>
                </c:pt>
                <c:pt idx="24">
                  <c:v>0.49196060606060599</c:v>
                </c:pt>
                <c:pt idx="25">
                  <c:v>0.48744646464646457</c:v>
                </c:pt>
                <c:pt idx="26">
                  <c:v>0.48293232323232316</c:v>
                </c:pt>
                <c:pt idx="27">
                  <c:v>0.4784181818181818</c:v>
                </c:pt>
                <c:pt idx="28">
                  <c:v>0.47390404040404033</c:v>
                </c:pt>
                <c:pt idx="29">
                  <c:v>0.46938989898989891</c:v>
                </c:pt>
                <c:pt idx="30">
                  <c:v>0.4648757575757575</c:v>
                </c:pt>
                <c:pt idx="31">
                  <c:v>0.46036161616161608</c:v>
                </c:pt>
                <c:pt idx="32">
                  <c:v>0.45584747474747467</c:v>
                </c:pt>
                <c:pt idx="33">
                  <c:v>0.45133333333333331</c:v>
                </c:pt>
                <c:pt idx="34">
                  <c:v>0.44681919191919184</c:v>
                </c:pt>
                <c:pt idx="35">
                  <c:v>0.44230505050505042</c:v>
                </c:pt>
                <c:pt idx="36">
                  <c:v>0.43779090909090901</c:v>
                </c:pt>
                <c:pt idx="37">
                  <c:v>0.43327676767676759</c:v>
                </c:pt>
                <c:pt idx="38">
                  <c:v>0.42876262626262618</c:v>
                </c:pt>
                <c:pt idx="39">
                  <c:v>0.42424848484848482</c:v>
                </c:pt>
                <c:pt idx="40">
                  <c:v>0.4197343434343434</c:v>
                </c:pt>
                <c:pt idx="41">
                  <c:v>0.41522020202020199</c:v>
                </c:pt>
                <c:pt idx="42">
                  <c:v>0.41070606060606052</c:v>
                </c:pt>
                <c:pt idx="43">
                  <c:v>0.4061919191919191</c:v>
                </c:pt>
                <c:pt idx="44">
                  <c:v>0.40167777777777774</c:v>
                </c:pt>
                <c:pt idx="45">
                  <c:v>0.39716363636363633</c:v>
                </c:pt>
                <c:pt idx="46">
                  <c:v>0.39264949494949491</c:v>
                </c:pt>
                <c:pt idx="47">
                  <c:v>0.3881353535353535</c:v>
                </c:pt>
                <c:pt idx="48">
                  <c:v>0.38362121212121203</c:v>
                </c:pt>
                <c:pt idx="49">
                  <c:v>0.37910707070707067</c:v>
                </c:pt>
                <c:pt idx="50">
                  <c:v>0.37459292929292926</c:v>
                </c:pt>
                <c:pt idx="51">
                  <c:v>0.37007878787878784</c:v>
                </c:pt>
                <c:pt idx="52">
                  <c:v>0.36556464646464643</c:v>
                </c:pt>
                <c:pt idx="53">
                  <c:v>0.36105050505050507</c:v>
                </c:pt>
                <c:pt idx="54">
                  <c:v>0.35653636363636365</c:v>
                </c:pt>
                <c:pt idx="55">
                  <c:v>0.35202222222222218</c:v>
                </c:pt>
                <c:pt idx="56">
                  <c:v>0.34750808080808077</c:v>
                </c:pt>
                <c:pt idx="57">
                  <c:v>0.34299393939393935</c:v>
                </c:pt>
                <c:pt idx="58">
                  <c:v>0.33847979797979794</c:v>
                </c:pt>
                <c:pt idx="59">
                  <c:v>0.33396565656565652</c:v>
                </c:pt>
                <c:pt idx="60">
                  <c:v>0.32945151515151511</c:v>
                </c:pt>
                <c:pt idx="61">
                  <c:v>0.32493737373737369</c:v>
                </c:pt>
                <c:pt idx="62">
                  <c:v>0.32042323232323228</c:v>
                </c:pt>
                <c:pt idx="63">
                  <c:v>0.31590909090909086</c:v>
                </c:pt>
                <c:pt idx="64">
                  <c:v>0.31139494949494945</c:v>
                </c:pt>
                <c:pt idx="65">
                  <c:v>0.30688080808080803</c:v>
                </c:pt>
                <c:pt idx="66">
                  <c:v>0.30236666666666667</c:v>
                </c:pt>
                <c:pt idx="67">
                  <c:v>0.29785252525252526</c:v>
                </c:pt>
                <c:pt idx="68">
                  <c:v>0.29333838383838379</c:v>
                </c:pt>
                <c:pt idx="69">
                  <c:v>0.28882424242424237</c:v>
                </c:pt>
                <c:pt idx="70">
                  <c:v>0.28431010101010096</c:v>
                </c:pt>
                <c:pt idx="71">
                  <c:v>0.27979595959595954</c:v>
                </c:pt>
                <c:pt idx="72">
                  <c:v>0.27528181818181813</c:v>
                </c:pt>
                <c:pt idx="73">
                  <c:v>0.27076767676767671</c:v>
                </c:pt>
                <c:pt idx="74">
                  <c:v>0.2662535353535353</c:v>
                </c:pt>
                <c:pt idx="75">
                  <c:v>0.26173939393939388</c:v>
                </c:pt>
                <c:pt idx="76">
                  <c:v>0.25722525252525247</c:v>
                </c:pt>
                <c:pt idx="77">
                  <c:v>0.25271111111111111</c:v>
                </c:pt>
                <c:pt idx="78">
                  <c:v>0.24819696969696969</c:v>
                </c:pt>
                <c:pt idx="79">
                  <c:v>0.24368282828282828</c:v>
                </c:pt>
                <c:pt idx="80">
                  <c:v>0.23916868686868686</c:v>
                </c:pt>
                <c:pt idx="81">
                  <c:v>0.23465454545454545</c:v>
                </c:pt>
                <c:pt idx="82">
                  <c:v>0.23014040404040403</c:v>
                </c:pt>
                <c:pt idx="83">
                  <c:v>0.22562626262626262</c:v>
                </c:pt>
                <c:pt idx="84">
                  <c:v>0.22111212121212115</c:v>
                </c:pt>
                <c:pt idx="85">
                  <c:v>0.21659797979797973</c:v>
                </c:pt>
                <c:pt idx="86">
                  <c:v>0.21208383838383832</c:v>
                </c:pt>
                <c:pt idx="87">
                  <c:v>0.2075696969696969</c:v>
                </c:pt>
                <c:pt idx="88">
                  <c:v>0.20305555555555554</c:v>
                </c:pt>
                <c:pt idx="89">
                  <c:v>0.19854141414141413</c:v>
                </c:pt>
                <c:pt idx="90">
                  <c:v>0.19402727272727271</c:v>
                </c:pt>
                <c:pt idx="91">
                  <c:v>0.1895131313131313</c:v>
                </c:pt>
                <c:pt idx="92">
                  <c:v>0.18499898989898989</c:v>
                </c:pt>
                <c:pt idx="93">
                  <c:v>0.18048484848484847</c:v>
                </c:pt>
                <c:pt idx="94">
                  <c:v>0.17597070707070706</c:v>
                </c:pt>
                <c:pt idx="95">
                  <c:v>0.17145656565656564</c:v>
                </c:pt>
                <c:pt idx="96">
                  <c:v>0.16694242424242417</c:v>
                </c:pt>
                <c:pt idx="97">
                  <c:v>0.16242828282828276</c:v>
                </c:pt>
                <c:pt idx="98">
                  <c:v>0.1579141414141414</c:v>
                </c:pt>
                <c:pt idx="99">
                  <c:v>0.15339999999999998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8.868052384102959E-3</c:v>
                </c:pt>
                <c:pt idx="1">
                  <c:v>8.8067420268918405E-3</c:v>
                </c:pt>
                <c:pt idx="2">
                  <c:v>8.7459597407959118E-3</c:v>
                </c:pt>
                <c:pt idx="3">
                  <c:v>8.6857055258151745E-3</c:v>
                </c:pt>
                <c:pt idx="4">
                  <c:v>8.6259793819496323E-3</c:v>
                </c:pt>
                <c:pt idx="5">
                  <c:v>8.566781309199278E-3</c:v>
                </c:pt>
                <c:pt idx="6">
                  <c:v>8.5081113075641205E-3</c:v>
                </c:pt>
                <c:pt idx="7">
                  <c:v>8.4499693770441545E-3</c:v>
                </c:pt>
                <c:pt idx="8">
                  <c:v>8.3923555176393799E-3</c:v>
                </c:pt>
                <c:pt idx="9">
                  <c:v>8.3352697293497986E-3</c:v>
                </c:pt>
                <c:pt idx="10">
                  <c:v>8.2787120121754088E-3</c:v>
                </c:pt>
                <c:pt idx="11">
                  <c:v>8.2226823661162105E-3</c:v>
                </c:pt>
                <c:pt idx="12">
                  <c:v>8.1671807911722072E-3</c:v>
                </c:pt>
                <c:pt idx="13">
                  <c:v>8.1122072873433936E-3</c:v>
                </c:pt>
                <c:pt idx="14">
                  <c:v>8.0577618546297716E-3</c:v>
                </c:pt>
                <c:pt idx="15">
                  <c:v>8.0038444930313445E-3</c:v>
                </c:pt>
                <c:pt idx="16">
                  <c:v>7.9504552025481089E-3</c:v>
                </c:pt>
                <c:pt idx="17">
                  <c:v>7.8975939831800665E-3</c:v>
                </c:pt>
                <c:pt idx="18">
                  <c:v>7.8452608349272139E-3</c:v>
                </c:pt>
                <c:pt idx="19">
                  <c:v>7.7934557577895563E-3</c:v>
                </c:pt>
                <c:pt idx="20">
                  <c:v>7.7421787517670902E-3</c:v>
                </c:pt>
                <c:pt idx="21">
                  <c:v>7.6914298168598155E-3</c:v>
                </c:pt>
                <c:pt idx="22">
                  <c:v>7.6412089530677341E-3</c:v>
                </c:pt>
                <c:pt idx="23">
                  <c:v>7.5915161603908451E-3</c:v>
                </c:pt>
                <c:pt idx="24">
                  <c:v>7.5423514388291485E-3</c:v>
                </c:pt>
                <c:pt idx="25">
                  <c:v>7.4937147883826433E-3</c:v>
                </c:pt>
                <c:pt idx="26">
                  <c:v>7.4456062090513305E-3</c:v>
                </c:pt>
                <c:pt idx="27">
                  <c:v>7.3980257008352101E-3</c:v>
                </c:pt>
                <c:pt idx="28">
                  <c:v>7.350973263734282E-3</c:v>
                </c:pt>
                <c:pt idx="29">
                  <c:v>7.3044488977485481E-3</c:v>
                </c:pt>
                <c:pt idx="30">
                  <c:v>7.2584526028780039E-3</c:v>
                </c:pt>
                <c:pt idx="31">
                  <c:v>7.2129843791226538E-3</c:v>
                </c:pt>
                <c:pt idx="32">
                  <c:v>7.1680442264824961E-3</c:v>
                </c:pt>
                <c:pt idx="33">
                  <c:v>7.123632144957529E-3</c:v>
                </c:pt>
                <c:pt idx="34">
                  <c:v>7.0797481345477552E-3</c:v>
                </c:pt>
                <c:pt idx="35">
                  <c:v>7.0363921952531737E-3</c:v>
                </c:pt>
                <c:pt idx="36">
                  <c:v>6.9935643270737854E-3</c:v>
                </c:pt>
                <c:pt idx="37">
                  <c:v>6.9512645300095878E-3</c:v>
                </c:pt>
                <c:pt idx="38">
                  <c:v>6.9094928040605826E-3</c:v>
                </c:pt>
                <c:pt idx="39">
                  <c:v>6.8682491492267714E-3</c:v>
                </c:pt>
                <c:pt idx="40">
                  <c:v>6.8275335655081509E-3</c:v>
                </c:pt>
                <c:pt idx="41">
                  <c:v>6.7873460529047237E-3</c:v>
                </c:pt>
                <c:pt idx="42">
                  <c:v>6.7476866114164888E-3</c:v>
                </c:pt>
                <c:pt idx="43">
                  <c:v>6.7085552410434445E-3</c:v>
                </c:pt>
                <c:pt idx="44">
                  <c:v>6.6699519417855952E-3</c:v>
                </c:pt>
                <c:pt idx="45">
                  <c:v>6.6318767136429365E-3</c:v>
                </c:pt>
                <c:pt idx="46">
                  <c:v>6.5943295566154702E-3</c:v>
                </c:pt>
                <c:pt idx="47">
                  <c:v>6.5573104707031971E-3</c:v>
                </c:pt>
                <c:pt idx="48">
                  <c:v>6.5208194559061156E-3</c:v>
                </c:pt>
                <c:pt idx="49">
                  <c:v>6.4848565122242272E-3</c:v>
                </c:pt>
                <c:pt idx="50">
                  <c:v>6.4494216396575313E-3</c:v>
                </c:pt>
                <c:pt idx="51">
                  <c:v>6.4145148382060259E-3</c:v>
                </c:pt>
                <c:pt idx="52">
                  <c:v>6.3801361078697147E-3</c:v>
                </c:pt>
                <c:pt idx="53">
                  <c:v>6.346285448648595E-3</c:v>
                </c:pt>
                <c:pt idx="54">
                  <c:v>6.3129628605426676E-3</c:v>
                </c:pt>
                <c:pt idx="55">
                  <c:v>6.2801683435519335E-3</c:v>
                </c:pt>
                <c:pt idx="56">
                  <c:v>6.2479018976763891E-3</c:v>
                </c:pt>
                <c:pt idx="57">
                  <c:v>6.2161635229160397E-3</c:v>
                </c:pt>
                <c:pt idx="58">
                  <c:v>6.1849532192708818E-3</c:v>
                </c:pt>
                <c:pt idx="59">
                  <c:v>6.1542709867409163E-3</c:v>
                </c:pt>
                <c:pt idx="60">
                  <c:v>6.1241168253261431E-3</c:v>
                </c:pt>
                <c:pt idx="61">
                  <c:v>6.0944907350265623E-3</c:v>
                </c:pt>
                <c:pt idx="62">
                  <c:v>6.0653927158421739E-3</c:v>
                </c:pt>
                <c:pt idx="63">
                  <c:v>6.036822767772977E-3</c:v>
                </c:pt>
                <c:pt idx="64">
                  <c:v>6.0087808908189724E-3</c:v>
                </c:pt>
                <c:pt idx="65">
                  <c:v>5.981267084980162E-3</c:v>
                </c:pt>
                <c:pt idx="66">
                  <c:v>5.9542813502565422E-3</c:v>
                </c:pt>
                <c:pt idx="67">
                  <c:v>5.9278236866481147E-3</c:v>
                </c:pt>
                <c:pt idx="68">
                  <c:v>5.9018940941548805E-3</c:v>
                </c:pt>
                <c:pt idx="69">
                  <c:v>5.8764925727768378E-3</c:v>
                </c:pt>
                <c:pt idx="70">
                  <c:v>5.8516191225139883E-3</c:v>
                </c:pt>
                <c:pt idx="71">
                  <c:v>5.8272737433663312E-3</c:v>
                </c:pt>
                <c:pt idx="72">
                  <c:v>5.8034564353338647E-3</c:v>
                </c:pt>
                <c:pt idx="73">
                  <c:v>5.7801671984165914E-3</c:v>
                </c:pt>
                <c:pt idx="74">
                  <c:v>5.7574060326145114E-3</c:v>
                </c:pt>
                <c:pt idx="75">
                  <c:v>5.7351729379276229E-3</c:v>
                </c:pt>
                <c:pt idx="76">
                  <c:v>5.7134679143559268E-3</c:v>
                </c:pt>
                <c:pt idx="77">
                  <c:v>5.692290961899423E-3</c:v>
                </c:pt>
                <c:pt idx="78">
                  <c:v>5.6716420805581116E-3</c:v>
                </c:pt>
                <c:pt idx="79">
                  <c:v>5.6515212703319925E-3</c:v>
                </c:pt>
                <c:pt idx="80">
                  <c:v>5.6319285312210659E-3</c:v>
                </c:pt>
                <c:pt idx="81">
                  <c:v>5.6128638632253315E-3</c:v>
                </c:pt>
                <c:pt idx="82">
                  <c:v>5.5943272663447896E-3</c:v>
                </c:pt>
                <c:pt idx="83">
                  <c:v>5.57631874057944E-3</c:v>
                </c:pt>
                <c:pt idx="84">
                  <c:v>5.558838285929282E-3</c:v>
                </c:pt>
                <c:pt idx="85">
                  <c:v>5.5418859023943171E-3</c:v>
                </c:pt>
                <c:pt idx="86">
                  <c:v>5.5254615899745447E-3</c:v>
                </c:pt>
                <c:pt idx="87">
                  <c:v>5.5095653486699646E-3</c:v>
                </c:pt>
                <c:pt idx="88">
                  <c:v>5.4941971784805759E-3</c:v>
                </c:pt>
                <c:pt idx="89">
                  <c:v>5.4793570794063797E-3</c:v>
                </c:pt>
                <c:pt idx="90">
                  <c:v>5.4650450514473767E-3</c:v>
                </c:pt>
                <c:pt idx="91">
                  <c:v>5.4512610946035661E-3</c:v>
                </c:pt>
                <c:pt idx="92">
                  <c:v>5.4380052088749461E-3</c:v>
                </c:pt>
                <c:pt idx="93">
                  <c:v>5.4252773942615202E-3</c:v>
                </c:pt>
                <c:pt idx="94">
                  <c:v>5.4130776507632858E-3</c:v>
                </c:pt>
                <c:pt idx="95">
                  <c:v>5.4014059783802446E-3</c:v>
                </c:pt>
                <c:pt idx="96">
                  <c:v>5.3902623771123941E-3</c:v>
                </c:pt>
                <c:pt idx="97">
                  <c:v>5.3796468469597377E-3</c:v>
                </c:pt>
                <c:pt idx="98">
                  <c:v>5.3695593879222719E-3</c:v>
                </c:pt>
                <c:pt idx="99">
                  <c:v>5.3600000000000002E-3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-5.5500000000000001E-2</c:v>
                </c:pt>
                <c:pt idx="1">
                  <c:v>-5.5040404040404042E-2</c:v>
                </c:pt>
                <c:pt idx="2">
                  <c:v>-5.4580808080808084E-2</c:v>
                </c:pt>
                <c:pt idx="3">
                  <c:v>-5.4121212121212119E-2</c:v>
                </c:pt>
                <c:pt idx="4">
                  <c:v>-5.366161616161616E-2</c:v>
                </c:pt>
                <c:pt idx="5">
                  <c:v>-5.3202020202020202E-2</c:v>
                </c:pt>
                <c:pt idx="6">
                  <c:v>-5.2742424242424243E-2</c:v>
                </c:pt>
                <c:pt idx="7">
                  <c:v>-5.2282828282828285E-2</c:v>
                </c:pt>
                <c:pt idx="8">
                  <c:v>-5.1823232323232327E-2</c:v>
                </c:pt>
                <c:pt idx="9">
                  <c:v>-5.1363636363636361E-2</c:v>
                </c:pt>
                <c:pt idx="10">
                  <c:v>-5.0904040404040403E-2</c:v>
                </c:pt>
                <c:pt idx="11">
                  <c:v>-5.0444444444444445E-2</c:v>
                </c:pt>
                <c:pt idx="12">
                  <c:v>-4.9984848484848486E-2</c:v>
                </c:pt>
                <c:pt idx="13">
                  <c:v>-4.9525252525252528E-2</c:v>
                </c:pt>
                <c:pt idx="14">
                  <c:v>-4.9065656565656562E-2</c:v>
                </c:pt>
                <c:pt idx="15">
                  <c:v>-4.8606060606060604E-2</c:v>
                </c:pt>
                <c:pt idx="16">
                  <c:v>-4.8146464646464646E-2</c:v>
                </c:pt>
                <c:pt idx="17">
                  <c:v>-4.7686868686868687E-2</c:v>
                </c:pt>
                <c:pt idx="18">
                  <c:v>-4.7227272727272729E-2</c:v>
                </c:pt>
                <c:pt idx="19">
                  <c:v>-4.676767676767677E-2</c:v>
                </c:pt>
                <c:pt idx="20">
                  <c:v>-4.6308080808080812E-2</c:v>
                </c:pt>
                <c:pt idx="21">
                  <c:v>-4.5848484848484847E-2</c:v>
                </c:pt>
                <c:pt idx="22">
                  <c:v>-4.5388888888888888E-2</c:v>
                </c:pt>
                <c:pt idx="23">
                  <c:v>-4.492929292929293E-2</c:v>
                </c:pt>
                <c:pt idx="24">
                  <c:v>-4.4469696969696972E-2</c:v>
                </c:pt>
                <c:pt idx="25">
                  <c:v>-4.4010101010101013E-2</c:v>
                </c:pt>
                <c:pt idx="26">
                  <c:v>-4.3550505050505048E-2</c:v>
                </c:pt>
                <c:pt idx="27">
                  <c:v>-4.3090909090909096E-2</c:v>
                </c:pt>
                <c:pt idx="28">
                  <c:v>-4.2631313131313131E-2</c:v>
                </c:pt>
                <c:pt idx="29">
                  <c:v>-4.2171717171717173E-2</c:v>
                </c:pt>
                <c:pt idx="30">
                  <c:v>-4.1712121212121214E-2</c:v>
                </c:pt>
                <c:pt idx="31">
                  <c:v>-4.1252525252525256E-2</c:v>
                </c:pt>
                <c:pt idx="32">
                  <c:v>-4.0792929292929297E-2</c:v>
                </c:pt>
                <c:pt idx="33">
                  <c:v>-4.0333333333333332E-2</c:v>
                </c:pt>
                <c:pt idx="34">
                  <c:v>-3.9873737373737374E-2</c:v>
                </c:pt>
                <c:pt idx="35">
                  <c:v>-3.9414141414141415E-2</c:v>
                </c:pt>
                <c:pt idx="36">
                  <c:v>-3.8954545454545457E-2</c:v>
                </c:pt>
                <c:pt idx="37">
                  <c:v>-3.8494949494949499E-2</c:v>
                </c:pt>
                <c:pt idx="38">
                  <c:v>-3.8035353535353533E-2</c:v>
                </c:pt>
                <c:pt idx="39">
                  <c:v>-3.7575757575757582E-2</c:v>
                </c:pt>
                <c:pt idx="40">
                  <c:v>-3.7116161616161616E-2</c:v>
                </c:pt>
                <c:pt idx="41">
                  <c:v>-3.6656565656565658E-2</c:v>
                </c:pt>
                <c:pt idx="42">
                  <c:v>-3.61969696969697E-2</c:v>
                </c:pt>
                <c:pt idx="43">
                  <c:v>-3.5737373737373734E-2</c:v>
                </c:pt>
                <c:pt idx="44">
                  <c:v>-3.5277777777777783E-2</c:v>
                </c:pt>
                <c:pt idx="45">
                  <c:v>-3.4818181818181818E-2</c:v>
                </c:pt>
                <c:pt idx="46">
                  <c:v>-3.4358585858585859E-2</c:v>
                </c:pt>
                <c:pt idx="47">
                  <c:v>-3.3898989898989901E-2</c:v>
                </c:pt>
                <c:pt idx="48">
                  <c:v>-3.3439393939393935E-2</c:v>
                </c:pt>
                <c:pt idx="49">
                  <c:v>-3.2979797979797984E-2</c:v>
                </c:pt>
                <c:pt idx="50">
                  <c:v>-3.2520202020202019E-2</c:v>
                </c:pt>
                <c:pt idx="51">
                  <c:v>-3.206060606060606E-2</c:v>
                </c:pt>
                <c:pt idx="52">
                  <c:v>-3.1601010101010102E-2</c:v>
                </c:pt>
                <c:pt idx="53">
                  <c:v>-3.1141414141414143E-2</c:v>
                </c:pt>
                <c:pt idx="54">
                  <c:v>-3.0681818181818185E-2</c:v>
                </c:pt>
                <c:pt idx="55">
                  <c:v>-3.0222222222222223E-2</c:v>
                </c:pt>
                <c:pt idx="56">
                  <c:v>-2.9762626262626261E-2</c:v>
                </c:pt>
                <c:pt idx="57">
                  <c:v>-2.9303030303030303E-2</c:v>
                </c:pt>
                <c:pt idx="58">
                  <c:v>-2.8843434343434345E-2</c:v>
                </c:pt>
                <c:pt idx="59">
                  <c:v>-2.8383838383838386E-2</c:v>
                </c:pt>
                <c:pt idx="60">
                  <c:v>-2.7924242424242424E-2</c:v>
                </c:pt>
                <c:pt idx="61">
                  <c:v>-2.7464646464646466E-2</c:v>
                </c:pt>
                <c:pt idx="62">
                  <c:v>-2.7005050505050508E-2</c:v>
                </c:pt>
                <c:pt idx="63">
                  <c:v>-2.6545454545454549E-2</c:v>
                </c:pt>
                <c:pt idx="64">
                  <c:v>-2.6085858585858587E-2</c:v>
                </c:pt>
                <c:pt idx="65">
                  <c:v>-2.5626262626262625E-2</c:v>
                </c:pt>
                <c:pt idx="66">
                  <c:v>-2.5166666666666667E-2</c:v>
                </c:pt>
                <c:pt idx="67">
                  <c:v>-2.4707070707070709E-2</c:v>
                </c:pt>
                <c:pt idx="68">
                  <c:v>-2.4247474747474747E-2</c:v>
                </c:pt>
                <c:pt idx="69">
                  <c:v>-2.3787878787878788E-2</c:v>
                </c:pt>
                <c:pt idx="70">
                  <c:v>-2.332828282828283E-2</c:v>
                </c:pt>
                <c:pt idx="71">
                  <c:v>-2.2868686868686872E-2</c:v>
                </c:pt>
                <c:pt idx="72">
                  <c:v>-2.2409090909090913E-2</c:v>
                </c:pt>
                <c:pt idx="73">
                  <c:v>-2.1949494949494948E-2</c:v>
                </c:pt>
                <c:pt idx="74">
                  <c:v>-2.148989898989899E-2</c:v>
                </c:pt>
                <c:pt idx="75">
                  <c:v>-2.1030303030303031E-2</c:v>
                </c:pt>
                <c:pt idx="76">
                  <c:v>-2.0570707070707073E-2</c:v>
                </c:pt>
                <c:pt idx="77">
                  <c:v>-2.0111111111111114E-2</c:v>
                </c:pt>
                <c:pt idx="78">
                  <c:v>-1.9651515151515156E-2</c:v>
                </c:pt>
                <c:pt idx="79">
                  <c:v>-1.9191919191919191E-2</c:v>
                </c:pt>
                <c:pt idx="80">
                  <c:v>-1.8732323232323239E-2</c:v>
                </c:pt>
                <c:pt idx="81">
                  <c:v>-1.8272727272727274E-2</c:v>
                </c:pt>
                <c:pt idx="82">
                  <c:v>-1.7813131313131315E-2</c:v>
                </c:pt>
                <c:pt idx="83">
                  <c:v>-1.7353535353535357E-2</c:v>
                </c:pt>
                <c:pt idx="84">
                  <c:v>-1.6893939393939392E-2</c:v>
                </c:pt>
                <c:pt idx="85">
                  <c:v>-1.643434343434344E-2</c:v>
                </c:pt>
                <c:pt idx="86">
                  <c:v>-1.5974747474747475E-2</c:v>
                </c:pt>
                <c:pt idx="87">
                  <c:v>-1.5515151515151517E-2</c:v>
                </c:pt>
                <c:pt idx="88">
                  <c:v>-1.5055555555555558E-2</c:v>
                </c:pt>
                <c:pt idx="89">
                  <c:v>-1.4595959595959593E-2</c:v>
                </c:pt>
                <c:pt idx="90">
                  <c:v>-1.4136363636363641E-2</c:v>
                </c:pt>
                <c:pt idx="91">
                  <c:v>-1.3676767676767676E-2</c:v>
                </c:pt>
                <c:pt idx="92">
                  <c:v>-1.3217171717171718E-2</c:v>
                </c:pt>
                <c:pt idx="93">
                  <c:v>-1.2757575757575759E-2</c:v>
                </c:pt>
                <c:pt idx="94">
                  <c:v>-1.2297979797979794E-2</c:v>
                </c:pt>
                <c:pt idx="95">
                  <c:v>-1.1838383838383842E-2</c:v>
                </c:pt>
                <c:pt idx="96">
                  <c:v>-1.1378787878787877E-2</c:v>
                </c:pt>
                <c:pt idx="97">
                  <c:v>-1.0919191919191919E-2</c:v>
                </c:pt>
                <c:pt idx="98">
                  <c:v>-1.0459595959595967E-2</c:v>
                </c:pt>
                <c:pt idx="99">
                  <c:v>-1.0000000000000002E-2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5.4299999999999999E-3</c:v>
                </c:pt>
                <c:pt idx="1">
                  <c:v>5.4338167476507349E-3</c:v>
                </c:pt>
                <c:pt idx="2">
                  <c:v>5.4394548018008044E-3</c:v>
                </c:pt>
                <c:pt idx="3">
                  <c:v>5.4469141624502128E-3</c:v>
                </c:pt>
                <c:pt idx="4">
                  <c:v>5.4561948295989574E-3</c:v>
                </c:pt>
                <c:pt idx="5">
                  <c:v>5.46729680324704E-3</c:v>
                </c:pt>
                <c:pt idx="6">
                  <c:v>5.4802200833944572E-3</c:v>
                </c:pt>
                <c:pt idx="7">
                  <c:v>5.4949646700412115E-3</c:v>
                </c:pt>
                <c:pt idx="8">
                  <c:v>5.5115305631873047E-3</c:v>
                </c:pt>
                <c:pt idx="9">
                  <c:v>5.5299177628327341E-3</c:v>
                </c:pt>
                <c:pt idx="10">
                  <c:v>5.5501262689774972E-3</c:v>
                </c:pt>
                <c:pt idx="11">
                  <c:v>5.5721560816216001E-3</c:v>
                </c:pt>
                <c:pt idx="12">
                  <c:v>5.5960072007650392E-3</c:v>
                </c:pt>
                <c:pt idx="13">
                  <c:v>5.6216796264078137E-3</c:v>
                </c:pt>
                <c:pt idx="14">
                  <c:v>5.6491733585499271E-3</c:v>
                </c:pt>
                <c:pt idx="15">
                  <c:v>5.6784883971913768E-3</c:v>
                </c:pt>
                <c:pt idx="16">
                  <c:v>5.7096247423321653E-3</c:v>
                </c:pt>
                <c:pt idx="17">
                  <c:v>5.7425823939722849E-3</c:v>
                </c:pt>
                <c:pt idx="18">
                  <c:v>5.7773613521117451E-3</c:v>
                </c:pt>
                <c:pt idx="19">
                  <c:v>5.8139616167505433E-3</c:v>
                </c:pt>
                <c:pt idx="20">
                  <c:v>5.8523831878886786E-3</c:v>
                </c:pt>
                <c:pt idx="21">
                  <c:v>5.892626065526145E-3</c:v>
                </c:pt>
                <c:pt idx="22">
                  <c:v>5.9346902496629529E-3</c:v>
                </c:pt>
                <c:pt idx="23">
                  <c:v>5.9785757402990988E-3</c:v>
                </c:pt>
                <c:pt idx="24">
                  <c:v>6.0242825374345757E-3</c:v>
                </c:pt>
                <c:pt idx="25">
                  <c:v>6.0718106410693942E-3</c:v>
                </c:pt>
                <c:pt idx="26">
                  <c:v>6.1211600512035506E-3</c:v>
                </c:pt>
                <c:pt idx="27">
                  <c:v>6.1723307678370433E-3</c:v>
                </c:pt>
                <c:pt idx="28">
                  <c:v>6.2253227909698661E-3</c:v>
                </c:pt>
                <c:pt idx="29">
                  <c:v>6.2801361206020322E-3</c:v>
                </c:pt>
                <c:pt idx="30">
                  <c:v>6.3367707567335363E-3</c:v>
                </c:pt>
                <c:pt idx="31">
                  <c:v>6.3952266993643767E-3</c:v>
                </c:pt>
                <c:pt idx="32">
                  <c:v>6.4555039484945455E-3</c:v>
                </c:pt>
                <c:pt idx="33">
                  <c:v>6.5176025041240601E-3</c:v>
                </c:pt>
                <c:pt idx="34">
                  <c:v>6.5815223662529111E-3</c:v>
                </c:pt>
                <c:pt idx="35">
                  <c:v>6.6472635348810904E-3</c:v>
                </c:pt>
                <c:pt idx="36">
                  <c:v>6.7148260100086147E-3</c:v>
                </c:pt>
                <c:pt idx="37">
                  <c:v>6.7842097916354762E-3</c:v>
                </c:pt>
                <c:pt idx="38">
                  <c:v>6.8554148797616747E-3</c:v>
                </c:pt>
                <c:pt idx="39">
                  <c:v>6.9284412743872001E-3</c:v>
                </c:pt>
                <c:pt idx="40">
                  <c:v>7.0032889755120729E-3</c:v>
                </c:pt>
                <c:pt idx="41">
                  <c:v>7.079957983136282E-3</c:v>
                </c:pt>
                <c:pt idx="42">
                  <c:v>7.1584482972598274E-3</c:v>
                </c:pt>
                <c:pt idx="43">
                  <c:v>7.2387599178826995E-3</c:v>
                </c:pt>
                <c:pt idx="44">
                  <c:v>7.3208928450049201E-3</c:v>
                </c:pt>
                <c:pt idx="45">
                  <c:v>7.404847078626476E-3</c:v>
                </c:pt>
                <c:pt idx="46">
                  <c:v>7.4906226187473586E-3</c:v>
                </c:pt>
                <c:pt idx="47">
                  <c:v>7.5782194653675888E-3</c:v>
                </c:pt>
                <c:pt idx="48">
                  <c:v>7.6676376184871553E-3</c:v>
                </c:pt>
                <c:pt idx="49">
                  <c:v>7.7588770781060589E-3</c:v>
                </c:pt>
                <c:pt idx="50">
                  <c:v>7.8519378442242875E-3</c:v>
                </c:pt>
                <c:pt idx="51">
                  <c:v>7.9468199168418654E-3</c:v>
                </c:pt>
                <c:pt idx="52">
                  <c:v>8.0435232959587821E-3</c:v>
                </c:pt>
                <c:pt idx="53">
                  <c:v>8.1420479815750325E-3</c:v>
                </c:pt>
                <c:pt idx="54">
                  <c:v>8.2423939736906079E-3</c:v>
                </c:pt>
                <c:pt idx="55">
                  <c:v>8.3445612723055326E-3</c:v>
                </c:pt>
                <c:pt idx="56">
                  <c:v>8.4485498774197944E-3</c:v>
                </c:pt>
                <c:pt idx="57">
                  <c:v>8.5543597890333795E-3</c:v>
                </c:pt>
                <c:pt idx="58">
                  <c:v>8.6619910071463156E-3</c:v>
                </c:pt>
                <c:pt idx="59">
                  <c:v>8.7714435317585888E-3</c:v>
                </c:pt>
                <c:pt idx="60">
                  <c:v>8.8827173628701992E-3</c:v>
                </c:pt>
                <c:pt idx="61">
                  <c:v>8.9958125004811294E-3</c:v>
                </c:pt>
                <c:pt idx="62">
                  <c:v>9.1107289445914123E-3</c:v>
                </c:pt>
                <c:pt idx="63">
                  <c:v>9.2274666952010323E-3</c:v>
                </c:pt>
                <c:pt idx="64">
                  <c:v>9.3460257523099895E-3</c:v>
                </c:pt>
                <c:pt idx="65">
                  <c:v>9.4664061159182682E-3</c:v>
                </c:pt>
                <c:pt idx="66">
                  <c:v>9.5886077860258996E-3</c:v>
                </c:pt>
                <c:pt idx="67">
                  <c:v>9.7126307626328665E-3</c:v>
                </c:pt>
                <c:pt idx="68">
                  <c:v>9.8384750457391548E-3</c:v>
                </c:pt>
                <c:pt idx="69">
                  <c:v>9.9661406353447959E-3</c:v>
                </c:pt>
                <c:pt idx="70">
                  <c:v>1.0095627531449774E-2</c:v>
                </c:pt>
                <c:pt idx="71">
                  <c:v>1.0226935734054088E-2</c:v>
                </c:pt>
                <c:pt idx="72">
                  <c:v>1.0360065243157725E-2</c:v>
                </c:pt>
                <c:pt idx="73">
                  <c:v>1.0495016058760714E-2</c:v>
                </c:pt>
                <c:pt idx="74">
                  <c:v>1.0631788180863038E-2</c:v>
                </c:pt>
                <c:pt idx="75">
                  <c:v>1.07703816094647E-2</c:v>
                </c:pt>
                <c:pt idx="76">
                  <c:v>1.0910796344565682E-2</c:v>
                </c:pt>
                <c:pt idx="77">
                  <c:v>1.1053032386166018E-2</c:v>
                </c:pt>
                <c:pt idx="78">
                  <c:v>1.1197089734265692E-2</c:v>
                </c:pt>
                <c:pt idx="79">
                  <c:v>1.1342968388864682E-2</c:v>
                </c:pt>
                <c:pt idx="80">
                  <c:v>1.149066834996303E-2</c:v>
                </c:pt>
                <c:pt idx="81">
                  <c:v>1.1640189617560715E-2</c:v>
                </c:pt>
                <c:pt idx="82">
                  <c:v>1.1791532191657735E-2</c:v>
                </c:pt>
                <c:pt idx="83">
                  <c:v>1.1944696072254072E-2</c:v>
                </c:pt>
                <c:pt idx="84">
                  <c:v>1.2099681259349765E-2</c:v>
                </c:pt>
                <c:pt idx="85">
                  <c:v>1.2256487752944795E-2</c:v>
                </c:pt>
                <c:pt idx="86">
                  <c:v>1.2415115553039166E-2</c:v>
                </c:pt>
                <c:pt idx="87">
                  <c:v>1.2575564659632849E-2</c:v>
                </c:pt>
                <c:pt idx="88">
                  <c:v>1.2737835072725892E-2</c:v>
                </c:pt>
                <c:pt idx="89">
                  <c:v>1.2901926792318269E-2</c:v>
                </c:pt>
                <c:pt idx="90">
                  <c:v>1.3067839818409964E-2</c:v>
                </c:pt>
                <c:pt idx="91">
                  <c:v>1.3235574151001015E-2</c:v>
                </c:pt>
                <c:pt idx="92">
                  <c:v>1.3405129790091405E-2</c:v>
                </c:pt>
                <c:pt idx="93">
                  <c:v>1.3576506735681131E-2</c:v>
                </c:pt>
                <c:pt idx="94">
                  <c:v>1.3749704987770173E-2</c:v>
                </c:pt>
                <c:pt idx="95">
                  <c:v>1.3924724546358571E-2</c:v>
                </c:pt>
                <c:pt idx="96">
                  <c:v>1.4101565411446308E-2</c:v>
                </c:pt>
                <c:pt idx="97">
                  <c:v>1.428022758303338E-2</c:v>
                </c:pt>
                <c:pt idx="98">
                  <c:v>1.446071106111977E-2</c:v>
                </c:pt>
                <c:pt idx="99">
                  <c:v>1.4643015845705517E-2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0.60029999999999994</c:v>
                </c:pt>
                <c:pt idx="1">
                  <c:v>0.60115353535353533</c:v>
                </c:pt>
                <c:pt idx="2">
                  <c:v>0.6020070707070706</c:v>
                </c:pt>
                <c:pt idx="3">
                  <c:v>0.60286060606060599</c:v>
                </c:pt>
                <c:pt idx="4">
                  <c:v>0.60371414141414137</c:v>
                </c:pt>
                <c:pt idx="5">
                  <c:v>0.60456767676767675</c:v>
                </c:pt>
                <c:pt idx="6">
                  <c:v>0.60542121212121203</c:v>
                </c:pt>
                <c:pt idx="7">
                  <c:v>0.60627474747474741</c:v>
                </c:pt>
                <c:pt idx="8">
                  <c:v>0.60712828282828279</c:v>
                </c:pt>
                <c:pt idx="9">
                  <c:v>0.60798181818181818</c:v>
                </c:pt>
                <c:pt idx="10">
                  <c:v>0.60883535353535345</c:v>
                </c:pt>
                <c:pt idx="11">
                  <c:v>0.60968888888888884</c:v>
                </c:pt>
                <c:pt idx="12">
                  <c:v>0.61054242424242422</c:v>
                </c:pt>
                <c:pt idx="13">
                  <c:v>0.61139595959595949</c:v>
                </c:pt>
                <c:pt idx="14">
                  <c:v>0.61224949494949488</c:v>
                </c:pt>
                <c:pt idx="15">
                  <c:v>0.61310303030303026</c:v>
                </c:pt>
                <c:pt idx="16">
                  <c:v>0.61395656565656564</c:v>
                </c:pt>
                <c:pt idx="17">
                  <c:v>0.61481010101010092</c:v>
                </c:pt>
                <c:pt idx="18">
                  <c:v>0.6156636363636363</c:v>
                </c:pt>
                <c:pt idx="19">
                  <c:v>0.61651717171717169</c:v>
                </c:pt>
                <c:pt idx="20">
                  <c:v>0.61737070707070707</c:v>
                </c:pt>
                <c:pt idx="21">
                  <c:v>0.61822424242424234</c:v>
                </c:pt>
                <c:pt idx="22">
                  <c:v>0.61907777777777773</c:v>
                </c:pt>
                <c:pt idx="23">
                  <c:v>0.61993131313131311</c:v>
                </c:pt>
                <c:pt idx="24">
                  <c:v>0.62078484848484838</c:v>
                </c:pt>
                <c:pt idx="25">
                  <c:v>0.62163838383838377</c:v>
                </c:pt>
                <c:pt idx="26">
                  <c:v>0.62249191919191915</c:v>
                </c:pt>
                <c:pt idx="27">
                  <c:v>0.62334545454545454</c:v>
                </c:pt>
                <c:pt idx="28">
                  <c:v>0.62419898989898981</c:v>
                </c:pt>
                <c:pt idx="29">
                  <c:v>0.62505252525252519</c:v>
                </c:pt>
                <c:pt idx="30">
                  <c:v>0.62590606060606058</c:v>
                </c:pt>
                <c:pt idx="31">
                  <c:v>0.62675959595959596</c:v>
                </c:pt>
                <c:pt idx="32">
                  <c:v>0.62761313131313123</c:v>
                </c:pt>
                <c:pt idx="33">
                  <c:v>0.62846666666666662</c:v>
                </c:pt>
                <c:pt idx="34">
                  <c:v>0.629320202020202</c:v>
                </c:pt>
                <c:pt idx="35">
                  <c:v>0.63017373737373727</c:v>
                </c:pt>
                <c:pt idx="36">
                  <c:v>0.63102727272727266</c:v>
                </c:pt>
                <c:pt idx="37">
                  <c:v>0.63188080808080804</c:v>
                </c:pt>
                <c:pt idx="38">
                  <c:v>0.63273434343434343</c:v>
                </c:pt>
                <c:pt idx="39">
                  <c:v>0.6335878787878787</c:v>
                </c:pt>
                <c:pt idx="40">
                  <c:v>0.63444141414141408</c:v>
                </c:pt>
                <c:pt idx="41">
                  <c:v>0.63529494949494947</c:v>
                </c:pt>
                <c:pt idx="42">
                  <c:v>0.63614848484848485</c:v>
                </c:pt>
                <c:pt idx="43">
                  <c:v>0.63700202020202012</c:v>
                </c:pt>
                <c:pt idx="44">
                  <c:v>0.63785555555555551</c:v>
                </c:pt>
                <c:pt idx="45">
                  <c:v>0.63870909090909089</c:v>
                </c:pt>
                <c:pt idx="46">
                  <c:v>0.63956262626262617</c:v>
                </c:pt>
                <c:pt idx="47">
                  <c:v>0.64041616161616155</c:v>
                </c:pt>
                <c:pt idx="48">
                  <c:v>0.64126969696969693</c:v>
                </c:pt>
                <c:pt idx="49">
                  <c:v>0.64212323232323232</c:v>
                </c:pt>
                <c:pt idx="50">
                  <c:v>0.64297676767676759</c:v>
                </c:pt>
                <c:pt idx="51">
                  <c:v>0.64383030303030298</c:v>
                </c:pt>
                <c:pt idx="52">
                  <c:v>0.64468383838383836</c:v>
                </c:pt>
                <c:pt idx="53">
                  <c:v>0.64553737373737374</c:v>
                </c:pt>
                <c:pt idx="54">
                  <c:v>0.64639090909090902</c:v>
                </c:pt>
                <c:pt idx="55">
                  <c:v>0.6472444444444444</c:v>
                </c:pt>
                <c:pt idx="56">
                  <c:v>0.64809797979797978</c:v>
                </c:pt>
                <c:pt idx="57">
                  <c:v>0.64895151515151506</c:v>
                </c:pt>
                <c:pt idx="58">
                  <c:v>0.64980505050505044</c:v>
                </c:pt>
                <c:pt idx="59">
                  <c:v>0.65065858585858583</c:v>
                </c:pt>
                <c:pt idx="60">
                  <c:v>0.65151212121212121</c:v>
                </c:pt>
                <c:pt idx="61">
                  <c:v>0.65236565656565648</c:v>
                </c:pt>
                <c:pt idx="62">
                  <c:v>0.65321919191919187</c:v>
                </c:pt>
                <c:pt idx="63">
                  <c:v>0.65407272727272725</c:v>
                </c:pt>
                <c:pt idx="64">
                  <c:v>0.65492626262626263</c:v>
                </c:pt>
                <c:pt idx="65">
                  <c:v>0.65577979797979791</c:v>
                </c:pt>
                <c:pt idx="66">
                  <c:v>0.65663333333333329</c:v>
                </c:pt>
                <c:pt idx="67">
                  <c:v>0.65748686868686868</c:v>
                </c:pt>
                <c:pt idx="68">
                  <c:v>0.65834040404040395</c:v>
                </c:pt>
                <c:pt idx="69">
                  <c:v>0.65919393939393933</c:v>
                </c:pt>
                <c:pt idx="70">
                  <c:v>0.66004747474747472</c:v>
                </c:pt>
                <c:pt idx="71">
                  <c:v>0.6609010101010101</c:v>
                </c:pt>
                <c:pt idx="72">
                  <c:v>0.66175454545454537</c:v>
                </c:pt>
                <c:pt idx="73">
                  <c:v>0.66260808080808076</c:v>
                </c:pt>
                <c:pt idx="74">
                  <c:v>0.66346161616161614</c:v>
                </c:pt>
                <c:pt idx="75">
                  <c:v>0.66431515151515153</c:v>
                </c:pt>
                <c:pt idx="76">
                  <c:v>0.6651686868686868</c:v>
                </c:pt>
                <c:pt idx="77">
                  <c:v>0.66602222222222218</c:v>
                </c:pt>
                <c:pt idx="78">
                  <c:v>0.66687575757575757</c:v>
                </c:pt>
                <c:pt idx="79">
                  <c:v>0.66772929292929284</c:v>
                </c:pt>
                <c:pt idx="80">
                  <c:v>0.66858282828282822</c:v>
                </c:pt>
                <c:pt idx="81">
                  <c:v>0.66943636363636361</c:v>
                </c:pt>
                <c:pt idx="82">
                  <c:v>0.67028989898989899</c:v>
                </c:pt>
                <c:pt idx="83">
                  <c:v>0.67114343434343426</c:v>
                </c:pt>
                <c:pt idx="84">
                  <c:v>0.67199696969696965</c:v>
                </c:pt>
                <c:pt idx="85">
                  <c:v>0.67285050505050503</c:v>
                </c:pt>
                <c:pt idx="86">
                  <c:v>0.67370404040404042</c:v>
                </c:pt>
                <c:pt idx="87">
                  <c:v>0.67455757575757569</c:v>
                </c:pt>
                <c:pt idx="88">
                  <c:v>0.67541111111111107</c:v>
                </c:pt>
                <c:pt idx="89">
                  <c:v>0.67626464646464646</c:v>
                </c:pt>
                <c:pt idx="90">
                  <c:v>0.67711818181818173</c:v>
                </c:pt>
                <c:pt idx="91">
                  <c:v>0.67797171717171711</c:v>
                </c:pt>
                <c:pt idx="92">
                  <c:v>0.6788252525252525</c:v>
                </c:pt>
                <c:pt idx="93">
                  <c:v>0.67967878787878788</c:v>
                </c:pt>
                <c:pt idx="94">
                  <c:v>0.68053232323232316</c:v>
                </c:pt>
                <c:pt idx="95">
                  <c:v>0.68138585858585854</c:v>
                </c:pt>
                <c:pt idx="96">
                  <c:v>0.68223939393939392</c:v>
                </c:pt>
                <c:pt idx="97">
                  <c:v>0.68309292929292931</c:v>
                </c:pt>
                <c:pt idx="98">
                  <c:v>0.68394646464646458</c:v>
                </c:pt>
                <c:pt idx="99">
                  <c:v>0.68479999999999996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-1.65</c:v>
                </c:pt>
                <c:pt idx="1">
                  <c:v>-1.6</c:v>
                </c:pt>
                <c:pt idx="2">
                  <c:v>-1.55</c:v>
                </c:pt>
                <c:pt idx="3">
                  <c:v>-1.5</c:v>
                </c:pt>
                <c:pt idx="4">
                  <c:v>-1.45</c:v>
                </c:pt>
                <c:pt idx="5">
                  <c:v>-1.4</c:v>
                </c:pt>
                <c:pt idx="6">
                  <c:v>-1.35</c:v>
                </c:pt>
                <c:pt idx="7">
                  <c:v>-1.3</c:v>
                </c:pt>
                <c:pt idx="8">
                  <c:v>-1.25</c:v>
                </c:pt>
                <c:pt idx="9">
                  <c:v>-1.2</c:v>
                </c:pt>
                <c:pt idx="10">
                  <c:v>-1.1499999999999999</c:v>
                </c:pt>
                <c:pt idx="11">
                  <c:v>-1.1000000000000001</c:v>
                </c:pt>
                <c:pt idx="12">
                  <c:v>-1.05</c:v>
                </c:pt>
                <c:pt idx="13">
                  <c:v>-1</c:v>
                </c:pt>
                <c:pt idx="14">
                  <c:v>-0.95</c:v>
                </c:pt>
                <c:pt idx="15">
                  <c:v>-0.9</c:v>
                </c:pt>
                <c:pt idx="16">
                  <c:v>-0.85</c:v>
                </c:pt>
                <c:pt idx="17">
                  <c:v>-0.8</c:v>
                </c:pt>
                <c:pt idx="18">
                  <c:v>-0.75</c:v>
                </c:pt>
                <c:pt idx="19">
                  <c:v>-0.7</c:v>
                </c:pt>
                <c:pt idx="20">
                  <c:v>-0.65</c:v>
                </c:pt>
                <c:pt idx="21">
                  <c:v>-0.6</c:v>
                </c:pt>
                <c:pt idx="22">
                  <c:v>-0.55000000000000004</c:v>
                </c:pt>
                <c:pt idx="23">
                  <c:v>-0.5</c:v>
                </c:pt>
                <c:pt idx="24">
                  <c:v>-0.45</c:v>
                </c:pt>
                <c:pt idx="25">
                  <c:v>-0.4</c:v>
                </c:pt>
                <c:pt idx="26">
                  <c:v>-0.35</c:v>
                </c:pt>
                <c:pt idx="27">
                  <c:v>-0.3</c:v>
                </c:pt>
                <c:pt idx="28">
                  <c:v>-0.25</c:v>
                </c:pt>
                <c:pt idx="29">
                  <c:v>-0.2</c:v>
                </c:pt>
                <c:pt idx="30">
                  <c:v>-0.15</c:v>
                </c:pt>
                <c:pt idx="31">
                  <c:v>-0.1</c:v>
                </c:pt>
                <c:pt idx="32">
                  <c:v>-0.05</c:v>
                </c:pt>
                <c:pt idx="33">
                  <c:v>0</c:v>
                </c:pt>
                <c:pt idx="34">
                  <c:v>0.05</c:v>
                </c:pt>
                <c:pt idx="35">
                  <c:v>0.1</c:v>
                </c:pt>
                <c:pt idx="36">
                  <c:v>0.15</c:v>
                </c:pt>
                <c:pt idx="37">
                  <c:v>0.2</c:v>
                </c:pt>
                <c:pt idx="38">
                  <c:v>0.25</c:v>
                </c:pt>
                <c:pt idx="39">
                  <c:v>0.3</c:v>
                </c:pt>
                <c:pt idx="40">
                  <c:v>0.35</c:v>
                </c:pt>
                <c:pt idx="41">
                  <c:v>0.4</c:v>
                </c:pt>
                <c:pt idx="42">
                  <c:v>0.45</c:v>
                </c:pt>
                <c:pt idx="43">
                  <c:v>0.5</c:v>
                </c:pt>
                <c:pt idx="44">
                  <c:v>0.55000000000000004</c:v>
                </c:pt>
                <c:pt idx="45">
                  <c:v>0.6</c:v>
                </c:pt>
                <c:pt idx="46">
                  <c:v>0.65</c:v>
                </c:pt>
                <c:pt idx="47">
                  <c:v>0.7</c:v>
                </c:pt>
                <c:pt idx="48">
                  <c:v>0.75</c:v>
                </c:pt>
                <c:pt idx="49">
                  <c:v>0.8</c:v>
                </c:pt>
                <c:pt idx="50">
                  <c:v>0.85</c:v>
                </c:pt>
                <c:pt idx="51">
                  <c:v>0.9</c:v>
                </c:pt>
                <c:pt idx="52">
                  <c:v>0.95</c:v>
                </c:pt>
                <c:pt idx="53">
                  <c:v>1</c:v>
                </c:pt>
                <c:pt idx="54">
                  <c:v>1.05</c:v>
                </c:pt>
                <c:pt idx="55">
                  <c:v>1.1000000000000001</c:v>
                </c:pt>
                <c:pt idx="56">
                  <c:v>1.1499999999999999</c:v>
                </c:pt>
                <c:pt idx="57">
                  <c:v>1.2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1.4</c:v>
                </c:pt>
                <c:pt idx="62">
                  <c:v>1.45</c:v>
                </c:pt>
                <c:pt idx="63">
                  <c:v>1.5</c:v>
                </c:pt>
                <c:pt idx="64">
                  <c:v>1.55</c:v>
                </c:pt>
                <c:pt idx="65">
                  <c:v>1.6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-5.5500000000000001E-2</c:v>
                </c:pt>
                <c:pt idx="1">
                  <c:v>-4.4900000000000002E-2</c:v>
                </c:pt>
                <c:pt idx="2">
                  <c:v>-3.3700000000000001E-2</c:v>
                </c:pt>
                <c:pt idx="3">
                  <c:v>-2.1999999999999999E-2</c:v>
                </c:pt>
                <c:pt idx="4">
                  <c:v>-0.01</c:v>
                </c:pt>
                <c:pt idx="5">
                  <c:v>2.0999999999999999E-3</c:v>
                </c:pt>
                <c:pt idx="6">
                  <c:v>1.4200000000000001E-2</c:v>
                </c:pt>
                <c:pt idx="7">
                  <c:v>2.6100000000000002E-2</c:v>
                </c:pt>
                <c:pt idx="8">
                  <c:v>3.7999999999999999E-2</c:v>
                </c:pt>
                <c:pt idx="9">
                  <c:v>4.9799999999999997E-2</c:v>
                </c:pt>
                <c:pt idx="10">
                  <c:v>6.1600000000000002E-2</c:v>
                </c:pt>
                <c:pt idx="11">
                  <c:v>7.3300000000000004E-2</c:v>
                </c:pt>
                <c:pt idx="12">
                  <c:v>8.4900000000000003E-2</c:v>
                </c:pt>
                <c:pt idx="13">
                  <c:v>9.64E-2</c:v>
                </c:pt>
                <c:pt idx="14">
                  <c:v>0.1079</c:v>
                </c:pt>
                <c:pt idx="15">
                  <c:v>0.1193</c:v>
                </c:pt>
                <c:pt idx="16">
                  <c:v>0.13070000000000001</c:v>
                </c:pt>
                <c:pt idx="17">
                  <c:v>0.1421</c:v>
                </c:pt>
                <c:pt idx="18">
                  <c:v>0.15340000000000001</c:v>
                </c:pt>
                <c:pt idx="19">
                  <c:v>0.1646</c:v>
                </c:pt>
                <c:pt idx="20">
                  <c:v>0.1759</c:v>
                </c:pt>
                <c:pt idx="21">
                  <c:v>0.18709999999999999</c:v>
                </c:pt>
                <c:pt idx="22">
                  <c:v>0.1983</c:v>
                </c:pt>
                <c:pt idx="23">
                  <c:v>0.2094</c:v>
                </c:pt>
                <c:pt idx="24">
                  <c:v>0.2205</c:v>
                </c:pt>
                <c:pt idx="25">
                  <c:v>0.23169999999999999</c:v>
                </c:pt>
                <c:pt idx="26">
                  <c:v>0.24279999999999999</c:v>
                </c:pt>
                <c:pt idx="27">
                  <c:v>0.25390000000000001</c:v>
                </c:pt>
                <c:pt idx="28">
                  <c:v>0.26490000000000002</c:v>
                </c:pt>
                <c:pt idx="29">
                  <c:v>0.27600000000000002</c:v>
                </c:pt>
                <c:pt idx="30">
                  <c:v>0.28710000000000002</c:v>
                </c:pt>
                <c:pt idx="31">
                  <c:v>0.29770000000000002</c:v>
                </c:pt>
                <c:pt idx="32">
                  <c:v>0.30869999999999997</c:v>
                </c:pt>
                <c:pt idx="33">
                  <c:v>0.3196</c:v>
                </c:pt>
                <c:pt idx="34">
                  <c:v>0.3306</c:v>
                </c:pt>
                <c:pt idx="35">
                  <c:v>0.34150000000000003</c:v>
                </c:pt>
                <c:pt idx="36">
                  <c:v>0.35260000000000002</c:v>
                </c:pt>
                <c:pt idx="37">
                  <c:v>0.36359999999999998</c:v>
                </c:pt>
                <c:pt idx="38">
                  <c:v>0.37469999999999998</c:v>
                </c:pt>
                <c:pt idx="39">
                  <c:v>0.38579999999999998</c:v>
                </c:pt>
                <c:pt idx="40">
                  <c:v>0.39689999999999998</c:v>
                </c:pt>
                <c:pt idx="41">
                  <c:v>0.40799999999999997</c:v>
                </c:pt>
                <c:pt idx="42">
                  <c:v>0.41909999999999997</c:v>
                </c:pt>
                <c:pt idx="43">
                  <c:v>0.43030000000000002</c:v>
                </c:pt>
                <c:pt idx="44">
                  <c:v>0.44130000000000003</c:v>
                </c:pt>
                <c:pt idx="45">
                  <c:v>0.45219999999999999</c:v>
                </c:pt>
                <c:pt idx="46">
                  <c:v>0.46339999999999998</c:v>
                </c:pt>
                <c:pt idx="47">
                  <c:v>0.47470000000000001</c:v>
                </c:pt>
                <c:pt idx="48">
                  <c:v>0.48599999999999999</c:v>
                </c:pt>
                <c:pt idx="49">
                  <c:v>0.49719999999999998</c:v>
                </c:pt>
                <c:pt idx="50">
                  <c:v>0.50860000000000005</c:v>
                </c:pt>
                <c:pt idx="51">
                  <c:v>0.51990000000000003</c:v>
                </c:pt>
                <c:pt idx="52">
                  <c:v>0.53129999999999999</c:v>
                </c:pt>
                <c:pt idx="53">
                  <c:v>0.54269999999999996</c:v>
                </c:pt>
                <c:pt idx="54">
                  <c:v>0.55410000000000004</c:v>
                </c:pt>
                <c:pt idx="55">
                  <c:v>0.5655</c:v>
                </c:pt>
                <c:pt idx="56">
                  <c:v>0.57699999999999996</c:v>
                </c:pt>
                <c:pt idx="57">
                  <c:v>0.58860000000000001</c:v>
                </c:pt>
                <c:pt idx="58">
                  <c:v>0.60029999999999994</c:v>
                </c:pt>
                <c:pt idx="59">
                  <c:v>0.61209999999999998</c:v>
                </c:pt>
                <c:pt idx="60">
                  <c:v>0.624</c:v>
                </c:pt>
                <c:pt idx="61">
                  <c:v>0.63590000000000002</c:v>
                </c:pt>
                <c:pt idx="62">
                  <c:v>0.64800000000000002</c:v>
                </c:pt>
                <c:pt idx="63">
                  <c:v>0.66010000000000002</c:v>
                </c:pt>
                <c:pt idx="64">
                  <c:v>0.6724</c:v>
                </c:pt>
                <c:pt idx="65">
                  <c:v>0.68479999999999996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4.3190195456654382E-2</c:v>
                </c:pt>
                <c:pt idx="1">
                  <c:v>3.5554644290606577E-2</c:v>
                </c:pt>
                <c:pt idx="2">
                  <c:v>1.9138409845302063E-2</c:v>
                </c:pt>
                <c:pt idx="3">
                  <c:v>1.1785420586652435E-2</c:v>
                </c:pt>
                <c:pt idx="4">
                  <c:v>8.2455191001896532E-3</c:v>
                </c:pt>
                <c:pt idx="5">
                  <c:v>7.2182240680638199E-3</c:v>
                </c:pt>
                <c:pt idx="6">
                  <c:v>7.6200759452090504E-3</c:v>
                </c:pt>
                <c:pt idx="7">
                  <c:v>8.9967821945829245E-3</c:v>
                </c:pt>
                <c:pt idx="8">
                  <c:v>1.1470827009322176E-2</c:v>
                </c:pt>
                <c:pt idx="9">
                  <c:v>1.5359555802028328E-2</c:v>
                </c:pt>
                <c:pt idx="10">
                  <c:v>2.0702413116195677E-2</c:v>
                </c:pt>
                <c:pt idx="11">
                  <c:v>2.6143265183919254E-2</c:v>
                </c:pt>
                <c:pt idx="12">
                  <c:v>3.0960901950587098E-2</c:v>
                </c:pt>
                <c:pt idx="13">
                  <c:v>3.5549364645016623E-2</c:v>
                </c:pt>
                <c:pt idx="14">
                  <c:v>4.0125973062419426E-2</c:v>
                </c:pt>
                <c:pt idx="15">
                  <c:v>4.4879754135912386E-2</c:v>
                </c:pt>
                <c:pt idx="16">
                  <c:v>4.9595358602603098E-2</c:v>
                </c:pt>
                <c:pt idx="17">
                  <c:v>5.455355178226292E-2</c:v>
                </c:pt>
                <c:pt idx="18">
                  <c:v>6.0202518576720584E-2</c:v>
                </c:pt>
                <c:pt idx="19">
                  <c:v>6.650177308177159E-2</c:v>
                </c:pt>
                <c:pt idx="20">
                  <c:v>7.3439174054494821E-2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-0.61515143659682869</c:v>
                </c:pt>
                <c:pt idx="1">
                  <c:v>-0.54912653299205594</c:v>
                </c:pt>
                <c:pt idx="2">
                  <c:v>-0.33434268742018264</c:v>
                </c:pt>
                <c:pt idx="3">
                  <c:v>-0.20213026633774617</c:v>
                </c:pt>
                <c:pt idx="4">
                  <c:v>-8.4055123244073687E-2</c:v>
                </c:pt>
                <c:pt idx="5">
                  <c:v>1.739892501101991E-2</c:v>
                </c:pt>
                <c:pt idx="6">
                  <c:v>0.1091760866930164</c:v>
                </c:pt>
                <c:pt idx="7">
                  <c:v>0.20035010755904623</c:v>
                </c:pt>
                <c:pt idx="8">
                  <c:v>0.29731929723682954</c:v>
                </c:pt>
                <c:pt idx="9">
                  <c:v>0.40330313875096513</c:v>
                </c:pt>
                <c:pt idx="10">
                  <c:v>0.51326688932859799</c:v>
                </c:pt>
                <c:pt idx="11">
                  <c:v>0.6032766589152686</c:v>
                </c:pt>
                <c:pt idx="12">
                  <c:v>0.66968592004923744</c:v>
                </c:pt>
                <c:pt idx="13">
                  <c:v>0.72302253315135301</c:v>
                </c:pt>
                <c:pt idx="14">
                  <c:v>0.76919703481296997</c:v>
                </c:pt>
                <c:pt idx="15">
                  <c:v>0.81039647990513808</c:v>
                </c:pt>
                <c:pt idx="16">
                  <c:v>0.84886805086738626</c:v>
                </c:pt>
                <c:pt idx="17">
                  <c:v>0.88934268987867038</c:v>
                </c:pt>
                <c:pt idx="18">
                  <c:v>0.92813432604656521</c:v>
                </c:pt>
                <c:pt idx="19">
                  <c:v>0.96574597915855454</c:v>
                </c:pt>
                <c:pt idx="20">
                  <c:v>1.0030694528238138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1.4508623012025011E-4</c:v>
                </c:pt>
                <c:pt idx="2">
                  <c:v>2.8869950358953282E-4</c:v>
                </c:pt>
                <c:pt idx="3">
                  <c:v>4.30839820407849E-4</c:v>
                </c:pt>
                <c:pt idx="4">
                  <c:v>5.7150718057519777E-4</c:v>
                </c:pt>
                <c:pt idx="5">
                  <c:v>7.1070158409158347E-4</c:v>
                </c:pt>
                <c:pt idx="6">
                  <c:v>8.4842303095699744E-4</c:v>
                </c:pt>
                <c:pt idx="7">
                  <c:v>9.8467152117144487E-4</c:v>
                </c:pt>
                <c:pt idx="8">
                  <c:v>1.1194470547349258E-3</c:v>
                </c:pt>
                <c:pt idx="9">
                  <c:v>1.2527496316474401E-3</c:v>
                </c:pt>
                <c:pt idx="10">
                  <c:v>1.3845792519089871E-3</c:v>
                </c:pt>
                <c:pt idx="11">
                  <c:v>1.5149359155195666E-3</c:v>
                </c:pt>
                <c:pt idx="12">
                  <c:v>1.6438196224791797E-3</c:v>
                </c:pt>
                <c:pt idx="13">
                  <c:v>1.771230372787827E-3</c:v>
                </c:pt>
                <c:pt idx="14">
                  <c:v>1.8971681664455061E-3</c:v>
                </c:pt>
                <c:pt idx="15">
                  <c:v>2.0216330034522178E-3</c:v>
                </c:pt>
                <c:pt idx="16">
                  <c:v>2.1446248838079621E-3</c:v>
                </c:pt>
                <c:pt idx="17">
                  <c:v>2.2661438075127415E-3</c:v>
                </c:pt>
                <c:pt idx="18">
                  <c:v>2.3861897745665528E-3</c:v>
                </c:pt>
                <c:pt idx="19">
                  <c:v>2.5047627849693957E-3</c:v>
                </c:pt>
                <c:pt idx="20">
                  <c:v>2.621862838721273E-3</c:v>
                </c:pt>
                <c:pt idx="21">
                  <c:v>2.7374899358221828E-3</c:v>
                </c:pt>
                <c:pt idx="22">
                  <c:v>2.8516440762721262E-3</c:v>
                </c:pt>
                <c:pt idx="23">
                  <c:v>2.9643252600711012E-3</c:v>
                </c:pt>
                <c:pt idx="24">
                  <c:v>3.0755334872191115E-3</c:v>
                </c:pt>
                <c:pt idx="25">
                  <c:v>3.1852687577161535E-3</c:v>
                </c:pt>
                <c:pt idx="26">
                  <c:v>3.2935310715622289E-3</c:v>
                </c:pt>
                <c:pt idx="27">
                  <c:v>3.4003204287573374E-3</c:v>
                </c:pt>
                <c:pt idx="28">
                  <c:v>3.5056368293014785E-3</c:v>
                </c:pt>
                <c:pt idx="29">
                  <c:v>3.6094802731946522E-3</c:v>
                </c:pt>
                <c:pt idx="30">
                  <c:v>3.7118507604368589E-3</c:v>
                </c:pt>
                <c:pt idx="31">
                  <c:v>3.8127482910280982E-3</c:v>
                </c:pt>
                <c:pt idx="32">
                  <c:v>3.9121728649683715E-3</c:v>
                </c:pt>
                <c:pt idx="33">
                  <c:v>4.0101244822576768E-3</c:v>
                </c:pt>
                <c:pt idx="34">
                  <c:v>4.1066031428960165E-3</c:v>
                </c:pt>
                <c:pt idx="35">
                  <c:v>4.2016088468833888E-3</c:v>
                </c:pt>
                <c:pt idx="36">
                  <c:v>4.2951415942197937E-3</c:v>
                </c:pt>
                <c:pt idx="37">
                  <c:v>4.3872013849052321E-3</c:v>
                </c:pt>
                <c:pt idx="38">
                  <c:v>4.4777882189397031E-3</c:v>
                </c:pt>
                <c:pt idx="39">
                  <c:v>4.5669020963232066E-3</c:v>
                </c:pt>
                <c:pt idx="40">
                  <c:v>4.6545430170557428E-3</c:v>
                </c:pt>
                <c:pt idx="41">
                  <c:v>4.7407109811373133E-3</c:v>
                </c:pt>
                <c:pt idx="42">
                  <c:v>4.8254059885679164E-3</c:v>
                </c:pt>
                <c:pt idx="43">
                  <c:v>4.9086280393475512E-3</c:v>
                </c:pt>
                <c:pt idx="44">
                  <c:v>4.9903771334762204E-3</c:v>
                </c:pt>
                <c:pt idx="45">
                  <c:v>5.070653270953923E-3</c:v>
                </c:pt>
                <c:pt idx="46">
                  <c:v>5.1494564517806582E-3</c:v>
                </c:pt>
                <c:pt idx="47">
                  <c:v>5.2267866759564251E-3</c:v>
                </c:pt>
                <c:pt idx="48">
                  <c:v>5.3026439434812264E-3</c:v>
                </c:pt>
                <c:pt idx="49">
                  <c:v>5.3770282543550603E-3</c:v>
                </c:pt>
                <c:pt idx="50">
                  <c:v>5.4499396085779276E-3</c:v>
                </c:pt>
                <c:pt idx="51">
                  <c:v>5.5213780061498276E-3</c:v>
                </c:pt>
                <c:pt idx="52">
                  <c:v>5.591343447070761E-3</c:v>
                </c:pt>
                <c:pt idx="53">
                  <c:v>5.6598359313407261E-3</c:v>
                </c:pt>
                <c:pt idx="54">
                  <c:v>5.7268554589597247E-3</c:v>
                </c:pt>
                <c:pt idx="55">
                  <c:v>5.7924020299277568E-3</c:v>
                </c:pt>
                <c:pt idx="56">
                  <c:v>5.8564756442448214E-3</c:v>
                </c:pt>
                <c:pt idx="57">
                  <c:v>5.9190763019109187E-3</c:v>
                </c:pt>
                <c:pt idx="58">
                  <c:v>5.9802040029260494E-3</c:v>
                </c:pt>
                <c:pt idx="59">
                  <c:v>6.0398587472902136E-3</c:v>
                </c:pt>
                <c:pt idx="60">
                  <c:v>6.0980405350034104E-3</c:v>
                </c:pt>
                <c:pt idx="61">
                  <c:v>6.1547493660656406E-3</c:v>
                </c:pt>
                <c:pt idx="62">
                  <c:v>6.2099852404769035E-3</c:v>
                </c:pt>
                <c:pt idx="63">
                  <c:v>6.2637481582371989E-3</c:v>
                </c:pt>
                <c:pt idx="64">
                  <c:v>6.3160381193465278E-3</c:v>
                </c:pt>
                <c:pt idx="65">
                  <c:v>6.3668551238048893E-3</c:v>
                </c:pt>
                <c:pt idx="66">
                  <c:v>6.4161991716122843E-3</c:v>
                </c:pt>
                <c:pt idx="67">
                  <c:v>6.4640702627687119E-3</c:v>
                </c:pt>
                <c:pt idx="68">
                  <c:v>6.5104683972741729E-3</c:v>
                </c:pt>
                <c:pt idx="69">
                  <c:v>6.5553935751286666E-3</c:v>
                </c:pt>
                <c:pt idx="70">
                  <c:v>6.5988457963321936E-3</c:v>
                </c:pt>
                <c:pt idx="71">
                  <c:v>6.6408250608847525E-3</c:v>
                </c:pt>
                <c:pt idx="72">
                  <c:v>6.6813313687863456E-3</c:v>
                </c:pt>
                <c:pt idx="73">
                  <c:v>6.7203647200369714E-3</c:v>
                </c:pt>
                <c:pt idx="74">
                  <c:v>6.7579251146366297E-3</c:v>
                </c:pt>
                <c:pt idx="75">
                  <c:v>6.7940125525853216E-3</c:v>
                </c:pt>
                <c:pt idx="76">
                  <c:v>6.8286270338830468E-3</c:v>
                </c:pt>
                <c:pt idx="77">
                  <c:v>6.8617685585298039E-3</c:v>
                </c:pt>
                <c:pt idx="78">
                  <c:v>6.8934371265255943E-3</c:v>
                </c:pt>
                <c:pt idx="79">
                  <c:v>6.9236327378704183E-3</c:v>
                </c:pt>
                <c:pt idx="80">
                  <c:v>6.9523553925642748E-3</c:v>
                </c:pt>
                <c:pt idx="81">
                  <c:v>6.9796050906071648E-3</c:v>
                </c:pt>
                <c:pt idx="82">
                  <c:v>7.0053818319990874E-3</c:v>
                </c:pt>
                <c:pt idx="83">
                  <c:v>7.0296856167400426E-3</c:v>
                </c:pt>
                <c:pt idx="84">
                  <c:v>7.0525164448300313E-3</c:v>
                </c:pt>
                <c:pt idx="85">
                  <c:v>7.0738743162690534E-3</c:v>
                </c:pt>
                <c:pt idx="86">
                  <c:v>7.0937592310571073E-3</c:v>
                </c:pt>
                <c:pt idx="87">
                  <c:v>7.1121711891941955E-3</c:v>
                </c:pt>
                <c:pt idx="88">
                  <c:v>7.1291101906803154E-3</c:v>
                </c:pt>
                <c:pt idx="89">
                  <c:v>7.1445762355154697E-3</c:v>
                </c:pt>
                <c:pt idx="90">
                  <c:v>7.1585693236996557E-3</c:v>
                </c:pt>
                <c:pt idx="91">
                  <c:v>7.171089455232876E-3</c:v>
                </c:pt>
                <c:pt idx="92">
                  <c:v>7.182136630115128E-3</c:v>
                </c:pt>
                <c:pt idx="93">
                  <c:v>7.1917108483464135E-3</c:v>
                </c:pt>
                <c:pt idx="94">
                  <c:v>7.1998121099267325E-3</c:v>
                </c:pt>
                <c:pt idx="95">
                  <c:v>7.2064404148560841E-3</c:v>
                </c:pt>
                <c:pt idx="96">
                  <c:v>7.2115957631344683E-3</c:v>
                </c:pt>
                <c:pt idx="97">
                  <c:v>7.2152781547618859E-3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1.7574671728302939E-4</c:v>
                </c:pt>
                <c:pt idx="2">
                  <c:v>3.5149343456605879E-4</c:v>
                </c:pt>
                <c:pt idx="3">
                  <c:v>5.2724015184908821E-4</c:v>
                </c:pt>
                <c:pt idx="4">
                  <c:v>7.0298686913211758E-4</c:v>
                </c:pt>
                <c:pt idx="5">
                  <c:v>8.7873358641514705E-4</c:v>
                </c:pt>
                <c:pt idx="6">
                  <c:v>1.0544803036981764E-3</c:v>
                </c:pt>
                <c:pt idx="7">
                  <c:v>1.2302270209812057E-3</c:v>
                </c:pt>
                <c:pt idx="8">
                  <c:v>1.4059737382642352E-3</c:v>
                </c:pt>
                <c:pt idx="9">
                  <c:v>1.5817204555472646E-3</c:v>
                </c:pt>
                <c:pt idx="10">
                  <c:v>1.7574671728302941E-3</c:v>
                </c:pt>
                <c:pt idx="11">
                  <c:v>1.9332138901133231E-3</c:v>
                </c:pt>
                <c:pt idx="12">
                  <c:v>2.1089606073963528E-3</c:v>
                </c:pt>
                <c:pt idx="13">
                  <c:v>2.2847073246793823E-3</c:v>
                </c:pt>
                <c:pt idx="14">
                  <c:v>2.4604540419624113E-3</c:v>
                </c:pt>
                <c:pt idx="15">
                  <c:v>2.6362007592454408E-3</c:v>
                </c:pt>
                <c:pt idx="16">
                  <c:v>2.8119474765284703E-3</c:v>
                </c:pt>
                <c:pt idx="17">
                  <c:v>2.9876941938114998E-3</c:v>
                </c:pt>
                <c:pt idx="18">
                  <c:v>3.1634409110945293E-3</c:v>
                </c:pt>
                <c:pt idx="19">
                  <c:v>3.3391876283775587E-3</c:v>
                </c:pt>
                <c:pt idx="20">
                  <c:v>3.5149343456605882E-3</c:v>
                </c:pt>
                <c:pt idx="21">
                  <c:v>3.6906810629436168E-3</c:v>
                </c:pt>
                <c:pt idx="22">
                  <c:v>3.8664277802266463E-3</c:v>
                </c:pt>
                <c:pt idx="23">
                  <c:v>4.0421744975096758E-3</c:v>
                </c:pt>
                <c:pt idx="24">
                  <c:v>4.2179212147927057E-3</c:v>
                </c:pt>
                <c:pt idx="25">
                  <c:v>4.3936679320757347E-3</c:v>
                </c:pt>
                <c:pt idx="26">
                  <c:v>4.5694146493587646E-3</c:v>
                </c:pt>
                <c:pt idx="27">
                  <c:v>4.7451613666417937E-3</c:v>
                </c:pt>
                <c:pt idx="28">
                  <c:v>4.9209080839248227E-3</c:v>
                </c:pt>
                <c:pt idx="29">
                  <c:v>5.0966548012078517E-3</c:v>
                </c:pt>
                <c:pt idx="30">
                  <c:v>5.2724015184908817E-3</c:v>
                </c:pt>
                <c:pt idx="31">
                  <c:v>5.4481482357739107E-3</c:v>
                </c:pt>
                <c:pt idx="32">
                  <c:v>5.6238949530569406E-3</c:v>
                </c:pt>
                <c:pt idx="33">
                  <c:v>5.7996416703399696E-3</c:v>
                </c:pt>
                <c:pt idx="34">
                  <c:v>5.9753883876229996E-3</c:v>
                </c:pt>
                <c:pt idx="35">
                  <c:v>6.1511351049060286E-3</c:v>
                </c:pt>
                <c:pt idx="36">
                  <c:v>6.3268818221890585E-3</c:v>
                </c:pt>
                <c:pt idx="37">
                  <c:v>6.5026285394720875E-3</c:v>
                </c:pt>
                <c:pt idx="38">
                  <c:v>6.6783752567551175E-3</c:v>
                </c:pt>
                <c:pt idx="39">
                  <c:v>6.8541219740381465E-3</c:v>
                </c:pt>
                <c:pt idx="40">
                  <c:v>7.0298686913211764E-3</c:v>
                </c:pt>
                <c:pt idx="41">
                  <c:v>7.2056154086042046E-3</c:v>
                </c:pt>
                <c:pt idx="42">
                  <c:v>7.3813621258872336E-3</c:v>
                </c:pt>
                <c:pt idx="43">
                  <c:v>7.5571088431702635E-3</c:v>
                </c:pt>
                <c:pt idx="44">
                  <c:v>7.7328555604532926E-3</c:v>
                </c:pt>
                <c:pt idx="45">
                  <c:v>7.9086022777363225E-3</c:v>
                </c:pt>
                <c:pt idx="46">
                  <c:v>8.0843489950193515E-3</c:v>
                </c:pt>
                <c:pt idx="47">
                  <c:v>8.2600957123023806E-3</c:v>
                </c:pt>
                <c:pt idx="48">
                  <c:v>8.4358424295854113E-3</c:v>
                </c:pt>
                <c:pt idx="49">
                  <c:v>8.6115891468684404E-3</c:v>
                </c:pt>
                <c:pt idx="50">
                  <c:v>8.7873358641514694E-3</c:v>
                </c:pt>
                <c:pt idx="51">
                  <c:v>8.9630825814344985E-3</c:v>
                </c:pt>
                <c:pt idx="52">
                  <c:v>9.1388292987175292E-3</c:v>
                </c:pt>
                <c:pt idx="53">
                  <c:v>9.3145760160005583E-3</c:v>
                </c:pt>
                <c:pt idx="54">
                  <c:v>9.4903227332835873E-3</c:v>
                </c:pt>
                <c:pt idx="55">
                  <c:v>9.6660694505666164E-3</c:v>
                </c:pt>
                <c:pt idx="56">
                  <c:v>9.8418161678496454E-3</c:v>
                </c:pt>
                <c:pt idx="57">
                  <c:v>1.0017562885132674E-2</c:v>
                </c:pt>
                <c:pt idx="58">
                  <c:v>1.0193309602415703E-2</c:v>
                </c:pt>
                <c:pt idx="59">
                  <c:v>1.0369056319698734E-2</c:v>
                </c:pt>
                <c:pt idx="60">
                  <c:v>1.0544803036981763E-2</c:v>
                </c:pt>
                <c:pt idx="61">
                  <c:v>1.0720549754264794E-2</c:v>
                </c:pt>
                <c:pt idx="62">
                  <c:v>1.0896296471547821E-2</c:v>
                </c:pt>
                <c:pt idx="63">
                  <c:v>1.1072043188830852E-2</c:v>
                </c:pt>
                <c:pt idx="64">
                  <c:v>1.1247789906113881E-2</c:v>
                </c:pt>
                <c:pt idx="65">
                  <c:v>1.142353662339691E-2</c:v>
                </c:pt>
                <c:pt idx="66">
                  <c:v>1.1599283340679939E-2</c:v>
                </c:pt>
                <c:pt idx="67">
                  <c:v>1.1775030057962968E-2</c:v>
                </c:pt>
                <c:pt idx="68">
                  <c:v>1.1950776775245999E-2</c:v>
                </c:pt>
                <c:pt idx="69">
                  <c:v>1.2126523492529026E-2</c:v>
                </c:pt>
                <c:pt idx="70">
                  <c:v>1.2302270209812057E-2</c:v>
                </c:pt>
                <c:pt idx="71">
                  <c:v>1.2478016927095086E-2</c:v>
                </c:pt>
                <c:pt idx="72">
                  <c:v>1.2653763644378117E-2</c:v>
                </c:pt>
                <c:pt idx="73">
                  <c:v>1.2829510361661144E-2</c:v>
                </c:pt>
                <c:pt idx="74">
                  <c:v>1.3005257078944175E-2</c:v>
                </c:pt>
                <c:pt idx="75">
                  <c:v>1.3181003796227204E-2</c:v>
                </c:pt>
                <c:pt idx="76">
                  <c:v>1.3356750513510235E-2</c:v>
                </c:pt>
                <c:pt idx="77">
                  <c:v>1.3532497230793262E-2</c:v>
                </c:pt>
                <c:pt idx="78">
                  <c:v>1.3708243948076293E-2</c:v>
                </c:pt>
                <c:pt idx="79">
                  <c:v>1.3883990665359322E-2</c:v>
                </c:pt>
                <c:pt idx="80">
                  <c:v>1.4059737382642353E-2</c:v>
                </c:pt>
                <c:pt idx="81">
                  <c:v>1.423548409992538E-2</c:v>
                </c:pt>
                <c:pt idx="82">
                  <c:v>1.4411230817208409E-2</c:v>
                </c:pt>
                <c:pt idx="83">
                  <c:v>1.458697753449144E-2</c:v>
                </c:pt>
                <c:pt idx="84">
                  <c:v>1.4762724251774467E-2</c:v>
                </c:pt>
                <c:pt idx="85">
                  <c:v>1.4938470969057498E-2</c:v>
                </c:pt>
                <c:pt idx="86">
                  <c:v>1.5114217686340527E-2</c:v>
                </c:pt>
                <c:pt idx="87">
                  <c:v>1.5289964403623558E-2</c:v>
                </c:pt>
                <c:pt idx="88">
                  <c:v>1.5465711120906585E-2</c:v>
                </c:pt>
                <c:pt idx="89">
                  <c:v>1.5641457838189616E-2</c:v>
                </c:pt>
                <c:pt idx="90">
                  <c:v>1.5817204555472645E-2</c:v>
                </c:pt>
                <c:pt idx="91">
                  <c:v>1.5992951272755674E-2</c:v>
                </c:pt>
                <c:pt idx="92">
                  <c:v>1.6168697990038703E-2</c:v>
                </c:pt>
                <c:pt idx="93">
                  <c:v>1.6344444707321736E-2</c:v>
                </c:pt>
                <c:pt idx="94">
                  <c:v>1.6520191424604761E-2</c:v>
                </c:pt>
                <c:pt idx="95">
                  <c:v>1.6695938141887794E-2</c:v>
                </c:pt>
                <c:pt idx="96">
                  <c:v>1.6871684859170823E-2</c:v>
                </c:pt>
                <c:pt idx="97">
                  <c:v>1.7047431576453848E-2</c:v>
                </c:pt>
                <c:pt idx="98">
                  <c:v>1.7223178293736881E-2</c:v>
                </c:pt>
                <c:pt idx="99">
                  <c:v>1.739892501101991E-2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1.4508623012025011E-4</c:v>
                </c:pt>
                <c:pt idx="2">
                  <c:v>2.8869950358953282E-4</c:v>
                </c:pt>
                <c:pt idx="3">
                  <c:v>4.30839820407849E-4</c:v>
                </c:pt>
                <c:pt idx="4">
                  <c:v>5.7150718057519777E-4</c:v>
                </c:pt>
                <c:pt idx="5">
                  <c:v>7.1070158409158347E-4</c:v>
                </c:pt>
                <c:pt idx="6">
                  <c:v>8.4842303095699744E-4</c:v>
                </c:pt>
                <c:pt idx="7">
                  <c:v>9.8467152117144487E-4</c:v>
                </c:pt>
                <c:pt idx="8">
                  <c:v>1.1194470547349258E-3</c:v>
                </c:pt>
                <c:pt idx="9">
                  <c:v>1.2527496316474401E-3</c:v>
                </c:pt>
                <c:pt idx="10">
                  <c:v>1.3845792519089871E-3</c:v>
                </c:pt>
                <c:pt idx="11">
                  <c:v>1.5149359155195666E-3</c:v>
                </c:pt>
                <c:pt idx="12">
                  <c:v>1.6438196224791797E-3</c:v>
                </c:pt>
                <c:pt idx="13">
                  <c:v>1.771230372787827E-3</c:v>
                </c:pt>
                <c:pt idx="14">
                  <c:v>1.8971681664455061E-3</c:v>
                </c:pt>
                <c:pt idx="15">
                  <c:v>2.0216330034522178E-3</c:v>
                </c:pt>
                <c:pt idx="16">
                  <c:v>2.1446248838079621E-3</c:v>
                </c:pt>
                <c:pt idx="17">
                  <c:v>2.2661438075127415E-3</c:v>
                </c:pt>
                <c:pt idx="18">
                  <c:v>2.3861897745665528E-3</c:v>
                </c:pt>
                <c:pt idx="19">
                  <c:v>2.5047627849693957E-3</c:v>
                </c:pt>
                <c:pt idx="20">
                  <c:v>2.621862838721273E-3</c:v>
                </c:pt>
                <c:pt idx="21">
                  <c:v>2.7374899358221828E-3</c:v>
                </c:pt>
                <c:pt idx="22">
                  <c:v>2.8516440762721262E-3</c:v>
                </c:pt>
                <c:pt idx="23">
                  <c:v>2.9643252600711012E-3</c:v>
                </c:pt>
                <c:pt idx="24">
                  <c:v>3.0755334872191115E-3</c:v>
                </c:pt>
                <c:pt idx="25">
                  <c:v>3.1852687577161535E-3</c:v>
                </c:pt>
                <c:pt idx="26">
                  <c:v>3.2935310715622289E-3</c:v>
                </c:pt>
                <c:pt idx="27">
                  <c:v>3.4003204287573374E-3</c:v>
                </c:pt>
                <c:pt idx="28">
                  <c:v>3.5056368293014785E-3</c:v>
                </c:pt>
                <c:pt idx="29">
                  <c:v>3.6094802731946522E-3</c:v>
                </c:pt>
                <c:pt idx="30">
                  <c:v>3.7118507604368589E-3</c:v>
                </c:pt>
                <c:pt idx="31">
                  <c:v>3.8127482910280982E-3</c:v>
                </c:pt>
                <c:pt idx="32">
                  <c:v>3.9121728649683715E-3</c:v>
                </c:pt>
                <c:pt idx="33">
                  <c:v>4.0101244822576768E-3</c:v>
                </c:pt>
                <c:pt idx="34">
                  <c:v>4.1066031428960165E-3</c:v>
                </c:pt>
                <c:pt idx="35">
                  <c:v>4.2016088468833888E-3</c:v>
                </c:pt>
                <c:pt idx="36">
                  <c:v>4.2951415942197937E-3</c:v>
                </c:pt>
                <c:pt idx="37">
                  <c:v>4.3872013849052321E-3</c:v>
                </c:pt>
                <c:pt idx="38">
                  <c:v>4.4777882189397031E-3</c:v>
                </c:pt>
                <c:pt idx="39">
                  <c:v>4.5669020963232066E-3</c:v>
                </c:pt>
                <c:pt idx="40">
                  <c:v>4.6545430170557428E-3</c:v>
                </c:pt>
                <c:pt idx="41">
                  <c:v>4.7407109811373133E-3</c:v>
                </c:pt>
                <c:pt idx="42">
                  <c:v>4.8254059885679164E-3</c:v>
                </c:pt>
                <c:pt idx="43">
                  <c:v>4.9086280393475512E-3</c:v>
                </c:pt>
                <c:pt idx="44">
                  <c:v>4.9903771334762204E-3</c:v>
                </c:pt>
                <c:pt idx="45">
                  <c:v>5.070653270953923E-3</c:v>
                </c:pt>
                <c:pt idx="46">
                  <c:v>5.1494564517806582E-3</c:v>
                </c:pt>
                <c:pt idx="47">
                  <c:v>5.2267866759564251E-3</c:v>
                </c:pt>
                <c:pt idx="48">
                  <c:v>5.3026439434812264E-3</c:v>
                </c:pt>
                <c:pt idx="49">
                  <c:v>5.3770282543550603E-3</c:v>
                </c:pt>
                <c:pt idx="50">
                  <c:v>5.4499396085779276E-3</c:v>
                </c:pt>
                <c:pt idx="51">
                  <c:v>5.5213780061498276E-3</c:v>
                </c:pt>
                <c:pt idx="52">
                  <c:v>5.591343447070761E-3</c:v>
                </c:pt>
                <c:pt idx="53">
                  <c:v>5.6598359313407261E-3</c:v>
                </c:pt>
                <c:pt idx="54">
                  <c:v>5.7268554589597247E-3</c:v>
                </c:pt>
                <c:pt idx="55">
                  <c:v>5.7924020299277568E-3</c:v>
                </c:pt>
                <c:pt idx="56">
                  <c:v>5.8564756442448214E-3</c:v>
                </c:pt>
                <c:pt idx="57">
                  <c:v>5.9190763019109187E-3</c:v>
                </c:pt>
                <c:pt idx="58">
                  <c:v>5.9802040029260494E-3</c:v>
                </c:pt>
                <c:pt idx="59">
                  <c:v>6.0398587472902136E-3</c:v>
                </c:pt>
                <c:pt idx="60">
                  <c:v>6.0980405350034104E-3</c:v>
                </c:pt>
                <c:pt idx="61">
                  <c:v>6.1547493660656406E-3</c:v>
                </c:pt>
                <c:pt idx="62">
                  <c:v>6.2099852404769035E-3</c:v>
                </c:pt>
                <c:pt idx="63">
                  <c:v>6.2637481582371989E-3</c:v>
                </c:pt>
                <c:pt idx="64">
                  <c:v>6.3160381193465278E-3</c:v>
                </c:pt>
                <c:pt idx="65">
                  <c:v>6.3668551238048893E-3</c:v>
                </c:pt>
                <c:pt idx="66">
                  <c:v>6.4161991716122843E-3</c:v>
                </c:pt>
                <c:pt idx="67">
                  <c:v>6.4640702627687119E-3</c:v>
                </c:pt>
                <c:pt idx="68">
                  <c:v>6.5104683972741729E-3</c:v>
                </c:pt>
                <c:pt idx="69">
                  <c:v>6.5553935751286666E-3</c:v>
                </c:pt>
                <c:pt idx="70">
                  <c:v>6.5988457963321936E-3</c:v>
                </c:pt>
                <c:pt idx="71">
                  <c:v>6.6408250608847525E-3</c:v>
                </c:pt>
                <c:pt idx="72">
                  <c:v>6.6813313687863456E-3</c:v>
                </c:pt>
                <c:pt idx="73">
                  <c:v>6.7203647200369714E-3</c:v>
                </c:pt>
                <c:pt idx="74">
                  <c:v>6.7579251146366297E-3</c:v>
                </c:pt>
                <c:pt idx="75">
                  <c:v>6.7940125525853216E-3</c:v>
                </c:pt>
                <c:pt idx="76">
                  <c:v>6.8286270338830468E-3</c:v>
                </c:pt>
                <c:pt idx="77">
                  <c:v>6.8617685585298039E-3</c:v>
                </c:pt>
                <c:pt idx="78">
                  <c:v>6.8934371265255943E-3</c:v>
                </c:pt>
                <c:pt idx="79">
                  <c:v>6.9236327378704183E-3</c:v>
                </c:pt>
                <c:pt idx="80">
                  <c:v>6.9523553925642748E-3</c:v>
                </c:pt>
                <c:pt idx="81">
                  <c:v>6.9796050906071648E-3</c:v>
                </c:pt>
                <c:pt idx="82">
                  <c:v>7.0053818319990874E-3</c:v>
                </c:pt>
                <c:pt idx="83">
                  <c:v>7.0296856167400426E-3</c:v>
                </c:pt>
                <c:pt idx="84">
                  <c:v>7.0525164448300313E-3</c:v>
                </c:pt>
                <c:pt idx="85">
                  <c:v>7.0738743162690534E-3</c:v>
                </c:pt>
                <c:pt idx="86">
                  <c:v>7.0937592310571073E-3</c:v>
                </c:pt>
                <c:pt idx="87">
                  <c:v>7.1121711891941955E-3</c:v>
                </c:pt>
                <c:pt idx="88">
                  <c:v>7.1291101906803154E-3</c:v>
                </c:pt>
                <c:pt idx="89">
                  <c:v>7.1445762355154697E-3</c:v>
                </c:pt>
                <c:pt idx="90">
                  <c:v>7.1585693236996557E-3</c:v>
                </c:pt>
                <c:pt idx="91">
                  <c:v>7.171089455232876E-3</c:v>
                </c:pt>
                <c:pt idx="92">
                  <c:v>7.182136630115128E-3</c:v>
                </c:pt>
                <c:pt idx="93">
                  <c:v>7.1917108483464135E-3</c:v>
                </c:pt>
                <c:pt idx="94">
                  <c:v>7.1998121099267325E-3</c:v>
                </c:pt>
                <c:pt idx="95">
                  <c:v>7.2064404148560841E-3</c:v>
                </c:pt>
                <c:pt idx="96">
                  <c:v>7.2115957631344683E-3</c:v>
                </c:pt>
                <c:pt idx="97">
                  <c:v>7.2152781547618859E-3</c:v>
                </c:pt>
                <c:pt idx="98">
                  <c:v>7.2174875897383362E-3</c:v>
                </c:pt>
                <c:pt idx="99">
                  <c:v>7.2182240680638199E-3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1.7574671728302939E-4</c:v>
                </c:pt>
                <c:pt idx="2">
                  <c:v>3.5149343456605879E-4</c:v>
                </c:pt>
                <c:pt idx="3">
                  <c:v>5.2724015184908821E-4</c:v>
                </c:pt>
                <c:pt idx="4">
                  <c:v>7.0298686913211758E-4</c:v>
                </c:pt>
                <c:pt idx="5">
                  <c:v>8.7873358641514705E-4</c:v>
                </c:pt>
                <c:pt idx="6">
                  <c:v>1.0544803036981764E-3</c:v>
                </c:pt>
                <c:pt idx="7">
                  <c:v>1.2302270209812057E-3</c:v>
                </c:pt>
                <c:pt idx="8">
                  <c:v>1.4059737382642352E-3</c:v>
                </c:pt>
                <c:pt idx="9">
                  <c:v>1.5817204555472646E-3</c:v>
                </c:pt>
                <c:pt idx="10">
                  <c:v>1.7574671728302941E-3</c:v>
                </c:pt>
                <c:pt idx="11">
                  <c:v>1.9332138901133231E-3</c:v>
                </c:pt>
                <c:pt idx="12">
                  <c:v>2.1089606073963528E-3</c:v>
                </c:pt>
                <c:pt idx="13">
                  <c:v>2.2847073246793823E-3</c:v>
                </c:pt>
                <c:pt idx="14">
                  <c:v>2.4604540419624113E-3</c:v>
                </c:pt>
                <c:pt idx="15">
                  <c:v>2.6362007592454408E-3</c:v>
                </c:pt>
                <c:pt idx="16">
                  <c:v>2.8119474765284703E-3</c:v>
                </c:pt>
                <c:pt idx="17">
                  <c:v>2.9876941938114998E-3</c:v>
                </c:pt>
                <c:pt idx="18">
                  <c:v>3.1634409110945293E-3</c:v>
                </c:pt>
                <c:pt idx="19">
                  <c:v>3.3391876283775587E-3</c:v>
                </c:pt>
                <c:pt idx="20">
                  <c:v>3.5149343456605882E-3</c:v>
                </c:pt>
                <c:pt idx="21">
                  <c:v>3.6906810629436168E-3</c:v>
                </c:pt>
                <c:pt idx="22">
                  <c:v>3.8664277802266463E-3</c:v>
                </c:pt>
                <c:pt idx="23">
                  <c:v>4.0421744975096758E-3</c:v>
                </c:pt>
                <c:pt idx="24">
                  <c:v>4.2179212147927057E-3</c:v>
                </c:pt>
                <c:pt idx="25">
                  <c:v>4.3936679320757347E-3</c:v>
                </c:pt>
                <c:pt idx="26">
                  <c:v>4.5694146493587646E-3</c:v>
                </c:pt>
                <c:pt idx="27">
                  <c:v>4.7451613666417937E-3</c:v>
                </c:pt>
                <c:pt idx="28">
                  <c:v>4.9209080839248227E-3</c:v>
                </c:pt>
                <c:pt idx="29">
                  <c:v>5.0966548012078517E-3</c:v>
                </c:pt>
                <c:pt idx="30">
                  <c:v>5.2724015184908817E-3</c:v>
                </c:pt>
                <c:pt idx="31">
                  <c:v>5.4481482357739107E-3</c:v>
                </c:pt>
                <c:pt idx="32">
                  <c:v>5.6238949530569406E-3</c:v>
                </c:pt>
                <c:pt idx="33">
                  <c:v>5.7996416703399696E-3</c:v>
                </c:pt>
                <c:pt idx="34">
                  <c:v>5.9753883876229996E-3</c:v>
                </c:pt>
                <c:pt idx="35">
                  <c:v>6.1511351049060286E-3</c:v>
                </c:pt>
                <c:pt idx="36">
                  <c:v>6.3268818221890585E-3</c:v>
                </c:pt>
                <c:pt idx="37">
                  <c:v>6.5026285394720875E-3</c:v>
                </c:pt>
                <c:pt idx="38">
                  <c:v>6.6783752567551175E-3</c:v>
                </c:pt>
                <c:pt idx="39">
                  <c:v>6.8541219740381465E-3</c:v>
                </c:pt>
                <c:pt idx="40">
                  <c:v>7.0298686913211764E-3</c:v>
                </c:pt>
                <c:pt idx="41">
                  <c:v>7.2056154086042046E-3</c:v>
                </c:pt>
                <c:pt idx="42">
                  <c:v>7.3813621258872336E-3</c:v>
                </c:pt>
                <c:pt idx="43">
                  <c:v>7.5571088431702635E-3</c:v>
                </c:pt>
                <c:pt idx="44">
                  <c:v>7.7328555604532926E-3</c:v>
                </c:pt>
                <c:pt idx="45">
                  <c:v>7.9086022777363225E-3</c:v>
                </c:pt>
                <c:pt idx="46">
                  <c:v>8.0843489950193515E-3</c:v>
                </c:pt>
                <c:pt idx="47">
                  <c:v>8.2600957123023806E-3</c:v>
                </c:pt>
                <c:pt idx="48">
                  <c:v>8.4358424295854113E-3</c:v>
                </c:pt>
                <c:pt idx="49">
                  <c:v>8.6115891468684404E-3</c:v>
                </c:pt>
                <c:pt idx="50">
                  <c:v>8.7873358641514694E-3</c:v>
                </c:pt>
                <c:pt idx="51">
                  <c:v>8.9630825814344985E-3</c:v>
                </c:pt>
                <c:pt idx="52">
                  <c:v>9.1388292987175292E-3</c:v>
                </c:pt>
                <c:pt idx="53">
                  <c:v>9.3145760160005583E-3</c:v>
                </c:pt>
                <c:pt idx="54">
                  <c:v>9.4903227332835873E-3</c:v>
                </c:pt>
                <c:pt idx="55">
                  <c:v>9.6660694505666164E-3</c:v>
                </c:pt>
                <c:pt idx="56">
                  <c:v>9.8418161678496454E-3</c:v>
                </c:pt>
                <c:pt idx="57">
                  <c:v>1.0017562885132674E-2</c:v>
                </c:pt>
                <c:pt idx="58">
                  <c:v>1.0193309602415703E-2</c:v>
                </c:pt>
                <c:pt idx="59">
                  <c:v>1.0369056319698734E-2</c:v>
                </c:pt>
                <c:pt idx="60">
                  <c:v>1.0544803036981763E-2</c:v>
                </c:pt>
                <c:pt idx="61">
                  <c:v>1.0720549754264794E-2</c:v>
                </c:pt>
                <c:pt idx="62">
                  <c:v>1.0896296471547821E-2</c:v>
                </c:pt>
                <c:pt idx="63">
                  <c:v>1.1072043188830852E-2</c:v>
                </c:pt>
                <c:pt idx="64">
                  <c:v>1.1247789906113881E-2</c:v>
                </c:pt>
                <c:pt idx="65">
                  <c:v>1.142353662339691E-2</c:v>
                </c:pt>
                <c:pt idx="66">
                  <c:v>1.1599283340679939E-2</c:v>
                </c:pt>
                <c:pt idx="67">
                  <c:v>1.1775030057962968E-2</c:v>
                </c:pt>
                <c:pt idx="68">
                  <c:v>1.1950776775245999E-2</c:v>
                </c:pt>
                <c:pt idx="69">
                  <c:v>1.2126523492529026E-2</c:v>
                </c:pt>
                <c:pt idx="70">
                  <c:v>1.2302270209812057E-2</c:v>
                </c:pt>
                <c:pt idx="71">
                  <c:v>1.2478016927095086E-2</c:v>
                </c:pt>
                <c:pt idx="72">
                  <c:v>1.2653763644378117E-2</c:v>
                </c:pt>
                <c:pt idx="73">
                  <c:v>1.2829510361661144E-2</c:v>
                </c:pt>
                <c:pt idx="74">
                  <c:v>1.3005257078944175E-2</c:v>
                </c:pt>
                <c:pt idx="75">
                  <c:v>1.3181003796227204E-2</c:v>
                </c:pt>
                <c:pt idx="76">
                  <c:v>1.3356750513510235E-2</c:v>
                </c:pt>
                <c:pt idx="77">
                  <c:v>1.3532497230793262E-2</c:v>
                </c:pt>
                <c:pt idx="78">
                  <c:v>1.3708243948076293E-2</c:v>
                </c:pt>
                <c:pt idx="79">
                  <c:v>1.3883990665359322E-2</c:v>
                </c:pt>
                <c:pt idx="80">
                  <c:v>1.4059737382642353E-2</c:v>
                </c:pt>
                <c:pt idx="81">
                  <c:v>1.423548409992538E-2</c:v>
                </c:pt>
                <c:pt idx="82">
                  <c:v>1.4411230817208409E-2</c:v>
                </c:pt>
                <c:pt idx="83">
                  <c:v>1.458697753449144E-2</c:v>
                </c:pt>
                <c:pt idx="84">
                  <c:v>1.4762724251774467E-2</c:v>
                </c:pt>
                <c:pt idx="85">
                  <c:v>1.4938470969057498E-2</c:v>
                </c:pt>
                <c:pt idx="86">
                  <c:v>1.5114217686340527E-2</c:v>
                </c:pt>
                <c:pt idx="87">
                  <c:v>1.5289964403623558E-2</c:v>
                </c:pt>
                <c:pt idx="88">
                  <c:v>1.5465711120906585E-2</c:v>
                </c:pt>
                <c:pt idx="89">
                  <c:v>1.5641457838189616E-2</c:v>
                </c:pt>
                <c:pt idx="90">
                  <c:v>1.5817204555472645E-2</c:v>
                </c:pt>
                <c:pt idx="91">
                  <c:v>1.5992951272755674E-2</c:v>
                </c:pt>
                <c:pt idx="92">
                  <c:v>1.6168697990038703E-2</c:v>
                </c:pt>
                <c:pt idx="93">
                  <c:v>1.6344444707321736E-2</c:v>
                </c:pt>
                <c:pt idx="94">
                  <c:v>1.6520191424604761E-2</c:v>
                </c:pt>
                <c:pt idx="95">
                  <c:v>1.6695938141887794E-2</c:v>
                </c:pt>
                <c:pt idx="96">
                  <c:v>1.6871684859170823E-2</c:v>
                </c:pt>
                <c:pt idx="97">
                  <c:v>1.7047431576453848E-2</c:v>
                </c:pt>
                <c:pt idx="98">
                  <c:v>1.7223178293736881E-2</c:v>
                </c:pt>
                <c:pt idx="99">
                  <c:v>1.739892501101991E-2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-28.862760813196854</c:v>
                </c:pt>
                <c:pt idx="1">
                  <c:v>-28.575947433185835</c:v>
                </c:pt>
                <c:pt idx="2">
                  <c:v>-28.289037529531839</c:v>
                </c:pt>
                <c:pt idx="3">
                  <c:v>-28.002031102234859</c:v>
                </c:pt>
                <c:pt idx="4">
                  <c:v>-27.714928151294899</c:v>
                </c:pt>
                <c:pt idx="5">
                  <c:v>-27.427728676711958</c:v>
                </c:pt>
                <c:pt idx="6">
                  <c:v>-27.140432678486029</c:v>
                </c:pt>
                <c:pt idx="7">
                  <c:v>-26.853040156617119</c:v>
                </c:pt>
                <c:pt idx="8">
                  <c:v>-26.565551111105229</c:v>
                </c:pt>
                <c:pt idx="9">
                  <c:v>-26.277965541950351</c:v>
                </c:pt>
                <c:pt idx="10">
                  <c:v>-25.990283449152503</c:v>
                </c:pt>
                <c:pt idx="11">
                  <c:v>-25.702504832711664</c:v>
                </c:pt>
                <c:pt idx="12">
                  <c:v>-25.414629692627841</c:v>
                </c:pt>
                <c:pt idx="13">
                  <c:v>-25.126658028901048</c:v>
                </c:pt>
                <c:pt idx="14">
                  <c:v>-24.838589841531263</c:v>
                </c:pt>
                <c:pt idx="15">
                  <c:v>-24.550425130518498</c:v>
                </c:pt>
                <c:pt idx="16">
                  <c:v>-24.262163895862749</c:v>
                </c:pt>
                <c:pt idx="17">
                  <c:v>-23.973806137564019</c:v>
                </c:pt>
                <c:pt idx="18">
                  <c:v>-23.685351855622304</c:v>
                </c:pt>
                <c:pt idx="19">
                  <c:v>-23.396801050037613</c:v>
                </c:pt>
                <c:pt idx="20">
                  <c:v>-23.108153720809938</c:v>
                </c:pt>
                <c:pt idx="21">
                  <c:v>-22.819409867939278</c:v>
                </c:pt>
                <c:pt idx="22">
                  <c:v>-22.530569491425638</c:v>
                </c:pt>
                <c:pt idx="23">
                  <c:v>-22.241632591269017</c:v>
                </c:pt>
                <c:pt idx="24">
                  <c:v>-21.952599167469412</c:v>
                </c:pt>
                <c:pt idx="25">
                  <c:v>-21.663469220026826</c:v>
                </c:pt>
                <c:pt idx="26">
                  <c:v>-21.374242748941256</c:v>
                </c:pt>
                <c:pt idx="27">
                  <c:v>-21.084919754212706</c:v>
                </c:pt>
                <c:pt idx="28">
                  <c:v>-20.795500235841171</c:v>
                </c:pt>
                <c:pt idx="29">
                  <c:v>-20.505984193826656</c:v>
                </c:pt>
                <c:pt idx="30">
                  <c:v>-20.216371628169163</c:v>
                </c:pt>
                <c:pt idx="31">
                  <c:v>-19.92666253886868</c:v>
                </c:pt>
                <c:pt idx="32">
                  <c:v>-19.636856925925219</c:v>
                </c:pt>
                <c:pt idx="33">
                  <c:v>-19.346954789338774</c:v>
                </c:pt>
                <c:pt idx="34">
                  <c:v>-19.056956129109345</c:v>
                </c:pt>
                <c:pt idx="35">
                  <c:v>-18.766860945236942</c:v>
                </c:pt>
                <c:pt idx="36">
                  <c:v>-18.476669237721552</c:v>
                </c:pt>
                <c:pt idx="37">
                  <c:v>-18.186381006563177</c:v>
                </c:pt>
                <c:pt idx="38">
                  <c:v>-17.895996251761826</c:v>
                </c:pt>
                <c:pt idx="39">
                  <c:v>-17.605514973317486</c:v>
                </c:pt>
                <c:pt idx="40">
                  <c:v>-17.314937171230167</c:v>
                </c:pt>
                <c:pt idx="41">
                  <c:v>-17.024262845499869</c:v>
                </c:pt>
                <c:pt idx="42">
                  <c:v>-16.733491996126585</c:v>
                </c:pt>
                <c:pt idx="43">
                  <c:v>-16.442624623110319</c:v>
                </c:pt>
                <c:pt idx="44">
                  <c:v>-16.151660726451073</c:v>
                </c:pt>
                <c:pt idx="45">
                  <c:v>-15.860600306148845</c:v>
                </c:pt>
                <c:pt idx="46">
                  <c:v>-15.569443362203636</c:v>
                </c:pt>
                <c:pt idx="47">
                  <c:v>-15.278189894615439</c:v>
                </c:pt>
                <c:pt idx="48">
                  <c:v>-14.986839903384263</c:v>
                </c:pt>
                <c:pt idx="49">
                  <c:v>-14.695393388510105</c:v>
                </c:pt>
                <c:pt idx="50">
                  <c:v>-14.403850349992965</c:v>
                </c:pt>
                <c:pt idx="51">
                  <c:v>-14.112210787832844</c:v>
                </c:pt>
                <c:pt idx="52">
                  <c:v>-13.82047470202974</c:v>
                </c:pt>
                <c:pt idx="53">
                  <c:v>-13.528642092583654</c:v>
                </c:pt>
                <c:pt idx="54">
                  <c:v>-13.236712959494586</c:v>
                </c:pt>
                <c:pt idx="55">
                  <c:v>-12.944687302762535</c:v>
                </c:pt>
                <c:pt idx="56">
                  <c:v>-12.652565122387502</c:v>
                </c:pt>
                <c:pt idx="57">
                  <c:v>-12.360346418369485</c:v>
                </c:pt>
                <c:pt idx="58">
                  <c:v>-12.068031190708489</c:v>
                </c:pt>
                <c:pt idx="59">
                  <c:v>-11.775619439404508</c:v>
                </c:pt>
                <c:pt idx="60">
                  <c:v>-11.483111164457549</c:v>
                </c:pt>
                <c:pt idx="61">
                  <c:v>-11.190506365867606</c:v>
                </c:pt>
                <c:pt idx="62">
                  <c:v>-10.89780504363468</c:v>
                </c:pt>
                <c:pt idx="63">
                  <c:v>-10.605007197758772</c:v>
                </c:pt>
                <c:pt idx="64">
                  <c:v>-10.312112828239885</c:v>
                </c:pt>
                <c:pt idx="65">
                  <c:v>-10.019121935078013</c:v>
                </c:pt>
                <c:pt idx="66">
                  <c:v>-9.726034518273158</c:v>
                </c:pt>
                <c:pt idx="67">
                  <c:v>-9.432850577825322</c:v>
                </c:pt>
                <c:pt idx="68">
                  <c:v>-9.1395701137345018</c:v>
                </c:pt>
                <c:pt idx="69">
                  <c:v>-8.8461931260007063</c:v>
                </c:pt>
                <c:pt idx="70">
                  <c:v>-8.5527196146239213</c:v>
                </c:pt>
                <c:pt idx="71">
                  <c:v>-8.2591495796041556</c:v>
                </c:pt>
                <c:pt idx="72">
                  <c:v>-7.9654830209414076</c:v>
                </c:pt>
                <c:pt idx="73">
                  <c:v>-7.6717199386356798</c:v>
                </c:pt>
                <c:pt idx="74">
                  <c:v>-7.3778603326869678</c:v>
                </c:pt>
                <c:pt idx="75">
                  <c:v>-7.083904203095277</c:v>
                </c:pt>
                <c:pt idx="76">
                  <c:v>-6.7898515498606002</c:v>
                </c:pt>
                <c:pt idx="77">
                  <c:v>-6.4957023729829428</c:v>
                </c:pt>
                <c:pt idx="78">
                  <c:v>-6.2014566724623013</c:v>
                </c:pt>
                <c:pt idx="79">
                  <c:v>-5.9071144482986808</c:v>
                </c:pt>
                <c:pt idx="80">
                  <c:v>-5.6126757004920771</c:v>
                </c:pt>
                <c:pt idx="81">
                  <c:v>-5.3181404290424892</c:v>
                </c:pt>
                <c:pt idx="82">
                  <c:v>-5.0235086339499251</c:v>
                </c:pt>
                <c:pt idx="83">
                  <c:v>-4.7287803152143724</c:v>
                </c:pt>
                <c:pt idx="84">
                  <c:v>-4.4339554728358435</c:v>
                </c:pt>
                <c:pt idx="85">
                  <c:v>-4.1390341068143268</c:v>
                </c:pt>
                <c:pt idx="86">
                  <c:v>-3.8440162171498282</c:v>
                </c:pt>
                <c:pt idx="87">
                  <c:v>-3.5489018038423481</c:v>
                </c:pt>
                <c:pt idx="88">
                  <c:v>-3.25369086689189</c:v>
                </c:pt>
                <c:pt idx="89">
                  <c:v>-2.9583834062984455</c:v>
                </c:pt>
                <c:pt idx="90">
                  <c:v>-2.662979422062024</c:v>
                </c:pt>
                <c:pt idx="91">
                  <c:v>-2.3674789141826147</c:v>
                </c:pt>
                <c:pt idx="92">
                  <c:v>-2.0718818826602279</c:v>
                </c:pt>
                <c:pt idx="93">
                  <c:v>-1.7761883274948544</c:v>
                </c:pt>
                <c:pt idx="94">
                  <c:v>-1.4803982486864993</c:v>
                </c:pt>
                <c:pt idx="95">
                  <c:v>-1.1845116462351617</c:v>
                </c:pt>
                <c:pt idx="96">
                  <c:v>-0.88852852014084682</c:v>
                </c:pt>
                <c:pt idx="97">
                  <c:v>-0.59244887040355021</c:v>
                </c:pt>
                <c:pt idx="98">
                  <c:v>-0.29627269702326625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-0.61515143659682869</c:v>
                </c:pt>
                <c:pt idx="1">
                  <c:v>-0.60893778572211321</c:v>
                </c:pt>
                <c:pt idx="2">
                  <c:v>-0.60272413484739784</c:v>
                </c:pt>
                <c:pt idx="3">
                  <c:v>-0.59651048397268236</c:v>
                </c:pt>
                <c:pt idx="4">
                  <c:v>-0.59029683309796688</c:v>
                </c:pt>
                <c:pt idx="5">
                  <c:v>-0.58408318222325151</c:v>
                </c:pt>
                <c:pt idx="6">
                  <c:v>-0.57786953134853603</c:v>
                </c:pt>
                <c:pt idx="7">
                  <c:v>-0.57165588047382065</c:v>
                </c:pt>
                <c:pt idx="8">
                  <c:v>-0.56544222959910517</c:v>
                </c:pt>
                <c:pt idx="9">
                  <c:v>-0.55922857872438969</c:v>
                </c:pt>
                <c:pt idx="10">
                  <c:v>-0.55301492784967432</c:v>
                </c:pt>
                <c:pt idx="11">
                  <c:v>-0.54680127697495884</c:v>
                </c:pt>
                <c:pt idx="12">
                  <c:v>-0.54058762610024336</c:v>
                </c:pt>
                <c:pt idx="13">
                  <c:v>-0.53437397522552799</c:v>
                </c:pt>
                <c:pt idx="14">
                  <c:v>-0.5281603243508125</c:v>
                </c:pt>
                <c:pt idx="15">
                  <c:v>-0.52194667347609713</c:v>
                </c:pt>
                <c:pt idx="16">
                  <c:v>-0.51573302260138165</c:v>
                </c:pt>
                <c:pt idx="17">
                  <c:v>-0.50951937172666617</c:v>
                </c:pt>
                <c:pt idx="18">
                  <c:v>-0.50330572085195069</c:v>
                </c:pt>
                <c:pt idx="19">
                  <c:v>-0.49709206997723532</c:v>
                </c:pt>
                <c:pt idx="20">
                  <c:v>-0.49087841910251984</c:v>
                </c:pt>
                <c:pt idx="21">
                  <c:v>-0.48466476822780447</c:v>
                </c:pt>
                <c:pt idx="22">
                  <c:v>-0.47845111735308898</c:v>
                </c:pt>
                <c:pt idx="23">
                  <c:v>-0.47223746647837356</c:v>
                </c:pt>
                <c:pt idx="24">
                  <c:v>-0.46602381560365813</c:v>
                </c:pt>
                <c:pt idx="25">
                  <c:v>-0.45981016472894265</c:v>
                </c:pt>
                <c:pt idx="26">
                  <c:v>-0.45359651385422722</c:v>
                </c:pt>
                <c:pt idx="27">
                  <c:v>-0.4473828629795118</c:v>
                </c:pt>
                <c:pt idx="28">
                  <c:v>-0.44116921210479632</c:v>
                </c:pt>
                <c:pt idx="29">
                  <c:v>-0.43495556123008089</c:v>
                </c:pt>
                <c:pt idx="30">
                  <c:v>-0.42874191035536546</c:v>
                </c:pt>
                <c:pt idx="31">
                  <c:v>-0.42252825948064998</c:v>
                </c:pt>
                <c:pt idx="32">
                  <c:v>-0.41631460860593461</c:v>
                </c:pt>
                <c:pt idx="33">
                  <c:v>-0.41010095773121913</c:v>
                </c:pt>
                <c:pt idx="34">
                  <c:v>-0.40388730685650365</c:v>
                </c:pt>
                <c:pt idx="35">
                  <c:v>-0.39767365598178828</c:v>
                </c:pt>
                <c:pt idx="36">
                  <c:v>-0.39146000510707279</c:v>
                </c:pt>
                <c:pt idx="37">
                  <c:v>-0.38524635423235731</c:v>
                </c:pt>
                <c:pt idx="38">
                  <c:v>-0.37903270335764194</c:v>
                </c:pt>
                <c:pt idx="39">
                  <c:v>-0.37281905248292646</c:v>
                </c:pt>
                <c:pt idx="40">
                  <c:v>-0.36660540160821103</c:v>
                </c:pt>
                <c:pt idx="41">
                  <c:v>-0.36039175073349561</c:v>
                </c:pt>
                <c:pt idx="42">
                  <c:v>-0.35417809985878018</c:v>
                </c:pt>
                <c:pt idx="43">
                  <c:v>-0.3479644489840647</c:v>
                </c:pt>
                <c:pt idx="44">
                  <c:v>-0.34175079810934927</c:v>
                </c:pt>
                <c:pt idx="45">
                  <c:v>-0.33553714723463385</c:v>
                </c:pt>
                <c:pt idx="46">
                  <c:v>-0.32932349635991842</c:v>
                </c:pt>
                <c:pt idx="47">
                  <c:v>-0.32310984548520294</c:v>
                </c:pt>
                <c:pt idx="48">
                  <c:v>-0.31689619461048751</c:v>
                </c:pt>
                <c:pt idx="49">
                  <c:v>-0.31068254373577209</c:v>
                </c:pt>
                <c:pt idx="50">
                  <c:v>-0.30446889286105661</c:v>
                </c:pt>
                <c:pt idx="51">
                  <c:v>-0.29825524198634118</c:v>
                </c:pt>
                <c:pt idx="52">
                  <c:v>-0.29204159111162575</c:v>
                </c:pt>
                <c:pt idx="53">
                  <c:v>-0.28582794023691027</c:v>
                </c:pt>
                <c:pt idx="54">
                  <c:v>-0.2796142893621949</c:v>
                </c:pt>
                <c:pt idx="55">
                  <c:v>-0.27340063848747942</c:v>
                </c:pt>
                <c:pt idx="56">
                  <c:v>-0.26718698761276399</c:v>
                </c:pt>
                <c:pt idx="57">
                  <c:v>-0.26097333673804851</c:v>
                </c:pt>
                <c:pt idx="58">
                  <c:v>-0.25475968586333309</c:v>
                </c:pt>
                <c:pt idx="59">
                  <c:v>-0.2485460349886176</c:v>
                </c:pt>
                <c:pt idx="60">
                  <c:v>-0.24233238411390223</c:v>
                </c:pt>
                <c:pt idx="61">
                  <c:v>-0.23611873323918675</c:v>
                </c:pt>
                <c:pt idx="62">
                  <c:v>-0.22990508236447132</c:v>
                </c:pt>
                <c:pt idx="63">
                  <c:v>-0.22369143148975584</c:v>
                </c:pt>
                <c:pt idx="64">
                  <c:v>-0.21747778061504047</c:v>
                </c:pt>
                <c:pt idx="65">
                  <c:v>-0.21126412974032505</c:v>
                </c:pt>
                <c:pt idx="66">
                  <c:v>-0.20505047886560956</c:v>
                </c:pt>
                <c:pt idx="67">
                  <c:v>-0.19883682799089414</c:v>
                </c:pt>
                <c:pt idx="68">
                  <c:v>-0.19262317711617866</c:v>
                </c:pt>
                <c:pt idx="69">
                  <c:v>-0.18640952624146329</c:v>
                </c:pt>
                <c:pt idx="70">
                  <c:v>-0.1801958753667478</c:v>
                </c:pt>
                <c:pt idx="71">
                  <c:v>-0.17398222449203238</c:v>
                </c:pt>
                <c:pt idx="72">
                  <c:v>-0.1677685736173169</c:v>
                </c:pt>
                <c:pt idx="73">
                  <c:v>-0.16155492274260147</c:v>
                </c:pt>
                <c:pt idx="74">
                  <c:v>-0.15534127186788599</c:v>
                </c:pt>
                <c:pt idx="75">
                  <c:v>-0.14912762099317062</c:v>
                </c:pt>
                <c:pt idx="76">
                  <c:v>-0.14291397011845514</c:v>
                </c:pt>
                <c:pt idx="77">
                  <c:v>-0.13670031924373971</c:v>
                </c:pt>
                <c:pt idx="78">
                  <c:v>-0.13048666836902423</c:v>
                </c:pt>
                <c:pt idx="79">
                  <c:v>-0.1242730174943088</c:v>
                </c:pt>
                <c:pt idx="80">
                  <c:v>-0.11805936661959338</c:v>
                </c:pt>
                <c:pt idx="81">
                  <c:v>-0.11184571574487789</c:v>
                </c:pt>
                <c:pt idx="82">
                  <c:v>-0.10563206487016252</c:v>
                </c:pt>
                <c:pt idx="83">
                  <c:v>-9.9418413995447041E-2</c:v>
                </c:pt>
                <c:pt idx="84">
                  <c:v>-9.3204763120731671E-2</c:v>
                </c:pt>
                <c:pt idx="85">
                  <c:v>-8.6991112246016189E-2</c:v>
                </c:pt>
                <c:pt idx="86">
                  <c:v>-8.0777461371300707E-2</c:v>
                </c:pt>
                <c:pt idx="87">
                  <c:v>-7.4563810496585226E-2</c:v>
                </c:pt>
                <c:pt idx="88">
                  <c:v>-6.8350159621869855E-2</c:v>
                </c:pt>
                <c:pt idx="89">
                  <c:v>-6.2136508747154373E-2</c:v>
                </c:pt>
                <c:pt idx="90">
                  <c:v>-5.5922857872439002E-2</c:v>
                </c:pt>
                <c:pt idx="91">
                  <c:v>-4.9709206997723521E-2</c:v>
                </c:pt>
                <c:pt idx="92">
                  <c:v>-4.349555612300815E-2</c:v>
                </c:pt>
                <c:pt idx="93">
                  <c:v>-3.7281905248292668E-2</c:v>
                </c:pt>
                <c:pt idx="94">
                  <c:v>-3.1068254373577187E-2</c:v>
                </c:pt>
                <c:pt idx="95">
                  <c:v>-2.4854603498861705E-2</c:v>
                </c:pt>
                <c:pt idx="96">
                  <c:v>-1.8640952624146334E-2</c:v>
                </c:pt>
                <c:pt idx="97">
                  <c:v>-1.2427301749430963E-2</c:v>
                </c:pt>
                <c:pt idx="98">
                  <c:v>-6.2136508747154817E-3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-0.48305432908777207</c:v>
                </c:pt>
                <c:pt idx="2">
                  <c:v>-0.96585201387210873</c:v>
                </c:pt>
                <c:pt idx="3">
                  <c:v>-1.4483930543530097</c:v>
                </c:pt>
                <c:pt idx="4">
                  <c:v>-1.9306774505304756</c:v>
                </c:pt>
                <c:pt idx="5">
                  <c:v>-2.4127052024045059</c:v>
                </c:pt>
                <c:pt idx="6">
                  <c:v>-2.8944763099751007</c:v>
                </c:pt>
                <c:pt idx="7">
                  <c:v>-3.3759907732422603</c:v>
                </c:pt>
                <c:pt idx="8">
                  <c:v>-3.8572485922059845</c:v>
                </c:pt>
                <c:pt idx="9">
                  <c:v>-4.3382497668662738</c:v>
                </c:pt>
                <c:pt idx="10">
                  <c:v>-4.8189942972231261</c:v>
                </c:pt>
                <c:pt idx="11">
                  <c:v>-5.2994821832765444</c:v>
                </c:pt>
                <c:pt idx="12">
                  <c:v>-5.779713425026527</c:v>
                </c:pt>
                <c:pt idx="13">
                  <c:v>-6.259688022473072</c:v>
                </c:pt>
                <c:pt idx="14">
                  <c:v>-6.7394059756161839</c:v>
                </c:pt>
                <c:pt idx="15">
                  <c:v>-7.218867284455861</c:v>
                </c:pt>
                <c:pt idx="16">
                  <c:v>-7.6980719489921015</c:v>
                </c:pt>
                <c:pt idx="17">
                  <c:v>-8.1770199692249061</c:v>
                </c:pt>
                <c:pt idx="18">
                  <c:v>-8.6557113451542769</c:v>
                </c:pt>
                <c:pt idx="19">
                  <c:v>-9.1341460767802101</c:v>
                </c:pt>
                <c:pt idx="20">
                  <c:v>-9.6123241641027093</c:v>
                </c:pt>
                <c:pt idx="21">
                  <c:v>-10.090245607121773</c:v>
                </c:pt>
                <c:pt idx="22">
                  <c:v>-10.5679104058374</c:v>
                </c:pt>
                <c:pt idx="23">
                  <c:v>-11.045318560249592</c:v>
                </c:pt>
                <c:pt idx="24">
                  <c:v>-11.52247007035835</c:v>
                </c:pt>
                <c:pt idx="25">
                  <c:v>-11.999364936163671</c:v>
                </c:pt>
                <c:pt idx="26">
                  <c:v>-12.476003157665556</c:v>
                </c:pt>
                <c:pt idx="27">
                  <c:v>-12.95238473486401</c:v>
                </c:pt>
                <c:pt idx="28">
                  <c:v>-13.428509667759023</c:v>
                </c:pt>
                <c:pt idx="29">
                  <c:v>-13.904377956350606</c:v>
                </c:pt>
                <c:pt idx="30">
                  <c:v>-14.379989600638746</c:v>
                </c:pt>
                <c:pt idx="31">
                  <c:v>-14.855344600623459</c:v>
                </c:pt>
                <c:pt idx="32">
                  <c:v>-15.330442956304733</c:v>
                </c:pt>
                <c:pt idx="33">
                  <c:v>-15.805284667682571</c:v>
                </c:pt>
                <c:pt idx="34">
                  <c:v>-16.279869734756975</c:v>
                </c:pt>
                <c:pt idx="35">
                  <c:v>-16.754198157527942</c:v>
                </c:pt>
                <c:pt idx="36">
                  <c:v>-17.228269935995474</c:v>
                </c:pt>
                <c:pt idx="37">
                  <c:v>-17.702085070159573</c:v>
                </c:pt>
                <c:pt idx="38">
                  <c:v>-18.17564356002023</c:v>
                </c:pt>
                <c:pt idx="39">
                  <c:v>-18.648945405577457</c:v>
                </c:pt>
                <c:pt idx="40">
                  <c:v>-19.12199060683125</c:v>
                </c:pt>
                <c:pt idx="41">
                  <c:v>-19.594779163781602</c:v>
                </c:pt>
                <c:pt idx="42">
                  <c:v>-20.067311076428521</c:v>
                </c:pt>
                <c:pt idx="43">
                  <c:v>-20.539586344772005</c:v>
                </c:pt>
                <c:pt idx="44">
                  <c:v>-21.011604968812055</c:v>
                </c:pt>
                <c:pt idx="45">
                  <c:v>-21.483366948548664</c:v>
                </c:pt>
                <c:pt idx="46">
                  <c:v>-21.954872283981846</c:v>
                </c:pt>
                <c:pt idx="47">
                  <c:v>-22.426120975111591</c:v>
                </c:pt>
                <c:pt idx="48">
                  <c:v>-22.897113021937891</c:v>
                </c:pt>
                <c:pt idx="49">
                  <c:v>-23.36784842446076</c:v>
                </c:pt>
                <c:pt idx="50">
                  <c:v>-23.838327182680199</c:v>
                </c:pt>
                <c:pt idx="51">
                  <c:v>-24.308549296596205</c:v>
                </c:pt>
                <c:pt idx="52">
                  <c:v>-24.778514766208762</c:v>
                </c:pt>
                <c:pt idx="53">
                  <c:v>-25.248223591517895</c:v>
                </c:pt>
                <c:pt idx="54">
                  <c:v>-25.717675772523588</c:v>
                </c:pt>
                <c:pt idx="55">
                  <c:v>-26.18687130922585</c:v>
                </c:pt>
                <c:pt idx="56">
                  <c:v>-26.655810201624668</c:v>
                </c:pt>
                <c:pt idx="57">
                  <c:v>-27.124492449720062</c:v>
                </c:pt>
                <c:pt idx="58">
                  <c:v>-27.592918053512012</c:v>
                </c:pt>
                <c:pt idx="59">
                  <c:v>-28.061087013000524</c:v>
                </c:pt>
                <c:pt idx="60">
                  <c:v>-28.528999328185613</c:v>
                </c:pt>
                <c:pt idx="61">
                  <c:v>-28.996654999067257</c:v>
                </c:pt>
                <c:pt idx="62">
                  <c:v>-29.464054025645471</c:v>
                </c:pt>
                <c:pt idx="63">
                  <c:v>-29.931196407920243</c:v>
                </c:pt>
                <c:pt idx="64">
                  <c:v>-30.398082145891582</c:v>
                </c:pt>
                <c:pt idx="65">
                  <c:v>-30.864711239559483</c:v>
                </c:pt>
                <c:pt idx="66">
                  <c:v>-31.331083688923957</c:v>
                </c:pt>
                <c:pt idx="67">
                  <c:v>-31.797199493984991</c:v>
                </c:pt>
                <c:pt idx="68">
                  <c:v>-32.263058654742586</c:v>
                </c:pt>
                <c:pt idx="69">
                  <c:v>-32.728661171196748</c:v>
                </c:pt>
                <c:pt idx="70">
                  <c:v>-33.194007043347476</c:v>
                </c:pt>
                <c:pt idx="71">
                  <c:v>-33.659096271194777</c:v>
                </c:pt>
                <c:pt idx="72">
                  <c:v>-34.123928854738629</c:v>
                </c:pt>
                <c:pt idx="73">
                  <c:v>-34.588504793979048</c:v>
                </c:pt>
                <c:pt idx="74">
                  <c:v>-35.05282408891604</c:v>
                </c:pt>
                <c:pt idx="75">
                  <c:v>-35.516886739549584</c:v>
                </c:pt>
                <c:pt idx="76">
                  <c:v>-35.980692745879693</c:v>
                </c:pt>
                <c:pt idx="77">
                  <c:v>-36.444242107906376</c:v>
                </c:pt>
                <c:pt idx="78">
                  <c:v>-36.907534825629625</c:v>
                </c:pt>
                <c:pt idx="79">
                  <c:v>-37.370570899049426</c:v>
                </c:pt>
                <c:pt idx="80">
                  <c:v>-37.833350328165807</c:v>
                </c:pt>
                <c:pt idx="81">
                  <c:v>-38.29587311297874</c:v>
                </c:pt>
                <c:pt idx="82">
                  <c:v>-38.758139253488245</c:v>
                </c:pt>
                <c:pt idx="83">
                  <c:v>-39.22014874969431</c:v>
                </c:pt>
                <c:pt idx="84">
                  <c:v>-39.681901601596941</c:v>
                </c:pt>
                <c:pt idx="85">
                  <c:v>-40.143397809196131</c:v>
                </c:pt>
                <c:pt idx="86">
                  <c:v>-40.604637372491901</c:v>
                </c:pt>
                <c:pt idx="87">
                  <c:v>-41.065620291484215</c:v>
                </c:pt>
                <c:pt idx="88">
                  <c:v>-41.52634656617311</c:v>
                </c:pt>
                <c:pt idx="89">
                  <c:v>-41.986816196558564</c:v>
                </c:pt>
                <c:pt idx="90">
                  <c:v>-42.447029182640584</c:v>
                </c:pt>
                <c:pt idx="91">
                  <c:v>-42.906985524419163</c:v>
                </c:pt>
                <c:pt idx="92">
                  <c:v>-43.366685221894315</c:v>
                </c:pt>
                <c:pt idx="93">
                  <c:v>-43.826128275066019</c:v>
                </c:pt>
                <c:pt idx="94">
                  <c:v>-44.28531468393431</c:v>
                </c:pt>
                <c:pt idx="95">
                  <c:v>-44.744244448499146</c:v>
                </c:pt>
                <c:pt idx="96">
                  <c:v>-45.202917568760547</c:v>
                </c:pt>
                <c:pt idx="97">
                  <c:v>-45.661334044718515</c:v>
                </c:pt>
                <c:pt idx="98">
                  <c:v>-46.119493876373056</c:v>
                </c:pt>
                <c:pt idx="99">
                  <c:v>-46.577397063724156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1.0132014674988019E-2</c:v>
                </c:pt>
                <c:pt idx="2">
                  <c:v>2.0264029349976037E-2</c:v>
                </c:pt>
                <c:pt idx="3">
                  <c:v>3.0396044024964052E-2</c:v>
                </c:pt>
                <c:pt idx="4">
                  <c:v>4.0528058699952074E-2</c:v>
                </c:pt>
                <c:pt idx="5">
                  <c:v>5.0660073374940093E-2</c:v>
                </c:pt>
                <c:pt idx="6">
                  <c:v>6.0792088049928104E-2</c:v>
                </c:pt>
                <c:pt idx="7">
                  <c:v>7.0924102724916116E-2</c:v>
                </c:pt>
                <c:pt idx="8">
                  <c:v>8.1056117399904148E-2</c:v>
                </c:pt>
                <c:pt idx="9">
                  <c:v>9.1188132074892167E-2</c:v>
                </c:pt>
                <c:pt idx="10">
                  <c:v>0.10132014674988019</c:v>
                </c:pt>
                <c:pt idx="11">
                  <c:v>0.1114521614248682</c:v>
                </c:pt>
                <c:pt idx="12">
                  <c:v>0.12158417609985621</c:v>
                </c:pt>
                <c:pt idx="13">
                  <c:v>0.13171619077484423</c:v>
                </c:pt>
                <c:pt idx="14">
                  <c:v>0.14184820544983223</c:v>
                </c:pt>
                <c:pt idx="15">
                  <c:v>0.15198022012482026</c:v>
                </c:pt>
                <c:pt idx="16">
                  <c:v>0.1621122347998083</c:v>
                </c:pt>
                <c:pt idx="17">
                  <c:v>0.1722442494747963</c:v>
                </c:pt>
                <c:pt idx="18">
                  <c:v>0.18237626414978433</c:v>
                </c:pt>
                <c:pt idx="19">
                  <c:v>0.19250827882477234</c:v>
                </c:pt>
                <c:pt idx="20">
                  <c:v>0.20264029349976037</c:v>
                </c:pt>
                <c:pt idx="21">
                  <c:v>0.21277230817474838</c:v>
                </c:pt>
                <c:pt idx="22">
                  <c:v>0.22290432284973641</c:v>
                </c:pt>
                <c:pt idx="23">
                  <c:v>0.23303633752472441</c:v>
                </c:pt>
                <c:pt idx="24">
                  <c:v>0.24316835219971242</c:v>
                </c:pt>
                <c:pt idx="25">
                  <c:v>0.25330036687470042</c:v>
                </c:pt>
                <c:pt idx="26">
                  <c:v>0.26343238154968845</c:v>
                </c:pt>
                <c:pt idx="27">
                  <c:v>0.27356439622467649</c:v>
                </c:pt>
                <c:pt idx="28">
                  <c:v>0.28369641089966446</c:v>
                </c:pt>
                <c:pt idx="29">
                  <c:v>0.29382842557465255</c:v>
                </c:pt>
                <c:pt idx="30">
                  <c:v>0.30396044024964053</c:v>
                </c:pt>
                <c:pt idx="31">
                  <c:v>0.31409245492462856</c:v>
                </c:pt>
                <c:pt idx="32">
                  <c:v>0.32422446959961659</c:v>
                </c:pt>
                <c:pt idx="33">
                  <c:v>0.33435648427460463</c:v>
                </c:pt>
                <c:pt idx="34">
                  <c:v>0.3444884989495926</c:v>
                </c:pt>
                <c:pt idx="35">
                  <c:v>0.35462051362458064</c:v>
                </c:pt>
                <c:pt idx="36">
                  <c:v>0.36475252829956867</c:v>
                </c:pt>
                <c:pt idx="37">
                  <c:v>0.3748845429745567</c:v>
                </c:pt>
                <c:pt idx="38">
                  <c:v>0.38501655764954468</c:v>
                </c:pt>
                <c:pt idx="39">
                  <c:v>0.39514857232453271</c:v>
                </c:pt>
                <c:pt idx="40">
                  <c:v>0.40528058699952074</c:v>
                </c:pt>
                <c:pt idx="41">
                  <c:v>0.41541260167450872</c:v>
                </c:pt>
                <c:pt idx="42">
                  <c:v>0.42554461634949675</c:v>
                </c:pt>
                <c:pt idx="43">
                  <c:v>0.43567663102448478</c:v>
                </c:pt>
                <c:pt idx="44">
                  <c:v>0.44580864569947282</c:v>
                </c:pt>
                <c:pt idx="45">
                  <c:v>0.45594066037446079</c:v>
                </c:pt>
                <c:pt idx="46">
                  <c:v>0.46607267504944883</c:v>
                </c:pt>
                <c:pt idx="47">
                  <c:v>0.47620468972443686</c:v>
                </c:pt>
                <c:pt idx="48">
                  <c:v>0.48633670439942484</c:v>
                </c:pt>
                <c:pt idx="49">
                  <c:v>0.49646871907441287</c:v>
                </c:pt>
                <c:pt idx="50">
                  <c:v>0.50660073374940084</c:v>
                </c:pt>
                <c:pt idx="51">
                  <c:v>0.51673274842438899</c:v>
                </c:pt>
                <c:pt idx="52">
                  <c:v>0.52686476309937691</c:v>
                </c:pt>
                <c:pt idx="53">
                  <c:v>0.53699677777436494</c:v>
                </c:pt>
                <c:pt idx="54">
                  <c:v>0.54712879244935297</c:v>
                </c:pt>
                <c:pt idx="55">
                  <c:v>0.55726080712434101</c:v>
                </c:pt>
                <c:pt idx="56">
                  <c:v>0.56739282179932893</c:v>
                </c:pt>
                <c:pt idx="57">
                  <c:v>0.57752483647431707</c:v>
                </c:pt>
                <c:pt idx="58">
                  <c:v>0.5876568511493051</c:v>
                </c:pt>
                <c:pt idx="59">
                  <c:v>0.59778886582429303</c:v>
                </c:pt>
                <c:pt idx="60">
                  <c:v>0.60792088049928106</c:v>
                </c:pt>
                <c:pt idx="61">
                  <c:v>0.61805289517426909</c:v>
                </c:pt>
                <c:pt idx="62">
                  <c:v>0.62818490984925712</c:v>
                </c:pt>
                <c:pt idx="63">
                  <c:v>0.63831692452424516</c:v>
                </c:pt>
                <c:pt idx="64">
                  <c:v>0.64844893919923319</c:v>
                </c:pt>
                <c:pt idx="65">
                  <c:v>0.65858095387422111</c:v>
                </c:pt>
                <c:pt idx="66">
                  <c:v>0.66871296854920925</c:v>
                </c:pt>
                <c:pt idx="67">
                  <c:v>0.67884498322419717</c:v>
                </c:pt>
                <c:pt idx="68">
                  <c:v>0.68897699789918521</c:v>
                </c:pt>
                <c:pt idx="69">
                  <c:v>0.69910901257417324</c:v>
                </c:pt>
                <c:pt idx="70">
                  <c:v>0.70924102724916127</c:v>
                </c:pt>
                <c:pt idx="71">
                  <c:v>0.7193730419241493</c:v>
                </c:pt>
                <c:pt idx="72">
                  <c:v>0.72950505659913734</c:v>
                </c:pt>
                <c:pt idx="73">
                  <c:v>0.73963707127412526</c:v>
                </c:pt>
                <c:pt idx="74">
                  <c:v>0.7497690859491134</c:v>
                </c:pt>
                <c:pt idx="75">
                  <c:v>0.75990110062410132</c:v>
                </c:pt>
                <c:pt idx="76">
                  <c:v>0.77003311529908935</c:v>
                </c:pt>
                <c:pt idx="77">
                  <c:v>0.78016512997407739</c:v>
                </c:pt>
                <c:pt idx="78">
                  <c:v>0.79029714464906542</c:v>
                </c:pt>
                <c:pt idx="79">
                  <c:v>0.80042915932405334</c:v>
                </c:pt>
                <c:pt idx="80">
                  <c:v>0.81056117399904148</c:v>
                </c:pt>
                <c:pt idx="81">
                  <c:v>0.82069318867402941</c:v>
                </c:pt>
                <c:pt idx="82">
                  <c:v>0.83082520334901744</c:v>
                </c:pt>
                <c:pt idx="83">
                  <c:v>0.84095721802400547</c:v>
                </c:pt>
                <c:pt idx="84">
                  <c:v>0.8510892326989935</c:v>
                </c:pt>
                <c:pt idx="85">
                  <c:v>0.86122124737398154</c:v>
                </c:pt>
                <c:pt idx="86">
                  <c:v>0.87135326204896957</c:v>
                </c:pt>
                <c:pt idx="87">
                  <c:v>0.88148527672395749</c:v>
                </c:pt>
                <c:pt idx="88">
                  <c:v>0.89161729139894563</c:v>
                </c:pt>
                <c:pt idx="89">
                  <c:v>0.90174930607393355</c:v>
                </c:pt>
                <c:pt idx="90">
                  <c:v>0.91188132074892159</c:v>
                </c:pt>
                <c:pt idx="91">
                  <c:v>0.92201333542390962</c:v>
                </c:pt>
                <c:pt idx="92">
                  <c:v>0.93214535009889765</c:v>
                </c:pt>
                <c:pt idx="93">
                  <c:v>0.94227736477388557</c:v>
                </c:pt>
                <c:pt idx="94">
                  <c:v>0.95240937944887372</c:v>
                </c:pt>
                <c:pt idx="95">
                  <c:v>0.96254139412386164</c:v>
                </c:pt>
                <c:pt idx="96">
                  <c:v>0.97267340879884967</c:v>
                </c:pt>
                <c:pt idx="97">
                  <c:v>0.9828054234738377</c:v>
                </c:pt>
                <c:pt idx="98">
                  <c:v>0.99293743814882574</c:v>
                </c:pt>
                <c:pt idx="99">
                  <c:v>1.0030694528238138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-2.7</c:v>
                </c:pt>
                <c:pt idx="2">
                  <c:v>-2.4</c:v>
                </c:pt>
                <c:pt idx="3">
                  <c:v>-2.1</c:v>
                </c:pt>
                <c:pt idx="4">
                  <c:v>-1.8</c:v>
                </c:pt>
                <c:pt idx="5">
                  <c:v>-1.5</c:v>
                </c:pt>
                <c:pt idx="6">
                  <c:v>-1.2000000000000002</c:v>
                </c:pt>
                <c:pt idx="7">
                  <c:v>-0.89999999999999991</c:v>
                </c:pt>
                <c:pt idx="8">
                  <c:v>-0.60000000000000009</c:v>
                </c:pt>
                <c:pt idx="9">
                  <c:v>-0.30000000000000027</c:v>
                </c:pt>
                <c:pt idx="10">
                  <c:v>0</c:v>
                </c:pt>
                <c:pt idx="11">
                  <c:v>0.29999999999999982</c:v>
                </c:pt>
                <c:pt idx="12">
                  <c:v>0.59999999999999964</c:v>
                </c:pt>
                <c:pt idx="13">
                  <c:v>0.89999999999999991</c:v>
                </c:pt>
                <c:pt idx="14">
                  <c:v>1.2000000000000002</c:v>
                </c:pt>
                <c:pt idx="15">
                  <c:v>1.5</c:v>
                </c:pt>
                <c:pt idx="16">
                  <c:v>1.7999999999999998</c:v>
                </c:pt>
                <c:pt idx="17">
                  <c:v>2.0999999999999996</c:v>
                </c:pt>
                <c:pt idx="18">
                  <c:v>2.3999999999999995</c:v>
                </c:pt>
                <c:pt idx="19">
                  <c:v>2.7</c:v>
                </c:pt>
                <c:pt idx="20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-0.61515143659682869</c:v>
                </c:pt>
                <c:pt idx="1">
                  <c:v>-0.54912653299205594</c:v>
                </c:pt>
                <c:pt idx="2">
                  <c:v>-0.33434268742018264</c:v>
                </c:pt>
                <c:pt idx="3">
                  <c:v>-0.20213026633774617</c:v>
                </c:pt>
                <c:pt idx="4">
                  <c:v>-8.4055123244073687E-2</c:v>
                </c:pt>
                <c:pt idx="5">
                  <c:v>1.739892501101991E-2</c:v>
                </c:pt>
                <c:pt idx="6">
                  <c:v>0.1091760866930164</c:v>
                </c:pt>
                <c:pt idx="7">
                  <c:v>0.20035010755904623</c:v>
                </c:pt>
                <c:pt idx="8">
                  <c:v>0.29731929723682954</c:v>
                </c:pt>
                <c:pt idx="9">
                  <c:v>0.40330313875096513</c:v>
                </c:pt>
                <c:pt idx="10">
                  <c:v>0.51326688932859799</c:v>
                </c:pt>
                <c:pt idx="11">
                  <c:v>0.6032766589152686</c:v>
                </c:pt>
                <c:pt idx="12">
                  <c:v>0.66968592004923744</c:v>
                </c:pt>
                <c:pt idx="13">
                  <c:v>0.72302253315135301</c:v>
                </c:pt>
                <c:pt idx="14">
                  <c:v>0.76919703481296997</c:v>
                </c:pt>
                <c:pt idx="15">
                  <c:v>0.81039647990513808</c:v>
                </c:pt>
                <c:pt idx="16">
                  <c:v>0.84886805086738626</c:v>
                </c:pt>
                <c:pt idx="17">
                  <c:v>0.88934268987867038</c:v>
                </c:pt>
                <c:pt idx="18">
                  <c:v>0.92813432604656521</c:v>
                </c:pt>
                <c:pt idx="19">
                  <c:v>0.96574597915855454</c:v>
                </c:pt>
                <c:pt idx="20">
                  <c:v>1.0030694528238138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8.3815909783602507</c:v>
                </c:pt>
                <c:pt idx="2">
                  <c:v>8.3815909783602507</c:v>
                </c:pt>
                <c:pt idx="3">
                  <c:v>0</c:v>
                </c:pt>
                <c:pt idx="4">
                  <c:v>0</c:v>
                </c:pt>
                <c:pt idx="5">
                  <c:v>-8.3815909783602507</c:v>
                </c:pt>
                <c:pt idx="6">
                  <c:v>-8.3815909783602507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4.9059143350080596</c:v>
                </c:pt>
                <c:pt idx="2">
                  <c:v>5.2964963777640151</c:v>
                </c:pt>
                <c:pt idx="3">
                  <c:v>7.8116408551191174</c:v>
                </c:pt>
                <c:pt idx="4">
                  <c:v>0</c:v>
                </c:pt>
                <c:pt idx="5">
                  <c:v>4.9059143350080596</c:v>
                </c:pt>
                <c:pt idx="6">
                  <c:v>5.2964963777640151</c:v>
                </c:pt>
                <c:pt idx="7">
                  <c:v>7.8116408551191174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9"/>
          <c:min val="-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748-4A43-88E4-D841E27C0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17675</xdr:colOff>
      <xdr:row>1</xdr:row>
      <xdr:rowOff>15840</xdr:rowOff>
    </xdr:from>
    <xdr:to>
      <xdr:col>27</xdr:col>
      <xdr:colOff>623165</xdr:colOff>
      <xdr:row>60</xdr:row>
      <xdr:rowOff>45357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C1DD7D1-D252-4795-981E-0714E49DD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8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73C50DD-EBBD-4A87-9EBA-0BFF665BAF82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B435B0D1-DF43-4D4A-8BF4-8D9254AA095C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38E701E1-4646-4C12-8026-64BCD3A3359E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013DC70E-DA6E-411E-8109-349C83A6B883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E7FC44-4585-49AC-929E-C3746F5B65D7}" name="polar1" displayName="polar1" ref="A1:D22" tableType="queryTable" totalsRowShown="0">
  <autoFilter ref="A1:D22" xr:uid="{83E7FC44-4585-49AC-929E-C3746F5B65D7}"/>
  <tableColumns count="4">
    <tableColumn id="1" xr3:uid="{AD31D839-E2A8-4F47-9CE0-937CB696076F}" uniqueName="1" name="alpha" queryTableFieldId="1"/>
    <tableColumn id="2" xr3:uid="{4BE5BED8-E612-4D78-9658-D2EA4D18C8F2}" uniqueName="2" name="CL" queryTableFieldId="2"/>
    <tableColumn id="3" xr3:uid="{A8B75B98-1F62-4AEC-A5E2-75CAAF79E64E}" uniqueName="3" name="CD" queryTableFieldId="3"/>
    <tableColumn id="4" xr3:uid="{35ABB002-020F-432C-A41D-0C563A9ABD1B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3026D4-7685-4FA9-9B27-40C36A7FCF21}" name="polar2" displayName="polar2" ref="A1:D22" tableType="queryTable" totalsRowShown="0">
  <autoFilter ref="A1:D22" xr:uid="{BE3026D4-7685-4FA9-9B27-40C36A7FCF21}"/>
  <tableColumns count="4">
    <tableColumn id="1" xr3:uid="{0AA055A6-AFF7-4CBF-8BB9-D4CCC1029F23}" uniqueName="1" name="alpha" queryTableFieldId="1"/>
    <tableColumn id="2" xr3:uid="{3AFFCF05-11E5-4C4E-84F7-2EC9A47FA0A8}" uniqueName="2" name="CL" queryTableFieldId="2"/>
    <tableColumn id="3" xr3:uid="{20AEE49B-A836-4DC9-AA7C-3680800B0F60}" uniqueName="3" name="CD" queryTableFieldId="3"/>
    <tableColumn id="4" xr3:uid="{EE5E78D3-F2DA-416C-8BF0-8C050123BA6C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230499-67CE-41B6-8FB9-D95C8BAAFEA8}" name="polar4" displayName="polar4" ref="A1:D22" tableType="queryTable" totalsRowShown="0">
  <autoFilter ref="A1:D22" xr:uid="{71230499-67CE-41B6-8FB9-D95C8BAAFEA8}"/>
  <tableColumns count="4">
    <tableColumn id="1" xr3:uid="{28D19983-CA11-47E0-A85F-95EE7CB44E28}" uniqueName="1" name="alpha" queryTableFieldId="1"/>
    <tableColumn id="2" xr3:uid="{2FE7AB40-B8C0-4ABD-8E8C-488577EF02BC}" uniqueName="2" name="CL" queryTableFieldId="2"/>
    <tableColumn id="3" xr3:uid="{0F7C8658-7297-4BB8-B500-DEBE3DC08F09}" uniqueName="3" name="CD" queryTableFieldId="3"/>
    <tableColumn id="4" xr3:uid="{F7E549DC-E195-463F-8925-B83EA2F6199F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30A513-B6CC-4B69-B88D-B32D7A9BEB3B}" name="polar8" displayName="polar8" ref="A1:D22" tableType="queryTable" totalsRowShown="0">
  <autoFilter ref="A1:D22" xr:uid="{4430A513-B6CC-4B69-B88D-B32D7A9BEB3B}"/>
  <tableColumns count="4">
    <tableColumn id="1" xr3:uid="{BA264DEA-EE9E-422F-B53C-43C5CABAD98A}" uniqueName="1" name="alpha" queryTableFieldId="1"/>
    <tableColumn id="2" xr3:uid="{54B8D0B2-4E53-47CA-8EC9-F95B7A686437}" uniqueName="2" name="CL" queryTableFieldId="2"/>
    <tableColumn id="3" xr3:uid="{8EEE76B3-67FF-4B3F-B7E7-1647C73C4786}" uniqueName="3" name="CD" queryTableFieldId="3"/>
    <tableColumn id="4" xr3:uid="{C955E75E-8A74-4DF8-ADB8-5B6FA566AB0D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>
      <selection activeCell="K10" sqref="K10"/>
    </sheetView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C13E7-83B4-46A2-986A-F51DF0D9D853}">
  <dimension ref="A1:D22"/>
  <sheetViews>
    <sheetView workbookViewId="0">
      <selection activeCell="A2" sqref="A2:D22"/>
    </sheetView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-0.55542290477127865</v>
      </c>
      <c r="C2">
        <v>3.9883612446014585E-2</v>
      </c>
      <c r="D2">
        <v>3.2888918883289681E-3</v>
      </c>
    </row>
    <row r="3" spans="1:4" x14ac:dyDescent="0.35">
      <c r="A3">
        <v>-2.7</v>
      </c>
      <c r="B3">
        <v>-0.51264838212800723</v>
      </c>
      <c r="C3">
        <v>3.4284138797376684E-2</v>
      </c>
      <c r="D3">
        <v>-7.5419589594325764E-3</v>
      </c>
    </row>
    <row r="4" spans="1:4" x14ac:dyDescent="0.35">
      <c r="A4">
        <v>-2.4</v>
      </c>
      <c r="B4">
        <v>-0.34681395536472492</v>
      </c>
      <c r="C4">
        <v>2.1600247991042917E-2</v>
      </c>
      <c r="D4">
        <v>-5.2818337732920044E-2</v>
      </c>
    </row>
    <row r="5" spans="1:4" x14ac:dyDescent="0.35">
      <c r="A5">
        <v>-2.1</v>
      </c>
      <c r="B5">
        <v>-0.21106430400212384</v>
      </c>
      <c r="C5">
        <v>1.3966757239169819E-2</v>
      </c>
      <c r="D5">
        <v>-7.5670127788131189E-2</v>
      </c>
    </row>
    <row r="6" spans="1:4" x14ac:dyDescent="0.35">
      <c r="A6">
        <v>-1.8</v>
      </c>
      <c r="B6">
        <v>-9.2818435723501513E-2</v>
      </c>
      <c r="C6">
        <v>1.0303553145636869E-2</v>
      </c>
      <c r="D6">
        <v>-8.4635549612680855E-2</v>
      </c>
    </row>
    <row r="7" spans="1:4" x14ac:dyDescent="0.35">
      <c r="A7">
        <v>-1.5</v>
      </c>
      <c r="B7">
        <v>7.9969469301212175E-3</v>
      </c>
      <c r="C7">
        <v>9.1960625648235799E-3</v>
      </c>
      <c r="D7">
        <v>-8.624883230432473E-2</v>
      </c>
    </row>
    <row r="8" spans="1:4" x14ac:dyDescent="0.35">
      <c r="A8">
        <v>-1.2000000000000002</v>
      </c>
      <c r="B8">
        <v>9.8759167220899446E-2</v>
      </c>
      <c r="C8">
        <v>9.5041336822574204E-3</v>
      </c>
      <c r="D8">
        <v>-8.9043323765107041E-2</v>
      </c>
    </row>
    <row r="9" spans="1:4" x14ac:dyDescent="0.35">
      <c r="A9">
        <v>-0.89999999999999991</v>
      </c>
      <c r="B9">
        <v>0.18859080294526193</v>
      </c>
      <c r="C9">
        <v>1.0763164531062333E-2</v>
      </c>
      <c r="D9">
        <v>-9.7269337419888899E-2</v>
      </c>
    </row>
    <row r="10" spans="1:4" x14ac:dyDescent="0.35">
      <c r="A10">
        <v>-0.60000000000000009</v>
      </c>
      <c r="B10">
        <v>0.28358972743129074</v>
      </c>
      <c r="C10">
        <v>1.3071353104124037E-2</v>
      </c>
      <c r="D10">
        <v>-0.11129599163237065</v>
      </c>
    </row>
    <row r="11" spans="1:4" x14ac:dyDescent="0.35">
      <c r="A11">
        <v>-0.30000000000000027</v>
      </c>
      <c r="B11">
        <v>0.38518931361102277</v>
      </c>
      <c r="C11">
        <v>1.6655522485346845E-2</v>
      </c>
      <c r="D11">
        <v>-0.1311405095686082</v>
      </c>
    </row>
    <row r="12" spans="1:4" x14ac:dyDescent="0.35">
      <c r="A12">
        <v>0</v>
      </c>
      <c r="B12">
        <v>0.48371822549150983</v>
      </c>
      <c r="C12">
        <v>2.1277513537367523E-2</v>
      </c>
      <c r="D12">
        <v>-0.15358223166616305</v>
      </c>
    </row>
    <row r="13" spans="1:4" x14ac:dyDescent="0.35">
      <c r="A13">
        <v>0.29999999999999982</v>
      </c>
      <c r="B13">
        <v>0.56204648325320428</v>
      </c>
      <c r="C13">
        <v>2.5853676362586866E-2</v>
      </c>
      <c r="D13">
        <v>-0.17057865991294022</v>
      </c>
    </row>
    <row r="14" spans="1:4" x14ac:dyDescent="0.35">
      <c r="A14">
        <v>0.59999999999999964</v>
      </c>
      <c r="B14">
        <v>0.62224553780343284</v>
      </c>
      <c r="C14">
        <v>3.0046128639536325E-2</v>
      </c>
      <c r="D14">
        <v>-0.18117728640236294</v>
      </c>
    </row>
    <row r="15" spans="1:4" x14ac:dyDescent="0.35">
      <c r="A15">
        <v>0.89999999999999991</v>
      </c>
      <c r="B15">
        <v>0.67182997836916891</v>
      </c>
      <c r="C15">
        <v>3.4099675139780523E-2</v>
      </c>
      <c r="D15">
        <v>-0.18797086232021568</v>
      </c>
    </row>
    <row r="16" spans="1:4" x14ac:dyDescent="0.35">
      <c r="A16">
        <v>1.2000000000000002</v>
      </c>
      <c r="B16">
        <v>0.71476347621899616</v>
      </c>
      <c r="C16">
        <v>3.8158677770095732E-2</v>
      </c>
      <c r="D16">
        <v>-0.19246523874201521</v>
      </c>
    </row>
    <row r="17" spans="1:4" x14ac:dyDescent="0.35">
      <c r="A17">
        <v>1.5</v>
      </c>
      <c r="B17">
        <v>0.75325843059796949</v>
      </c>
      <c r="C17">
        <v>4.2343647013570025E-2</v>
      </c>
      <c r="D17">
        <v>-0.1956203308427921</v>
      </c>
    </row>
    <row r="18" spans="1:4" x14ac:dyDescent="0.35">
      <c r="A18">
        <v>1.7999999999999998</v>
      </c>
      <c r="B18">
        <v>0.78817117588788299</v>
      </c>
      <c r="C18">
        <v>4.6676458935273314E-2</v>
      </c>
      <c r="D18">
        <v>-0.19801513189381204</v>
      </c>
    </row>
    <row r="19" spans="1:4" x14ac:dyDescent="0.35">
      <c r="A19">
        <v>2.0999999999999996</v>
      </c>
      <c r="B19">
        <v>0.8243902841177243</v>
      </c>
      <c r="C19">
        <v>5.0932388886311714E-2</v>
      </c>
      <c r="D19">
        <v>-0.19927858732276615</v>
      </c>
    </row>
    <row r="20" spans="1:4" x14ac:dyDescent="0.35">
      <c r="A20">
        <v>2.3999999999999995</v>
      </c>
      <c r="B20">
        <v>0.85972831786954385</v>
      </c>
      <c r="C20">
        <v>5.5706536958121014E-2</v>
      </c>
      <c r="D20">
        <v>-0.20060817976624376</v>
      </c>
    </row>
    <row r="21" spans="1:4" x14ac:dyDescent="0.35">
      <c r="A21">
        <v>2.7</v>
      </c>
      <c r="B21">
        <v>0.89292304372634845</v>
      </c>
      <c r="C21">
        <v>6.1017990039367385E-2</v>
      </c>
      <c r="D21">
        <v>-0.20236238117327252</v>
      </c>
    </row>
    <row r="22" spans="1:4" x14ac:dyDescent="0.35">
      <c r="A22">
        <v>3</v>
      </c>
      <c r="B22">
        <v>0.92447549507865734</v>
      </c>
      <c r="C22">
        <v>6.6790498126699377E-2</v>
      </c>
      <c r="D22">
        <v>-0.20453930682634616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FBD96-424C-4A7E-AD57-35386FCFA42E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-0.57685786640513259</v>
      </c>
      <c r="C2">
        <v>4.095120591582526E-2</v>
      </c>
      <c r="D2">
        <v>1.0681067627520167E-2</v>
      </c>
    </row>
    <row r="3" spans="1:4" x14ac:dyDescent="0.35">
      <c r="A3">
        <v>-2.7</v>
      </c>
      <c r="B3">
        <v>-0.50307774479432443</v>
      </c>
      <c r="C3">
        <v>3.3014929609052772E-2</v>
      </c>
      <c r="D3">
        <v>-1.2311694689818541E-2</v>
      </c>
    </row>
    <row r="4" spans="1:4" x14ac:dyDescent="0.35">
      <c r="A4">
        <v>-2.4</v>
      </c>
      <c r="B4">
        <v>-0.34199926223453736</v>
      </c>
      <c r="C4">
        <v>2.0655405604074025E-2</v>
      </c>
      <c r="D4">
        <v>-5.4791166383429082E-2</v>
      </c>
    </row>
    <row r="5" spans="1:4" x14ac:dyDescent="0.35">
      <c r="A5">
        <v>-2.1</v>
      </c>
      <c r="B5">
        <v>-0.20770058821707299</v>
      </c>
      <c r="C5">
        <v>1.313271082409637E-2</v>
      </c>
      <c r="D5">
        <v>-7.6790624231270421E-2</v>
      </c>
    </row>
    <row r="6" spans="1:4" x14ac:dyDescent="0.35">
      <c r="A6">
        <v>-1.8</v>
      </c>
      <c r="B6">
        <v>-8.9528863915978057E-2</v>
      </c>
      <c r="C6">
        <v>9.5174743898087995E-3</v>
      </c>
      <c r="D6">
        <v>-8.5536821504145849E-2</v>
      </c>
    </row>
    <row r="7" spans="1:4" x14ac:dyDescent="0.35">
      <c r="A7">
        <v>-1.5</v>
      </c>
      <c r="B7">
        <v>1.152530806092353E-2</v>
      </c>
      <c r="C7">
        <v>8.4405247829155913E-3</v>
      </c>
      <c r="D7">
        <v>-8.7149611048075601E-2</v>
      </c>
    </row>
    <row r="8" spans="1:4" x14ac:dyDescent="0.35">
      <c r="A8">
        <v>-1.2000000000000002</v>
      </c>
      <c r="B8">
        <v>0.10268070499273098</v>
      </c>
      <c r="C8">
        <v>8.7843920642407137E-3</v>
      </c>
      <c r="D8">
        <v>-9.0064170484475833E-2</v>
      </c>
    </row>
    <row r="9" spans="1:4" x14ac:dyDescent="0.35">
      <c r="A9">
        <v>-0.89999999999999991</v>
      </c>
      <c r="B9">
        <v>0.1930536047032361</v>
      </c>
      <c r="C9">
        <v>1.0089705191935356E-2</v>
      </c>
      <c r="D9">
        <v>-9.8478579232509286E-2</v>
      </c>
    </row>
    <row r="10" spans="1:4" x14ac:dyDescent="0.35">
      <c r="A10">
        <v>-0.60000000000000009</v>
      </c>
      <c r="B10">
        <v>0.28889335509761893</v>
      </c>
      <c r="C10">
        <v>1.2464975282746109E-2</v>
      </c>
      <c r="D10">
        <v>-0.11280926479570068</v>
      </c>
    </row>
    <row r="11" spans="1:4" x14ac:dyDescent="0.35">
      <c r="A11">
        <v>-0.30000000000000027</v>
      </c>
      <c r="B11">
        <v>0.3924583115914308</v>
      </c>
      <c r="C11">
        <v>1.6177886203898179E-2</v>
      </c>
      <c r="D11">
        <v>-0.13343279886263515</v>
      </c>
    </row>
    <row r="12" spans="1:4" x14ac:dyDescent="0.35">
      <c r="A12">
        <v>0</v>
      </c>
      <c r="B12">
        <v>0.49540323562985911</v>
      </c>
      <c r="C12">
        <v>2.1079376774374829E-2</v>
      </c>
      <c r="D12">
        <v>-0.15778406884549034</v>
      </c>
    </row>
    <row r="13" spans="1:4" x14ac:dyDescent="0.35">
      <c r="A13">
        <v>0.29999999999999982</v>
      </c>
      <c r="B13">
        <v>0.57744160010594436</v>
      </c>
      <c r="C13">
        <v>2.5944338881175918E-2</v>
      </c>
      <c r="D13">
        <v>-0.17656049312771804</v>
      </c>
    </row>
    <row r="14" spans="1:4" x14ac:dyDescent="0.35">
      <c r="A14">
        <v>0.59999999999999964</v>
      </c>
      <c r="B14">
        <v>0.63950649705967633</v>
      </c>
      <c r="C14">
        <v>3.0339750507347097E-2</v>
      </c>
      <c r="D14">
        <v>-0.18813432982778525</v>
      </c>
    </row>
    <row r="15" spans="1:4" x14ac:dyDescent="0.35">
      <c r="A15">
        <v>0.89999999999999991</v>
      </c>
      <c r="B15">
        <v>0.69017234736928557</v>
      </c>
      <c r="C15">
        <v>3.4568712722103295E-2</v>
      </c>
      <c r="D15">
        <v>-0.19556179633895776</v>
      </c>
    </row>
    <row r="16" spans="1:4" x14ac:dyDescent="0.35">
      <c r="A16">
        <v>1.2000000000000002</v>
      </c>
      <c r="B16">
        <v>0.73398168460710156</v>
      </c>
      <c r="C16">
        <v>3.8790657565117133E-2</v>
      </c>
      <c r="D16">
        <v>-0.20053793557808136</v>
      </c>
    </row>
    <row r="17" spans="1:4" x14ac:dyDescent="0.35">
      <c r="A17">
        <v>1.5</v>
      </c>
      <c r="B17">
        <v>0.77312177633884593</v>
      </c>
      <c r="C17">
        <v>4.314919508850229E-2</v>
      </c>
      <c r="D17">
        <v>-0.20412763467659489</v>
      </c>
    </row>
    <row r="18" spans="1:4" x14ac:dyDescent="0.35">
      <c r="A18">
        <v>1.7999999999999998</v>
      </c>
      <c r="B18">
        <v>0.80883317143640465</v>
      </c>
      <c r="C18">
        <v>4.7608202864026707E-2</v>
      </c>
      <c r="D18">
        <v>-0.20684693410961638</v>
      </c>
    </row>
    <row r="19" spans="1:4" x14ac:dyDescent="0.35">
      <c r="A19">
        <v>2.0999999999999996</v>
      </c>
      <c r="B19">
        <v>0.84629996218715708</v>
      </c>
      <c r="C19">
        <v>5.2052649074458682E-2</v>
      </c>
      <c r="D19">
        <v>-0.20846707661751518</v>
      </c>
    </row>
    <row r="20" spans="1:4" x14ac:dyDescent="0.35">
      <c r="A20">
        <v>2.3999999999999995</v>
      </c>
      <c r="B20">
        <v>0.88232916885624468</v>
      </c>
      <c r="C20">
        <v>5.7076734557862482E-2</v>
      </c>
      <c r="D20">
        <v>-0.21030942278406226</v>
      </c>
    </row>
    <row r="21" spans="1:4" x14ac:dyDescent="0.35">
      <c r="A21">
        <v>2.7</v>
      </c>
      <c r="B21">
        <v>0.91638192874623148</v>
      </c>
      <c r="C21">
        <v>6.2653584183710212E-2</v>
      </c>
      <c r="D21">
        <v>-0.21264566785333652</v>
      </c>
    </row>
    <row r="22" spans="1:4" x14ac:dyDescent="0.35">
      <c r="A22">
        <v>3</v>
      </c>
      <c r="B22">
        <v>0.9489615348643845</v>
      </c>
      <c r="C22">
        <v>6.8711031000956366E-2</v>
      </c>
      <c r="D22">
        <v>-0.21546557121508567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0488-4DFB-45A9-A718-D9D5EC8978E1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-0.64365640334006036</v>
      </c>
      <c r="C2">
        <v>4.5720947431992835E-2</v>
      </c>
      <c r="D2">
        <v>3.3091745275694529E-2</v>
      </c>
    </row>
    <row r="3" spans="1:4" x14ac:dyDescent="0.35">
      <c r="A3">
        <v>-2.7</v>
      </c>
      <c r="B3">
        <v>-0.5603143825389858</v>
      </c>
      <c r="C3">
        <v>3.6750010270783416E-2</v>
      </c>
      <c r="D3">
        <v>6.0552694372525747E-3</v>
      </c>
    </row>
    <row r="4" spans="1:4" x14ac:dyDescent="0.35">
      <c r="A4">
        <v>-2.4</v>
      </c>
      <c r="B4">
        <v>-0.33789287657079453</v>
      </c>
      <c r="C4">
        <v>1.984268377416944E-2</v>
      </c>
      <c r="D4">
        <v>-5.6433695889785217E-2</v>
      </c>
    </row>
    <row r="5" spans="1:4" x14ac:dyDescent="0.35">
      <c r="A5">
        <v>-2.1</v>
      </c>
      <c r="B5">
        <v>-0.20473615641792367</v>
      </c>
      <c r="C5">
        <v>1.2411757992262429E-2</v>
      </c>
      <c r="D5">
        <v>-7.7764989137958554E-2</v>
      </c>
    </row>
    <row r="6" spans="1:4" x14ac:dyDescent="0.35">
      <c r="A6">
        <v>-1.8</v>
      </c>
      <c r="B6">
        <v>-8.6611478974804368E-2</v>
      </c>
      <c r="C6">
        <v>8.8370801404949895E-3</v>
      </c>
      <c r="D6">
        <v>-8.6337142382615042E-2</v>
      </c>
    </row>
    <row r="7" spans="1:4" x14ac:dyDescent="0.35">
      <c r="A7">
        <v>-1.5</v>
      </c>
      <c r="B7">
        <v>1.4662338217748101E-2</v>
      </c>
      <c r="C7">
        <v>7.7866809736125047E-3</v>
      </c>
      <c r="D7">
        <v>-8.7958704178250982E-2</v>
      </c>
    </row>
    <row r="8" spans="1:4" x14ac:dyDescent="0.35">
      <c r="A8">
        <v>-1.2000000000000002</v>
      </c>
      <c r="B8">
        <v>0.10616099817361087</v>
      </c>
      <c r="C8">
        <v>8.1616900326428408E-3</v>
      </c>
      <c r="D8">
        <v>-9.0979529767509434E-2</v>
      </c>
    </row>
    <row r="9" spans="1:4" x14ac:dyDescent="0.35">
      <c r="A9">
        <v>-0.89999999999999991</v>
      </c>
      <c r="B9">
        <v>0.19698759460064524</v>
      </c>
      <c r="C9">
        <v>9.5059555058565493E-3</v>
      </c>
      <c r="D9">
        <v>-9.9555812685768713E-2</v>
      </c>
    </row>
    <row r="10" spans="1:4" x14ac:dyDescent="0.35">
      <c r="A10">
        <v>-0.60000000000000009</v>
      </c>
      <c r="B10">
        <v>0.29349229431309293</v>
      </c>
      <c r="C10">
        <v>1.1936436054764623E-2</v>
      </c>
      <c r="D10">
        <v>-0.11413714668706458</v>
      </c>
    </row>
    <row r="11" spans="1:4" x14ac:dyDescent="0.35">
      <c r="A11">
        <v>-0.30000000000000027</v>
      </c>
      <c r="B11">
        <v>0.39853108759826145</v>
      </c>
      <c r="C11">
        <v>1.5751483778877685E-2</v>
      </c>
      <c r="D11">
        <v>-0.13536102999543262</v>
      </c>
    </row>
    <row r="12" spans="1:4" x14ac:dyDescent="0.35">
      <c r="A12">
        <v>0</v>
      </c>
      <c r="B12">
        <v>0.50539182471934141</v>
      </c>
      <c r="C12">
        <v>2.0898872809638168E-2</v>
      </c>
      <c r="D12">
        <v>-0.16141593465242318</v>
      </c>
    </row>
    <row r="13" spans="1:4" x14ac:dyDescent="0.35">
      <c r="A13">
        <v>0.29999999999999982</v>
      </c>
      <c r="B13">
        <v>0.59137576279161108</v>
      </c>
      <c r="C13">
        <v>2.6055860807080309E-2</v>
      </c>
      <c r="D13">
        <v>-0.18207543287929495</v>
      </c>
    </row>
    <row r="14" spans="1:4" x14ac:dyDescent="0.35">
      <c r="A14">
        <v>0.59999999999999964</v>
      </c>
      <c r="B14">
        <v>0.65550687306516897</v>
      </c>
      <c r="C14">
        <v>3.0660420347251707E-2</v>
      </c>
      <c r="D14">
        <v>-0.19472585541070267</v>
      </c>
    </row>
    <row r="15" spans="1:4" x14ac:dyDescent="0.35">
      <c r="A15">
        <v>0.89999999999999991</v>
      </c>
      <c r="B15">
        <v>0.70741513488890884</v>
      </c>
      <c r="C15">
        <v>3.5068329210275598E-2</v>
      </c>
      <c r="D15">
        <v>-0.20286605835255903</v>
      </c>
    </row>
    <row r="16" spans="1:4" x14ac:dyDescent="0.35">
      <c r="A16">
        <v>1.2000000000000002</v>
      </c>
      <c r="B16">
        <v>0.75230624748124442</v>
      </c>
      <c r="C16">
        <v>3.9463511821117521E-2</v>
      </c>
      <c r="D16">
        <v>-0.20842837033128303</v>
      </c>
    </row>
    <row r="17" spans="1:4" x14ac:dyDescent="0.35">
      <c r="A17">
        <v>1.5</v>
      </c>
      <c r="B17">
        <v>0.79235628947599535</v>
      </c>
      <c r="C17">
        <v>4.4014099447171995E-2</v>
      </c>
      <c r="D17">
        <v>-0.21259895822660752</v>
      </c>
    </row>
    <row r="18" spans="1:4" x14ac:dyDescent="0.35">
      <c r="A18">
        <v>1.7999999999999998</v>
      </c>
      <c r="B18">
        <v>0.82926937017255931</v>
      </c>
      <c r="C18">
        <v>4.8597090831942288E-2</v>
      </c>
      <c r="D18">
        <v>-0.21570905251182296</v>
      </c>
    </row>
    <row r="19" spans="1:4" x14ac:dyDescent="0.35">
      <c r="A19">
        <v>2.0999999999999996</v>
      </c>
      <c r="B19">
        <v>0.86814742907437026</v>
      </c>
      <c r="C19">
        <v>5.3279025309408194E-2</v>
      </c>
      <c r="D19">
        <v>-0.21789482796210066</v>
      </c>
    </row>
    <row r="20" spans="1:4" x14ac:dyDescent="0.35">
      <c r="A20">
        <v>2.3999999999999995</v>
      </c>
      <c r="B20">
        <v>0.90537914606453918</v>
      </c>
      <c r="C20">
        <v>5.8602650800435668E-2</v>
      </c>
      <c r="D20">
        <v>-0.22051291660995703</v>
      </c>
    </row>
    <row r="21" spans="1:4" x14ac:dyDescent="0.35">
      <c r="A21">
        <v>2.7</v>
      </c>
      <c r="B21">
        <v>0.94081692206242984</v>
      </c>
      <c r="C21">
        <v>6.4502208576667872E-2</v>
      </c>
      <c r="D21">
        <v>-0.22370925762757493</v>
      </c>
    </row>
    <row r="22" spans="1:4" x14ac:dyDescent="0.35">
      <c r="A22">
        <v>3</v>
      </c>
      <c r="B22">
        <v>0.97530584344402205</v>
      </c>
      <c r="C22">
        <v>7.0948862591867973E-2</v>
      </c>
      <c r="D22">
        <v>-0.22763766882674052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095B-294B-41A2-92AB-AA313040D89B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-0.61515143659682869</v>
      </c>
      <c r="C2">
        <v>4.3190195456654382E-2</v>
      </c>
      <c r="D2">
        <v>1.9970627484498293E-2</v>
      </c>
    </row>
    <row r="3" spans="1:4" x14ac:dyDescent="0.35">
      <c r="A3">
        <v>-2.7</v>
      </c>
      <c r="B3">
        <v>-0.54912653299205594</v>
      </c>
      <c r="C3">
        <v>3.5554644290606577E-2</v>
      </c>
      <c r="D3">
        <v>8.5992054236620817E-4</v>
      </c>
    </row>
    <row r="4" spans="1:4" x14ac:dyDescent="0.35">
      <c r="A4">
        <v>-2.4</v>
      </c>
      <c r="B4">
        <v>-0.33434268742018264</v>
      </c>
      <c r="C4">
        <v>1.9138409845302063E-2</v>
      </c>
      <c r="D4">
        <v>-5.7823921268533265E-2</v>
      </c>
    </row>
    <row r="5" spans="1:4" x14ac:dyDescent="0.35">
      <c r="A5">
        <v>-2.1</v>
      </c>
      <c r="B5">
        <v>-0.20213026633774617</v>
      </c>
      <c r="C5">
        <v>1.1785420586652435E-2</v>
      </c>
      <c r="D5">
        <v>-7.8614486801660555E-2</v>
      </c>
    </row>
    <row r="6" spans="1:4" x14ac:dyDescent="0.35">
      <c r="A6">
        <v>-1.8</v>
      </c>
      <c r="B6">
        <v>-8.4055123244073687E-2</v>
      </c>
      <c r="C6">
        <v>8.2455191001896532E-3</v>
      </c>
      <c r="D6">
        <v>-8.7041125141866876E-2</v>
      </c>
    </row>
    <row r="7" spans="1:4" x14ac:dyDescent="0.35">
      <c r="A7">
        <v>-1.5</v>
      </c>
      <c r="B7">
        <v>1.739892501101991E-2</v>
      </c>
      <c r="C7">
        <v>7.2182240680638199E-3</v>
      </c>
      <c r="D7">
        <v>-8.8671497578301756E-2</v>
      </c>
    </row>
    <row r="8" spans="1:4" x14ac:dyDescent="0.35">
      <c r="A8">
        <v>-1.2000000000000002</v>
      </c>
      <c r="B8">
        <v>0.1091760866930164</v>
      </c>
      <c r="C8">
        <v>7.6200759452090504E-3</v>
      </c>
      <c r="D8">
        <v>-9.1780971724062715E-2</v>
      </c>
    </row>
    <row r="9" spans="1:4" x14ac:dyDescent="0.35">
      <c r="A9">
        <v>-0.89999999999999991</v>
      </c>
      <c r="B9">
        <v>0.20035010755904623</v>
      </c>
      <c r="C9">
        <v>8.9967821945829245E-3</v>
      </c>
      <c r="D9">
        <v>-0.10048553938401263</v>
      </c>
    </row>
    <row r="10" spans="1:4" x14ac:dyDescent="0.35">
      <c r="A10">
        <v>-0.60000000000000009</v>
      </c>
      <c r="B10">
        <v>0.29731929723682954</v>
      </c>
      <c r="C10">
        <v>1.1470827009322176E-2</v>
      </c>
      <c r="D10">
        <v>-0.1152513422027157</v>
      </c>
    </row>
    <row r="11" spans="1:4" x14ac:dyDescent="0.35">
      <c r="A11">
        <v>-0.30000000000000027</v>
      </c>
      <c r="B11">
        <v>0.40330313875096513</v>
      </c>
      <c r="C11">
        <v>1.5359555802028328E-2</v>
      </c>
      <c r="D11">
        <v>-0.13687548875019856</v>
      </c>
    </row>
    <row r="12" spans="1:4" x14ac:dyDescent="0.35">
      <c r="A12">
        <v>0</v>
      </c>
      <c r="B12">
        <v>0.51326688932859799</v>
      </c>
      <c r="C12">
        <v>2.0702413116195677E-2</v>
      </c>
      <c r="D12">
        <v>-0.16428691735878284</v>
      </c>
    </row>
    <row r="13" spans="1:4" x14ac:dyDescent="0.35">
      <c r="A13">
        <v>0.29999999999999982</v>
      </c>
      <c r="B13">
        <v>0.6032766589152686</v>
      </c>
      <c r="C13">
        <v>2.6143265183919254E-2</v>
      </c>
      <c r="D13">
        <v>-0.18685155275696411</v>
      </c>
    </row>
    <row r="14" spans="1:4" x14ac:dyDescent="0.35">
      <c r="A14">
        <v>0.59999999999999964</v>
      </c>
      <c r="B14">
        <v>0.66968592004923744</v>
      </c>
      <c r="C14">
        <v>3.0960901950587098E-2</v>
      </c>
      <c r="D14">
        <v>-0.20067941698496181</v>
      </c>
    </row>
    <row r="15" spans="1:4" x14ac:dyDescent="0.35">
      <c r="A15">
        <v>0.89999999999999991</v>
      </c>
      <c r="B15">
        <v>0.72302253315135301</v>
      </c>
      <c r="C15">
        <v>3.5549364645016623E-2</v>
      </c>
      <c r="D15">
        <v>-0.20961783167131348</v>
      </c>
    </row>
    <row r="16" spans="1:4" x14ac:dyDescent="0.35">
      <c r="A16">
        <v>1.2000000000000002</v>
      </c>
      <c r="B16">
        <v>0.76919703481296997</v>
      </c>
      <c r="C16">
        <v>4.0125973062419426E-2</v>
      </c>
      <c r="D16">
        <v>-0.21587504156959197</v>
      </c>
    </row>
    <row r="17" spans="1:4" x14ac:dyDescent="0.35">
      <c r="A17">
        <v>1.5</v>
      </c>
      <c r="B17">
        <v>0.81039647990513808</v>
      </c>
      <c r="C17">
        <v>4.4879754135912386E-2</v>
      </c>
      <c r="D17">
        <v>-0.22075842093813117</v>
      </c>
    </row>
    <row r="18" spans="1:4" x14ac:dyDescent="0.35">
      <c r="A18">
        <v>1.7999999999999998</v>
      </c>
      <c r="B18">
        <v>0.84886805086738626</v>
      </c>
      <c r="C18">
        <v>4.9595358602603098E-2</v>
      </c>
      <c r="D18">
        <v>-0.22435833299383601</v>
      </c>
    </row>
    <row r="19" spans="1:4" x14ac:dyDescent="0.35">
      <c r="A19">
        <v>2.0999999999999996</v>
      </c>
      <c r="B19">
        <v>0.88934268987867038</v>
      </c>
      <c r="C19">
        <v>5.455355178226292E-2</v>
      </c>
      <c r="D19">
        <v>-0.22733002509184325</v>
      </c>
    </row>
    <row r="20" spans="1:4" x14ac:dyDescent="0.35">
      <c r="A20">
        <v>2.3999999999999995</v>
      </c>
      <c r="B20">
        <v>0.92813432604656521</v>
      </c>
      <c r="C20">
        <v>6.0202518576720584E-2</v>
      </c>
      <c r="D20">
        <v>-0.23091731010757729</v>
      </c>
    </row>
    <row r="21" spans="1:4" x14ac:dyDescent="0.35">
      <c r="A21">
        <v>2.7</v>
      </c>
      <c r="B21">
        <v>0.96574597915855454</v>
      </c>
      <c r="C21">
        <v>6.650177308177159E-2</v>
      </c>
      <c r="D21">
        <v>-0.23539213639219833</v>
      </c>
    </row>
    <row r="22" spans="1:4" x14ac:dyDescent="0.35">
      <c r="A22">
        <v>3</v>
      </c>
      <c r="B22">
        <v>1.0030694528238138</v>
      </c>
      <c r="C22">
        <v>7.3439174054494821E-2</v>
      </c>
      <c r="D22">
        <v>-0.24094661449903604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topLeftCell="D1" zoomScale="70" zoomScaleNormal="70" workbookViewId="0">
      <selection activeCell="W34" sqref="W34:AB34"/>
    </sheetView>
  </sheetViews>
  <sheetFormatPr defaultRowHeight="14.5" x14ac:dyDescent="0.35"/>
  <sheetData>
    <row r="1" spans="1:19" x14ac:dyDescent="0.35">
      <c r="A1" t="s">
        <v>12</v>
      </c>
      <c r="B1" s="1" t="s">
        <v>277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69" ca="1">_xlfn._xlws.FILTER(INDIRECT("'" &amp; B1 &amp; "'!A2:A1000"),(INDIRECT("'" &amp; B1 &amp; "'!C2:C1000")&lt;G3) * (INDIRECT("'" &amp; B1 &amp; "'!C2:C1000")&lt;&gt;""))</f>
        <v>-1.65</v>
      </c>
      <c r="B4" cm="1">
        <f t="array" aca="1" ref="B4:B69" ca="1">_xlfn._xlws.FILTER(INDIRECT("'" &amp; B1 &amp; "'!C2:C1000"),(INDIRECT("'" &amp; B1 &amp; "'!C2:C1000")&lt;G3) * (INDIRECT("'" &amp; B1 &amp; "'!C2:C1000")&lt;&gt;""))</f>
        <v>6.28E-3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8.868052384102959E-3</v>
      </c>
      <c r="D4" cm="1">
        <f t="array" aca="1" ref="D4:D69" ca="1">_xlfn._xlws.FILTER(INDIRECT("'" &amp; B1 &amp; "'!B2:B1000"),(INDIRECT("'" &amp; B1 &amp; "'!C2:C1000")&lt;G3) * (INDIRECT("'" &amp; B1 &amp; "'!C2:C1000")&lt;&gt;""))</f>
        <v>-5.5500000000000001E-2</v>
      </c>
      <c r="I4">
        <f ca="1">$G$16 * (J4 - $G$6)^2 + $G$5</f>
        <v>5.3600000000000002E-3</v>
      </c>
      <c r="J4">
        <f ca="1">$G$9 + ($G$6 - $G$9) * (ROW(A1)-1)/99</f>
        <v>-0.01</v>
      </c>
      <c r="L4">
        <f ca="1">$G$17 * (M4 - $G$6)^2 + $G$5</f>
        <v>5.4299999999999999E-3</v>
      </c>
      <c r="M4">
        <f ca="1">$G$13 + ($G$6 - $G$13) * (ROW(F1)-1)/99</f>
        <v>0.60029999999999994</v>
      </c>
      <c r="O4">
        <f ca="1">$G$10 + $G$19 * ($G$23 * (P4 - $G$9))^2 + $G$21 * (1 - (P4 - $G$6)/($G$9 - $G$6))</f>
        <v>8.868052384102959E-3</v>
      </c>
      <c r="P4">
        <f ca="1">$G$26 + ($G$9 - $G$26) * (ROW(A1)-1)/99</f>
        <v>-5.5500000000000001E-2</v>
      </c>
      <c r="R4">
        <f ca="1">$G$14 + $G$19 * ($G$23 * (S4 - $G$13))^2 - $G$22 * (1 - (S4 - $G$6)/($G$13 - $G$6))</f>
        <v>5.4299999999999999E-3</v>
      </c>
      <c r="S4">
        <f ca="1">$G$13 + ($G$25 - $G$13) * (ROW(A1)-1)/99</f>
        <v>0.60029999999999994</v>
      </c>
    </row>
    <row r="5" spans="1:19" x14ac:dyDescent="0.35">
      <c r="A5">
        <f ca="1"/>
        <v>-1.6</v>
      </c>
      <c r="B5">
        <f ca="1"/>
        <v>5.94E-3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7.5883668286855664E-3</v>
      </c>
      <c r="D5">
        <f ca="1"/>
        <v>-4.4900000000000002E-2</v>
      </c>
      <c r="F5" t="s">
        <v>13</v>
      </c>
      <c r="G5">
        <f ca="1">MIN(B4:B1000)</f>
        <v>5.0899999999999999E-3</v>
      </c>
      <c r="I5">
        <f t="shared" ref="I5:I68" ca="1" si="1">$G$16 * (J5 - $G$6)^2 + $G$5</f>
        <v>5.3545730027548212E-3</v>
      </c>
      <c r="J5">
        <f t="shared" ref="J5:J36" ca="1" si="2">$G$9 + ($G$6 - $G$9) * (ROW(B2)-1)/99</f>
        <v>-8.3494949494949504E-3</v>
      </c>
      <c r="L5">
        <f t="shared" ref="L5:L68" ca="1" si="3">$G$17 * (M5 - $G$6)^2 + $G$5</f>
        <v>5.4231660034690333E-3</v>
      </c>
      <c r="M5">
        <f t="shared" ref="M5:M68" ca="1" si="4">$G$13 + ($G$6 - $G$13) * (ROW(F2)-1)/99</f>
        <v>0.59578585858585853</v>
      </c>
      <c r="O5">
        <f t="shared" ref="O5:O68" ca="1" si="5">$G$10 + $G$19 * ($G$23 * (P5 - $G$9))^2 + $G$21 * (1 - (P5 - $G$6)/($G$9 - $G$6))</f>
        <v>8.8067420268918405E-3</v>
      </c>
      <c r="P5">
        <f t="shared" ref="P5:P36" ca="1" si="6">$G$26 + ($G$9 - $G$26) * (ROW(B2)-1)/99</f>
        <v>-5.5040404040404042E-2</v>
      </c>
      <c r="R5">
        <f t="shared" ref="R5:R68" ca="1" si="7">$G$14 + $G$19 * ($G$23 * (S5 - $G$13))^2 - $G$22 * (1 - (S5 - $G$6)/($G$13 - $G$6))</f>
        <v>5.4338167476507349E-3</v>
      </c>
      <c r="S5">
        <f t="shared" ref="S5:S36" ca="1" si="8">$G$13 + ($G$25 - $G$13) * (ROW(B2)-1)/99</f>
        <v>0.60115353535353533</v>
      </c>
    </row>
    <row r="6" spans="1:19" x14ac:dyDescent="0.35">
      <c r="A6">
        <f ca="1"/>
        <v>-1.55</v>
      </c>
      <c r="B6">
        <f ca="1"/>
        <v>5.6800000000000002E-3</v>
      </c>
      <c r="C6">
        <f t="shared" ca="1" si="0"/>
        <v>6.5414462418294543E-3</v>
      </c>
      <c r="D6">
        <f ca="1"/>
        <v>-3.3700000000000001E-2</v>
      </c>
      <c r="F6" t="s">
        <v>14</v>
      </c>
      <c r="G6">
        <f ca="1">INDEX(D4:D1000, MATCH(G5, B4:B1000, 0))</f>
        <v>0.15340000000000001</v>
      </c>
      <c r="I6">
        <f t="shared" ca="1" si="1"/>
        <v>5.3492011019283751E-3</v>
      </c>
      <c r="J6">
        <f t="shared" ca="1" si="2"/>
        <v>-6.6989898989898988E-3</v>
      </c>
      <c r="L6">
        <f t="shared" ca="1" si="3"/>
        <v>5.4164013876135085E-3</v>
      </c>
      <c r="M6">
        <f t="shared" ca="1" si="4"/>
        <v>0.59127171717171711</v>
      </c>
      <c r="O6">
        <f t="shared" ca="1" si="5"/>
        <v>8.7459597407959118E-3</v>
      </c>
      <c r="P6">
        <f t="shared" ca="1" si="6"/>
        <v>-5.4580808080808084E-2</v>
      </c>
      <c r="R6">
        <f t="shared" ca="1" si="7"/>
        <v>5.4394548018008044E-3</v>
      </c>
      <c r="S6">
        <f t="shared" ca="1" si="8"/>
        <v>0.6020070707070706</v>
      </c>
    </row>
    <row r="7" spans="1:19" x14ac:dyDescent="0.35">
      <c r="A7">
        <f ca="1"/>
        <v>-1.5</v>
      </c>
      <c r="B7">
        <f ca="1"/>
        <v>5.4799999999999996E-3</v>
      </c>
      <c r="C7">
        <f t="shared" ca="1" si="0"/>
        <v>5.7827006287744067E-3</v>
      </c>
      <c r="D7">
        <f ca="1"/>
        <v>-2.1999999999999999E-2</v>
      </c>
      <c r="I7">
        <f t="shared" ca="1" si="1"/>
        <v>5.343884297520661E-3</v>
      </c>
      <c r="J7">
        <f t="shared" ca="1" si="2"/>
        <v>-5.0484848484848481E-3</v>
      </c>
      <c r="L7">
        <f t="shared" ca="1" si="3"/>
        <v>5.4097061524334255E-3</v>
      </c>
      <c r="M7">
        <f t="shared" ca="1" si="4"/>
        <v>0.5867575757575757</v>
      </c>
      <c r="O7">
        <f t="shared" ca="1" si="5"/>
        <v>8.6857055258151745E-3</v>
      </c>
      <c r="P7">
        <f t="shared" ca="1" si="6"/>
        <v>-5.4121212121212119E-2</v>
      </c>
      <c r="R7">
        <f t="shared" ca="1" si="7"/>
        <v>5.4469141624502128E-3</v>
      </c>
      <c r="S7">
        <f t="shared" ca="1" si="8"/>
        <v>0.60286060606060599</v>
      </c>
    </row>
    <row r="8" spans="1:19" x14ac:dyDescent="0.35">
      <c r="A8">
        <f ca="1"/>
        <v>-1.45</v>
      </c>
      <c r="B8">
        <f ca="1"/>
        <v>5.3600000000000002E-3</v>
      </c>
      <c r="C8">
        <f t="shared" ca="1" si="0"/>
        <v>5.3600000000000002E-3</v>
      </c>
      <c r="D8">
        <f ca="1"/>
        <v>-0.01</v>
      </c>
      <c r="F8" t="s">
        <v>15</v>
      </c>
      <c r="G8" s="5">
        <v>5</v>
      </c>
      <c r="I8">
        <f t="shared" ca="1" si="1"/>
        <v>5.3386225895316807E-3</v>
      </c>
      <c r="J8">
        <f t="shared" ca="1" si="2"/>
        <v>-3.3979797979797974E-3</v>
      </c>
      <c r="L8">
        <f t="shared" ca="1" si="3"/>
        <v>5.4030802979287825E-3</v>
      </c>
      <c r="M8">
        <f t="shared" ca="1" si="4"/>
        <v>0.58224343434343429</v>
      </c>
      <c r="O8">
        <f t="shared" ca="1" si="5"/>
        <v>8.6259793819496323E-3</v>
      </c>
      <c r="P8">
        <f t="shared" ca="1" si="6"/>
        <v>-5.366161616161616E-2</v>
      </c>
      <c r="R8">
        <f t="shared" ca="1" si="7"/>
        <v>5.4561948295989574E-3</v>
      </c>
      <c r="S8">
        <f t="shared" ca="1" si="8"/>
        <v>0.60371414141414137</v>
      </c>
    </row>
    <row r="9" spans="1:19" x14ac:dyDescent="0.35">
      <c r="A9">
        <f ca="1"/>
        <v>-1.4</v>
      </c>
      <c r="B9">
        <f ca="1"/>
        <v>5.28E-3</v>
      </c>
      <c r="C9">
        <f t="shared" ca="1" si="0"/>
        <v>5.321492814862867E-3</v>
      </c>
      <c r="D9">
        <f ca="1"/>
        <v>2.0999999999999999E-3</v>
      </c>
      <c r="F9" t="s">
        <v>17</v>
      </c>
      <c r="G9" cm="1">
        <f t="array" aca="1" ref="G9" ca="1">INDEX(D4:D1000, G8)</f>
        <v>-0.01</v>
      </c>
      <c r="I9">
        <f t="shared" ca="1" si="1"/>
        <v>5.3334159779614325E-3</v>
      </c>
      <c r="J9">
        <f t="shared" ca="1" si="2"/>
        <v>-1.7474747474747476E-3</v>
      </c>
      <c r="L9">
        <f t="shared" ca="1" si="3"/>
        <v>5.3965238240995814E-3</v>
      </c>
      <c r="M9">
        <f t="shared" ca="1" si="4"/>
        <v>0.57772929292929287</v>
      </c>
      <c r="O9">
        <f t="shared" ca="1" si="5"/>
        <v>8.566781309199278E-3</v>
      </c>
      <c r="P9">
        <f t="shared" ca="1" si="6"/>
        <v>-5.3202020202020202E-2</v>
      </c>
      <c r="R9">
        <f t="shared" ca="1" si="7"/>
        <v>5.46729680324704E-3</v>
      </c>
      <c r="S9">
        <f t="shared" ca="1" si="8"/>
        <v>0.60456767676767675</v>
      </c>
    </row>
    <row r="10" spans="1:19" x14ac:dyDescent="0.35">
      <c r="A10">
        <f ca="1"/>
        <v>-1.35</v>
      </c>
      <c r="B10">
        <f ca="1"/>
        <v>5.2300000000000003E-3</v>
      </c>
      <c r="C10">
        <f t="shared" ca="1" si="0"/>
        <v>5.2859467796473047E-3</v>
      </c>
      <c r="D10">
        <f ca="1"/>
        <v>1.4200000000000001E-2</v>
      </c>
      <c r="F10" t="s">
        <v>18</v>
      </c>
      <c r="G10" cm="1">
        <f t="array" aca="1" ref="G10" ca="1">INDEX(B4:B1000, G8)</f>
        <v>5.3600000000000002E-3</v>
      </c>
      <c r="I10">
        <f t="shared" ca="1" si="1"/>
        <v>5.3282644628099172E-3</v>
      </c>
      <c r="J10">
        <f t="shared" ca="1" si="2"/>
        <v>-9.6969696969696068E-5</v>
      </c>
      <c r="L10">
        <f t="shared" ca="1" si="3"/>
        <v>5.3900367309458221E-3</v>
      </c>
      <c r="M10">
        <f t="shared" ca="1" si="4"/>
        <v>0.57321515151515146</v>
      </c>
      <c r="O10">
        <f t="shared" ca="1" si="5"/>
        <v>8.5081113075641205E-3</v>
      </c>
      <c r="P10">
        <f t="shared" ca="1" si="6"/>
        <v>-5.2742424242424243E-2</v>
      </c>
      <c r="R10">
        <f t="shared" ca="1" si="7"/>
        <v>5.4802200833944572E-3</v>
      </c>
      <c r="S10">
        <f t="shared" ca="1" si="8"/>
        <v>0.60542121212121203</v>
      </c>
    </row>
    <row r="11" spans="1:19" x14ac:dyDescent="0.35">
      <c r="A11">
        <f ca="1"/>
        <v>-1.3</v>
      </c>
      <c r="B11">
        <f ca="1"/>
        <v>5.1900000000000002E-3</v>
      </c>
      <c r="C11">
        <f t="shared" ca="1" si="0"/>
        <v>5.2538764196863172E-3</v>
      </c>
      <c r="D11">
        <f ca="1"/>
        <v>2.6100000000000002E-2</v>
      </c>
      <c r="I11">
        <f t="shared" ca="1" si="1"/>
        <v>5.3231680440771348E-3</v>
      </c>
      <c r="J11">
        <f t="shared" ca="1" si="2"/>
        <v>1.5535353535353555E-3</v>
      </c>
      <c r="L11">
        <f t="shared" ca="1" si="3"/>
        <v>5.3836190184675028E-3</v>
      </c>
      <c r="M11">
        <f t="shared" ca="1" si="4"/>
        <v>0.56870101010101004</v>
      </c>
      <c r="O11">
        <f t="shared" ca="1" si="5"/>
        <v>8.4499693770441545E-3</v>
      </c>
      <c r="P11">
        <f t="shared" ca="1" si="6"/>
        <v>-5.2282828282828285E-2</v>
      </c>
      <c r="R11">
        <f t="shared" ca="1" si="7"/>
        <v>5.4949646700412115E-3</v>
      </c>
      <c r="S11">
        <f t="shared" ca="1" si="8"/>
        <v>0.60627474747474741</v>
      </c>
    </row>
    <row r="12" spans="1:19" x14ac:dyDescent="0.35">
      <c r="A12">
        <f ca="1"/>
        <v>-1.25</v>
      </c>
      <c r="B12">
        <f ca="1"/>
        <v>5.1599999999999997E-3</v>
      </c>
      <c r="C12">
        <f t="shared" ca="1" si="0"/>
        <v>5.2246701293953909E-3</v>
      </c>
      <c r="D12">
        <f ca="1"/>
        <v>3.7999999999999999E-2</v>
      </c>
      <c r="F12" t="s">
        <v>16</v>
      </c>
      <c r="G12" s="5">
        <v>59</v>
      </c>
      <c r="I12">
        <f t="shared" ca="1" si="1"/>
        <v>5.3181267217630853E-3</v>
      </c>
      <c r="J12">
        <f t="shared" ca="1" si="2"/>
        <v>3.2040404040404053E-3</v>
      </c>
      <c r="L12">
        <f t="shared" ca="1" si="3"/>
        <v>5.3772706866646262E-3</v>
      </c>
      <c r="M12">
        <f t="shared" ca="1" si="4"/>
        <v>0.56418686868686863</v>
      </c>
      <c r="O12">
        <f t="shared" ca="1" si="5"/>
        <v>8.3923555176393799E-3</v>
      </c>
      <c r="P12">
        <f t="shared" ca="1" si="6"/>
        <v>-5.1823232323232327E-2</v>
      </c>
      <c r="R12">
        <f t="shared" ca="1" si="7"/>
        <v>5.5115305631873047E-3</v>
      </c>
      <c r="S12">
        <f t="shared" ca="1" si="8"/>
        <v>0.60712828282828279</v>
      </c>
    </row>
    <row r="13" spans="1:19" x14ac:dyDescent="0.35">
      <c r="A13">
        <f ca="1"/>
        <v>-1.2</v>
      </c>
      <c r="B13">
        <f ca="1"/>
        <v>5.1500000000000001E-3</v>
      </c>
      <c r="C13">
        <f t="shared" ca="1" si="0"/>
        <v>5.1985373391921063E-3</v>
      </c>
      <c r="D13">
        <f ca="1"/>
        <v>4.9799999999999997E-2</v>
      </c>
      <c r="F13" t="s">
        <v>19</v>
      </c>
      <c r="G13" cm="1">
        <f t="array" aca="1" ref="G13" ca="1">INDEX(D4:D1000, G12)</f>
        <v>0.60029999999999994</v>
      </c>
      <c r="I13">
        <f t="shared" ca="1" si="1"/>
        <v>5.3131404958677688E-3</v>
      </c>
      <c r="J13">
        <f t="shared" ca="1" si="2"/>
        <v>4.8545454545454551E-3</v>
      </c>
      <c r="L13">
        <f t="shared" ca="1" si="3"/>
        <v>5.3709917355371896E-3</v>
      </c>
      <c r="M13">
        <f t="shared" ca="1" si="4"/>
        <v>0.55967272727272721</v>
      </c>
      <c r="O13">
        <f t="shared" ca="1" si="5"/>
        <v>8.3352697293497986E-3</v>
      </c>
      <c r="P13">
        <f t="shared" ca="1" si="6"/>
        <v>-5.1363636363636361E-2</v>
      </c>
      <c r="R13">
        <f t="shared" ca="1" si="7"/>
        <v>5.5299177628327341E-3</v>
      </c>
      <c r="S13">
        <f t="shared" ca="1" si="8"/>
        <v>0.60798181818181818</v>
      </c>
    </row>
    <row r="14" spans="1:19" x14ac:dyDescent="0.35">
      <c r="A14">
        <f ca="1"/>
        <v>-1.1499999999999999</v>
      </c>
      <c r="B14">
        <f ca="1"/>
        <v>5.13E-3</v>
      </c>
      <c r="C14">
        <f t="shared" ca="1" si="0"/>
        <v>5.1752206852847017E-3</v>
      </c>
      <c r="D14">
        <f ca="1"/>
        <v>6.1600000000000002E-2</v>
      </c>
      <c r="F14" t="s">
        <v>20</v>
      </c>
      <c r="G14" cm="1">
        <f t="array" aca="1" ref="G14" ca="1">INDEX(B4:B1000, G12)</f>
        <v>5.4299999999999999E-3</v>
      </c>
      <c r="I14">
        <f t="shared" ca="1" si="1"/>
        <v>5.3082093663911843E-3</v>
      </c>
      <c r="J14">
        <f t="shared" ca="1" si="2"/>
        <v>6.505050505050505E-3</v>
      </c>
      <c r="L14">
        <f t="shared" ca="1" si="3"/>
        <v>5.3647821650851957E-3</v>
      </c>
      <c r="M14">
        <f t="shared" ca="1" si="4"/>
        <v>0.5551585858585858</v>
      </c>
      <c r="O14">
        <f t="shared" ca="1" si="5"/>
        <v>8.2787120121754088E-3</v>
      </c>
      <c r="P14">
        <f t="shared" ca="1" si="6"/>
        <v>-5.0904040404040403E-2</v>
      </c>
      <c r="R14">
        <f t="shared" ca="1" si="7"/>
        <v>5.5501262689774972E-3</v>
      </c>
      <c r="S14">
        <f t="shared" ca="1" si="8"/>
        <v>0.60883535353535345</v>
      </c>
    </row>
    <row r="15" spans="1:19" x14ac:dyDescent="0.35">
      <c r="A15">
        <f ca="1"/>
        <v>-1.1000000000000001</v>
      </c>
      <c r="B15">
        <f ca="1"/>
        <v>5.1200000000000004E-3</v>
      </c>
      <c r="C15">
        <f t="shared" ca="1" si="0"/>
        <v>5.1548820692176199E-3</v>
      </c>
      <c r="D15">
        <f ca="1"/>
        <v>7.3300000000000004E-2</v>
      </c>
      <c r="I15">
        <f t="shared" ca="1" si="1"/>
        <v>5.3033333333333335E-3</v>
      </c>
      <c r="J15">
        <f t="shared" ca="1" si="2"/>
        <v>8.1555555555555565E-3</v>
      </c>
      <c r="L15">
        <f t="shared" ca="1" si="3"/>
        <v>5.3586419753086419E-3</v>
      </c>
      <c r="M15">
        <f t="shared" ca="1" si="4"/>
        <v>0.55064444444444438</v>
      </c>
      <c r="O15">
        <f t="shared" ca="1" si="5"/>
        <v>8.2226823661162105E-3</v>
      </c>
      <c r="P15">
        <f t="shared" ca="1" si="6"/>
        <v>-5.0444444444444445E-2</v>
      </c>
      <c r="R15">
        <f t="shared" ca="1" si="7"/>
        <v>5.5721560816216001E-3</v>
      </c>
      <c r="S15">
        <f t="shared" ca="1" si="8"/>
        <v>0.60968888888888884</v>
      </c>
    </row>
    <row r="16" spans="1:19" x14ac:dyDescent="0.35">
      <c r="A16">
        <f ca="1"/>
        <v>-1.05</v>
      </c>
      <c r="B16">
        <f ca="1"/>
        <v>5.1200000000000004E-3</v>
      </c>
      <c r="C16">
        <f t="shared" ca="1" si="0"/>
        <v>5.1374505010569459E-3</v>
      </c>
      <c r="D16">
        <f ca="1"/>
        <v>8.4900000000000003E-2</v>
      </c>
      <c r="F16" t="s">
        <v>21</v>
      </c>
      <c r="G16">
        <f ca="1">(G10 - G5) / (G9 - G6)^2</f>
        <v>1.0112526198933625E-2</v>
      </c>
      <c r="I16">
        <f t="shared" ca="1" si="1"/>
        <v>5.2985123966942148E-3</v>
      </c>
      <c r="J16">
        <f t="shared" ca="1" si="2"/>
        <v>9.8060606060606081E-3</v>
      </c>
      <c r="L16">
        <f t="shared" ca="1" si="3"/>
        <v>5.3525711662075299E-3</v>
      </c>
      <c r="M16">
        <f t="shared" ca="1" si="4"/>
        <v>0.54613030303030297</v>
      </c>
      <c r="O16">
        <f t="shared" ca="1" si="5"/>
        <v>8.1671807911722072E-3</v>
      </c>
      <c r="P16">
        <f t="shared" ca="1" si="6"/>
        <v>-4.9984848484848486E-2</v>
      </c>
      <c r="R16">
        <f t="shared" ca="1" si="7"/>
        <v>5.5960072007650392E-3</v>
      </c>
      <c r="S16">
        <f t="shared" ca="1" si="8"/>
        <v>0.61054242424242422</v>
      </c>
    </row>
    <row r="17" spans="1:19" x14ac:dyDescent="0.35">
      <c r="A17">
        <f ca="1"/>
        <v>-1</v>
      </c>
      <c r="B17">
        <f ca="1"/>
        <v>5.11E-3</v>
      </c>
      <c r="C17">
        <f t="shared" ca="1" si="0"/>
        <v>5.1228555976203351E-3</v>
      </c>
      <c r="D17">
        <f ca="1"/>
        <v>9.64E-2</v>
      </c>
      <c r="F17" t="s">
        <v>22</v>
      </c>
      <c r="G17">
        <f ca="1">(G14 - G5) / (G13 - G6)^2</f>
        <v>1.7023866609793604E-3</v>
      </c>
      <c r="I17">
        <f t="shared" ca="1" si="1"/>
        <v>5.293746556473829E-3</v>
      </c>
      <c r="J17">
        <f t="shared" ca="1" si="2"/>
        <v>1.1456565656565656E-2</v>
      </c>
      <c r="L17">
        <f t="shared" ca="1" si="3"/>
        <v>5.3465697377818588E-3</v>
      </c>
      <c r="M17">
        <f t="shared" ca="1" si="4"/>
        <v>0.54161616161616155</v>
      </c>
      <c r="O17">
        <f t="shared" ca="1" si="5"/>
        <v>8.1122072873433936E-3</v>
      </c>
      <c r="P17">
        <f t="shared" ca="1" si="6"/>
        <v>-4.9525252525252528E-2</v>
      </c>
      <c r="R17">
        <f t="shared" ca="1" si="7"/>
        <v>5.6216796264078137E-3</v>
      </c>
      <c r="S17">
        <f t="shared" ca="1" si="8"/>
        <v>0.61139595959595949</v>
      </c>
    </row>
    <row r="18" spans="1:19" x14ac:dyDescent="0.35">
      <c r="A18">
        <f ca="1"/>
        <v>-0.95</v>
      </c>
      <c r="B18">
        <f ca="1"/>
        <v>5.11E-3</v>
      </c>
      <c r="C18">
        <f t="shared" ca="1" si="0"/>
        <v>5.1109354573633421E-3</v>
      </c>
      <c r="D18">
        <f ca="1"/>
        <v>0.1079</v>
      </c>
      <c r="I18">
        <f t="shared" ca="1" si="1"/>
        <v>5.2890358126721762E-3</v>
      </c>
      <c r="J18">
        <f t="shared" ca="1" si="2"/>
        <v>1.3107070707070711E-2</v>
      </c>
      <c r="L18">
        <f t="shared" ca="1" si="3"/>
        <v>5.3406376900316296E-3</v>
      </c>
      <c r="M18">
        <f t="shared" ca="1" si="4"/>
        <v>0.53710202020202014</v>
      </c>
      <c r="O18">
        <f t="shared" ca="1" si="5"/>
        <v>8.0577618546297716E-3</v>
      </c>
      <c r="P18">
        <f t="shared" ca="1" si="6"/>
        <v>-4.9065656565656562E-2</v>
      </c>
      <c r="R18">
        <f t="shared" ca="1" si="7"/>
        <v>5.6491733585499271E-3</v>
      </c>
      <c r="S18">
        <f t="shared" ca="1" si="8"/>
        <v>0.61224949494949488</v>
      </c>
    </row>
    <row r="19" spans="1:19" x14ac:dyDescent="0.35">
      <c r="A19">
        <f ca="1"/>
        <v>-0.9</v>
      </c>
      <c r="B19">
        <f ca="1"/>
        <v>5.1000000000000004E-3</v>
      </c>
      <c r="C19">
        <f t="shared" ca="1" si="0"/>
        <v>5.101758946589382E-3</v>
      </c>
      <c r="D19">
        <f ca="1"/>
        <v>0.1193</v>
      </c>
      <c r="F19" t="s">
        <v>26</v>
      </c>
      <c r="G19" s="3">
        <v>0.05</v>
      </c>
      <c r="I19">
        <f t="shared" ca="1" si="1"/>
        <v>5.2843801652892562E-3</v>
      </c>
      <c r="J19">
        <f t="shared" ca="1" si="2"/>
        <v>1.4757575757575759E-2</v>
      </c>
      <c r="L19">
        <f t="shared" ca="1" si="3"/>
        <v>5.3347750229568412E-3</v>
      </c>
      <c r="M19">
        <f t="shared" ca="1" si="4"/>
        <v>0.53258787878787872</v>
      </c>
      <c r="O19">
        <f t="shared" ca="1" si="5"/>
        <v>8.0038444930313445E-3</v>
      </c>
      <c r="P19">
        <f t="shared" ca="1" si="6"/>
        <v>-4.8606060606060604E-2</v>
      </c>
      <c r="R19">
        <f t="shared" ca="1" si="7"/>
        <v>5.6784883971913768E-3</v>
      </c>
      <c r="S19">
        <f t="shared" ca="1" si="8"/>
        <v>0.61310303030303026</v>
      </c>
    </row>
    <row r="20" spans="1:19" x14ac:dyDescent="0.35">
      <c r="A20">
        <f ca="1"/>
        <v>-0.85</v>
      </c>
      <c r="B20">
        <f ca="1"/>
        <v>5.1000000000000004E-3</v>
      </c>
      <c r="C20">
        <f t="shared" ca="1" si="0"/>
        <v>5.0952108836250483E-3</v>
      </c>
      <c r="D20">
        <f ca="1"/>
        <v>0.13070000000000001</v>
      </c>
      <c r="F20" t="s">
        <v>27</v>
      </c>
      <c r="G20" s="3">
        <v>0.2</v>
      </c>
      <c r="I20">
        <f t="shared" ca="1" si="1"/>
        <v>5.2797796143250692E-3</v>
      </c>
      <c r="J20">
        <f t="shared" ca="1" si="2"/>
        <v>1.6408080808080809E-2</v>
      </c>
      <c r="L20">
        <f t="shared" ca="1" si="3"/>
        <v>5.3289817365574938E-3</v>
      </c>
      <c r="M20">
        <f t="shared" ca="1" si="4"/>
        <v>0.52807373737373731</v>
      </c>
      <c r="O20">
        <f t="shared" ca="1" si="5"/>
        <v>7.9504552025481089E-3</v>
      </c>
      <c r="P20">
        <f t="shared" ca="1" si="6"/>
        <v>-4.8146464646464646E-2</v>
      </c>
      <c r="R20">
        <f t="shared" ca="1" si="7"/>
        <v>5.7096247423321653E-3</v>
      </c>
      <c r="S20">
        <f t="shared" ca="1" si="8"/>
        <v>0.61395656565656564</v>
      </c>
    </row>
    <row r="21" spans="1:19" x14ac:dyDescent="0.35">
      <c r="A21">
        <f ca="1"/>
        <v>-0.8</v>
      </c>
      <c r="B21">
        <f ca="1"/>
        <v>5.1000000000000004E-3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5.0912912684703418E-3</v>
      </c>
      <c r="D21">
        <f ca="1"/>
        <v>0.1421</v>
      </c>
      <c r="F21" t="s">
        <v>28</v>
      </c>
      <c r="G21">
        <f ca="1">2 * (G10 - G5) * (G9 - G6) / (G9 - G6)^2</f>
        <v>-3.3047735618115088E-3</v>
      </c>
      <c r="I21">
        <f t="shared" ca="1" si="1"/>
        <v>5.2752341597796142E-3</v>
      </c>
      <c r="J21">
        <f t="shared" ca="1" si="2"/>
        <v>1.8058585858585864E-2</v>
      </c>
      <c r="L21">
        <f t="shared" ca="1" si="3"/>
        <v>5.3232578308335882E-3</v>
      </c>
      <c r="M21">
        <f t="shared" ca="1" si="4"/>
        <v>0.52355959595959589</v>
      </c>
      <c r="O21">
        <f t="shared" ca="1" si="5"/>
        <v>7.8975939831800665E-3</v>
      </c>
      <c r="P21">
        <f t="shared" ca="1" si="6"/>
        <v>-4.7686868686868687E-2</v>
      </c>
      <c r="R21">
        <f t="shared" ca="1" si="7"/>
        <v>5.7425823939722849E-3</v>
      </c>
      <c r="S21">
        <f t="shared" ca="1" si="8"/>
        <v>0.61481010101010092</v>
      </c>
    </row>
    <row r="22" spans="1:19" x14ac:dyDescent="0.35">
      <c r="A22">
        <f ca="1"/>
        <v>-0.75</v>
      </c>
      <c r="B22">
        <f ca="1"/>
        <v>5.0899999999999999E-3</v>
      </c>
      <c r="C22">
        <f t="shared" ca="1" si="9"/>
        <v>5.0899999999999999E-3</v>
      </c>
      <c r="D22">
        <f ca="1"/>
        <v>0.15340000000000001</v>
      </c>
      <c r="F22" t="s">
        <v>29</v>
      </c>
      <c r="G22">
        <f ca="1">2 * (G14 - G5) * (G13 - G6) / (G13 - G6)^2</f>
        <v>1.5215931975833521E-3</v>
      </c>
      <c r="I22">
        <f t="shared" ca="1" si="1"/>
        <v>5.270743801652893E-3</v>
      </c>
      <c r="J22">
        <f t="shared" ca="1" si="2"/>
        <v>1.9709090909090912E-2</v>
      </c>
      <c r="L22">
        <f t="shared" ca="1" si="3"/>
        <v>5.3176033057851235E-3</v>
      </c>
      <c r="M22">
        <f t="shared" ca="1" si="4"/>
        <v>0.51904545454545448</v>
      </c>
      <c r="O22">
        <f t="shared" ca="1" si="5"/>
        <v>7.8452608349272139E-3</v>
      </c>
      <c r="P22">
        <f t="shared" ca="1" si="6"/>
        <v>-4.7227272727272729E-2</v>
      </c>
      <c r="R22">
        <f t="shared" ca="1" si="7"/>
        <v>5.7773613521117451E-3</v>
      </c>
      <c r="S22">
        <f t="shared" ca="1" si="8"/>
        <v>0.6156636363636363</v>
      </c>
    </row>
    <row r="23" spans="1:19" x14ac:dyDescent="0.35">
      <c r="A23">
        <f ca="1"/>
        <v>-0.7</v>
      </c>
      <c r="B23">
        <f ca="1"/>
        <v>5.0899999999999999E-3</v>
      </c>
      <c r="C23">
        <f t="shared" ca="1" si="9"/>
        <v>5.0902135473827534E-3</v>
      </c>
      <c r="D23">
        <f ca="1"/>
        <v>0.1646</v>
      </c>
      <c r="F23" t="s">
        <v>30</v>
      </c>
      <c r="G23">
        <f>1/G20</f>
        <v>5</v>
      </c>
      <c r="I23">
        <f t="shared" ca="1" si="1"/>
        <v>5.2663085399449038E-3</v>
      </c>
      <c r="J23">
        <f t="shared" ca="1" si="2"/>
        <v>2.135959595959596E-2</v>
      </c>
      <c r="L23">
        <f t="shared" ca="1" si="3"/>
        <v>5.3120181614121006E-3</v>
      </c>
      <c r="M23">
        <f t="shared" ca="1" si="4"/>
        <v>0.51453131313131306</v>
      </c>
      <c r="O23">
        <f t="shared" ca="1" si="5"/>
        <v>7.7934557577895563E-3</v>
      </c>
      <c r="P23">
        <f t="shared" ca="1" si="6"/>
        <v>-4.676767676767677E-2</v>
      </c>
      <c r="R23">
        <f t="shared" ca="1" si="7"/>
        <v>5.8139616167505433E-3</v>
      </c>
      <c r="S23">
        <f t="shared" ca="1" si="8"/>
        <v>0.61651717171717169</v>
      </c>
    </row>
    <row r="24" spans="1:19" x14ac:dyDescent="0.35">
      <c r="A24">
        <f ca="1"/>
        <v>-0.65</v>
      </c>
      <c r="B24">
        <f ca="1"/>
        <v>5.0899999999999999E-3</v>
      </c>
      <c r="C24">
        <f t="shared" ca="1" si="9"/>
        <v>5.090861833247121E-3</v>
      </c>
      <c r="D24">
        <f ca="1"/>
        <v>0.1759</v>
      </c>
      <c r="I24">
        <f t="shared" ca="1" si="1"/>
        <v>5.2619283746556476E-3</v>
      </c>
      <c r="J24">
        <f t="shared" ca="1" si="2"/>
        <v>2.3010101010101008E-2</v>
      </c>
      <c r="L24">
        <f t="shared" ca="1" si="3"/>
        <v>5.3065023977145187E-3</v>
      </c>
      <c r="M24">
        <f t="shared" ca="1" si="4"/>
        <v>0.51001717171717165</v>
      </c>
      <c r="O24">
        <f t="shared" ca="1" si="5"/>
        <v>7.7421787517670902E-3</v>
      </c>
      <c r="P24">
        <f t="shared" ca="1" si="6"/>
        <v>-4.6308080808080812E-2</v>
      </c>
      <c r="R24">
        <f t="shared" ca="1" si="7"/>
        <v>5.8523831878886786E-3</v>
      </c>
      <c r="S24">
        <f t="shared" ca="1" si="8"/>
        <v>0.61737070707070707</v>
      </c>
    </row>
    <row r="25" spans="1:19" x14ac:dyDescent="0.35">
      <c r="A25">
        <f ca="1"/>
        <v>-0.6</v>
      </c>
      <c r="B25">
        <f ca="1"/>
        <v>5.0899999999999999E-3</v>
      </c>
      <c r="C25">
        <f t="shared" ca="1" si="9"/>
        <v>5.0919333835070073E-3</v>
      </c>
      <c r="D25">
        <f ca="1"/>
        <v>0.18709999999999999</v>
      </c>
      <c r="F25" t="s">
        <v>33</v>
      </c>
      <c r="G25">
        <f ca="1">MAX(D4:D1000)</f>
        <v>0.68479999999999996</v>
      </c>
      <c r="I25">
        <f t="shared" ca="1" si="1"/>
        <v>5.2576033057851242E-3</v>
      </c>
      <c r="J25">
        <f t="shared" ca="1" si="2"/>
        <v>2.4660606060606063E-2</v>
      </c>
      <c r="L25">
        <f t="shared" ca="1" si="3"/>
        <v>5.3010560146923786E-3</v>
      </c>
      <c r="M25">
        <f t="shared" ca="1" si="4"/>
        <v>0.50550303030303023</v>
      </c>
      <c r="O25">
        <f t="shared" ca="1" si="5"/>
        <v>7.6914298168598155E-3</v>
      </c>
      <c r="P25">
        <f t="shared" ca="1" si="6"/>
        <v>-4.5848484848484847E-2</v>
      </c>
      <c r="R25">
        <f t="shared" ca="1" si="7"/>
        <v>5.892626065526145E-3</v>
      </c>
      <c r="S25">
        <f t="shared" ca="1" si="8"/>
        <v>0.61822424242424234</v>
      </c>
    </row>
    <row r="26" spans="1:19" x14ac:dyDescent="0.35">
      <c r="A26">
        <f ca="1"/>
        <v>-0.55000000000000004</v>
      </c>
      <c r="B26">
        <f ca="1"/>
        <v>5.0899999999999999E-3</v>
      </c>
      <c r="C26">
        <f t="shared" ca="1" si="9"/>
        <v>5.0934320285324006E-3</v>
      </c>
      <c r="D26">
        <f ca="1"/>
        <v>0.1983</v>
      </c>
      <c r="F26" t="s">
        <v>14</v>
      </c>
      <c r="G26">
        <f ca="1">MIN(D4:D1000)</f>
        <v>-5.5500000000000001E-2</v>
      </c>
      <c r="I26">
        <f t="shared" ca="1" si="1"/>
        <v>5.2533333333333338E-3</v>
      </c>
      <c r="J26">
        <f t="shared" ca="1" si="2"/>
        <v>2.6311111111111112E-2</v>
      </c>
      <c r="L26">
        <f t="shared" ca="1" si="3"/>
        <v>5.2956790123456785E-3</v>
      </c>
      <c r="M26">
        <f t="shared" ca="1" si="4"/>
        <v>0.50098888888888882</v>
      </c>
      <c r="O26">
        <f t="shared" ca="1" si="5"/>
        <v>7.6412089530677341E-3</v>
      </c>
      <c r="P26">
        <f t="shared" ca="1" si="6"/>
        <v>-4.5388888888888888E-2</v>
      </c>
      <c r="R26">
        <f t="shared" ca="1" si="7"/>
        <v>5.9346902496629529E-3</v>
      </c>
      <c r="S26">
        <f t="shared" ca="1" si="8"/>
        <v>0.61907777777777773</v>
      </c>
    </row>
    <row r="27" spans="1:19" x14ac:dyDescent="0.35">
      <c r="A27">
        <f ca="1"/>
        <v>-0.5</v>
      </c>
      <c r="B27">
        <f ca="1"/>
        <v>5.0899999999999999E-3</v>
      </c>
      <c r="C27">
        <f t="shared" ca="1" si="9"/>
        <v>5.0953386845688309E-3</v>
      </c>
      <c r="D27">
        <f ca="1"/>
        <v>0.2094</v>
      </c>
      <c r="I27">
        <f t="shared" ca="1" si="1"/>
        <v>5.2491184573002754E-3</v>
      </c>
      <c r="J27">
        <f t="shared" ca="1" si="2"/>
        <v>2.7961616161616167E-2</v>
      </c>
      <c r="L27">
        <f t="shared" ca="1" si="3"/>
        <v>5.2903713906744211E-3</v>
      </c>
      <c r="M27">
        <f t="shared" ca="1" si="4"/>
        <v>0.4964747474747474</v>
      </c>
      <c r="O27">
        <f t="shared" ca="1" si="5"/>
        <v>7.5915161603908451E-3</v>
      </c>
      <c r="P27">
        <f t="shared" ca="1" si="6"/>
        <v>-4.492929292929293E-2</v>
      </c>
      <c r="R27">
        <f t="shared" ca="1" si="7"/>
        <v>5.9785757402990988E-3</v>
      </c>
      <c r="S27">
        <f t="shared" ca="1" si="8"/>
        <v>0.61993131313131311</v>
      </c>
    </row>
    <row r="28" spans="1:19" x14ac:dyDescent="0.35">
      <c r="A28">
        <f ca="1"/>
        <v>-0.45</v>
      </c>
      <c r="B28">
        <f ca="1"/>
        <v>5.0899999999999999E-3</v>
      </c>
      <c r="C28">
        <f t="shared" ca="1" si="9"/>
        <v>5.0976648427262603E-3</v>
      </c>
      <c r="D28">
        <f ca="1"/>
        <v>0.2205</v>
      </c>
      <c r="F28" t="s">
        <v>44</v>
      </c>
      <c r="G28">
        <f ca="1">COUNTIF(B4:B1000, "&lt;&gt;")</f>
        <v>66</v>
      </c>
      <c r="I28">
        <f t="shared" ca="1" si="1"/>
        <v>5.2449586776859508E-3</v>
      </c>
      <c r="J28">
        <f t="shared" ca="1" si="2"/>
        <v>2.9612121212121215E-2</v>
      </c>
      <c r="L28">
        <f t="shared" ca="1" si="3"/>
        <v>5.2851331496786037E-3</v>
      </c>
      <c r="M28">
        <f t="shared" ca="1" si="4"/>
        <v>0.49196060606060599</v>
      </c>
      <c r="O28">
        <f t="shared" ca="1" si="5"/>
        <v>7.5423514388291485E-3</v>
      </c>
      <c r="P28">
        <f t="shared" ca="1" si="6"/>
        <v>-4.4469696969696972E-2</v>
      </c>
      <c r="R28">
        <f t="shared" ca="1" si="7"/>
        <v>6.0242825374345757E-3</v>
      </c>
      <c r="S28">
        <f t="shared" ca="1" si="8"/>
        <v>0.62078484848484838</v>
      </c>
    </row>
    <row r="29" spans="1:19" x14ac:dyDescent="0.35">
      <c r="A29">
        <f ca="1"/>
        <v>-0.4</v>
      </c>
      <c r="B29">
        <f ca="1"/>
        <v>5.0899999999999999E-3</v>
      </c>
      <c r="C29">
        <f t="shared" ca="1" si="9"/>
        <v>5.1004371453559315E-3</v>
      </c>
      <c r="D29">
        <f ca="1"/>
        <v>0.23169999999999999</v>
      </c>
      <c r="I29">
        <f t="shared" ca="1" si="1"/>
        <v>5.2408539944903583E-3</v>
      </c>
      <c r="J29">
        <f t="shared" ca="1" si="2"/>
        <v>3.126262626262627E-2</v>
      </c>
      <c r="L29">
        <f t="shared" ca="1" si="3"/>
        <v>5.2799642893582291E-3</v>
      </c>
      <c r="M29">
        <f t="shared" ca="1" si="4"/>
        <v>0.48744646464646457</v>
      </c>
      <c r="O29">
        <f t="shared" ca="1" si="5"/>
        <v>7.4937147883826433E-3</v>
      </c>
      <c r="P29">
        <f t="shared" ca="1" si="6"/>
        <v>-4.4010101010101013E-2</v>
      </c>
      <c r="R29">
        <f t="shared" ca="1" si="7"/>
        <v>6.0718106410693942E-3</v>
      </c>
      <c r="S29">
        <f t="shared" ca="1" si="8"/>
        <v>0.62163838383838377</v>
      </c>
    </row>
    <row r="30" spans="1:19" x14ac:dyDescent="0.35">
      <c r="A30">
        <f ca="1"/>
        <v>-0.35</v>
      </c>
      <c r="B30">
        <f ca="1"/>
        <v>5.0899999999999999E-3</v>
      </c>
      <c r="C30">
        <f t="shared" ca="1" si="9"/>
        <v>5.1036060870537445E-3</v>
      </c>
      <c r="D30">
        <f ca="1"/>
        <v>0.24279999999999999</v>
      </c>
      <c r="F30" t="s">
        <v>239</v>
      </c>
      <c r="G30">
        <v>0.1019</v>
      </c>
      <c r="I30">
        <f t="shared" ca="1" si="1"/>
        <v>5.2368044077134987E-3</v>
      </c>
      <c r="J30">
        <f t="shared" ca="1" si="2"/>
        <v>3.2913131313131311E-2</v>
      </c>
      <c r="L30">
        <f t="shared" ca="1" si="3"/>
        <v>5.2748648097132944E-3</v>
      </c>
      <c r="M30">
        <f t="shared" ca="1" si="4"/>
        <v>0.48293232323232316</v>
      </c>
      <c r="O30">
        <f t="shared" ca="1" si="5"/>
        <v>7.4456062090513305E-3</v>
      </c>
      <c r="P30">
        <f t="shared" ca="1" si="6"/>
        <v>-4.3550505050505048E-2</v>
      </c>
      <c r="R30">
        <f t="shared" ca="1" si="7"/>
        <v>6.1211600512035506E-3</v>
      </c>
      <c r="S30">
        <f t="shared" ca="1" si="8"/>
        <v>0.62249191919191915</v>
      </c>
    </row>
    <row r="31" spans="1:19" x14ac:dyDescent="0.35">
      <c r="A31">
        <f ca="1"/>
        <v>-0.3</v>
      </c>
      <c r="B31">
        <f ca="1"/>
        <v>5.0899999999999999E-3</v>
      </c>
      <c r="C31">
        <f t="shared" ca="1" si="9"/>
        <v>5.1071945308725566E-3</v>
      </c>
      <c r="D31">
        <f ca="1"/>
        <v>0.25390000000000001</v>
      </c>
      <c r="F31" t="s">
        <v>240</v>
      </c>
      <c r="G31">
        <f>G30*180/PI()</f>
        <v>5.8384399323830891</v>
      </c>
      <c r="I31">
        <f t="shared" ca="1" si="1"/>
        <v>5.2328099173553719E-3</v>
      </c>
      <c r="J31">
        <f t="shared" ca="1" si="2"/>
        <v>3.4563636363636366E-2</v>
      </c>
      <c r="L31">
        <f t="shared" ca="1" si="3"/>
        <v>5.2698347107438016E-3</v>
      </c>
      <c r="M31">
        <f t="shared" ca="1" si="4"/>
        <v>0.4784181818181818</v>
      </c>
      <c r="O31">
        <f t="shared" ca="1" si="5"/>
        <v>7.3980257008352101E-3</v>
      </c>
      <c r="P31">
        <f t="shared" ca="1" si="6"/>
        <v>-4.3090909090909096E-2</v>
      </c>
      <c r="R31">
        <f t="shared" ca="1" si="7"/>
        <v>6.1723307678370433E-3</v>
      </c>
      <c r="S31">
        <f t="shared" ca="1" si="8"/>
        <v>0.62334545454545454</v>
      </c>
    </row>
    <row r="32" spans="1:19" x14ac:dyDescent="0.35">
      <c r="A32">
        <f ca="1"/>
        <v>-0.25</v>
      </c>
      <c r="B32">
        <f ca="1"/>
        <v>5.1000000000000004E-3</v>
      </c>
      <c r="C32">
        <f t="shared" ca="1" si="9"/>
        <v>5.1111644965659607E-3</v>
      </c>
      <c r="D32">
        <f ca="1"/>
        <v>0.26490000000000002</v>
      </c>
      <c r="F32" t="s">
        <v>46</v>
      </c>
      <c r="G32">
        <f>G31/(2*PI())</f>
        <v>0.92921657518387979</v>
      </c>
      <c r="I32">
        <f t="shared" ca="1" si="1"/>
        <v>5.2288705234159781E-3</v>
      </c>
      <c r="J32">
        <f t="shared" ca="1" si="2"/>
        <v>3.6214141414141421E-2</v>
      </c>
      <c r="L32">
        <f t="shared" ca="1" si="3"/>
        <v>5.2648739924497498E-3</v>
      </c>
      <c r="M32">
        <f t="shared" ca="1" si="4"/>
        <v>0.47390404040404033</v>
      </c>
      <c r="O32">
        <f t="shared" ca="1" si="5"/>
        <v>7.350973263734282E-3</v>
      </c>
      <c r="P32">
        <f t="shared" ca="1" si="6"/>
        <v>-4.2631313131313131E-2</v>
      </c>
      <c r="R32">
        <f t="shared" ca="1" si="7"/>
        <v>6.2253227909698661E-3</v>
      </c>
      <c r="S32">
        <f t="shared" ca="1" si="8"/>
        <v>0.62419898989898981</v>
      </c>
    </row>
    <row r="33" spans="1:29" x14ac:dyDescent="0.35">
      <c r="A33">
        <f ca="1"/>
        <v>-0.2</v>
      </c>
      <c r="B33">
        <f ca="1"/>
        <v>5.1000000000000004E-3</v>
      </c>
      <c r="C33">
        <f t="shared" ca="1" si="9"/>
        <v>5.115588165328382E-3</v>
      </c>
      <c r="D33">
        <f ca="1"/>
        <v>0.27600000000000002</v>
      </c>
      <c r="I33">
        <f t="shared" ca="1" si="1"/>
        <v>5.2249862258953172E-3</v>
      </c>
      <c r="J33">
        <f t="shared" ca="1" si="2"/>
        <v>3.7864646464646469E-2</v>
      </c>
      <c r="L33">
        <f t="shared" ca="1" si="3"/>
        <v>5.2599826548311397E-3</v>
      </c>
      <c r="M33">
        <f t="shared" ca="1" si="4"/>
        <v>0.46938989898989891</v>
      </c>
      <c r="O33">
        <f t="shared" ca="1" si="5"/>
        <v>7.3044488977485481E-3</v>
      </c>
      <c r="P33">
        <f t="shared" ca="1" si="6"/>
        <v>-4.2171717171717173E-2</v>
      </c>
      <c r="R33">
        <f t="shared" ca="1" si="7"/>
        <v>6.2801361206020322E-3</v>
      </c>
      <c r="S33">
        <f t="shared" ca="1" si="8"/>
        <v>0.62505252525252519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-0.15</v>
      </c>
      <c r="B34">
        <f ca="1"/>
        <v>5.1000000000000004E-3</v>
      </c>
      <c r="C34">
        <f t="shared" ca="1" si="9"/>
        <v>5.1204313362118023E-3</v>
      </c>
      <c r="D34">
        <f ca="1"/>
        <v>0.28710000000000002</v>
      </c>
      <c r="I34">
        <f t="shared" ca="1" si="1"/>
        <v>5.2211570247933884E-3</v>
      </c>
      <c r="J34">
        <f t="shared" ca="1" si="2"/>
        <v>3.9515151515151517E-2</v>
      </c>
      <c r="L34">
        <f t="shared" ca="1" si="3"/>
        <v>5.2551606978879705E-3</v>
      </c>
      <c r="M34">
        <f t="shared" ca="1" si="4"/>
        <v>0.4648757575757575</v>
      </c>
      <c r="O34">
        <f t="shared" ca="1" si="5"/>
        <v>7.2584526028780039E-3</v>
      </c>
      <c r="P34">
        <f t="shared" ca="1" si="6"/>
        <v>-4.1712121212121214E-2</v>
      </c>
      <c r="R34">
        <f t="shared" ca="1" si="7"/>
        <v>6.3367707567335363E-3</v>
      </c>
      <c r="S34">
        <f t="shared" ca="1" si="8"/>
        <v>0.62590606060606058</v>
      </c>
      <c r="U34" s="4">
        <f ca="1">1 - SUMXMY2(B4:B1000, C4:C1000) / DEVSQ(_xlfn.ANCHORARRAY(B4))</f>
        <v>-56.204818929122951</v>
      </c>
      <c r="W34">
        <f ca="1">G9</f>
        <v>-0.01</v>
      </c>
      <c r="X34">
        <f ca="1">G10</f>
        <v>5.3600000000000002E-3</v>
      </c>
      <c r="Y34">
        <f ca="1">G6</f>
        <v>0.15340000000000001</v>
      </c>
      <c r="Z34">
        <f ca="1">G5</f>
        <v>5.0899999999999999E-3</v>
      </c>
      <c r="AA34">
        <f ca="1">G13</f>
        <v>0.60029999999999994</v>
      </c>
      <c r="AB34">
        <f ca="1">G14</f>
        <v>5.4299999999999999E-3</v>
      </c>
      <c r="AC34">
        <f>G32</f>
        <v>0.92921657518387979</v>
      </c>
    </row>
    <row r="35" spans="1:29" x14ac:dyDescent="0.35">
      <c r="A35">
        <f ca="1"/>
        <v>-0.1</v>
      </c>
      <c r="B35">
        <f ca="1"/>
        <v>5.13E-3</v>
      </c>
      <c r="C35">
        <f t="shared" ca="1" si="9"/>
        <v>5.1254479292243763E-3</v>
      </c>
      <c r="D35">
        <f ca="1"/>
        <v>0.29770000000000002</v>
      </c>
      <c r="I35">
        <f t="shared" ca="1" si="1"/>
        <v>5.2173829201101925E-3</v>
      </c>
      <c r="J35">
        <f t="shared" ca="1" si="2"/>
        <v>4.1165656565656565E-2</v>
      </c>
      <c r="L35">
        <f t="shared" ca="1" si="3"/>
        <v>5.2504081216202423E-3</v>
      </c>
      <c r="M35">
        <f t="shared" ca="1" si="4"/>
        <v>0.46036161616161608</v>
      </c>
      <c r="O35">
        <f t="shared" ca="1" si="5"/>
        <v>7.2129843791226538E-3</v>
      </c>
      <c r="P35">
        <f t="shared" ca="1" si="6"/>
        <v>-4.1252525252525256E-2</v>
      </c>
      <c r="R35">
        <f t="shared" ca="1" si="7"/>
        <v>6.3952266993643767E-3</v>
      </c>
      <c r="S35">
        <f t="shared" ca="1" si="8"/>
        <v>0.62675959595959596</v>
      </c>
    </row>
    <row r="36" spans="1:29" x14ac:dyDescent="0.35">
      <c r="A36">
        <f ca="1"/>
        <v>-0.05</v>
      </c>
      <c r="B36">
        <f ca="1"/>
        <v>5.1399999999999996E-3</v>
      </c>
      <c r="C36">
        <f t="shared" ca="1" si="9"/>
        <v>5.1310583147042999E-3</v>
      </c>
      <c r="D36">
        <f ca="1"/>
        <v>0.30869999999999997</v>
      </c>
      <c r="I36">
        <f t="shared" ca="1" si="1"/>
        <v>5.2136639118457303E-3</v>
      </c>
      <c r="J36">
        <f t="shared" ca="1" si="2"/>
        <v>4.281616161616162E-2</v>
      </c>
      <c r="L36">
        <f t="shared" ca="1" si="3"/>
        <v>5.2457249260279559E-3</v>
      </c>
      <c r="M36">
        <f t="shared" ca="1" si="4"/>
        <v>0.45584747474747467</v>
      </c>
      <c r="O36">
        <f t="shared" ca="1" si="5"/>
        <v>7.1680442264824961E-3</v>
      </c>
      <c r="P36">
        <f t="shared" ca="1" si="6"/>
        <v>-4.0792929292929297E-2</v>
      </c>
      <c r="R36">
        <f t="shared" ca="1" si="7"/>
        <v>6.4555039484945455E-3</v>
      </c>
      <c r="S36">
        <f t="shared" ca="1" si="8"/>
        <v>0.62761313131313123</v>
      </c>
    </row>
    <row r="37" spans="1:29" x14ac:dyDescent="0.35">
      <c r="A37">
        <f ca="1"/>
        <v>0</v>
      </c>
      <c r="B37">
        <f ca="1"/>
        <v>5.1500000000000001E-3</v>
      </c>
      <c r="C37">
        <f t="shared" ca="1" si="9"/>
        <v>5.1370240733997026E-3</v>
      </c>
      <c r="D37">
        <f ca="1"/>
        <v>0.3196</v>
      </c>
      <c r="I37">
        <f t="shared" ca="1" si="1"/>
        <v>5.2100000000000002E-3</v>
      </c>
      <c r="J37">
        <f t="shared" ref="J37:J68" ca="1" si="10">$G$9 + ($G$6 - $G$9) * (ROW(B34)-1)/99</f>
        <v>4.4466666666666675E-2</v>
      </c>
      <c r="L37">
        <f t="shared" ca="1" si="3"/>
        <v>5.2411111111111113E-3</v>
      </c>
      <c r="M37">
        <f t="shared" ca="1" si="4"/>
        <v>0.45133333333333331</v>
      </c>
      <c r="O37">
        <f t="shared" ca="1" si="5"/>
        <v>7.123632144957529E-3</v>
      </c>
      <c r="P37">
        <f t="shared" ref="P37:P68" ca="1" si="11">$G$26 + ($G$9 - $G$26) * (ROW(B34)-1)/99</f>
        <v>-4.0333333333333332E-2</v>
      </c>
      <c r="R37">
        <f t="shared" ca="1" si="7"/>
        <v>6.5176025041240601E-3</v>
      </c>
      <c r="S37">
        <f t="shared" ref="S37:S68" ca="1" si="12">$G$13 + ($G$25 - $G$13) * (ROW(B34)-1)/99</f>
        <v>0.62846666666666662</v>
      </c>
    </row>
    <row r="38" spans="1:29" x14ac:dyDescent="0.35">
      <c r="A38">
        <f ca="1"/>
        <v>0.05</v>
      </c>
      <c r="B38">
        <f ca="1"/>
        <v>5.1599999999999997E-3</v>
      </c>
      <c r="C38">
        <f t="shared" ca="1" si="9"/>
        <v>5.1434546687728865E-3</v>
      </c>
      <c r="D38">
        <f ca="1"/>
        <v>0.3306</v>
      </c>
      <c r="I38">
        <f t="shared" ca="1" si="1"/>
        <v>5.206391184573003E-3</v>
      </c>
      <c r="J38">
        <f t="shared" ca="1" si="10"/>
        <v>4.6117171717171723E-2</v>
      </c>
      <c r="L38">
        <f t="shared" ca="1" si="3"/>
        <v>5.2365666768697068E-3</v>
      </c>
      <c r="M38">
        <f t="shared" ca="1" si="4"/>
        <v>0.44681919191919184</v>
      </c>
      <c r="O38">
        <f t="shared" ca="1" si="5"/>
        <v>7.0797481345477552E-3</v>
      </c>
      <c r="P38">
        <f t="shared" ca="1" si="11"/>
        <v>-3.9873737373737374E-2</v>
      </c>
      <c r="R38">
        <f t="shared" ca="1" si="7"/>
        <v>6.5815223662529111E-3</v>
      </c>
      <c r="S38">
        <f t="shared" ca="1" si="12"/>
        <v>0.629320202020202</v>
      </c>
    </row>
    <row r="39" spans="1:29" x14ac:dyDescent="0.35">
      <c r="A39">
        <f ca="1"/>
        <v>0.1</v>
      </c>
      <c r="B39">
        <f ca="1"/>
        <v>5.1700000000000001E-3</v>
      </c>
      <c r="C39">
        <f t="shared" ca="1" si="9"/>
        <v>5.1502331809079741E-3</v>
      </c>
      <c r="D39">
        <f ca="1"/>
        <v>0.34150000000000003</v>
      </c>
      <c r="I39">
        <f t="shared" ca="1" si="1"/>
        <v>5.2028374655647388E-3</v>
      </c>
      <c r="J39">
        <f t="shared" ca="1" si="10"/>
        <v>4.7767676767676771E-2</v>
      </c>
      <c r="L39">
        <f t="shared" ca="1" si="3"/>
        <v>5.232091623303744E-3</v>
      </c>
      <c r="M39">
        <f t="shared" ca="1" si="4"/>
        <v>0.44230505050505042</v>
      </c>
      <c r="O39">
        <f t="shared" ca="1" si="5"/>
        <v>7.0363921952531737E-3</v>
      </c>
      <c r="P39">
        <f t="shared" ca="1" si="11"/>
        <v>-3.9414141414141415E-2</v>
      </c>
      <c r="R39">
        <f t="shared" ca="1" si="7"/>
        <v>6.6472635348810904E-3</v>
      </c>
      <c r="S39">
        <f t="shared" ca="1" si="12"/>
        <v>0.63017373737373727</v>
      </c>
    </row>
    <row r="40" spans="1:29" x14ac:dyDescent="0.35">
      <c r="A40">
        <f ca="1"/>
        <v>0.15</v>
      </c>
      <c r="B40">
        <f ca="1"/>
        <v>5.1700000000000001E-3</v>
      </c>
      <c r="C40">
        <f t="shared" ca="1" si="9"/>
        <v>5.1575517922351237E-3</v>
      </c>
      <c r="D40">
        <f ca="1"/>
        <v>0.35260000000000002</v>
      </c>
      <c r="I40">
        <f t="shared" ca="1" si="1"/>
        <v>5.1993388429752065E-3</v>
      </c>
      <c r="J40">
        <f t="shared" ca="1" si="10"/>
        <v>4.9418181818181819E-2</v>
      </c>
      <c r="L40">
        <f t="shared" ca="1" si="3"/>
        <v>5.2276859504132231E-3</v>
      </c>
      <c r="M40">
        <f t="shared" ca="1" si="4"/>
        <v>0.43779090909090901</v>
      </c>
      <c r="O40">
        <f t="shared" ca="1" si="5"/>
        <v>6.9935643270737854E-3</v>
      </c>
      <c r="P40">
        <f t="shared" ca="1" si="11"/>
        <v>-3.8954545454545457E-2</v>
      </c>
      <c r="R40">
        <f t="shared" ca="1" si="7"/>
        <v>6.7148260100086147E-3</v>
      </c>
      <c r="S40">
        <f t="shared" ca="1" si="12"/>
        <v>0.63102727272727266</v>
      </c>
    </row>
    <row r="41" spans="1:29" x14ac:dyDescent="0.35">
      <c r="A41">
        <f ca="1"/>
        <v>0.2</v>
      </c>
      <c r="B41">
        <f ca="1"/>
        <v>5.1799999999999997E-3</v>
      </c>
      <c r="C41">
        <f t="shared" ca="1" si="9"/>
        <v>5.1652183203241787E-3</v>
      </c>
      <c r="D41">
        <f ca="1"/>
        <v>0.36359999999999998</v>
      </c>
      <c r="I41">
        <f t="shared" ca="1" si="1"/>
        <v>5.1958953168044081E-3</v>
      </c>
      <c r="J41">
        <f t="shared" ca="1" si="10"/>
        <v>5.1068686868686874E-2</v>
      </c>
      <c r="L41">
        <f t="shared" ca="1" si="3"/>
        <v>5.2233496581981431E-3</v>
      </c>
      <c r="M41">
        <f t="shared" ca="1" si="4"/>
        <v>0.43327676767676759</v>
      </c>
      <c r="O41">
        <f t="shared" ca="1" si="5"/>
        <v>6.9512645300095878E-3</v>
      </c>
      <c r="P41">
        <f t="shared" ca="1" si="11"/>
        <v>-3.8494949494949499E-2</v>
      </c>
      <c r="R41">
        <f t="shared" ca="1" si="7"/>
        <v>6.7842097916354762E-3</v>
      </c>
      <c r="S41">
        <f t="shared" ca="1" si="12"/>
        <v>0.63188080808080804</v>
      </c>
    </row>
    <row r="42" spans="1:29" x14ac:dyDescent="0.35">
      <c r="A42">
        <f ca="1"/>
        <v>0.25</v>
      </c>
      <c r="B42">
        <f ca="1"/>
        <v>5.1799999999999997E-3</v>
      </c>
      <c r="C42">
        <f t="shared" ca="1" si="9"/>
        <v>5.1733721565949383E-3</v>
      </c>
      <c r="D42">
        <f ca="1"/>
        <v>0.37469999999999998</v>
      </c>
      <c r="I42">
        <f t="shared" ca="1" si="1"/>
        <v>5.1925068870523417E-3</v>
      </c>
      <c r="J42">
        <f t="shared" ca="1" si="10"/>
        <v>5.2719191919191923E-2</v>
      </c>
      <c r="L42">
        <f t="shared" ca="1" si="3"/>
        <v>5.219082746658504E-3</v>
      </c>
      <c r="M42">
        <f t="shared" ca="1" si="4"/>
        <v>0.42876262626262618</v>
      </c>
      <c r="O42">
        <f t="shared" ca="1" si="5"/>
        <v>6.9094928040605826E-3</v>
      </c>
      <c r="P42">
        <f t="shared" ca="1" si="11"/>
        <v>-3.8035353535353533E-2</v>
      </c>
      <c r="R42">
        <f t="shared" ca="1" si="7"/>
        <v>6.8554148797616747E-3</v>
      </c>
      <c r="S42">
        <f t="shared" ca="1" si="12"/>
        <v>0.63273434343434343</v>
      </c>
    </row>
    <row r="43" spans="1:29" x14ac:dyDescent="0.35">
      <c r="A43">
        <f ca="1"/>
        <v>0.3</v>
      </c>
      <c r="B43">
        <f ca="1"/>
        <v>5.1900000000000002E-3</v>
      </c>
      <c r="C43">
        <f t="shared" ca="1" si="9"/>
        <v>5.1819454949866969E-3</v>
      </c>
      <c r="D43">
        <f ca="1"/>
        <v>0.38579999999999998</v>
      </c>
      <c r="I43">
        <f t="shared" ca="1" si="1"/>
        <v>5.1891735537190082E-3</v>
      </c>
      <c r="J43">
        <f t="shared" ca="1" si="10"/>
        <v>5.4369696969696964E-2</v>
      </c>
      <c r="L43">
        <f t="shared" ca="1" si="3"/>
        <v>5.2148852157943067E-3</v>
      </c>
      <c r="M43">
        <f t="shared" ca="1" si="4"/>
        <v>0.42424848484848482</v>
      </c>
      <c r="O43">
        <f t="shared" ca="1" si="5"/>
        <v>6.8682491492267714E-3</v>
      </c>
      <c r="P43">
        <f t="shared" ca="1" si="11"/>
        <v>-3.7575757575757582E-2</v>
      </c>
      <c r="R43">
        <f t="shared" ca="1" si="7"/>
        <v>6.9284412743872001E-3</v>
      </c>
      <c r="S43">
        <f t="shared" ca="1" si="12"/>
        <v>0.6335878787878787</v>
      </c>
    </row>
    <row r="44" spans="1:29" x14ac:dyDescent="0.35">
      <c r="A44">
        <f ca="1"/>
        <v>0.35</v>
      </c>
      <c r="B44">
        <f ca="1"/>
        <v>5.1900000000000002E-3</v>
      </c>
      <c r="C44">
        <f t="shared" ca="1" si="9"/>
        <v>5.1909383354994537E-3</v>
      </c>
      <c r="D44">
        <f ca="1"/>
        <v>0.39689999999999998</v>
      </c>
      <c r="I44">
        <f t="shared" ca="1" si="1"/>
        <v>5.1858953168044076E-3</v>
      </c>
      <c r="J44">
        <f t="shared" ca="1" si="10"/>
        <v>5.6020202020202019E-2</v>
      </c>
      <c r="L44">
        <f t="shared" ca="1" si="3"/>
        <v>5.2107570656055504E-3</v>
      </c>
      <c r="M44">
        <f t="shared" ca="1" si="4"/>
        <v>0.4197343434343434</v>
      </c>
      <c r="O44">
        <f t="shared" ca="1" si="5"/>
        <v>6.8275335655081509E-3</v>
      </c>
      <c r="P44">
        <f t="shared" ca="1" si="11"/>
        <v>-3.7116161616161616E-2</v>
      </c>
      <c r="R44">
        <f t="shared" ca="1" si="7"/>
        <v>7.0032889755120729E-3</v>
      </c>
      <c r="S44">
        <f t="shared" ca="1" si="12"/>
        <v>0.63444141414141408</v>
      </c>
    </row>
    <row r="45" spans="1:29" x14ac:dyDescent="0.35">
      <c r="A45">
        <f ca="1"/>
        <v>0.4</v>
      </c>
      <c r="B45">
        <f ca="1"/>
        <v>5.1999999999999998E-3</v>
      </c>
      <c r="C45">
        <f t="shared" ca="1" si="9"/>
        <v>5.2003506781332087E-3</v>
      </c>
      <c r="D45">
        <f ca="1"/>
        <v>0.40799999999999997</v>
      </c>
      <c r="I45">
        <f t="shared" ca="1" si="1"/>
        <v>5.18267217630854E-3</v>
      </c>
      <c r="J45">
        <f t="shared" ca="1" si="10"/>
        <v>5.7670707070707074E-2</v>
      </c>
      <c r="L45">
        <f t="shared" ca="1" si="3"/>
        <v>5.206698296092235E-3</v>
      </c>
      <c r="M45">
        <f t="shared" ca="1" si="4"/>
        <v>0.41522020202020199</v>
      </c>
      <c r="O45">
        <f t="shared" ca="1" si="5"/>
        <v>6.7873460529047237E-3</v>
      </c>
      <c r="P45">
        <f t="shared" ca="1" si="11"/>
        <v>-3.6656565656565658E-2</v>
      </c>
      <c r="R45">
        <f t="shared" ca="1" si="7"/>
        <v>7.079957983136282E-3</v>
      </c>
      <c r="S45">
        <f t="shared" ca="1" si="12"/>
        <v>0.63529494949494947</v>
      </c>
    </row>
    <row r="46" spans="1:29" x14ac:dyDescent="0.35">
      <c r="A46">
        <f ca="1"/>
        <v>0.45</v>
      </c>
      <c r="B46">
        <f ca="1"/>
        <v>5.1999999999999998E-3</v>
      </c>
      <c r="C46">
        <f t="shared" ca="1" si="9"/>
        <v>5.2101825228879628E-3</v>
      </c>
      <c r="D46">
        <f ca="1"/>
        <v>0.41909999999999997</v>
      </c>
      <c r="I46">
        <f t="shared" ca="1" si="1"/>
        <v>5.1795041322314052E-3</v>
      </c>
      <c r="J46">
        <f t="shared" ca="1" si="10"/>
        <v>5.9321212121212129E-2</v>
      </c>
      <c r="L46">
        <f t="shared" ca="1" si="3"/>
        <v>5.2027089072543614E-3</v>
      </c>
      <c r="M46">
        <f t="shared" ca="1" si="4"/>
        <v>0.41070606060606052</v>
      </c>
      <c r="O46">
        <f t="shared" ca="1" si="5"/>
        <v>6.7476866114164888E-3</v>
      </c>
      <c r="P46">
        <f t="shared" ca="1" si="11"/>
        <v>-3.61969696969697E-2</v>
      </c>
      <c r="R46">
        <f t="shared" ca="1" si="7"/>
        <v>7.1584482972598274E-3</v>
      </c>
      <c r="S46">
        <f t="shared" ca="1" si="12"/>
        <v>0.63614848484848485</v>
      </c>
    </row>
    <row r="47" spans="1:29" x14ac:dyDescent="0.35">
      <c r="A47">
        <f ca="1"/>
        <v>0.5</v>
      </c>
      <c r="B47">
        <f ca="1"/>
        <v>5.2100000000000002E-3</v>
      </c>
      <c r="C47">
        <f t="shared" ca="1" si="9"/>
        <v>5.220528130913134E-3</v>
      </c>
      <c r="D47">
        <f ca="1"/>
        <v>0.43030000000000002</v>
      </c>
      <c r="I47">
        <f t="shared" ca="1" si="1"/>
        <v>5.1763911845730025E-3</v>
      </c>
      <c r="J47">
        <f t="shared" ca="1" si="10"/>
        <v>6.0971717171717184E-2</v>
      </c>
      <c r="L47">
        <f t="shared" ca="1" si="3"/>
        <v>5.1987888990919296E-3</v>
      </c>
      <c r="M47">
        <f t="shared" ca="1" si="4"/>
        <v>0.4061919191919191</v>
      </c>
      <c r="O47">
        <f t="shared" ca="1" si="5"/>
        <v>6.7085552410434445E-3</v>
      </c>
      <c r="P47">
        <f t="shared" ca="1" si="11"/>
        <v>-3.5737373737373734E-2</v>
      </c>
      <c r="R47">
        <f t="shared" ca="1" si="7"/>
        <v>7.2387599178826995E-3</v>
      </c>
      <c r="S47">
        <f t="shared" ca="1" si="12"/>
        <v>0.63700202020202012</v>
      </c>
    </row>
    <row r="48" spans="1:29" x14ac:dyDescent="0.35">
      <c r="A48">
        <f ca="1"/>
        <v>0.55000000000000004</v>
      </c>
      <c r="B48">
        <f ca="1"/>
        <v>5.2300000000000003E-3</v>
      </c>
      <c r="C48">
        <f t="shared" ca="1" si="9"/>
        <v>5.2311047187604664E-3</v>
      </c>
      <c r="D48">
        <f ca="1"/>
        <v>0.44130000000000003</v>
      </c>
      <c r="I48">
        <f t="shared" ca="1" si="1"/>
        <v>5.1733333333333336E-3</v>
      </c>
      <c r="J48">
        <f t="shared" ca="1" si="10"/>
        <v>6.2622222222222232E-2</v>
      </c>
      <c r="L48">
        <f t="shared" ca="1" si="3"/>
        <v>5.1949382716049378E-3</v>
      </c>
      <c r="M48">
        <f t="shared" ca="1" si="4"/>
        <v>0.40167777777777774</v>
      </c>
      <c r="O48">
        <f t="shared" ca="1" si="5"/>
        <v>6.6699519417855952E-3</v>
      </c>
      <c r="P48">
        <f t="shared" ca="1" si="11"/>
        <v>-3.5277777777777783E-2</v>
      </c>
      <c r="R48">
        <f t="shared" ca="1" si="7"/>
        <v>7.3208928450049201E-3</v>
      </c>
      <c r="S48">
        <f t="shared" ca="1" si="12"/>
        <v>0.63785555555555551</v>
      </c>
    </row>
    <row r="49" spans="1:19" x14ac:dyDescent="0.35">
      <c r="A49">
        <f ca="1"/>
        <v>0.6</v>
      </c>
      <c r="B49">
        <f ca="1"/>
        <v>5.2500000000000003E-3</v>
      </c>
      <c r="C49">
        <f t="shared" ca="1" si="9"/>
        <v>5.2419915325290292E-3</v>
      </c>
      <c r="D49">
        <f ca="1"/>
        <v>0.45219999999999999</v>
      </c>
      <c r="I49">
        <f t="shared" ca="1" si="1"/>
        <v>5.1703305785123967E-3</v>
      </c>
      <c r="J49">
        <f t="shared" ca="1" si="10"/>
        <v>6.4272727272727287E-2</v>
      </c>
      <c r="L49">
        <f t="shared" ca="1" si="3"/>
        <v>5.1911570247933879E-3</v>
      </c>
      <c r="M49">
        <f t="shared" ca="1" si="4"/>
        <v>0.39716363636363633</v>
      </c>
      <c r="O49">
        <f t="shared" ca="1" si="5"/>
        <v>6.6318767136429365E-3</v>
      </c>
      <c r="P49">
        <f t="shared" ca="1" si="11"/>
        <v>-3.4818181818181818E-2</v>
      </c>
      <c r="R49">
        <f t="shared" ca="1" si="7"/>
        <v>7.404847078626476E-3</v>
      </c>
      <c r="S49">
        <f t="shared" ca="1" si="12"/>
        <v>0.63870909090909089</v>
      </c>
    </row>
    <row r="50" spans="1:19" x14ac:dyDescent="0.35">
      <c r="A50">
        <f ca="1"/>
        <v>0.65</v>
      </c>
      <c r="B50">
        <f ca="1"/>
        <v>5.2599999999999999E-3</v>
      </c>
      <c r="C50">
        <f t="shared" ca="1" si="9"/>
        <v>5.2535993581201163E-3</v>
      </c>
      <c r="D50">
        <f ca="1"/>
        <v>0.46339999999999998</v>
      </c>
      <c r="I50">
        <f t="shared" ca="1" si="1"/>
        <v>5.1673829201101928E-3</v>
      </c>
      <c r="J50">
        <f t="shared" ca="1" si="10"/>
        <v>6.5923232323232342E-2</v>
      </c>
      <c r="L50">
        <f t="shared" ca="1" si="3"/>
        <v>5.1874451586572798E-3</v>
      </c>
      <c r="M50">
        <f t="shared" ca="1" si="4"/>
        <v>0.39264949494949491</v>
      </c>
      <c r="O50">
        <f t="shared" ca="1" si="5"/>
        <v>6.5943295566154702E-3</v>
      </c>
      <c r="P50">
        <f t="shared" ca="1" si="11"/>
        <v>-3.4358585858585859E-2</v>
      </c>
      <c r="R50">
        <f t="shared" ca="1" si="7"/>
        <v>7.4906226187473586E-3</v>
      </c>
      <c r="S50">
        <f t="shared" ca="1" si="12"/>
        <v>0.63956262626262617</v>
      </c>
    </row>
    <row r="51" spans="1:19" x14ac:dyDescent="0.35">
      <c r="A51">
        <f ca="1"/>
        <v>0.7</v>
      </c>
      <c r="B51">
        <f ca="1"/>
        <v>5.2500000000000003E-3</v>
      </c>
      <c r="C51">
        <f t="shared" ca="1" si="9"/>
        <v>5.2657436568196783E-3</v>
      </c>
      <c r="D51">
        <f ca="1"/>
        <v>0.47470000000000001</v>
      </c>
      <c r="I51">
        <f t="shared" ca="1" si="1"/>
        <v>5.1644903581267217E-3</v>
      </c>
      <c r="J51">
        <f t="shared" ca="1" si="10"/>
        <v>6.7573737373737383E-2</v>
      </c>
      <c r="L51">
        <f t="shared" ca="1" si="3"/>
        <v>5.1838026731966125E-3</v>
      </c>
      <c r="M51">
        <f t="shared" ca="1" si="4"/>
        <v>0.3881353535353535</v>
      </c>
      <c r="O51">
        <f t="shared" ca="1" si="5"/>
        <v>6.5573104707031971E-3</v>
      </c>
      <c r="P51">
        <f t="shared" ca="1" si="11"/>
        <v>-3.3898989898989901E-2</v>
      </c>
      <c r="R51">
        <f t="shared" ca="1" si="7"/>
        <v>7.5782194653675888E-3</v>
      </c>
      <c r="S51">
        <f t="shared" ca="1" si="12"/>
        <v>0.64041616161616155</v>
      </c>
    </row>
    <row r="52" spans="1:19" x14ac:dyDescent="0.35">
      <c r="A52">
        <f ca="1"/>
        <v>0.75</v>
      </c>
      <c r="B52">
        <f ca="1"/>
        <v>5.2599999999999999E-3</v>
      </c>
      <c r="C52">
        <f t="shared" ca="1" si="9"/>
        <v>5.2783227110247211E-3</v>
      </c>
      <c r="D52">
        <f ca="1"/>
        <v>0.48599999999999999</v>
      </c>
      <c r="I52">
        <f t="shared" ca="1" si="1"/>
        <v>5.1616528925619836E-3</v>
      </c>
      <c r="J52">
        <f t="shared" ca="1" si="10"/>
        <v>6.9224242424242438E-2</v>
      </c>
      <c r="L52">
        <f t="shared" ca="1" si="3"/>
        <v>5.1802295684113863E-3</v>
      </c>
      <c r="M52">
        <f t="shared" ca="1" si="4"/>
        <v>0.38362121212121203</v>
      </c>
      <c r="O52">
        <f t="shared" ca="1" si="5"/>
        <v>6.5208194559061156E-3</v>
      </c>
      <c r="P52">
        <f t="shared" ca="1" si="11"/>
        <v>-3.3439393939393935E-2</v>
      </c>
      <c r="R52">
        <f t="shared" ca="1" si="7"/>
        <v>7.6676376184871553E-3</v>
      </c>
      <c r="S52">
        <f t="shared" ca="1" si="12"/>
        <v>0.64126969696969693</v>
      </c>
    </row>
    <row r="53" spans="1:19" x14ac:dyDescent="0.35">
      <c r="A53">
        <f ca="1"/>
        <v>0.8</v>
      </c>
      <c r="B53">
        <f ca="1"/>
        <v>5.2700000000000004E-3</v>
      </c>
      <c r="C53">
        <f t="shared" ca="1" si="9"/>
        <v>5.2912194476045695E-3</v>
      </c>
      <c r="D53">
        <f ca="1"/>
        <v>0.49719999999999998</v>
      </c>
      <c r="I53">
        <f t="shared" ca="1" si="1"/>
        <v>5.1588705234159775E-3</v>
      </c>
      <c r="J53">
        <f t="shared" ca="1" si="10"/>
        <v>7.0874747474747479E-2</v>
      </c>
      <c r="L53">
        <f t="shared" ca="1" si="3"/>
        <v>5.1767258443016018E-3</v>
      </c>
      <c r="M53">
        <f t="shared" ca="1" si="4"/>
        <v>0.37910707070707067</v>
      </c>
      <c r="O53">
        <f t="shared" ca="1" si="5"/>
        <v>6.4848565122242272E-3</v>
      </c>
      <c r="P53">
        <f t="shared" ca="1" si="11"/>
        <v>-3.2979797979797984E-2</v>
      </c>
      <c r="R53">
        <f t="shared" ca="1" si="7"/>
        <v>7.7588770781060589E-3</v>
      </c>
      <c r="S53">
        <f t="shared" ca="1" si="12"/>
        <v>0.64212323232323232</v>
      </c>
    </row>
    <row r="54" spans="1:19" x14ac:dyDescent="0.35">
      <c r="A54">
        <f ca="1"/>
        <v>0.85</v>
      </c>
      <c r="B54">
        <f ca="1"/>
        <v>5.2900000000000004E-3</v>
      </c>
      <c r="C54">
        <f t="shared" ca="1" si="9"/>
        <v>5.3047850859512498E-3</v>
      </c>
      <c r="D54">
        <f ca="1"/>
        <v>0.50860000000000005</v>
      </c>
      <c r="I54">
        <f t="shared" ca="1" si="1"/>
        <v>5.1561432506887052E-3</v>
      </c>
      <c r="J54">
        <f t="shared" ca="1" si="10"/>
        <v>7.2525252525252548E-2</v>
      </c>
      <c r="L54">
        <f t="shared" ca="1" si="3"/>
        <v>5.1732915008672583E-3</v>
      </c>
      <c r="M54">
        <f t="shared" ca="1" si="4"/>
        <v>0.37459292929292926</v>
      </c>
      <c r="O54">
        <f t="shared" ca="1" si="5"/>
        <v>6.4494216396575313E-3</v>
      </c>
      <c r="P54">
        <f t="shared" ca="1" si="11"/>
        <v>-3.2520202020202019E-2</v>
      </c>
      <c r="R54">
        <f t="shared" ca="1" si="7"/>
        <v>7.8519378442242875E-3</v>
      </c>
      <c r="S54">
        <f t="shared" ca="1" si="12"/>
        <v>0.64297676767676759</v>
      </c>
    </row>
    <row r="55" spans="1:19" x14ac:dyDescent="0.35">
      <c r="A55">
        <f ca="1"/>
        <v>0.9</v>
      </c>
      <c r="B55">
        <f ca="1"/>
        <v>5.3E-3</v>
      </c>
      <c r="C55">
        <f t="shared" ca="1" si="9"/>
        <v>5.3186684066727349E-3</v>
      </c>
      <c r="D55">
        <f ca="1"/>
        <v>0.51990000000000003</v>
      </c>
      <c r="I55">
        <f t="shared" ca="1" si="1"/>
        <v>5.153471074380165E-3</v>
      </c>
      <c r="J55">
        <f t="shared" ca="1" si="10"/>
        <v>7.4175757575757589E-2</v>
      </c>
      <c r="L55">
        <f t="shared" ca="1" si="3"/>
        <v>5.1699265381083565E-3</v>
      </c>
      <c r="M55">
        <f t="shared" ca="1" si="4"/>
        <v>0.37007878787878784</v>
      </c>
      <c r="O55">
        <f t="shared" ca="1" si="5"/>
        <v>6.4145148382060259E-3</v>
      </c>
      <c r="P55">
        <f t="shared" ca="1" si="11"/>
        <v>-3.206060606060606E-2</v>
      </c>
      <c r="R55">
        <f t="shared" ca="1" si="7"/>
        <v>7.9468199168418654E-3</v>
      </c>
      <c r="S55">
        <f t="shared" ca="1" si="12"/>
        <v>0.64383030303030298</v>
      </c>
    </row>
    <row r="56" spans="1:19" x14ac:dyDescent="0.35">
      <c r="A56">
        <f ca="1"/>
        <v>0.95</v>
      </c>
      <c r="B56">
        <f ca="1"/>
        <v>5.3200000000000001E-3</v>
      </c>
      <c r="C56">
        <f t="shared" ca="1" si="9"/>
        <v>5.3331151322596713E-3</v>
      </c>
      <c r="D56">
        <f ca="1"/>
        <v>0.53129999999999999</v>
      </c>
      <c r="I56">
        <f t="shared" ca="1" si="1"/>
        <v>5.1508539944903585E-3</v>
      </c>
      <c r="J56">
        <f t="shared" ca="1" si="10"/>
        <v>7.582626262626263E-2</v>
      </c>
      <c r="L56">
        <f t="shared" ca="1" si="3"/>
        <v>5.1666309560248957E-3</v>
      </c>
      <c r="M56">
        <f t="shared" ca="1" si="4"/>
        <v>0.36556464646464643</v>
      </c>
      <c r="O56">
        <f t="shared" ca="1" si="5"/>
        <v>6.3801361078697147E-3</v>
      </c>
      <c r="P56">
        <f t="shared" ca="1" si="11"/>
        <v>-3.1601010101010102E-2</v>
      </c>
      <c r="R56">
        <f t="shared" ca="1" si="7"/>
        <v>8.0435232959587821E-3</v>
      </c>
      <c r="S56">
        <f t="shared" ca="1" si="12"/>
        <v>0.64468383838383836</v>
      </c>
    </row>
    <row r="57" spans="1:19" x14ac:dyDescent="0.35">
      <c r="A57">
        <f ca="1"/>
        <v>1</v>
      </c>
      <c r="B57">
        <f ca="1"/>
        <v>5.3400000000000001E-3</v>
      </c>
      <c r="C57">
        <f t="shared" ca="1" si="9"/>
        <v>5.34800434218753E-3</v>
      </c>
      <c r="D57">
        <f ca="1"/>
        <v>0.54269999999999996</v>
      </c>
      <c r="I57">
        <f t="shared" ca="1" si="1"/>
        <v>5.1482920110192841E-3</v>
      </c>
      <c r="J57">
        <f t="shared" ca="1" si="10"/>
        <v>7.7476767676767699E-2</v>
      </c>
      <c r="L57">
        <f t="shared" ca="1" si="3"/>
        <v>5.1634047546168758E-3</v>
      </c>
      <c r="M57">
        <f t="shared" ca="1" si="4"/>
        <v>0.36105050505050507</v>
      </c>
      <c r="O57">
        <f t="shared" ca="1" si="5"/>
        <v>6.346285448648595E-3</v>
      </c>
      <c r="P57">
        <f t="shared" ca="1" si="11"/>
        <v>-3.1141414141414143E-2</v>
      </c>
      <c r="R57">
        <f t="shared" ca="1" si="7"/>
        <v>8.1420479815750325E-3</v>
      </c>
      <c r="S57">
        <f t="shared" ca="1" si="12"/>
        <v>0.64553737373737374</v>
      </c>
    </row>
    <row r="58" spans="1:19" x14ac:dyDescent="0.35">
      <c r="A58">
        <f ca="1"/>
        <v>1.05</v>
      </c>
      <c r="B58">
        <f ca="1"/>
        <v>5.3600000000000002E-3</v>
      </c>
      <c r="C58">
        <f t="shared" ca="1" si="9"/>
        <v>5.36333603645631E-3</v>
      </c>
      <c r="D58">
        <f ca="1"/>
        <v>0.55410000000000004</v>
      </c>
      <c r="I58">
        <f t="shared" ca="1" si="1"/>
        <v>5.1457851239669417E-3</v>
      </c>
      <c r="J58">
        <f t="shared" ca="1" si="10"/>
        <v>7.9127272727272741E-2</v>
      </c>
      <c r="L58">
        <f t="shared" ca="1" si="3"/>
        <v>5.1602479338842978E-3</v>
      </c>
      <c r="M58">
        <f t="shared" ca="1" si="4"/>
        <v>0.35653636363636365</v>
      </c>
      <c r="O58">
        <f t="shared" ca="1" si="5"/>
        <v>6.3129628605426676E-3</v>
      </c>
      <c r="P58">
        <f t="shared" ca="1" si="11"/>
        <v>-3.0681818181818185E-2</v>
      </c>
      <c r="R58">
        <f t="shared" ca="1" si="7"/>
        <v>8.2423939736906079E-3</v>
      </c>
      <c r="S58">
        <f t="shared" ca="1" si="12"/>
        <v>0.64639090909090902</v>
      </c>
    </row>
    <row r="59" spans="1:19" x14ac:dyDescent="0.35">
      <c r="A59">
        <f ca="1"/>
        <v>1.1000000000000001</v>
      </c>
      <c r="B59">
        <f ca="1"/>
        <v>5.3800000000000002E-3</v>
      </c>
      <c r="C59">
        <f t="shared" ca="1" si="9"/>
        <v>5.3791102150660122E-3</v>
      </c>
      <c r="D59">
        <f ca="1"/>
        <v>0.5655</v>
      </c>
      <c r="I59">
        <f t="shared" ca="1" si="1"/>
        <v>5.1433333333333331E-3</v>
      </c>
      <c r="J59">
        <f t="shared" ca="1" si="10"/>
        <v>8.0777777777777782E-2</v>
      </c>
      <c r="L59">
        <f t="shared" ca="1" si="3"/>
        <v>5.1571604938271606E-3</v>
      </c>
      <c r="M59">
        <f t="shared" ca="1" si="4"/>
        <v>0.35202222222222218</v>
      </c>
      <c r="O59">
        <f t="shared" ca="1" si="5"/>
        <v>6.2801683435519335E-3</v>
      </c>
      <c r="P59">
        <f t="shared" ca="1" si="11"/>
        <v>-3.0222222222222223E-2</v>
      </c>
      <c r="R59">
        <f t="shared" ca="1" si="7"/>
        <v>8.3445612723055326E-3</v>
      </c>
      <c r="S59">
        <f t="shared" ca="1" si="12"/>
        <v>0.6472444444444444</v>
      </c>
    </row>
    <row r="60" spans="1:19" x14ac:dyDescent="0.35">
      <c r="A60">
        <f ca="1"/>
        <v>1.1499999999999999</v>
      </c>
      <c r="B60">
        <f ca="1"/>
        <v>5.4000000000000003E-3</v>
      </c>
      <c r="C60">
        <f t="shared" ca="1" si="9"/>
        <v>5.3954710871906867E-3</v>
      </c>
      <c r="D60">
        <f ca="1"/>
        <v>0.57699999999999996</v>
      </c>
      <c r="I60">
        <f t="shared" ca="1" si="1"/>
        <v>5.1409366391184574E-3</v>
      </c>
      <c r="J60">
        <f t="shared" ca="1" si="10"/>
        <v>8.2428282828282851E-2</v>
      </c>
      <c r="L60">
        <f t="shared" ca="1" si="3"/>
        <v>5.1541424344454644E-3</v>
      </c>
      <c r="M60">
        <f t="shared" ca="1" si="4"/>
        <v>0.34750808080808077</v>
      </c>
      <c r="O60">
        <f t="shared" ca="1" si="5"/>
        <v>6.2479018976763891E-3</v>
      </c>
      <c r="P60">
        <f t="shared" ca="1" si="11"/>
        <v>-2.9762626262626261E-2</v>
      </c>
      <c r="R60">
        <f t="shared" ca="1" si="7"/>
        <v>8.4485498774197944E-3</v>
      </c>
      <c r="S60">
        <f t="shared" ca="1" si="12"/>
        <v>0.64809797979797978</v>
      </c>
    </row>
    <row r="61" spans="1:19" x14ac:dyDescent="0.35">
      <c r="A61">
        <f ca="1"/>
        <v>1.2</v>
      </c>
      <c r="B61">
        <f ca="1"/>
        <v>5.4200000000000003E-3</v>
      </c>
      <c r="C61">
        <f t="shared" ca="1" si="9"/>
        <v>5.412430399298296E-3</v>
      </c>
      <c r="D61">
        <f ca="1"/>
        <v>0.58860000000000001</v>
      </c>
      <c r="I61">
        <f t="shared" ca="1" si="1"/>
        <v>5.1385950413223138E-3</v>
      </c>
      <c r="J61">
        <f t="shared" ca="1" si="10"/>
        <v>8.4078787878787892E-2</v>
      </c>
      <c r="L61">
        <f t="shared" ca="1" si="3"/>
        <v>5.15119375573921E-3</v>
      </c>
      <c r="M61">
        <f t="shared" ca="1" si="4"/>
        <v>0.34299393939393935</v>
      </c>
      <c r="O61">
        <f t="shared" ca="1" si="5"/>
        <v>6.2161635229160397E-3</v>
      </c>
      <c r="P61">
        <f t="shared" ca="1" si="11"/>
        <v>-2.9303030303030303E-2</v>
      </c>
      <c r="R61">
        <f t="shared" ca="1" si="7"/>
        <v>8.5543597890333795E-3</v>
      </c>
      <c r="S61">
        <f t="shared" ca="1" si="12"/>
        <v>0.64895151515151506</v>
      </c>
    </row>
    <row r="62" spans="1:19" x14ac:dyDescent="0.35">
      <c r="A62">
        <f ca="1"/>
        <v>1.25</v>
      </c>
      <c r="B62">
        <f ca="1"/>
        <v>5.4299999999999999E-3</v>
      </c>
      <c r="C62">
        <f t="shared" ca="1" si="9"/>
        <v>5.4299999999999999E-3</v>
      </c>
      <c r="D62">
        <f ca="1"/>
        <v>0.60029999999999994</v>
      </c>
      <c r="I62">
        <f t="shared" ca="1" si="1"/>
        <v>5.1363085399449039E-3</v>
      </c>
      <c r="J62">
        <f t="shared" ca="1" si="10"/>
        <v>8.5729292929292947E-2</v>
      </c>
      <c r="L62">
        <f t="shared" ca="1" si="3"/>
        <v>5.1483144577083974E-3</v>
      </c>
      <c r="M62">
        <f t="shared" ca="1" si="4"/>
        <v>0.33847979797979794</v>
      </c>
      <c r="O62">
        <f t="shared" ca="1" si="5"/>
        <v>6.1849532192708818E-3</v>
      </c>
      <c r="P62">
        <f t="shared" ca="1" si="11"/>
        <v>-2.8843434343434345E-2</v>
      </c>
      <c r="R62">
        <f t="shared" ca="1" si="7"/>
        <v>8.6619910071463156E-3</v>
      </c>
      <c r="S62">
        <f t="shared" ca="1" si="12"/>
        <v>0.64980505050505044</v>
      </c>
    </row>
    <row r="63" spans="1:19" x14ac:dyDescent="0.35">
      <c r="A63">
        <f ca="1"/>
        <v>1.3</v>
      </c>
      <c r="B63">
        <f ca="1"/>
        <v>5.45E-3</v>
      </c>
      <c r="C63">
        <f t="shared" ca="1" si="9"/>
        <v>5.6442263251991137E-3</v>
      </c>
      <c r="D63">
        <f ca="1"/>
        <v>0.61209999999999998</v>
      </c>
      <c r="I63">
        <f t="shared" ca="1" si="1"/>
        <v>5.1340771349862261E-3</v>
      </c>
      <c r="J63">
        <f t="shared" ca="1" si="10"/>
        <v>8.7379797979797988E-2</v>
      </c>
      <c r="L63">
        <f t="shared" ca="1" si="3"/>
        <v>5.1455045403530249E-3</v>
      </c>
      <c r="M63">
        <f t="shared" ca="1" si="4"/>
        <v>0.33396565656565652</v>
      </c>
      <c r="O63">
        <f t="shared" ca="1" si="5"/>
        <v>6.1542709867409163E-3</v>
      </c>
      <c r="P63">
        <f t="shared" ca="1" si="11"/>
        <v>-2.8383838383838386E-2</v>
      </c>
      <c r="R63">
        <f t="shared" ca="1" si="7"/>
        <v>8.7714435317585888E-3</v>
      </c>
      <c r="S63">
        <f t="shared" ca="1" si="12"/>
        <v>0.65065858585858583</v>
      </c>
    </row>
    <row r="64" spans="1:19" x14ac:dyDescent="0.35">
      <c r="A64">
        <f ca="1"/>
        <v>1.35</v>
      </c>
      <c r="B64">
        <f ca="1"/>
        <v>5.47E-3</v>
      </c>
      <c r="C64">
        <f t="shared" ca="1" si="9"/>
        <v>6.2128056277304259E-3</v>
      </c>
      <c r="D64">
        <f ca="1"/>
        <v>0.624</v>
      </c>
      <c r="I64">
        <f t="shared" ca="1" si="1"/>
        <v>5.1319008264462812E-3</v>
      </c>
      <c r="J64">
        <f t="shared" ca="1" si="10"/>
        <v>8.9030303030303043E-2</v>
      </c>
      <c r="L64">
        <f t="shared" ca="1" si="3"/>
        <v>5.1427640036730941E-3</v>
      </c>
      <c r="M64">
        <f t="shared" ca="1" si="4"/>
        <v>0.32945151515151511</v>
      </c>
      <c r="O64">
        <f t="shared" ca="1" si="5"/>
        <v>6.1241168253261431E-3</v>
      </c>
      <c r="P64">
        <f t="shared" ca="1" si="11"/>
        <v>-2.7924242424242424E-2</v>
      </c>
      <c r="R64">
        <f t="shared" ca="1" si="7"/>
        <v>8.8827173628701992E-3</v>
      </c>
      <c r="S64">
        <f t="shared" ca="1" si="12"/>
        <v>0.65151212121212121</v>
      </c>
    </row>
    <row r="65" spans="1:19" x14ac:dyDescent="0.35">
      <c r="A65">
        <f ca="1"/>
        <v>1.4</v>
      </c>
      <c r="B65">
        <f ca="1"/>
        <v>5.4900000000000001E-3</v>
      </c>
      <c r="C65">
        <f t="shared" ca="1" si="9"/>
        <v>7.1354099302617371E-3</v>
      </c>
      <c r="D65">
        <f ca="1"/>
        <v>0.63590000000000002</v>
      </c>
      <c r="I65">
        <f t="shared" ca="1" si="1"/>
        <v>5.1297796143250692E-3</v>
      </c>
      <c r="J65">
        <f t="shared" ca="1" si="10"/>
        <v>9.0680808080808098E-2</v>
      </c>
      <c r="L65">
        <f t="shared" ca="1" si="3"/>
        <v>5.1400928476686052E-3</v>
      </c>
      <c r="M65">
        <f t="shared" ca="1" si="4"/>
        <v>0.32493737373737369</v>
      </c>
      <c r="O65">
        <f t="shared" ca="1" si="5"/>
        <v>6.0944907350265623E-3</v>
      </c>
      <c r="P65">
        <f t="shared" ca="1" si="11"/>
        <v>-2.7464646464646466E-2</v>
      </c>
      <c r="R65">
        <f t="shared" ca="1" si="7"/>
        <v>8.9958125004811294E-3</v>
      </c>
      <c r="S65">
        <f t="shared" ca="1" si="12"/>
        <v>0.65236565656565648</v>
      </c>
    </row>
    <row r="66" spans="1:19" x14ac:dyDescent="0.35">
      <c r="A66">
        <f ca="1"/>
        <v>1.45</v>
      </c>
      <c r="B66">
        <f ca="1"/>
        <v>5.4999999999999997E-3</v>
      </c>
      <c r="C66">
        <f t="shared" ca="1" si="9"/>
        <v>8.4365201874574414E-3</v>
      </c>
      <c r="D66">
        <f ca="1"/>
        <v>0.64800000000000002</v>
      </c>
      <c r="I66">
        <f t="shared" ca="1" si="1"/>
        <v>5.1277134986225893E-3</v>
      </c>
      <c r="J66">
        <f t="shared" ca="1" si="10"/>
        <v>9.2331313131313139E-2</v>
      </c>
      <c r="L66">
        <f t="shared" ca="1" si="3"/>
        <v>5.1374910723395572E-3</v>
      </c>
      <c r="M66">
        <f t="shared" ca="1" si="4"/>
        <v>0.32042323232323228</v>
      </c>
      <c r="O66">
        <f t="shared" ca="1" si="5"/>
        <v>6.0653927158421739E-3</v>
      </c>
      <c r="P66">
        <f t="shared" ca="1" si="11"/>
        <v>-2.7005050505050508E-2</v>
      </c>
      <c r="R66">
        <f t="shared" ca="1" si="7"/>
        <v>9.1107289445914123E-3</v>
      </c>
      <c r="S66">
        <f t="shared" ca="1" si="12"/>
        <v>0.65321919191919187</v>
      </c>
    </row>
    <row r="67" spans="1:19" x14ac:dyDescent="0.35">
      <c r="A67">
        <f ca="1"/>
        <v>1.5</v>
      </c>
      <c r="B67">
        <f ca="1"/>
        <v>5.5199999999999997E-3</v>
      </c>
      <c r="C67">
        <f t="shared" ca="1" si="9"/>
        <v>1.0103655444653142E-2</v>
      </c>
      <c r="D67">
        <f ca="1"/>
        <v>0.66010000000000002</v>
      </c>
      <c r="I67">
        <f t="shared" ca="1" si="1"/>
        <v>5.1257024793388431E-3</v>
      </c>
      <c r="J67">
        <f t="shared" ca="1" si="10"/>
        <v>9.3981818181818208E-2</v>
      </c>
      <c r="L67">
        <f t="shared" ca="1" si="3"/>
        <v>5.1349586776859501E-3</v>
      </c>
      <c r="M67">
        <f t="shared" ca="1" si="4"/>
        <v>0.31590909090909086</v>
      </c>
      <c r="O67">
        <f t="shared" ca="1" si="5"/>
        <v>6.036822767772977E-3</v>
      </c>
      <c r="P67">
        <f t="shared" ca="1" si="11"/>
        <v>-2.6545454545454549E-2</v>
      </c>
      <c r="R67">
        <f t="shared" ca="1" si="7"/>
        <v>9.2274666952010323E-3</v>
      </c>
      <c r="S67">
        <f t="shared" ca="1" si="12"/>
        <v>0.65407272727272725</v>
      </c>
    </row>
    <row r="68" spans="1:19" x14ac:dyDescent="0.35">
      <c r="A68">
        <f ca="1"/>
        <v>1.55</v>
      </c>
      <c r="B68">
        <f ca="1"/>
        <v>5.5500000000000002E-3</v>
      </c>
      <c r="C68">
        <f t="shared" ca="1" si="9"/>
        <v>1.2173496656513233E-2</v>
      </c>
      <c r="D68">
        <f ca="1"/>
        <v>0.6724</v>
      </c>
      <c r="I68">
        <f t="shared" ca="1" si="1"/>
        <v>5.123746556473829E-3</v>
      </c>
      <c r="J68">
        <f t="shared" ca="1" si="10"/>
        <v>9.5632323232323249E-2</v>
      </c>
      <c r="L68">
        <f t="shared" ca="1" si="3"/>
        <v>5.1324956637077849E-3</v>
      </c>
      <c r="M68">
        <f t="shared" ca="1" si="4"/>
        <v>0.31139494949494945</v>
      </c>
      <c r="O68">
        <f t="shared" ca="1" si="5"/>
        <v>6.0087808908189724E-3</v>
      </c>
      <c r="P68">
        <f t="shared" ca="1" si="11"/>
        <v>-2.6085858585858587E-2</v>
      </c>
      <c r="R68">
        <f t="shared" ca="1" si="7"/>
        <v>9.3460257523099895E-3</v>
      </c>
      <c r="S68">
        <f t="shared" ca="1" si="12"/>
        <v>0.65492626262626263</v>
      </c>
    </row>
    <row r="69" spans="1:19" x14ac:dyDescent="0.35">
      <c r="A69">
        <f ca="1"/>
        <v>1.6</v>
      </c>
      <c r="B69">
        <f ca="1"/>
        <v>5.5700000000000003E-3</v>
      </c>
      <c r="C69">
        <f t="shared" ref="C69:C132" ca="1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>1.4643015845705517E-2</v>
      </c>
      <c r="D69">
        <f ca="1"/>
        <v>0.68479999999999996</v>
      </c>
      <c r="I69">
        <f t="shared" ref="I69:I103" ca="1" si="14">$G$16 * (J69 - $G$6)^2 + $G$5</f>
        <v>5.1218457300275478E-3</v>
      </c>
      <c r="J69">
        <f t="shared" ref="J69:J100" ca="1" si="15">$G$9 + ($G$6 - $G$9) * (ROW(B66)-1)/99</f>
        <v>9.728282828282829E-2</v>
      </c>
      <c r="L69">
        <f t="shared" ref="L69:L103" ca="1" si="16">$G$17 * (M69 - $G$6)^2 + $G$5</f>
        <v>5.1301020304050605E-3</v>
      </c>
      <c r="M69">
        <f t="shared" ref="M69:M103" ca="1" si="17">$G$13 + ($G$6 - $G$13) * (ROW(F66)-1)/99</f>
        <v>0.30688080808080803</v>
      </c>
      <c r="O69">
        <f t="shared" ref="O69:O103" ca="1" si="18">$G$10 + $G$19 * ($G$23 * (P69 - $G$9))^2 + $G$21 * (1 - (P69 - $G$6)/($G$9 - $G$6))</f>
        <v>5.981267084980162E-3</v>
      </c>
      <c r="P69">
        <f t="shared" ref="P69:P100" ca="1" si="19">$G$26 + ($G$9 - $G$26) * (ROW(B66)-1)/99</f>
        <v>-2.5626262626262625E-2</v>
      </c>
      <c r="R69">
        <f t="shared" ref="R69:R103" ca="1" si="20">$G$14 + $G$19 * ($G$23 * (S69 - $G$13))^2 - $G$22 * (1 - (S69 - $G$6)/($G$13 - $G$6))</f>
        <v>9.4664061159182682E-3</v>
      </c>
      <c r="S69">
        <f t="shared" ref="S69:S100" ca="1" si="21">$G$13 + ($G$25 - $G$13) * (ROW(B66)-1)/99</f>
        <v>0.65577979797979791</v>
      </c>
    </row>
    <row r="70" spans="1:19" x14ac:dyDescent="0.35">
      <c r="C70" t="str">
        <f t="shared" si="13"/>
        <v/>
      </c>
      <c r="I70">
        <f t="shared" ca="1" si="14"/>
        <v>5.1199999999999996E-3</v>
      </c>
      <c r="J70">
        <f t="shared" ca="1" si="15"/>
        <v>9.8933333333333359E-2</v>
      </c>
      <c r="L70">
        <f t="shared" ca="1" si="16"/>
        <v>5.127777777777778E-3</v>
      </c>
      <c r="M70">
        <f t="shared" ca="1" si="17"/>
        <v>0.30236666666666667</v>
      </c>
      <c r="O70">
        <f t="shared" ca="1" si="18"/>
        <v>5.9542813502565422E-3</v>
      </c>
      <c r="P70">
        <f t="shared" ca="1" si="19"/>
        <v>-2.5166666666666667E-2</v>
      </c>
      <c r="R70">
        <f t="shared" ca="1" si="20"/>
        <v>9.5886077860258996E-3</v>
      </c>
      <c r="S70">
        <f t="shared" ca="1" si="21"/>
        <v>0.65663333333333329</v>
      </c>
    </row>
    <row r="71" spans="1:19" x14ac:dyDescent="0.35">
      <c r="C71" t="str">
        <f t="shared" si="13"/>
        <v/>
      </c>
      <c r="I71">
        <f t="shared" ca="1" si="14"/>
        <v>5.1182093663911842E-3</v>
      </c>
      <c r="J71">
        <f t="shared" ca="1" si="15"/>
        <v>0.1005838383838384</v>
      </c>
      <c r="L71">
        <f t="shared" ca="1" si="16"/>
        <v>5.1255229058259364E-3</v>
      </c>
      <c r="M71">
        <f t="shared" ca="1" si="17"/>
        <v>0.29785252525252526</v>
      </c>
      <c r="O71">
        <f t="shared" ca="1" si="18"/>
        <v>5.9278236866481147E-3</v>
      </c>
      <c r="P71">
        <f t="shared" ca="1" si="19"/>
        <v>-2.4707070707070709E-2</v>
      </c>
      <c r="R71">
        <f t="shared" ca="1" si="20"/>
        <v>9.7126307626328665E-3</v>
      </c>
      <c r="S71">
        <f t="shared" ca="1" si="21"/>
        <v>0.65748686868686868</v>
      </c>
    </row>
    <row r="72" spans="1:19" x14ac:dyDescent="0.35">
      <c r="C72" t="str">
        <f t="shared" si="13"/>
        <v/>
      </c>
      <c r="I72">
        <f t="shared" ca="1" si="14"/>
        <v>5.1164738292011017E-3</v>
      </c>
      <c r="J72">
        <f t="shared" ca="1" si="15"/>
        <v>0.10223434343434346</v>
      </c>
      <c r="L72">
        <f t="shared" ca="1" si="16"/>
        <v>5.1233374145495357E-3</v>
      </c>
      <c r="M72">
        <f t="shared" ca="1" si="17"/>
        <v>0.29333838383838379</v>
      </c>
      <c r="O72">
        <f t="shared" ca="1" si="18"/>
        <v>5.9018940941548805E-3</v>
      </c>
      <c r="P72">
        <f t="shared" ca="1" si="19"/>
        <v>-2.4247474747474747E-2</v>
      </c>
      <c r="R72">
        <f t="shared" ca="1" si="20"/>
        <v>9.8384750457391548E-3</v>
      </c>
      <c r="S72">
        <f t="shared" ca="1" si="21"/>
        <v>0.65834040404040395</v>
      </c>
    </row>
    <row r="73" spans="1:19" x14ac:dyDescent="0.35">
      <c r="C73" t="str">
        <f t="shared" si="13"/>
        <v/>
      </c>
      <c r="I73">
        <f t="shared" ca="1" si="14"/>
        <v>5.1147933884297522E-3</v>
      </c>
      <c r="J73">
        <f t="shared" ca="1" si="15"/>
        <v>0.1038848484848485</v>
      </c>
      <c r="L73">
        <f t="shared" ca="1" si="16"/>
        <v>5.1212213039485768E-3</v>
      </c>
      <c r="M73">
        <f t="shared" ca="1" si="17"/>
        <v>0.28882424242424237</v>
      </c>
      <c r="O73">
        <f t="shared" ca="1" si="18"/>
        <v>5.8764925727768378E-3</v>
      </c>
      <c r="P73">
        <f t="shared" ca="1" si="19"/>
        <v>-2.3787878787878788E-2</v>
      </c>
      <c r="R73">
        <f t="shared" ca="1" si="20"/>
        <v>9.9661406353447959E-3</v>
      </c>
      <c r="S73">
        <f t="shared" ca="1" si="21"/>
        <v>0.65919393939393933</v>
      </c>
    </row>
    <row r="74" spans="1:19" x14ac:dyDescent="0.35">
      <c r="C74" t="str">
        <f t="shared" si="13"/>
        <v/>
      </c>
      <c r="I74">
        <f t="shared" ca="1" si="14"/>
        <v>5.1131680440771347E-3</v>
      </c>
      <c r="J74">
        <f t="shared" ca="1" si="15"/>
        <v>0.10553535353535355</v>
      </c>
      <c r="L74">
        <f t="shared" ca="1" si="16"/>
        <v>5.1191745740230589E-3</v>
      </c>
      <c r="M74">
        <f t="shared" ca="1" si="17"/>
        <v>0.28431010101010096</v>
      </c>
      <c r="O74">
        <f t="shared" ca="1" si="18"/>
        <v>5.8516191225139883E-3</v>
      </c>
      <c r="P74">
        <f t="shared" ca="1" si="19"/>
        <v>-2.332828282828283E-2</v>
      </c>
      <c r="R74">
        <f t="shared" ca="1" si="20"/>
        <v>1.0095627531449774E-2</v>
      </c>
      <c r="S74">
        <f t="shared" ca="1" si="21"/>
        <v>0.66004747474747472</v>
      </c>
    </row>
    <row r="75" spans="1:19" x14ac:dyDescent="0.35">
      <c r="C75" t="str">
        <f t="shared" si="13"/>
        <v/>
      </c>
      <c r="I75">
        <f t="shared" ca="1" si="14"/>
        <v>5.111597796143251E-3</v>
      </c>
      <c r="J75">
        <f t="shared" ca="1" si="15"/>
        <v>0.10718585858585861</v>
      </c>
      <c r="L75">
        <f t="shared" ca="1" si="16"/>
        <v>5.1171972247729819E-3</v>
      </c>
      <c r="M75">
        <f t="shared" ca="1" si="17"/>
        <v>0.27979595959595954</v>
      </c>
      <c r="O75">
        <f t="shared" ca="1" si="18"/>
        <v>5.8272737433663312E-3</v>
      </c>
      <c r="P75">
        <f t="shared" ca="1" si="19"/>
        <v>-2.2868686868686872E-2</v>
      </c>
      <c r="R75">
        <f t="shared" ca="1" si="20"/>
        <v>1.0226935734054088E-2</v>
      </c>
      <c r="S75">
        <f t="shared" ca="1" si="21"/>
        <v>0.6609010101010101</v>
      </c>
    </row>
    <row r="76" spans="1:19" x14ac:dyDescent="0.35">
      <c r="C76" t="str">
        <f t="shared" si="13"/>
        <v/>
      </c>
      <c r="I76">
        <f t="shared" ca="1" si="14"/>
        <v>5.1100826446280993E-3</v>
      </c>
      <c r="J76">
        <f t="shared" ca="1" si="15"/>
        <v>0.10883636363636365</v>
      </c>
      <c r="L76">
        <f t="shared" ca="1" si="16"/>
        <v>5.1152892561983467E-3</v>
      </c>
      <c r="M76">
        <f t="shared" ca="1" si="17"/>
        <v>0.27528181818181813</v>
      </c>
      <c r="O76">
        <f t="shared" ca="1" si="18"/>
        <v>5.8034564353338647E-3</v>
      </c>
      <c r="P76">
        <f t="shared" ca="1" si="19"/>
        <v>-2.2409090909090913E-2</v>
      </c>
      <c r="R76">
        <f t="shared" ca="1" si="20"/>
        <v>1.0360065243157725E-2</v>
      </c>
      <c r="S76">
        <f t="shared" ca="1" si="21"/>
        <v>0.66175454545454537</v>
      </c>
    </row>
    <row r="77" spans="1:19" x14ac:dyDescent="0.35">
      <c r="C77" t="str">
        <f t="shared" si="13"/>
        <v/>
      </c>
      <c r="I77">
        <f t="shared" ca="1" si="14"/>
        <v>5.1086225895316806E-3</v>
      </c>
      <c r="J77">
        <f t="shared" ca="1" si="15"/>
        <v>0.11048686868686872</v>
      </c>
      <c r="L77">
        <f t="shared" ca="1" si="16"/>
        <v>5.1134506682991533E-3</v>
      </c>
      <c r="M77">
        <f t="shared" ca="1" si="17"/>
        <v>0.27076767676767671</v>
      </c>
      <c r="O77">
        <f t="shared" ca="1" si="18"/>
        <v>5.7801671984165914E-3</v>
      </c>
      <c r="P77">
        <f t="shared" ca="1" si="19"/>
        <v>-2.1949494949494948E-2</v>
      </c>
      <c r="R77">
        <f t="shared" ca="1" si="20"/>
        <v>1.0495016058760714E-2</v>
      </c>
      <c r="S77">
        <f t="shared" ca="1" si="21"/>
        <v>0.66260808080808076</v>
      </c>
    </row>
    <row r="78" spans="1:19" x14ac:dyDescent="0.35">
      <c r="C78" t="str">
        <f t="shared" si="13"/>
        <v/>
      </c>
      <c r="I78">
        <f t="shared" ca="1" si="14"/>
        <v>5.1072176308539947E-3</v>
      </c>
      <c r="J78">
        <f t="shared" ca="1" si="15"/>
        <v>0.11213737373737376</v>
      </c>
      <c r="L78">
        <f t="shared" ca="1" si="16"/>
        <v>5.1116814610753999E-3</v>
      </c>
      <c r="M78">
        <f t="shared" ca="1" si="17"/>
        <v>0.2662535353535353</v>
      </c>
      <c r="O78">
        <f t="shared" ca="1" si="18"/>
        <v>5.7574060326145114E-3</v>
      </c>
      <c r="P78">
        <f t="shared" ca="1" si="19"/>
        <v>-2.148989898989899E-2</v>
      </c>
      <c r="R78">
        <f t="shared" ca="1" si="20"/>
        <v>1.0631788180863038E-2</v>
      </c>
      <c r="S78">
        <f t="shared" ca="1" si="21"/>
        <v>0.66346161616161614</v>
      </c>
    </row>
    <row r="79" spans="1:19" x14ac:dyDescent="0.35">
      <c r="C79" t="str">
        <f t="shared" si="13"/>
        <v/>
      </c>
      <c r="I79">
        <f t="shared" ca="1" si="14"/>
        <v>5.105867768595041E-3</v>
      </c>
      <c r="J79">
        <f t="shared" ca="1" si="15"/>
        <v>0.1137878787878788</v>
      </c>
      <c r="L79">
        <f t="shared" ca="1" si="16"/>
        <v>5.1099816345270893E-3</v>
      </c>
      <c r="M79">
        <f t="shared" ca="1" si="17"/>
        <v>0.26173939393939388</v>
      </c>
      <c r="O79">
        <f t="shared" ca="1" si="18"/>
        <v>5.7351729379276229E-3</v>
      </c>
      <c r="P79">
        <f t="shared" ca="1" si="19"/>
        <v>-2.1030303030303031E-2</v>
      </c>
      <c r="R79">
        <f t="shared" ca="1" si="20"/>
        <v>1.07703816094647E-2</v>
      </c>
      <c r="S79">
        <f t="shared" ca="1" si="21"/>
        <v>0.66431515151515153</v>
      </c>
    </row>
    <row r="80" spans="1:19" x14ac:dyDescent="0.35">
      <c r="C80" t="str">
        <f t="shared" si="13"/>
        <v/>
      </c>
      <c r="I80">
        <f t="shared" ca="1" si="14"/>
        <v>5.1045730027548209E-3</v>
      </c>
      <c r="J80">
        <f t="shared" ca="1" si="15"/>
        <v>0.11543838383838385</v>
      </c>
      <c r="L80">
        <f t="shared" ca="1" si="16"/>
        <v>5.1083511886542187E-3</v>
      </c>
      <c r="M80">
        <f t="shared" ca="1" si="17"/>
        <v>0.25722525252525247</v>
      </c>
      <c r="O80">
        <f t="shared" ca="1" si="18"/>
        <v>5.7134679143559268E-3</v>
      </c>
      <c r="P80">
        <f t="shared" ca="1" si="19"/>
        <v>-2.0570707070707073E-2</v>
      </c>
      <c r="R80">
        <f t="shared" ca="1" si="20"/>
        <v>1.0910796344565682E-2</v>
      </c>
      <c r="S80">
        <f t="shared" ca="1" si="21"/>
        <v>0.6651686868686868</v>
      </c>
    </row>
    <row r="81" spans="3:19" x14ac:dyDescent="0.35">
      <c r="C81" t="str">
        <f t="shared" si="13"/>
        <v/>
      </c>
      <c r="I81">
        <f t="shared" ca="1" si="14"/>
        <v>5.103333333333333E-3</v>
      </c>
      <c r="J81">
        <f t="shared" ca="1" si="15"/>
        <v>0.1170888888888889</v>
      </c>
      <c r="L81">
        <f t="shared" ca="1" si="16"/>
        <v>5.1067901234567899E-3</v>
      </c>
      <c r="M81">
        <f t="shared" ca="1" si="17"/>
        <v>0.25271111111111111</v>
      </c>
      <c r="O81">
        <f t="shared" ca="1" si="18"/>
        <v>5.692290961899423E-3</v>
      </c>
      <c r="P81">
        <f t="shared" ca="1" si="19"/>
        <v>-2.0111111111111114E-2</v>
      </c>
      <c r="R81">
        <f t="shared" ca="1" si="20"/>
        <v>1.1053032386166018E-2</v>
      </c>
      <c r="S81">
        <f t="shared" ca="1" si="21"/>
        <v>0.66602222222222218</v>
      </c>
    </row>
    <row r="82" spans="3:19" x14ac:dyDescent="0.35">
      <c r="C82" t="str">
        <f t="shared" si="13"/>
        <v/>
      </c>
      <c r="I82">
        <f t="shared" ca="1" si="14"/>
        <v>5.1021487603305788E-3</v>
      </c>
      <c r="J82">
        <f t="shared" ca="1" si="15"/>
        <v>0.11873939393939394</v>
      </c>
      <c r="L82">
        <f t="shared" ca="1" si="16"/>
        <v>5.1052984389348029E-3</v>
      </c>
      <c r="M82">
        <f t="shared" ca="1" si="17"/>
        <v>0.24819696969696969</v>
      </c>
      <c r="O82">
        <f t="shared" ca="1" si="18"/>
        <v>5.6716420805581116E-3</v>
      </c>
      <c r="P82">
        <f t="shared" ca="1" si="19"/>
        <v>-1.9651515151515156E-2</v>
      </c>
      <c r="R82">
        <f t="shared" ca="1" si="20"/>
        <v>1.1197089734265692E-2</v>
      </c>
      <c r="S82">
        <f t="shared" ca="1" si="21"/>
        <v>0.66687575757575757</v>
      </c>
    </row>
    <row r="83" spans="3:19" x14ac:dyDescent="0.35">
      <c r="C83" t="str">
        <f t="shared" si="13"/>
        <v/>
      </c>
      <c r="I83">
        <f t="shared" ca="1" si="14"/>
        <v>5.1010192837465567E-3</v>
      </c>
      <c r="J83">
        <f t="shared" ca="1" si="15"/>
        <v>0.12038989898989901</v>
      </c>
      <c r="L83">
        <f t="shared" ca="1" si="16"/>
        <v>5.1038761350882559E-3</v>
      </c>
      <c r="M83">
        <f t="shared" ca="1" si="17"/>
        <v>0.24368282828282828</v>
      </c>
      <c r="O83">
        <f t="shared" ca="1" si="18"/>
        <v>5.6515212703319925E-3</v>
      </c>
      <c r="P83">
        <f t="shared" ca="1" si="19"/>
        <v>-1.9191919191919191E-2</v>
      </c>
      <c r="R83">
        <f t="shared" ca="1" si="20"/>
        <v>1.1342968388864682E-2</v>
      </c>
      <c r="S83">
        <f t="shared" ca="1" si="21"/>
        <v>0.66772929292929284</v>
      </c>
    </row>
    <row r="84" spans="3:19" x14ac:dyDescent="0.35">
      <c r="C84" t="str">
        <f t="shared" si="13"/>
        <v/>
      </c>
      <c r="I84">
        <f t="shared" ca="1" si="14"/>
        <v>5.0999449035812675E-3</v>
      </c>
      <c r="J84">
        <f t="shared" ca="1" si="15"/>
        <v>0.12204040404040405</v>
      </c>
      <c r="L84">
        <f t="shared" ca="1" si="16"/>
        <v>5.1025232119171508E-3</v>
      </c>
      <c r="M84">
        <f t="shared" ca="1" si="17"/>
        <v>0.23916868686868686</v>
      </c>
      <c r="O84">
        <f t="shared" ca="1" si="18"/>
        <v>5.6319285312210659E-3</v>
      </c>
      <c r="P84">
        <f t="shared" ca="1" si="19"/>
        <v>-1.8732323232323239E-2</v>
      </c>
      <c r="R84">
        <f t="shared" ca="1" si="20"/>
        <v>1.149066834996303E-2</v>
      </c>
      <c r="S84">
        <f t="shared" ca="1" si="21"/>
        <v>0.66858282828282822</v>
      </c>
    </row>
    <row r="85" spans="3:19" x14ac:dyDescent="0.35">
      <c r="C85" t="str">
        <f t="shared" si="13"/>
        <v/>
      </c>
      <c r="I85">
        <f t="shared" ca="1" si="14"/>
        <v>5.0989256198347103E-3</v>
      </c>
      <c r="J85">
        <f t="shared" ca="1" si="15"/>
        <v>0.12369090909090912</v>
      </c>
      <c r="L85">
        <f t="shared" ca="1" si="16"/>
        <v>5.1012396694214875E-3</v>
      </c>
      <c r="M85">
        <f t="shared" ca="1" si="17"/>
        <v>0.23465454545454545</v>
      </c>
      <c r="O85">
        <f t="shared" ca="1" si="18"/>
        <v>5.6128638632253315E-3</v>
      </c>
      <c r="P85">
        <f t="shared" ca="1" si="19"/>
        <v>-1.8272727272727274E-2</v>
      </c>
      <c r="R85">
        <f t="shared" ca="1" si="20"/>
        <v>1.1640189617560715E-2</v>
      </c>
      <c r="S85">
        <f t="shared" ca="1" si="21"/>
        <v>0.66943636363636361</v>
      </c>
    </row>
    <row r="86" spans="3:19" x14ac:dyDescent="0.35">
      <c r="C86" t="str">
        <f t="shared" si="13"/>
        <v/>
      </c>
      <c r="I86">
        <f t="shared" ca="1" si="14"/>
        <v>5.0979614325068869E-3</v>
      </c>
      <c r="J86">
        <f t="shared" ca="1" si="15"/>
        <v>0.12534141414141414</v>
      </c>
      <c r="L86">
        <f t="shared" ca="1" si="16"/>
        <v>5.1000255076012651E-3</v>
      </c>
      <c r="M86">
        <f t="shared" ca="1" si="17"/>
        <v>0.23014040404040403</v>
      </c>
      <c r="O86">
        <f t="shared" ca="1" si="18"/>
        <v>5.5943272663447896E-3</v>
      </c>
      <c r="P86">
        <f t="shared" ca="1" si="19"/>
        <v>-1.7813131313131315E-2</v>
      </c>
      <c r="R86">
        <f t="shared" ca="1" si="20"/>
        <v>1.1791532191657735E-2</v>
      </c>
      <c r="S86">
        <f t="shared" ca="1" si="21"/>
        <v>0.67028989898989899</v>
      </c>
    </row>
    <row r="87" spans="3:19" x14ac:dyDescent="0.35">
      <c r="C87" t="str">
        <f t="shared" si="13"/>
        <v/>
      </c>
      <c r="I87">
        <f t="shared" ca="1" si="14"/>
        <v>5.0970523415977964E-3</v>
      </c>
      <c r="J87">
        <f t="shared" ca="1" si="15"/>
        <v>0.12699191919191918</v>
      </c>
      <c r="L87">
        <f t="shared" ca="1" si="16"/>
        <v>5.0988807264564836E-3</v>
      </c>
      <c r="M87">
        <f t="shared" ca="1" si="17"/>
        <v>0.22562626262626262</v>
      </c>
      <c r="O87">
        <f t="shared" ca="1" si="18"/>
        <v>5.57631874057944E-3</v>
      </c>
      <c r="P87">
        <f t="shared" ca="1" si="19"/>
        <v>-1.7353535353535357E-2</v>
      </c>
      <c r="R87">
        <f t="shared" ca="1" si="20"/>
        <v>1.1944696072254072E-2</v>
      </c>
      <c r="S87">
        <f t="shared" ca="1" si="21"/>
        <v>0.67114343434343426</v>
      </c>
    </row>
    <row r="88" spans="3:19" x14ac:dyDescent="0.35">
      <c r="C88" t="str">
        <f t="shared" si="13"/>
        <v/>
      </c>
      <c r="I88">
        <f t="shared" ca="1" si="14"/>
        <v>5.096198347107438E-3</v>
      </c>
      <c r="J88">
        <f t="shared" ca="1" si="15"/>
        <v>0.12864242424242425</v>
      </c>
      <c r="L88">
        <f t="shared" ca="1" si="16"/>
        <v>5.0978053259871439E-3</v>
      </c>
      <c r="M88">
        <f t="shared" ca="1" si="17"/>
        <v>0.22111212121212115</v>
      </c>
      <c r="O88">
        <f t="shared" ca="1" si="18"/>
        <v>5.558838285929282E-3</v>
      </c>
      <c r="P88">
        <f t="shared" ca="1" si="19"/>
        <v>-1.6893939393939392E-2</v>
      </c>
      <c r="R88">
        <f t="shared" ca="1" si="20"/>
        <v>1.2099681259349765E-2</v>
      </c>
      <c r="S88">
        <f t="shared" ca="1" si="21"/>
        <v>0.67199696969696965</v>
      </c>
    </row>
    <row r="89" spans="3:19" x14ac:dyDescent="0.35">
      <c r="C89" t="str">
        <f t="shared" si="13"/>
        <v/>
      </c>
      <c r="I89">
        <f t="shared" ca="1" si="14"/>
        <v>5.0953994490358125E-3</v>
      </c>
      <c r="J89">
        <f t="shared" ca="1" si="15"/>
        <v>0.13029292929292929</v>
      </c>
      <c r="L89">
        <f t="shared" ca="1" si="16"/>
        <v>5.0967993061932452E-3</v>
      </c>
      <c r="M89">
        <f t="shared" ca="1" si="17"/>
        <v>0.21659797979797973</v>
      </c>
      <c r="O89">
        <f t="shared" ca="1" si="18"/>
        <v>5.5418859023943171E-3</v>
      </c>
      <c r="P89">
        <f t="shared" ca="1" si="19"/>
        <v>-1.643434343434344E-2</v>
      </c>
      <c r="R89">
        <f t="shared" ca="1" si="20"/>
        <v>1.2256487752944795E-2</v>
      </c>
      <c r="S89">
        <f t="shared" ca="1" si="21"/>
        <v>0.67285050505050503</v>
      </c>
    </row>
    <row r="90" spans="3:19" x14ac:dyDescent="0.35">
      <c r="C90" t="str">
        <f t="shared" si="13"/>
        <v/>
      </c>
      <c r="I90">
        <f t="shared" ca="1" si="14"/>
        <v>5.0946556473829199E-3</v>
      </c>
      <c r="J90">
        <f t="shared" ca="1" si="15"/>
        <v>0.13194343434343436</v>
      </c>
      <c r="L90">
        <f t="shared" ca="1" si="16"/>
        <v>5.0958626670747883E-3</v>
      </c>
      <c r="M90">
        <f t="shared" ca="1" si="17"/>
        <v>0.21208383838383832</v>
      </c>
      <c r="O90">
        <f t="shared" ca="1" si="18"/>
        <v>5.5254615899745447E-3</v>
      </c>
      <c r="P90">
        <f t="shared" ca="1" si="19"/>
        <v>-1.5974747474747475E-2</v>
      </c>
      <c r="R90">
        <f t="shared" ca="1" si="20"/>
        <v>1.2415115553039166E-2</v>
      </c>
      <c r="S90">
        <f t="shared" ca="1" si="21"/>
        <v>0.67370404040404042</v>
      </c>
    </row>
    <row r="91" spans="3:19" x14ac:dyDescent="0.35">
      <c r="C91" t="str">
        <f t="shared" si="13"/>
        <v/>
      </c>
      <c r="I91">
        <f t="shared" ca="1" si="14"/>
        <v>5.0939669421487602E-3</v>
      </c>
      <c r="J91">
        <f t="shared" ca="1" si="15"/>
        <v>0.1335939393939394</v>
      </c>
      <c r="L91">
        <f t="shared" ca="1" si="16"/>
        <v>5.0949954086317722E-3</v>
      </c>
      <c r="M91">
        <f t="shared" ca="1" si="17"/>
        <v>0.2075696969696969</v>
      </c>
      <c r="O91">
        <f t="shared" ca="1" si="18"/>
        <v>5.5095653486699646E-3</v>
      </c>
      <c r="P91">
        <f t="shared" ca="1" si="19"/>
        <v>-1.5515151515151517E-2</v>
      </c>
      <c r="R91">
        <f t="shared" ca="1" si="20"/>
        <v>1.2575564659632849E-2</v>
      </c>
      <c r="S91">
        <f t="shared" ca="1" si="21"/>
        <v>0.67455757575757569</v>
      </c>
    </row>
    <row r="92" spans="3:19" x14ac:dyDescent="0.35">
      <c r="C92" t="str">
        <f t="shared" si="13"/>
        <v/>
      </c>
      <c r="I92">
        <f t="shared" ca="1" si="14"/>
        <v>5.0933333333333334E-3</v>
      </c>
      <c r="J92">
        <f t="shared" ca="1" si="15"/>
        <v>0.13524444444444444</v>
      </c>
      <c r="L92">
        <f t="shared" ca="1" si="16"/>
        <v>5.0941975308641972E-3</v>
      </c>
      <c r="M92">
        <f t="shared" ca="1" si="17"/>
        <v>0.20305555555555554</v>
      </c>
      <c r="O92">
        <f t="shared" ca="1" si="18"/>
        <v>5.4941971784805759E-3</v>
      </c>
      <c r="P92">
        <f t="shared" ca="1" si="19"/>
        <v>-1.5055555555555558E-2</v>
      </c>
      <c r="R92">
        <f t="shared" ca="1" si="20"/>
        <v>1.2737835072725892E-2</v>
      </c>
      <c r="S92">
        <f t="shared" ca="1" si="21"/>
        <v>0.67541111111111107</v>
      </c>
    </row>
    <row r="93" spans="3:19" x14ac:dyDescent="0.35">
      <c r="C93" t="str">
        <f t="shared" si="13"/>
        <v/>
      </c>
      <c r="I93">
        <f t="shared" ca="1" si="14"/>
        <v>5.0927548209366387E-3</v>
      </c>
      <c r="J93">
        <f t="shared" ca="1" si="15"/>
        <v>0.13689494949494951</v>
      </c>
      <c r="L93">
        <f t="shared" ca="1" si="16"/>
        <v>5.0934690337720639E-3</v>
      </c>
      <c r="M93">
        <f t="shared" ca="1" si="17"/>
        <v>0.19854141414141413</v>
      </c>
      <c r="O93">
        <f t="shared" ca="1" si="18"/>
        <v>5.4793570794063797E-3</v>
      </c>
      <c r="P93">
        <f t="shared" ca="1" si="19"/>
        <v>-1.4595959595959593E-2</v>
      </c>
      <c r="R93">
        <f t="shared" ca="1" si="20"/>
        <v>1.2901926792318269E-2</v>
      </c>
      <c r="S93">
        <f t="shared" ca="1" si="21"/>
        <v>0.67626464646464646</v>
      </c>
    </row>
    <row r="94" spans="3:19" x14ac:dyDescent="0.35">
      <c r="C94" t="str">
        <f t="shared" si="13"/>
        <v/>
      </c>
      <c r="I94">
        <f t="shared" ca="1" si="14"/>
        <v>5.0922314049586777E-3</v>
      </c>
      <c r="J94">
        <f t="shared" ca="1" si="15"/>
        <v>0.13854545454545455</v>
      </c>
      <c r="L94">
        <f t="shared" ca="1" si="16"/>
        <v>5.0928099173553716E-3</v>
      </c>
      <c r="M94">
        <f t="shared" ca="1" si="17"/>
        <v>0.19402727272727271</v>
      </c>
      <c r="O94">
        <f t="shared" ca="1" si="18"/>
        <v>5.4650450514473767E-3</v>
      </c>
      <c r="P94">
        <f t="shared" ca="1" si="19"/>
        <v>-1.4136363636363641E-2</v>
      </c>
      <c r="R94">
        <f t="shared" ca="1" si="20"/>
        <v>1.3067839818409964E-2</v>
      </c>
      <c r="S94">
        <f t="shared" ca="1" si="21"/>
        <v>0.67711818181818173</v>
      </c>
    </row>
    <row r="95" spans="3:19" x14ac:dyDescent="0.35">
      <c r="C95" t="str">
        <f t="shared" si="13"/>
        <v/>
      </c>
      <c r="I95">
        <f t="shared" ca="1" si="14"/>
        <v>5.0917630853994488E-3</v>
      </c>
      <c r="J95">
        <f t="shared" ca="1" si="15"/>
        <v>0.14019595959595962</v>
      </c>
      <c r="L95">
        <f t="shared" ca="1" si="16"/>
        <v>5.092220181614121E-3</v>
      </c>
      <c r="M95">
        <f t="shared" ca="1" si="17"/>
        <v>0.1895131313131313</v>
      </c>
      <c r="O95">
        <f t="shared" ca="1" si="18"/>
        <v>5.4512610946035661E-3</v>
      </c>
      <c r="P95">
        <f t="shared" ca="1" si="19"/>
        <v>-1.3676767676767676E-2</v>
      </c>
      <c r="R95">
        <f t="shared" ca="1" si="20"/>
        <v>1.3235574151001015E-2</v>
      </c>
      <c r="S95">
        <f t="shared" ca="1" si="21"/>
        <v>0.67797171717171711</v>
      </c>
    </row>
    <row r="96" spans="3:19" x14ac:dyDescent="0.35">
      <c r="C96" t="str">
        <f t="shared" si="13"/>
        <v/>
      </c>
      <c r="I96">
        <f t="shared" ca="1" si="14"/>
        <v>5.0913498622589528E-3</v>
      </c>
      <c r="J96">
        <f t="shared" ca="1" si="15"/>
        <v>0.14184646464646467</v>
      </c>
      <c r="L96">
        <f t="shared" ca="1" si="16"/>
        <v>5.0916998265483114E-3</v>
      </c>
      <c r="M96">
        <f t="shared" ca="1" si="17"/>
        <v>0.18499898989898989</v>
      </c>
      <c r="O96">
        <f t="shared" ca="1" si="18"/>
        <v>5.4380052088749461E-3</v>
      </c>
      <c r="P96">
        <f t="shared" ca="1" si="19"/>
        <v>-1.3217171717171718E-2</v>
      </c>
      <c r="R96">
        <f t="shared" ca="1" si="20"/>
        <v>1.3405129790091405E-2</v>
      </c>
      <c r="S96">
        <f t="shared" ca="1" si="21"/>
        <v>0.6788252525252525</v>
      </c>
    </row>
    <row r="97" spans="3:19" x14ac:dyDescent="0.35">
      <c r="C97" t="str">
        <f t="shared" si="13"/>
        <v/>
      </c>
      <c r="I97">
        <f t="shared" ca="1" si="14"/>
        <v>5.0909917355371898E-3</v>
      </c>
      <c r="J97">
        <f t="shared" ca="1" si="15"/>
        <v>0.14349696969696971</v>
      </c>
      <c r="L97">
        <f t="shared" ca="1" si="16"/>
        <v>5.0912488521579428E-3</v>
      </c>
      <c r="M97">
        <f t="shared" ca="1" si="17"/>
        <v>0.18048484848484847</v>
      </c>
      <c r="O97">
        <f t="shared" ca="1" si="18"/>
        <v>5.4252773942615202E-3</v>
      </c>
      <c r="P97">
        <f t="shared" ca="1" si="19"/>
        <v>-1.2757575757575759E-2</v>
      </c>
      <c r="R97">
        <f t="shared" ca="1" si="20"/>
        <v>1.3576506735681131E-2</v>
      </c>
      <c r="S97">
        <f t="shared" ca="1" si="21"/>
        <v>0.67967878787878788</v>
      </c>
    </row>
    <row r="98" spans="3:19" x14ac:dyDescent="0.35">
      <c r="C98" t="str">
        <f t="shared" si="13"/>
        <v/>
      </c>
      <c r="I98">
        <f t="shared" ca="1" si="14"/>
        <v>5.0906887052341596E-3</v>
      </c>
      <c r="J98">
        <f t="shared" ca="1" si="15"/>
        <v>0.14514747474747475</v>
      </c>
      <c r="L98">
        <f t="shared" ca="1" si="16"/>
        <v>5.0908672584430159E-3</v>
      </c>
      <c r="M98">
        <f t="shared" ca="1" si="17"/>
        <v>0.17597070707070706</v>
      </c>
      <c r="O98">
        <f t="shared" ca="1" si="18"/>
        <v>5.4130776507632858E-3</v>
      </c>
      <c r="P98">
        <f t="shared" ca="1" si="19"/>
        <v>-1.2297979797979794E-2</v>
      </c>
      <c r="R98">
        <f t="shared" ca="1" si="20"/>
        <v>1.3749704987770173E-2</v>
      </c>
      <c r="S98">
        <f t="shared" ca="1" si="21"/>
        <v>0.68053232323232316</v>
      </c>
    </row>
    <row r="99" spans="3:19" x14ac:dyDescent="0.35">
      <c r="C99" t="str">
        <f t="shared" si="13"/>
        <v/>
      </c>
      <c r="I99">
        <f t="shared" ca="1" si="14"/>
        <v>5.0904407713498624E-3</v>
      </c>
      <c r="J99">
        <f t="shared" ca="1" si="15"/>
        <v>0.14679797979797982</v>
      </c>
      <c r="L99">
        <f t="shared" ca="1" si="16"/>
        <v>5.09055504540353E-3</v>
      </c>
      <c r="M99">
        <f t="shared" ca="1" si="17"/>
        <v>0.17145656565656564</v>
      </c>
      <c r="O99">
        <f t="shared" ca="1" si="18"/>
        <v>5.4014059783802446E-3</v>
      </c>
      <c r="P99">
        <f t="shared" ca="1" si="19"/>
        <v>-1.1838383838383842E-2</v>
      </c>
      <c r="R99">
        <f t="shared" ca="1" si="20"/>
        <v>1.3924724546358571E-2</v>
      </c>
      <c r="S99">
        <f t="shared" ca="1" si="21"/>
        <v>0.68138585858585854</v>
      </c>
    </row>
    <row r="100" spans="3:19" x14ac:dyDescent="0.35">
      <c r="C100" t="str">
        <f t="shared" si="13"/>
        <v/>
      </c>
      <c r="I100">
        <f t="shared" ca="1" si="14"/>
        <v>5.0902479338842972E-3</v>
      </c>
      <c r="J100">
        <f t="shared" ca="1" si="15"/>
        <v>0.14844848484848486</v>
      </c>
      <c r="L100">
        <f t="shared" ca="1" si="16"/>
        <v>5.0903122130394858E-3</v>
      </c>
      <c r="M100">
        <f t="shared" ca="1" si="17"/>
        <v>0.16694242424242417</v>
      </c>
      <c r="O100">
        <f t="shared" ca="1" si="18"/>
        <v>5.3902623771123941E-3</v>
      </c>
      <c r="P100">
        <f t="shared" ca="1" si="19"/>
        <v>-1.1378787878787877E-2</v>
      </c>
      <c r="R100">
        <f t="shared" ca="1" si="20"/>
        <v>1.4101565411446308E-2</v>
      </c>
      <c r="S100">
        <f t="shared" ca="1" si="21"/>
        <v>0.68223939393939392</v>
      </c>
    </row>
    <row r="101" spans="3:19" x14ac:dyDescent="0.35">
      <c r="C101" t="str">
        <f t="shared" si="13"/>
        <v/>
      </c>
      <c r="I101">
        <f t="shared" ca="1" si="14"/>
        <v>5.0901101928374657E-3</v>
      </c>
      <c r="J101">
        <f t="shared" ref="J101:J103" ca="1" si="22">$G$9 + ($G$6 - $G$9) * (ROW(B98)-1)/99</f>
        <v>0.1500989898989899</v>
      </c>
      <c r="L101">
        <f t="shared" ca="1" si="16"/>
        <v>5.0901387613508826E-3</v>
      </c>
      <c r="M101">
        <f t="shared" ca="1" si="17"/>
        <v>0.16242828282828276</v>
      </c>
      <c r="O101">
        <f t="shared" ca="1" si="18"/>
        <v>5.3796468469597377E-3</v>
      </c>
      <c r="P101">
        <f t="shared" ref="P101:P103" ca="1" si="23">$G$26 + ($G$9 - $G$26) * (ROW(B98)-1)/99</f>
        <v>-1.0919191919191919E-2</v>
      </c>
      <c r="R101">
        <f t="shared" ca="1" si="20"/>
        <v>1.428022758303338E-2</v>
      </c>
      <c r="S101">
        <f t="shared" ref="S101:S103" ca="1" si="24">$G$13 + ($G$25 - $G$13) * (ROW(B98)-1)/99</f>
        <v>0.68309292929292931</v>
      </c>
    </row>
    <row r="102" spans="3:19" x14ac:dyDescent="0.35">
      <c r="C102" t="str">
        <f t="shared" si="13"/>
        <v/>
      </c>
      <c r="I102">
        <f t="shared" ca="1" si="14"/>
        <v>5.0900275482093664E-3</v>
      </c>
      <c r="J102">
        <f t="shared" ca="1" si="22"/>
        <v>0.15174949494949494</v>
      </c>
      <c r="L102">
        <f t="shared" ca="1" si="16"/>
        <v>5.0900346903377204E-3</v>
      </c>
      <c r="M102">
        <f t="shared" ca="1" si="17"/>
        <v>0.1579141414141414</v>
      </c>
      <c r="O102">
        <f t="shared" ca="1" si="18"/>
        <v>5.3695593879222719E-3</v>
      </c>
      <c r="P102">
        <f t="shared" ca="1" si="23"/>
        <v>-1.0459595959595967E-2</v>
      </c>
      <c r="R102">
        <f t="shared" ca="1" si="20"/>
        <v>1.446071106111977E-2</v>
      </c>
      <c r="S102">
        <f t="shared" ca="1" si="24"/>
        <v>0.68394646464646458</v>
      </c>
    </row>
    <row r="103" spans="3:19" x14ac:dyDescent="0.35">
      <c r="C103" t="str">
        <f t="shared" si="13"/>
        <v/>
      </c>
      <c r="I103">
        <f t="shared" ca="1" si="14"/>
        <v>5.0899999999999999E-3</v>
      </c>
      <c r="J103">
        <f t="shared" ca="1" si="22"/>
        <v>0.15340000000000001</v>
      </c>
      <c r="L103">
        <f t="shared" ca="1" si="16"/>
        <v>5.0899999999999999E-3</v>
      </c>
      <c r="M103">
        <f t="shared" ca="1" si="17"/>
        <v>0.15339999999999998</v>
      </c>
      <c r="O103">
        <f t="shared" ca="1" si="18"/>
        <v>5.3600000000000002E-3</v>
      </c>
      <c r="P103">
        <f t="shared" ca="1" si="23"/>
        <v>-1.0000000000000002E-2</v>
      </c>
      <c r="R103">
        <f t="shared" ca="1" si="20"/>
        <v>1.4643015845705517E-2</v>
      </c>
      <c r="S103">
        <f t="shared" ca="1" si="24"/>
        <v>0.68479999999999996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5"/>
        <v/>
      </c>
    </row>
    <row r="135" spans="3:3" x14ac:dyDescent="0.35">
      <c r="C135" t="str">
        <f t="shared" si="25"/>
        <v/>
      </c>
    </row>
    <row r="136" spans="3:3" x14ac:dyDescent="0.35">
      <c r="C136" t="str">
        <f t="shared" si="25"/>
        <v/>
      </c>
    </row>
    <row r="137" spans="3:3" x14ac:dyDescent="0.35">
      <c r="C137" t="str">
        <f t="shared" si="25"/>
        <v/>
      </c>
    </row>
    <row r="138" spans="3:3" x14ac:dyDescent="0.35">
      <c r="C138" t="str">
        <f t="shared" si="25"/>
        <v/>
      </c>
    </row>
    <row r="139" spans="3:3" x14ac:dyDescent="0.35">
      <c r="C139" t="str">
        <f t="shared" si="25"/>
        <v/>
      </c>
    </row>
    <row r="140" spans="3:3" x14ac:dyDescent="0.35">
      <c r="C140" t="str">
        <f t="shared" si="25"/>
        <v/>
      </c>
    </row>
    <row r="141" spans="3:3" x14ac:dyDescent="0.35">
      <c r="C141" t="str">
        <f t="shared" si="25"/>
        <v/>
      </c>
    </row>
    <row r="142" spans="3:3" x14ac:dyDescent="0.35">
      <c r="C142" t="str">
        <f t="shared" si="25"/>
        <v/>
      </c>
    </row>
    <row r="143" spans="3:3" x14ac:dyDescent="0.35">
      <c r="C143" t="str">
        <f t="shared" si="25"/>
        <v/>
      </c>
    </row>
    <row r="144" spans="3:3" x14ac:dyDescent="0.35">
      <c r="C144" t="str">
        <f t="shared" si="25"/>
        <v/>
      </c>
    </row>
    <row r="145" spans="3:3" x14ac:dyDescent="0.35">
      <c r="C145" t="str">
        <f t="shared" si="25"/>
        <v/>
      </c>
    </row>
    <row r="146" spans="3:3" x14ac:dyDescent="0.35">
      <c r="C146" t="str">
        <f t="shared" si="25"/>
        <v/>
      </c>
    </row>
    <row r="147" spans="3:3" x14ac:dyDescent="0.35">
      <c r="C147" t="str">
        <f t="shared" si="25"/>
        <v/>
      </c>
    </row>
    <row r="148" spans="3:3" x14ac:dyDescent="0.35">
      <c r="C148" t="str">
        <f t="shared" si="25"/>
        <v/>
      </c>
    </row>
    <row r="149" spans="3:3" x14ac:dyDescent="0.35">
      <c r="C149" t="str">
        <f t="shared" si="25"/>
        <v/>
      </c>
    </row>
    <row r="150" spans="3:3" x14ac:dyDescent="0.35">
      <c r="C150" t="str">
        <f t="shared" si="25"/>
        <v/>
      </c>
    </row>
    <row r="151" spans="3:3" x14ac:dyDescent="0.35">
      <c r="C151" t="str">
        <f t="shared" si="25"/>
        <v/>
      </c>
    </row>
    <row r="152" spans="3:3" x14ac:dyDescent="0.35">
      <c r="C152" t="str">
        <f t="shared" si="25"/>
        <v/>
      </c>
    </row>
    <row r="153" spans="3:3" x14ac:dyDescent="0.35">
      <c r="C153" t="str">
        <f t="shared" si="25"/>
        <v/>
      </c>
    </row>
    <row r="154" spans="3:3" x14ac:dyDescent="0.35">
      <c r="C154" t="str">
        <f t="shared" si="25"/>
        <v/>
      </c>
    </row>
    <row r="155" spans="3:3" x14ac:dyDescent="0.35">
      <c r="C155" t="str">
        <f t="shared" si="25"/>
        <v/>
      </c>
    </row>
    <row r="156" spans="3:3" x14ac:dyDescent="0.35">
      <c r="C156" t="str">
        <f t="shared" si="25"/>
        <v/>
      </c>
    </row>
    <row r="157" spans="3:3" x14ac:dyDescent="0.35">
      <c r="C157" t="str">
        <f t="shared" si="25"/>
        <v/>
      </c>
    </row>
    <row r="158" spans="3:3" x14ac:dyDescent="0.35">
      <c r="C158" t="str">
        <f t="shared" si="25"/>
        <v/>
      </c>
    </row>
    <row r="159" spans="3:3" x14ac:dyDescent="0.35">
      <c r="C159" t="str">
        <f t="shared" si="25"/>
        <v/>
      </c>
    </row>
    <row r="160" spans="3:3" x14ac:dyDescent="0.35">
      <c r="C160" t="str">
        <f t="shared" si="25"/>
        <v/>
      </c>
    </row>
    <row r="161" spans="3:3" x14ac:dyDescent="0.35">
      <c r="C161" t="str">
        <f t="shared" si="25"/>
        <v/>
      </c>
    </row>
    <row r="162" spans="3:3" x14ac:dyDescent="0.35">
      <c r="C162" t="str">
        <f t="shared" si="25"/>
        <v/>
      </c>
    </row>
    <row r="163" spans="3:3" x14ac:dyDescent="0.35">
      <c r="C163" t="str">
        <f t="shared" si="25"/>
        <v/>
      </c>
    </row>
    <row r="164" spans="3:3" x14ac:dyDescent="0.35">
      <c r="C164" t="str">
        <f t="shared" si="25"/>
        <v/>
      </c>
    </row>
    <row r="165" spans="3:3" x14ac:dyDescent="0.35">
      <c r="C165" t="str">
        <f t="shared" si="25"/>
        <v/>
      </c>
    </row>
    <row r="166" spans="3:3" x14ac:dyDescent="0.35">
      <c r="C166" t="str">
        <f t="shared" si="25"/>
        <v/>
      </c>
    </row>
    <row r="167" spans="3:3" x14ac:dyDescent="0.35">
      <c r="C167" t="str">
        <f t="shared" si="25"/>
        <v/>
      </c>
    </row>
    <row r="168" spans="3:3" x14ac:dyDescent="0.35">
      <c r="C168" t="str">
        <f t="shared" si="25"/>
        <v/>
      </c>
    </row>
    <row r="169" spans="3:3" x14ac:dyDescent="0.35">
      <c r="C169" t="str">
        <f t="shared" si="25"/>
        <v/>
      </c>
    </row>
    <row r="170" spans="3:3" x14ac:dyDescent="0.35">
      <c r="C170" t="str">
        <f t="shared" si="25"/>
        <v/>
      </c>
    </row>
    <row r="171" spans="3:3" x14ac:dyDescent="0.35">
      <c r="C171" t="str">
        <f t="shared" si="25"/>
        <v/>
      </c>
    </row>
    <row r="172" spans="3:3" x14ac:dyDescent="0.35">
      <c r="C172" t="str">
        <f t="shared" si="25"/>
        <v/>
      </c>
    </row>
    <row r="173" spans="3:3" x14ac:dyDescent="0.35">
      <c r="C173" t="str">
        <f t="shared" si="25"/>
        <v/>
      </c>
    </row>
    <row r="174" spans="3:3" x14ac:dyDescent="0.35">
      <c r="C174" t="str">
        <f t="shared" si="25"/>
        <v/>
      </c>
    </row>
    <row r="175" spans="3:3" x14ac:dyDescent="0.35">
      <c r="C175" t="str">
        <f t="shared" si="25"/>
        <v/>
      </c>
    </row>
    <row r="176" spans="3:3" x14ac:dyDescent="0.35">
      <c r="C176" t="str">
        <f t="shared" si="25"/>
        <v/>
      </c>
    </row>
    <row r="177" spans="3:3" x14ac:dyDescent="0.35">
      <c r="C177" t="str">
        <f t="shared" si="25"/>
        <v/>
      </c>
    </row>
    <row r="178" spans="3:3" x14ac:dyDescent="0.35">
      <c r="C178" t="str">
        <f t="shared" si="25"/>
        <v/>
      </c>
    </row>
    <row r="179" spans="3:3" x14ac:dyDescent="0.35">
      <c r="C179" t="str">
        <f t="shared" si="25"/>
        <v/>
      </c>
    </row>
    <row r="180" spans="3:3" x14ac:dyDescent="0.35">
      <c r="C180" t="str">
        <f t="shared" si="25"/>
        <v/>
      </c>
    </row>
    <row r="181" spans="3:3" x14ac:dyDescent="0.35">
      <c r="C181" t="str">
        <f t="shared" si="25"/>
        <v/>
      </c>
    </row>
    <row r="182" spans="3:3" x14ac:dyDescent="0.35">
      <c r="C182" t="str">
        <f t="shared" si="25"/>
        <v/>
      </c>
    </row>
    <row r="183" spans="3:3" x14ac:dyDescent="0.35">
      <c r="C183" t="str">
        <f t="shared" si="25"/>
        <v/>
      </c>
    </row>
    <row r="184" spans="3:3" x14ac:dyDescent="0.35">
      <c r="C184" t="str">
        <f t="shared" si="25"/>
        <v/>
      </c>
    </row>
    <row r="185" spans="3:3" x14ac:dyDescent="0.35">
      <c r="C185" t="str">
        <f t="shared" si="25"/>
        <v/>
      </c>
    </row>
    <row r="186" spans="3:3" x14ac:dyDescent="0.35">
      <c r="C186" t="str">
        <f t="shared" si="25"/>
        <v/>
      </c>
    </row>
    <row r="187" spans="3:3" x14ac:dyDescent="0.35">
      <c r="C187" t="str">
        <f t="shared" si="25"/>
        <v/>
      </c>
    </row>
    <row r="188" spans="3:3" x14ac:dyDescent="0.35">
      <c r="C188" t="str">
        <f t="shared" si="25"/>
        <v/>
      </c>
    </row>
    <row r="189" spans="3:3" x14ac:dyDescent="0.35">
      <c r="C189" t="str">
        <f t="shared" si="25"/>
        <v/>
      </c>
    </row>
    <row r="190" spans="3:3" x14ac:dyDescent="0.35">
      <c r="C190" t="str">
        <f t="shared" si="25"/>
        <v/>
      </c>
    </row>
    <row r="191" spans="3:3" x14ac:dyDescent="0.35">
      <c r="C191" t="str">
        <f t="shared" si="25"/>
        <v/>
      </c>
    </row>
    <row r="192" spans="3:3" x14ac:dyDescent="0.35">
      <c r="C192" t="str">
        <f t="shared" si="25"/>
        <v/>
      </c>
    </row>
    <row r="193" spans="3:3" x14ac:dyDescent="0.35">
      <c r="C193" t="str">
        <f t="shared" si="25"/>
        <v/>
      </c>
    </row>
    <row r="194" spans="3:3" x14ac:dyDescent="0.35">
      <c r="C194" t="str">
        <f t="shared" si="25"/>
        <v/>
      </c>
    </row>
    <row r="195" spans="3:3" x14ac:dyDescent="0.35">
      <c r="C195" t="str">
        <f t="shared" si="25"/>
        <v/>
      </c>
    </row>
    <row r="196" spans="3:3" x14ac:dyDescent="0.35">
      <c r="C196" t="str">
        <f t="shared" si="25"/>
        <v/>
      </c>
    </row>
    <row r="197" spans="3:3" x14ac:dyDescent="0.35">
      <c r="C197" t="str">
        <f t="shared" ref="C197:C260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6"/>
        <v/>
      </c>
    </row>
    <row r="199" spans="3:3" x14ac:dyDescent="0.35">
      <c r="C199" t="str">
        <f t="shared" si="26"/>
        <v/>
      </c>
    </row>
    <row r="200" spans="3:3" x14ac:dyDescent="0.35">
      <c r="C200" t="str">
        <f t="shared" si="26"/>
        <v/>
      </c>
    </row>
    <row r="201" spans="3:3" x14ac:dyDescent="0.35">
      <c r="C201" t="str">
        <f t="shared" si="26"/>
        <v/>
      </c>
    </row>
    <row r="202" spans="3:3" x14ac:dyDescent="0.35">
      <c r="C202" t="str">
        <f t="shared" si="26"/>
        <v/>
      </c>
    </row>
    <row r="203" spans="3:3" x14ac:dyDescent="0.35">
      <c r="C203" t="str">
        <f t="shared" si="26"/>
        <v/>
      </c>
    </row>
    <row r="204" spans="3:3" x14ac:dyDescent="0.35">
      <c r="C204" t="str">
        <f t="shared" si="26"/>
        <v/>
      </c>
    </row>
    <row r="205" spans="3:3" x14ac:dyDescent="0.35">
      <c r="C205" t="str">
        <f t="shared" si="26"/>
        <v/>
      </c>
    </row>
    <row r="206" spans="3:3" x14ac:dyDescent="0.35">
      <c r="C206" t="str">
        <f t="shared" si="26"/>
        <v/>
      </c>
    </row>
    <row r="207" spans="3:3" x14ac:dyDescent="0.35">
      <c r="C207" t="str">
        <f t="shared" si="26"/>
        <v/>
      </c>
    </row>
    <row r="208" spans="3:3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zoomScale="70" zoomScaleNormal="70" workbookViewId="0">
      <selection activeCell="Y34" sqref="Y34:Z34"/>
    </sheetView>
  </sheetViews>
  <sheetFormatPr defaultRowHeight="14.5" x14ac:dyDescent="0.35"/>
  <sheetData>
    <row r="1" spans="1:19" x14ac:dyDescent="0.35">
      <c r="A1" t="s">
        <v>12</v>
      </c>
      <c r="B1" s="1" t="s">
        <v>276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24" ca="1">_xlfn._xlws.FILTER(INDIRECT("'" &amp; B1 &amp; "'!A2:A1000"),(INDIRECT("'" &amp; B1 &amp; "'!C2:C1000")&lt;G3) * (INDIRECT("'" &amp; B1 &amp; "'!C2:C1000")&lt;&gt;""))</f>
        <v>-3</v>
      </c>
      <c r="B4" cm="1">
        <f t="array" aca="1" ref="B4:B24" ca="1">_xlfn._xlws.FILTER(INDIRECT("'" &amp; B1 &amp; "'!C2:C1000"),(INDIRECT("'" &amp; B1 &amp; "'!C2:C1000")&lt;G3) * (INDIRECT("'" &amp; B1 &amp; "'!C2:C1000")&lt;&gt;""))</f>
        <v>4.3190195456654382E-2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-28.862760813196854</v>
      </c>
      <c r="D4" cm="1">
        <f t="array" aca="1" ref="D4:D24" ca="1">_xlfn._xlws.FILTER(INDIRECT("'" &amp; B1 &amp; "'!B2:B1000"),(INDIRECT("'" &amp; B1 &amp; "'!C2:C1000")&lt;G3) * (INDIRECT("'" &amp; B1 &amp; "'!C2:C1000")&lt;&gt;""))</f>
        <v>-0.61515143659682869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-28.862760813196854</v>
      </c>
      <c r="P4">
        <f ca="1">$G$26 + ($G$9 - $G$26) * (ROW(A1)-1)/99</f>
        <v>-0.61515143659682869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-2.7</v>
      </c>
      <c r="B5">
        <f ca="1"/>
        <v>3.5554644290606577E-2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-25.810207888286413</v>
      </c>
      <c r="D5">
        <f ca="1"/>
        <v>-0.54912653299205594</v>
      </c>
      <c r="F5" t="s">
        <v>13</v>
      </c>
      <c r="G5">
        <f ca="1">MIN(B4:B1000)</f>
        <v>7.2182240680638199E-3</v>
      </c>
      <c r="I5">
        <f t="shared" ref="I5:I68" ca="1" si="1">$G$16 * (J5 - $G$6)^2 + $G$5</f>
        <v>1.4508623012025011E-4</v>
      </c>
      <c r="J5">
        <f t="shared" ref="J5:J68" ca="1" si="2">$G$9 + ($G$6 - $G$9) * (ROW(B2)-1)/99</f>
        <v>1.7574671728302939E-4</v>
      </c>
      <c r="L5">
        <f t="shared" ref="L5:L68" ca="1" si="3">$G$17 * (M5 - $G$6)^2 + $G$5</f>
        <v>1.4508623012025011E-4</v>
      </c>
      <c r="M5">
        <f t="shared" ref="M5:M68" ca="1" si="4">$G$13 + ($G$6 - $G$13) * (ROW(F2)-1)/99</f>
        <v>1.7574671728302939E-4</v>
      </c>
      <c r="O5">
        <f t="shared" ref="O5:O68" ca="1" si="5">$G$10 + $G$19 * ($G$23 * (P5 - $G$9))^2 + $G$21 * (1 - (P5 - $G$6)/($G$9 - $G$6))</f>
        <v>-28.575947433185835</v>
      </c>
      <c r="P5">
        <f t="shared" ref="P5:P68" ca="1" si="6">$G$26 + ($G$9 - $G$26) * (ROW(B2)-1)/99</f>
        <v>-0.60893778572211321</v>
      </c>
      <c r="R5">
        <f t="shared" ref="R5:R68" ca="1" si="7">$G$14 + $G$19 * ($G$23 * (S5 - $G$13))^2 - $G$22 * (1 - (S5 - $G$6)/($G$13 - $G$6))</f>
        <v>-0.48305432908777207</v>
      </c>
      <c r="S5">
        <f t="shared" ref="S5:S68" ca="1" si="8">$G$13 + ($G$25 - $G$13) * (ROW(B2)-1)/99</f>
        <v>1.0132014674988019E-2</v>
      </c>
    </row>
    <row r="6" spans="1:19" x14ac:dyDescent="0.35">
      <c r="A6">
        <f ca="1"/>
        <v>-2.4</v>
      </c>
      <c r="B6">
        <f ca="1"/>
        <v>1.9138409845302063E-2</v>
      </c>
      <c r="C6">
        <f t="shared" ca="1" si="0"/>
        <v>-15.80463824600394</v>
      </c>
      <c r="D6">
        <f ca="1"/>
        <v>-0.33434268742018264</v>
      </c>
      <c r="F6" t="s">
        <v>14</v>
      </c>
      <c r="G6">
        <f ca="1">INDEX(D4:D1000, MATCH(G5, B4:B1000, 0))</f>
        <v>1.739892501101991E-2</v>
      </c>
      <c r="I6">
        <f t="shared" ca="1" si="1"/>
        <v>2.8869950358953282E-4</v>
      </c>
      <c r="J6">
        <f t="shared" ca="1" si="2"/>
        <v>3.5149343456605879E-4</v>
      </c>
      <c r="L6">
        <f t="shared" ca="1" si="3"/>
        <v>2.8869950358953282E-4</v>
      </c>
      <c r="M6">
        <f t="shared" ca="1" si="4"/>
        <v>3.5149343456605879E-4</v>
      </c>
      <c r="O6">
        <f t="shared" ca="1" si="5"/>
        <v>-28.289037529531839</v>
      </c>
      <c r="P6">
        <f t="shared" ca="1" si="6"/>
        <v>-0.60272413484739784</v>
      </c>
      <c r="R6">
        <f t="shared" ca="1" si="7"/>
        <v>-0.96585201387210873</v>
      </c>
      <c r="S6">
        <f t="shared" ca="1" si="8"/>
        <v>2.0264029349976037E-2</v>
      </c>
    </row>
    <row r="7" spans="1:19" x14ac:dyDescent="0.35">
      <c r="A7">
        <f ca="1"/>
        <v>-2.1</v>
      </c>
      <c r="B7">
        <f ca="1"/>
        <v>1.1785420586652435E-2</v>
      </c>
      <c r="C7">
        <f t="shared" ca="1" si="0"/>
        <v>-9.588259684591474</v>
      </c>
      <c r="D7">
        <f ca="1"/>
        <v>-0.20213026633774617</v>
      </c>
      <c r="I7">
        <f t="shared" ca="1" si="1"/>
        <v>4.30839820407849E-4</v>
      </c>
      <c r="J7">
        <f t="shared" ca="1" si="2"/>
        <v>5.2724015184908821E-4</v>
      </c>
      <c r="L7">
        <f t="shared" ca="1" si="3"/>
        <v>4.30839820407849E-4</v>
      </c>
      <c r="M7">
        <f t="shared" ca="1" si="4"/>
        <v>5.2724015184908821E-4</v>
      </c>
      <c r="O7">
        <f t="shared" ca="1" si="5"/>
        <v>-28.002031102234859</v>
      </c>
      <c r="P7">
        <f t="shared" ca="1" si="6"/>
        <v>-0.59651048397268236</v>
      </c>
      <c r="R7">
        <f t="shared" ca="1" si="7"/>
        <v>-1.4483930543530097</v>
      </c>
      <c r="S7">
        <f t="shared" ca="1" si="8"/>
        <v>3.0396044024964052E-2</v>
      </c>
    </row>
    <row r="8" spans="1:19" x14ac:dyDescent="0.35">
      <c r="A8">
        <f ca="1"/>
        <v>-1.8</v>
      </c>
      <c r="B8">
        <f ca="1"/>
        <v>8.2455191001896532E-3</v>
      </c>
      <c r="C8">
        <f t="shared" ca="1" si="0"/>
        <v>-3.9996483329674799</v>
      </c>
      <c r="D8">
        <f ca="1"/>
        <v>-8.4055123244073687E-2</v>
      </c>
      <c r="F8" t="s">
        <v>15</v>
      </c>
      <c r="G8" s="5">
        <v>70</v>
      </c>
      <c r="I8">
        <f t="shared" ca="1" si="1"/>
        <v>5.7150718057519777E-4</v>
      </c>
      <c r="J8">
        <f t="shared" ca="1" si="2"/>
        <v>7.0298686913211758E-4</v>
      </c>
      <c r="L8">
        <f t="shared" ca="1" si="3"/>
        <v>5.7150718057519777E-4</v>
      </c>
      <c r="M8">
        <f t="shared" ca="1" si="4"/>
        <v>7.0298686913211758E-4</v>
      </c>
      <c r="O8">
        <f t="shared" ca="1" si="5"/>
        <v>-27.714928151294899</v>
      </c>
      <c r="P8">
        <f t="shared" ca="1" si="6"/>
        <v>-0.59029683309796688</v>
      </c>
      <c r="R8">
        <f t="shared" ca="1" si="7"/>
        <v>-1.9306774505304756</v>
      </c>
      <c r="S8">
        <f t="shared" ca="1" si="8"/>
        <v>4.0528058699952074E-2</v>
      </c>
    </row>
    <row r="9" spans="1:19" x14ac:dyDescent="0.35">
      <c r="A9">
        <f ca="1"/>
        <v>-1.5</v>
      </c>
      <c r="B9">
        <f ca="1"/>
        <v>7.2182240680638199E-3</v>
      </c>
      <c r="C9">
        <f t="shared" ca="1" si="0"/>
        <v>-0.82935378578858021</v>
      </c>
      <c r="D9">
        <f ca="1"/>
        <v>1.739892501101991E-2</v>
      </c>
      <c r="F9" t="s">
        <v>17</v>
      </c>
      <c r="G9" cm="1">
        <f t="array" ref="G9">INDEX(D4:D1000, G8)</f>
        <v>0</v>
      </c>
      <c r="I9">
        <f t="shared" ca="1" si="1"/>
        <v>7.1070158409158347E-4</v>
      </c>
      <c r="J9">
        <f t="shared" ca="1" si="2"/>
        <v>8.7873358641514705E-4</v>
      </c>
      <c r="L9">
        <f t="shared" ca="1" si="3"/>
        <v>7.1070158409158347E-4</v>
      </c>
      <c r="M9">
        <f t="shared" ca="1" si="4"/>
        <v>8.7873358641514705E-4</v>
      </c>
      <c r="O9">
        <f t="shared" ca="1" si="5"/>
        <v>-27.427728676711958</v>
      </c>
      <c r="P9">
        <f t="shared" ca="1" si="6"/>
        <v>-0.58408318222325151</v>
      </c>
      <c r="R9">
        <f t="shared" ca="1" si="7"/>
        <v>-2.4127052024045059</v>
      </c>
      <c r="S9">
        <f t="shared" ca="1" si="8"/>
        <v>5.0660073374940093E-2</v>
      </c>
    </row>
    <row r="10" spans="1:19" x14ac:dyDescent="0.35">
      <c r="A10">
        <f ca="1"/>
        <v>-1.2000000000000002</v>
      </c>
      <c r="B10">
        <f ca="1"/>
        <v>7.6200759452090504E-3</v>
      </c>
      <c r="C10">
        <f t="shared" ca="1" si="0"/>
        <v>-5.1915668365260403</v>
      </c>
      <c r="D10">
        <f ca="1"/>
        <v>0.1091760866930164</v>
      </c>
      <c r="F10" t="s">
        <v>18</v>
      </c>
      <c r="G10" cm="1">
        <f t="array" ref="G10">INDEX(B4:B1000, G8)</f>
        <v>0</v>
      </c>
      <c r="I10">
        <f t="shared" ca="1" si="1"/>
        <v>8.4842303095699744E-4</v>
      </c>
      <c r="J10">
        <f t="shared" ca="1" si="2"/>
        <v>1.0544803036981764E-3</v>
      </c>
      <c r="L10">
        <f t="shared" ca="1" si="3"/>
        <v>8.4842303095699744E-4</v>
      </c>
      <c r="M10">
        <f t="shared" ca="1" si="4"/>
        <v>1.0544803036981764E-3</v>
      </c>
      <c r="O10">
        <f t="shared" ca="1" si="5"/>
        <v>-27.140432678486029</v>
      </c>
      <c r="P10">
        <f t="shared" ca="1" si="6"/>
        <v>-0.57786953134853603</v>
      </c>
      <c r="R10">
        <f t="shared" ca="1" si="7"/>
        <v>-2.8944763099751007</v>
      </c>
      <c r="S10">
        <f t="shared" ca="1" si="8"/>
        <v>6.0792088049928104E-2</v>
      </c>
    </row>
    <row r="11" spans="1:19" x14ac:dyDescent="0.35">
      <c r="A11">
        <f ca="1"/>
        <v>-0.89999999999999991</v>
      </c>
      <c r="B11">
        <f ca="1"/>
        <v>8.9967821945829245E-3</v>
      </c>
      <c r="C11">
        <f t="shared" ca="1" si="0"/>
        <v>-9.5042618177988256</v>
      </c>
      <c r="D11">
        <f ca="1"/>
        <v>0.20035010755904623</v>
      </c>
      <c r="I11">
        <f t="shared" ca="1" si="1"/>
        <v>9.8467152117144487E-4</v>
      </c>
      <c r="J11">
        <f t="shared" ca="1" si="2"/>
        <v>1.2302270209812057E-3</v>
      </c>
      <c r="L11">
        <f t="shared" ca="1" si="3"/>
        <v>9.8467152117144487E-4</v>
      </c>
      <c r="M11">
        <f t="shared" ca="1" si="4"/>
        <v>1.2302270209812057E-3</v>
      </c>
      <c r="O11">
        <f t="shared" ca="1" si="5"/>
        <v>-26.853040156617119</v>
      </c>
      <c r="P11">
        <f t="shared" ca="1" si="6"/>
        <v>-0.57165588047382065</v>
      </c>
      <c r="R11">
        <f t="shared" ca="1" si="7"/>
        <v>-3.3759907732422603</v>
      </c>
      <c r="S11">
        <f t="shared" ca="1" si="8"/>
        <v>7.0924102724916116E-2</v>
      </c>
    </row>
    <row r="12" spans="1:19" x14ac:dyDescent="0.35">
      <c r="A12">
        <f ca="1"/>
        <v>-0.60000000000000009</v>
      </c>
      <c r="B12">
        <f ca="1"/>
        <v>1.1470827009322176E-2</v>
      </c>
      <c r="C12">
        <f t="shared" ca="1" si="0"/>
        <v>-14.068273576562568</v>
      </c>
      <c r="D12">
        <f ca="1"/>
        <v>0.29731929723682954</v>
      </c>
      <c r="F12" t="s">
        <v>16</v>
      </c>
      <c r="G12" s="5">
        <v>140</v>
      </c>
      <c r="I12">
        <f t="shared" ca="1" si="1"/>
        <v>1.1194470547349258E-3</v>
      </c>
      <c r="J12">
        <f t="shared" ca="1" si="2"/>
        <v>1.4059737382642352E-3</v>
      </c>
      <c r="L12">
        <f t="shared" ca="1" si="3"/>
        <v>1.1194470547349258E-3</v>
      </c>
      <c r="M12">
        <f t="shared" ca="1" si="4"/>
        <v>1.4059737382642352E-3</v>
      </c>
      <c r="O12">
        <f t="shared" ca="1" si="5"/>
        <v>-26.565551111105229</v>
      </c>
      <c r="P12">
        <f t="shared" ca="1" si="6"/>
        <v>-0.56544222959910517</v>
      </c>
      <c r="R12">
        <f t="shared" ca="1" si="7"/>
        <v>-3.8572485922059845</v>
      </c>
      <c r="S12">
        <f t="shared" ca="1" si="8"/>
        <v>8.1056117399904148E-2</v>
      </c>
    </row>
    <row r="13" spans="1:19" x14ac:dyDescent="0.35">
      <c r="A13">
        <f ca="1"/>
        <v>-0.30000000000000027</v>
      </c>
      <c r="B13">
        <f ca="1"/>
        <v>1.5359555802028328E-2</v>
      </c>
      <c r="C13">
        <f t="shared" ca="1" si="0"/>
        <v>-19.029687327736845</v>
      </c>
      <c r="D13">
        <f ca="1"/>
        <v>0.40330313875096513</v>
      </c>
      <c r="F13" t="s">
        <v>19</v>
      </c>
      <c r="G13" cm="1">
        <f t="array" ref="G13">INDEX(D4:D1000, G12)</f>
        <v>0</v>
      </c>
      <c r="I13">
        <f t="shared" ca="1" si="1"/>
        <v>1.2527496316474401E-3</v>
      </c>
      <c r="J13">
        <f t="shared" ca="1" si="2"/>
        <v>1.5817204555472646E-3</v>
      </c>
      <c r="L13">
        <f t="shared" ca="1" si="3"/>
        <v>1.2527496316474401E-3</v>
      </c>
      <c r="M13">
        <f t="shared" ca="1" si="4"/>
        <v>1.5817204555472646E-3</v>
      </c>
      <c r="O13">
        <f t="shared" ca="1" si="5"/>
        <v>-26.277965541950351</v>
      </c>
      <c r="P13">
        <f t="shared" ca="1" si="6"/>
        <v>-0.55922857872438969</v>
      </c>
      <c r="R13">
        <f t="shared" ca="1" si="7"/>
        <v>-4.3382497668662738</v>
      </c>
      <c r="S13">
        <f t="shared" ca="1" si="8"/>
        <v>9.1188132074892167E-2</v>
      </c>
    </row>
    <row r="14" spans="1:19" x14ac:dyDescent="0.35">
      <c r="A14">
        <f ca="1"/>
        <v>0</v>
      </c>
      <c r="B14">
        <f ca="1"/>
        <v>2.0702413116195677E-2</v>
      </c>
      <c r="C14">
        <f t="shared" ca="1" si="0"/>
        <v>-24.147729259239334</v>
      </c>
      <c r="D14">
        <f ca="1"/>
        <v>0.51326688932859799</v>
      </c>
      <c r="F14" t="s">
        <v>20</v>
      </c>
      <c r="G14" cm="1">
        <f t="array" ref="G14">INDEX(B4:B1000, G12)</f>
        <v>0</v>
      </c>
      <c r="I14">
        <f t="shared" ca="1" si="1"/>
        <v>1.3845792519089871E-3</v>
      </c>
      <c r="J14">
        <f t="shared" ca="1" si="2"/>
        <v>1.7574671728302941E-3</v>
      </c>
      <c r="L14">
        <f t="shared" ca="1" si="3"/>
        <v>1.3845792519089871E-3</v>
      </c>
      <c r="M14">
        <f t="shared" ca="1" si="4"/>
        <v>1.7574671728302941E-3</v>
      </c>
      <c r="O14">
        <f t="shared" ca="1" si="5"/>
        <v>-25.990283449152503</v>
      </c>
      <c r="P14">
        <f t="shared" ca="1" si="6"/>
        <v>-0.55301492784967432</v>
      </c>
      <c r="R14">
        <f t="shared" ca="1" si="7"/>
        <v>-4.8189942972231261</v>
      </c>
      <c r="S14">
        <f t="shared" ca="1" si="8"/>
        <v>0.10132014674988019</v>
      </c>
    </row>
    <row r="15" spans="1:19" x14ac:dyDescent="0.35">
      <c r="A15">
        <f ca="1"/>
        <v>0.29999999999999982</v>
      </c>
      <c r="B15">
        <f ca="1"/>
        <v>2.6143265183919254E-2</v>
      </c>
      <c r="C15">
        <f t="shared" ca="1" si="0"/>
        <v>-28.314553755812131</v>
      </c>
      <c r="D15">
        <f ca="1"/>
        <v>0.6032766589152686</v>
      </c>
      <c r="I15">
        <f t="shared" ca="1" si="1"/>
        <v>1.5149359155195666E-3</v>
      </c>
      <c r="J15">
        <f t="shared" ca="1" si="2"/>
        <v>1.9332138901133231E-3</v>
      </c>
      <c r="L15">
        <f t="shared" ca="1" si="3"/>
        <v>1.5149359155195666E-3</v>
      </c>
      <c r="M15">
        <f t="shared" ca="1" si="4"/>
        <v>1.9332138901133231E-3</v>
      </c>
      <c r="O15">
        <f t="shared" ca="1" si="5"/>
        <v>-25.702504832711664</v>
      </c>
      <c r="P15">
        <f t="shared" ca="1" si="6"/>
        <v>-0.54680127697495884</v>
      </c>
      <c r="R15">
        <f t="shared" ca="1" si="7"/>
        <v>-5.2994821832765444</v>
      </c>
      <c r="S15">
        <f t="shared" ca="1" si="8"/>
        <v>0.1114521614248682</v>
      </c>
    </row>
    <row r="16" spans="1:19" x14ac:dyDescent="0.35">
      <c r="A16">
        <f ca="1"/>
        <v>0.59999999999999964</v>
      </c>
      <c r="B16">
        <f ca="1"/>
        <v>3.0960901950587098E-2</v>
      </c>
      <c r="C16">
        <f t="shared" ca="1" si="0"/>
        <v>-31.375854738745467</v>
      </c>
      <c r="D16">
        <f ca="1"/>
        <v>0.66968592004923744</v>
      </c>
      <c r="F16" t="s">
        <v>21</v>
      </c>
      <c r="G16">
        <f ca="1">(G10 - G5) / (G9 - G6)^2</f>
        <v>-23.844352122400633</v>
      </c>
      <c r="I16">
        <f t="shared" ca="1" si="1"/>
        <v>1.6438196224791797E-3</v>
      </c>
      <c r="J16">
        <f t="shared" ca="1" si="2"/>
        <v>2.1089606073963528E-3</v>
      </c>
      <c r="L16">
        <f t="shared" ca="1" si="3"/>
        <v>1.6438196224791797E-3</v>
      </c>
      <c r="M16">
        <f t="shared" ca="1" si="4"/>
        <v>2.1089606073963528E-3</v>
      </c>
      <c r="O16">
        <f t="shared" ca="1" si="5"/>
        <v>-25.414629692627841</v>
      </c>
      <c r="P16">
        <f t="shared" ca="1" si="6"/>
        <v>-0.54058762610024336</v>
      </c>
      <c r="R16">
        <f t="shared" ca="1" si="7"/>
        <v>-5.779713425026527</v>
      </c>
      <c r="S16">
        <f t="shared" ca="1" si="8"/>
        <v>0.12158417609985621</v>
      </c>
    </row>
    <row r="17" spans="1:19" x14ac:dyDescent="0.35">
      <c r="A17">
        <f ca="1"/>
        <v>0.89999999999999991</v>
      </c>
      <c r="B17">
        <f ca="1"/>
        <v>3.5549364645016623E-2</v>
      </c>
      <c r="C17">
        <f t="shared" ca="1" si="0"/>
        <v>-33.82655576647614</v>
      </c>
      <c r="D17">
        <f ca="1"/>
        <v>0.72302253315135301</v>
      </c>
      <c r="F17" t="s">
        <v>22</v>
      </c>
      <c r="G17">
        <f ca="1">(G14 - G5) / (G13 - G6)^2</f>
        <v>-23.844352122400633</v>
      </c>
      <c r="I17">
        <f t="shared" ca="1" si="1"/>
        <v>1.771230372787827E-3</v>
      </c>
      <c r="J17">
        <f t="shared" ca="1" si="2"/>
        <v>2.2847073246793823E-3</v>
      </c>
      <c r="L17">
        <f t="shared" ca="1" si="3"/>
        <v>1.771230372787827E-3</v>
      </c>
      <c r="M17">
        <f t="shared" ca="1" si="4"/>
        <v>2.2847073246793823E-3</v>
      </c>
      <c r="O17">
        <f t="shared" ca="1" si="5"/>
        <v>-25.126658028901048</v>
      </c>
      <c r="P17">
        <f t="shared" ca="1" si="6"/>
        <v>-0.53437397522552799</v>
      </c>
      <c r="R17">
        <f t="shared" ca="1" si="7"/>
        <v>-6.259688022473072</v>
      </c>
      <c r="S17">
        <f t="shared" ca="1" si="8"/>
        <v>0.13171619077484423</v>
      </c>
    </row>
    <row r="18" spans="1:19" x14ac:dyDescent="0.35">
      <c r="A18">
        <f ca="1"/>
        <v>1.2000000000000002</v>
      </c>
      <c r="B18">
        <f ca="1"/>
        <v>4.0125973062419426E-2</v>
      </c>
      <c r="C18">
        <f t="shared" ca="1" si="0"/>
        <v>-35.942429801217493</v>
      </c>
      <c r="D18">
        <f ca="1"/>
        <v>0.76919703481296997</v>
      </c>
      <c r="I18">
        <f t="shared" ca="1" si="1"/>
        <v>1.8971681664455061E-3</v>
      </c>
      <c r="J18">
        <f t="shared" ca="1" si="2"/>
        <v>2.4604540419624113E-3</v>
      </c>
      <c r="L18">
        <f t="shared" ca="1" si="3"/>
        <v>1.8971681664455061E-3</v>
      </c>
      <c r="M18">
        <f t="shared" ca="1" si="4"/>
        <v>2.4604540419624113E-3</v>
      </c>
      <c r="O18">
        <f t="shared" ca="1" si="5"/>
        <v>-24.838589841531263</v>
      </c>
      <c r="P18">
        <f t="shared" ca="1" si="6"/>
        <v>-0.5281603243508125</v>
      </c>
      <c r="R18">
        <f t="shared" ca="1" si="7"/>
        <v>-6.7394059756161839</v>
      </c>
      <c r="S18">
        <f t="shared" ca="1" si="8"/>
        <v>0.14184820544983223</v>
      </c>
    </row>
    <row r="19" spans="1:19" x14ac:dyDescent="0.35">
      <c r="A19">
        <f ca="1"/>
        <v>1.5</v>
      </c>
      <c r="B19">
        <f ca="1"/>
        <v>4.4879754135912386E-2</v>
      </c>
      <c r="C19">
        <f t="shared" ca="1" si="0"/>
        <v>-37.825829982920865</v>
      </c>
      <c r="D19">
        <f ca="1"/>
        <v>0.81039647990513808</v>
      </c>
      <c r="F19" t="s">
        <v>26</v>
      </c>
      <c r="G19" s="3">
        <v>0.05</v>
      </c>
      <c r="I19">
        <f t="shared" ca="1" si="1"/>
        <v>2.0216330034522178E-3</v>
      </c>
      <c r="J19">
        <f t="shared" ca="1" si="2"/>
        <v>2.6362007592454408E-3</v>
      </c>
      <c r="L19">
        <f t="shared" ca="1" si="3"/>
        <v>2.0216330034522178E-3</v>
      </c>
      <c r="M19">
        <f t="shared" ca="1" si="4"/>
        <v>2.6362007592454408E-3</v>
      </c>
      <c r="O19">
        <f t="shared" ca="1" si="5"/>
        <v>-24.550425130518498</v>
      </c>
      <c r="P19">
        <f t="shared" ca="1" si="6"/>
        <v>-0.52194667347609713</v>
      </c>
      <c r="R19">
        <f t="shared" ca="1" si="7"/>
        <v>-7.218867284455861</v>
      </c>
      <c r="S19">
        <f t="shared" ca="1" si="8"/>
        <v>0.15198022012482026</v>
      </c>
    </row>
    <row r="20" spans="1:19" x14ac:dyDescent="0.35">
      <c r="A20">
        <f ca="1"/>
        <v>1.7999999999999998</v>
      </c>
      <c r="B20">
        <f ca="1"/>
        <v>4.9595358602603098E-2</v>
      </c>
      <c r="C20">
        <f t="shared" ca="1" si="0"/>
        <v>-39.580696210946456</v>
      </c>
      <c r="D20">
        <f ca="1"/>
        <v>0.84886805086738626</v>
      </c>
      <c r="F20" t="s">
        <v>27</v>
      </c>
      <c r="G20" s="3">
        <v>0.2</v>
      </c>
      <c r="I20">
        <f t="shared" ca="1" si="1"/>
        <v>2.1446248838079621E-3</v>
      </c>
      <c r="J20">
        <f t="shared" ca="1" si="2"/>
        <v>2.8119474765284703E-3</v>
      </c>
      <c r="L20">
        <f t="shared" ca="1" si="3"/>
        <v>2.1446248838079621E-3</v>
      </c>
      <c r="M20">
        <f t="shared" ca="1" si="4"/>
        <v>2.8119474765284703E-3</v>
      </c>
      <c r="O20">
        <f t="shared" ca="1" si="5"/>
        <v>-24.262163895862749</v>
      </c>
      <c r="P20">
        <f t="shared" ca="1" si="6"/>
        <v>-0.51573302260138165</v>
      </c>
      <c r="R20">
        <f t="shared" ca="1" si="7"/>
        <v>-7.6980719489921015</v>
      </c>
      <c r="S20">
        <f t="shared" ca="1" si="8"/>
        <v>0.1621122347998083</v>
      </c>
    </row>
    <row r="21" spans="1:19" x14ac:dyDescent="0.35">
      <c r="A21">
        <f ca="1"/>
        <v>2.0999999999999996</v>
      </c>
      <c r="B21">
        <f ca="1"/>
        <v>5.455355178226292E-2</v>
      </c>
      <c r="C21">
        <f t="shared" ca="1" si="0"/>
        <v>-41.422937484849136</v>
      </c>
      <c r="D21">
        <f ca="1"/>
        <v>0.88934268987867038</v>
      </c>
      <c r="F21" t="s">
        <v>28</v>
      </c>
      <c r="G21">
        <f ca="1">2 * (G10 - G5) * (G9 - G6) / (G9 - G6)^2</f>
        <v>0.82973218902800405</v>
      </c>
      <c r="I21">
        <f t="shared" ca="1" si="1"/>
        <v>2.2661438075127415E-3</v>
      </c>
      <c r="J21">
        <f t="shared" ca="1" si="2"/>
        <v>2.9876941938114998E-3</v>
      </c>
      <c r="L21">
        <f t="shared" ca="1" si="3"/>
        <v>2.2661438075127415E-3</v>
      </c>
      <c r="M21">
        <f t="shared" ca="1" si="4"/>
        <v>2.9876941938114998E-3</v>
      </c>
      <c r="O21">
        <f t="shared" ca="1" si="5"/>
        <v>-23.973806137564019</v>
      </c>
      <c r="P21">
        <f t="shared" ca="1" si="6"/>
        <v>-0.50951937172666617</v>
      </c>
      <c r="R21">
        <f t="shared" ca="1" si="7"/>
        <v>-8.1770199692249061</v>
      </c>
      <c r="S21">
        <f t="shared" ca="1" si="8"/>
        <v>0.1722442494747963</v>
      </c>
    </row>
    <row r="22" spans="1:19" x14ac:dyDescent="0.35">
      <c r="A22">
        <f ca="1"/>
        <v>2.3999999999999995</v>
      </c>
      <c r="B22">
        <f ca="1"/>
        <v>6.0202518576720584E-2</v>
      </c>
      <c r="C22">
        <f t="shared" ca="1" si="0"/>
        <v>-43.184731715300202</v>
      </c>
      <c r="D22">
        <f ca="1"/>
        <v>0.92813432604656521</v>
      </c>
      <c r="F22" t="s">
        <v>29</v>
      </c>
      <c r="G22">
        <f ca="1">2 * (G14 - G5) * (G13 - G6) / (G13 - G6)^2</f>
        <v>0.82973218902800405</v>
      </c>
      <c r="I22">
        <f t="shared" ca="1" si="1"/>
        <v>2.3861897745665528E-3</v>
      </c>
      <c r="J22">
        <f t="shared" ca="1" si="2"/>
        <v>3.1634409110945293E-3</v>
      </c>
      <c r="L22">
        <f t="shared" ca="1" si="3"/>
        <v>2.3861897745665528E-3</v>
      </c>
      <c r="M22">
        <f t="shared" ca="1" si="4"/>
        <v>3.1634409110945293E-3</v>
      </c>
      <c r="O22">
        <f t="shared" ca="1" si="5"/>
        <v>-23.685351855622304</v>
      </c>
      <c r="P22">
        <f t="shared" ca="1" si="6"/>
        <v>-0.50330572085195069</v>
      </c>
      <c r="R22">
        <f t="shared" ca="1" si="7"/>
        <v>-8.6557113451542769</v>
      </c>
      <c r="S22">
        <f t="shared" ca="1" si="8"/>
        <v>0.18237626414978433</v>
      </c>
    </row>
    <row r="23" spans="1:19" x14ac:dyDescent="0.35">
      <c r="A23">
        <f ca="1"/>
        <v>2.7</v>
      </c>
      <c r="B23">
        <f ca="1"/>
        <v>6.650177308177159E-2</v>
      </c>
      <c r="C23">
        <f t="shared" ca="1" si="0"/>
        <v>-44.889342755372162</v>
      </c>
      <c r="D23">
        <f ca="1"/>
        <v>0.96574597915855454</v>
      </c>
      <c r="F23" t="s">
        <v>30</v>
      </c>
      <c r="G23">
        <f>1/G20</f>
        <v>5</v>
      </c>
      <c r="I23">
        <f t="shared" ca="1" si="1"/>
        <v>2.5047627849693957E-3</v>
      </c>
      <c r="J23">
        <f t="shared" ca="1" si="2"/>
        <v>3.3391876283775587E-3</v>
      </c>
      <c r="L23">
        <f t="shared" ca="1" si="3"/>
        <v>2.5047627849693957E-3</v>
      </c>
      <c r="M23">
        <f t="shared" ca="1" si="4"/>
        <v>3.3391876283775587E-3</v>
      </c>
      <c r="O23">
        <f t="shared" ca="1" si="5"/>
        <v>-23.396801050037613</v>
      </c>
      <c r="P23">
        <f t="shared" ca="1" si="6"/>
        <v>-0.49709206997723532</v>
      </c>
      <c r="R23">
        <f t="shared" ca="1" si="7"/>
        <v>-9.1341460767802101</v>
      </c>
      <c r="S23">
        <f t="shared" ca="1" si="8"/>
        <v>0.19250827882477234</v>
      </c>
    </row>
    <row r="24" spans="1:19" x14ac:dyDescent="0.35">
      <c r="A24">
        <f ca="1"/>
        <v>3</v>
      </c>
      <c r="B24">
        <f ca="1"/>
        <v>7.3439174054494821E-2</v>
      </c>
      <c r="C24">
        <f t="shared" ca="1" si="0"/>
        <v>-46.577397063724156</v>
      </c>
      <c r="D24">
        <f ca="1"/>
        <v>1.0030694528238138</v>
      </c>
      <c r="I24">
        <f t="shared" ca="1" si="1"/>
        <v>2.621862838721273E-3</v>
      </c>
      <c r="J24">
        <f t="shared" ca="1" si="2"/>
        <v>3.5149343456605882E-3</v>
      </c>
      <c r="L24">
        <f t="shared" ca="1" si="3"/>
        <v>2.621862838721273E-3</v>
      </c>
      <c r="M24">
        <f t="shared" ca="1" si="4"/>
        <v>3.5149343456605882E-3</v>
      </c>
      <c r="O24">
        <f t="shared" ca="1" si="5"/>
        <v>-23.108153720809938</v>
      </c>
      <c r="P24">
        <f t="shared" ca="1" si="6"/>
        <v>-0.49087841910251984</v>
      </c>
      <c r="R24">
        <f t="shared" ca="1" si="7"/>
        <v>-9.6123241641027093</v>
      </c>
      <c r="S24">
        <f t="shared" ca="1" si="8"/>
        <v>0.20264029349976037</v>
      </c>
    </row>
    <row r="25" spans="1:19" x14ac:dyDescent="0.35">
      <c r="C25" t="str">
        <f t="shared" si="0"/>
        <v/>
      </c>
      <c r="F25" t="s">
        <v>33</v>
      </c>
      <c r="G25">
        <f ca="1">MAX(D4:D1000)</f>
        <v>1.0030694528238138</v>
      </c>
      <c r="I25">
        <f t="shared" ca="1" si="1"/>
        <v>2.7374899358221828E-3</v>
      </c>
      <c r="J25">
        <f t="shared" ca="1" si="2"/>
        <v>3.6906810629436168E-3</v>
      </c>
      <c r="L25">
        <f t="shared" ca="1" si="3"/>
        <v>2.7374899358221828E-3</v>
      </c>
      <c r="M25">
        <f t="shared" ca="1" si="4"/>
        <v>3.6906810629436168E-3</v>
      </c>
      <c r="O25">
        <f t="shared" ca="1" si="5"/>
        <v>-22.819409867939278</v>
      </c>
      <c r="P25">
        <f t="shared" ca="1" si="6"/>
        <v>-0.48466476822780447</v>
      </c>
      <c r="R25">
        <f t="shared" ca="1" si="7"/>
        <v>-10.090245607121773</v>
      </c>
      <c r="S25">
        <f t="shared" ca="1" si="8"/>
        <v>0.21277230817474838</v>
      </c>
    </row>
    <row r="26" spans="1:19" x14ac:dyDescent="0.35">
      <c r="C26" t="str">
        <f t="shared" si="0"/>
        <v/>
      </c>
      <c r="F26" t="s">
        <v>14</v>
      </c>
      <c r="G26">
        <f ca="1">MIN(D4:D1000)</f>
        <v>-0.61515143659682869</v>
      </c>
      <c r="I26">
        <f t="shared" ca="1" si="1"/>
        <v>2.8516440762721262E-3</v>
      </c>
      <c r="J26">
        <f t="shared" ca="1" si="2"/>
        <v>3.8664277802266463E-3</v>
      </c>
      <c r="L26">
        <f t="shared" ca="1" si="3"/>
        <v>2.8516440762721262E-3</v>
      </c>
      <c r="M26">
        <f t="shared" ca="1" si="4"/>
        <v>3.8664277802266463E-3</v>
      </c>
      <c r="O26">
        <f t="shared" ca="1" si="5"/>
        <v>-22.530569491425638</v>
      </c>
      <c r="P26">
        <f t="shared" ca="1" si="6"/>
        <v>-0.47845111735308898</v>
      </c>
      <c r="R26">
        <f t="shared" ca="1" si="7"/>
        <v>-10.5679104058374</v>
      </c>
      <c r="S26">
        <f t="shared" ca="1" si="8"/>
        <v>0.22290432284973641</v>
      </c>
    </row>
    <row r="27" spans="1:19" x14ac:dyDescent="0.35">
      <c r="C27" t="str">
        <f t="shared" si="0"/>
        <v/>
      </c>
      <c r="I27">
        <f t="shared" ca="1" si="1"/>
        <v>2.9643252600711012E-3</v>
      </c>
      <c r="J27">
        <f t="shared" ca="1" si="2"/>
        <v>4.0421744975096758E-3</v>
      </c>
      <c r="L27">
        <f t="shared" ca="1" si="3"/>
        <v>2.9643252600711012E-3</v>
      </c>
      <c r="M27">
        <f t="shared" ca="1" si="4"/>
        <v>4.0421744975096758E-3</v>
      </c>
      <c r="O27">
        <f t="shared" ca="1" si="5"/>
        <v>-22.241632591269017</v>
      </c>
      <c r="P27">
        <f t="shared" ca="1" si="6"/>
        <v>-0.47223746647837356</v>
      </c>
      <c r="R27">
        <f t="shared" ca="1" si="7"/>
        <v>-11.045318560249592</v>
      </c>
      <c r="S27">
        <f t="shared" ca="1" si="8"/>
        <v>0.23303633752472441</v>
      </c>
    </row>
    <row r="28" spans="1:19" x14ac:dyDescent="0.35">
      <c r="C28" t="str">
        <f t="shared" si="0"/>
        <v/>
      </c>
      <c r="F28" t="s">
        <v>44</v>
      </c>
      <c r="G28">
        <f ca="1">COUNTIF(B4:B1000, "&lt;&gt;")</f>
        <v>21</v>
      </c>
      <c r="I28">
        <f t="shared" ca="1" si="1"/>
        <v>3.0755334872191115E-3</v>
      </c>
      <c r="J28">
        <f t="shared" ca="1" si="2"/>
        <v>4.2179212147927057E-3</v>
      </c>
      <c r="L28">
        <f t="shared" ca="1" si="3"/>
        <v>3.0755334872191115E-3</v>
      </c>
      <c r="M28">
        <f t="shared" ca="1" si="4"/>
        <v>4.2179212147927057E-3</v>
      </c>
      <c r="O28">
        <f t="shared" ca="1" si="5"/>
        <v>-21.952599167469412</v>
      </c>
      <c r="P28">
        <f t="shared" ca="1" si="6"/>
        <v>-0.46602381560365813</v>
      </c>
      <c r="R28">
        <f t="shared" ca="1" si="7"/>
        <v>-11.52247007035835</v>
      </c>
      <c r="S28">
        <f t="shared" ca="1" si="8"/>
        <v>0.24316835219971242</v>
      </c>
    </row>
    <row r="29" spans="1:19" x14ac:dyDescent="0.35">
      <c r="C29" t="str">
        <f t="shared" si="0"/>
        <v/>
      </c>
      <c r="I29">
        <f t="shared" ca="1" si="1"/>
        <v>3.1852687577161535E-3</v>
      </c>
      <c r="J29">
        <f t="shared" ca="1" si="2"/>
        <v>4.3936679320757347E-3</v>
      </c>
      <c r="L29">
        <f t="shared" ca="1" si="3"/>
        <v>3.1852687577161535E-3</v>
      </c>
      <c r="M29">
        <f t="shared" ca="1" si="4"/>
        <v>4.3936679320757347E-3</v>
      </c>
      <c r="O29">
        <f t="shared" ca="1" si="5"/>
        <v>-21.663469220026826</v>
      </c>
      <c r="P29">
        <f t="shared" ca="1" si="6"/>
        <v>-0.45981016472894265</v>
      </c>
      <c r="R29">
        <f t="shared" ca="1" si="7"/>
        <v>-11.999364936163671</v>
      </c>
      <c r="S29">
        <f t="shared" ca="1" si="8"/>
        <v>0.25330036687470042</v>
      </c>
    </row>
    <row r="30" spans="1:19" x14ac:dyDescent="0.35">
      <c r="C30" t="str">
        <f t="shared" si="0"/>
        <v/>
      </c>
      <c r="F30" t="s">
        <v>239</v>
      </c>
      <c r="G30">
        <v>0.1019</v>
      </c>
      <c r="I30">
        <f t="shared" ca="1" si="1"/>
        <v>3.2935310715622289E-3</v>
      </c>
      <c r="J30">
        <f t="shared" ca="1" si="2"/>
        <v>4.5694146493587646E-3</v>
      </c>
      <c r="L30">
        <f t="shared" ca="1" si="3"/>
        <v>3.2935310715622289E-3</v>
      </c>
      <c r="M30">
        <f t="shared" ca="1" si="4"/>
        <v>4.5694146493587646E-3</v>
      </c>
      <c r="O30">
        <f t="shared" ca="1" si="5"/>
        <v>-21.374242748941256</v>
      </c>
      <c r="P30">
        <f t="shared" ca="1" si="6"/>
        <v>-0.45359651385422722</v>
      </c>
      <c r="R30">
        <f t="shared" ca="1" si="7"/>
        <v>-12.476003157665556</v>
      </c>
      <c r="S30">
        <f t="shared" ca="1" si="8"/>
        <v>0.26343238154968845</v>
      </c>
    </row>
    <row r="31" spans="1:19" x14ac:dyDescent="0.35">
      <c r="C31" t="str">
        <f t="shared" si="0"/>
        <v/>
      </c>
      <c r="F31" t="s">
        <v>240</v>
      </c>
      <c r="G31">
        <f>G30*180/PI()</f>
        <v>5.8384399323830891</v>
      </c>
      <c r="I31">
        <f t="shared" ca="1" si="1"/>
        <v>3.4003204287573374E-3</v>
      </c>
      <c r="J31">
        <f t="shared" ca="1" si="2"/>
        <v>4.7451613666417937E-3</v>
      </c>
      <c r="L31">
        <f t="shared" ca="1" si="3"/>
        <v>3.4003204287573374E-3</v>
      </c>
      <c r="M31">
        <f t="shared" ca="1" si="4"/>
        <v>4.7451613666417937E-3</v>
      </c>
      <c r="O31">
        <f t="shared" ca="1" si="5"/>
        <v>-21.084919754212706</v>
      </c>
      <c r="P31">
        <f t="shared" ca="1" si="6"/>
        <v>-0.4473828629795118</v>
      </c>
      <c r="R31">
        <f t="shared" ca="1" si="7"/>
        <v>-12.95238473486401</v>
      </c>
      <c r="S31">
        <f t="shared" ca="1" si="8"/>
        <v>0.27356439622467649</v>
      </c>
    </row>
    <row r="32" spans="1:19" x14ac:dyDescent="0.35">
      <c r="C32" t="str">
        <f t="shared" si="0"/>
        <v/>
      </c>
      <c r="F32" t="s">
        <v>46</v>
      </c>
      <c r="G32">
        <f>G31/(2*PI())</f>
        <v>0.92921657518387979</v>
      </c>
      <c r="I32">
        <f t="shared" ca="1" si="1"/>
        <v>3.5056368293014785E-3</v>
      </c>
      <c r="J32">
        <f t="shared" ca="1" si="2"/>
        <v>4.9209080839248227E-3</v>
      </c>
      <c r="L32">
        <f t="shared" ca="1" si="3"/>
        <v>3.5056368293014785E-3</v>
      </c>
      <c r="M32">
        <f t="shared" ca="1" si="4"/>
        <v>4.9209080839248227E-3</v>
      </c>
      <c r="O32">
        <f t="shared" ca="1" si="5"/>
        <v>-20.795500235841171</v>
      </c>
      <c r="P32">
        <f t="shared" ca="1" si="6"/>
        <v>-0.44116921210479632</v>
      </c>
      <c r="R32">
        <f t="shared" ca="1" si="7"/>
        <v>-13.428509667759023</v>
      </c>
      <c r="S32">
        <f t="shared" ca="1" si="8"/>
        <v>0.28369641089966446</v>
      </c>
    </row>
    <row r="33" spans="3:29" x14ac:dyDescent="0.35">
      <c r="C33" t="str">
        <f t="shared" si="0"/>
        <v/>
      </c>
      <c r="I33">
        <f t="shared" ca="1" si="1"/>
        <v>3.6094802731946522E-3</v>
      </c>
      <c r="J33">
        <f t="shared" ca="1" si="2"/>
        <v>5.0966548012078517E-3</v>
      </c>
      <c r="L33">
        <f t="shared" ca="1" si="3"/>
        <v>3.6094802731946522E-3</v>
      </c>
      <c r="M33">
        <f t="shared" ca="1" si="4"/>
        <v>5.0966548012078517E-3</v>
      </c>
      <c r="O33">
        <f t="shared" ca="1" si="5"/>
        <v>-20.505984193826656</v>
      </c>
      <c r="P33">
        <f t="shared" ca="1" si="6"/>
        <v>-0.43495556123008089</v>
      </c>
      <c r="R33">
        <f t="shared" ca="1" si="7"/>
        <v>-13.904377956350606</v>
      </c>
      <c r="S33">
        <f t="shared" ca="1" si="8"/>
        <v>0.29382842557465255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3:29" x14ac:dyDescent="0.35">
      <c r="C34" t="str">
        <f t="shared" si="0"/>
        <v/>
      </c>
      <c r="I34">
        <f t="shared" ca="1" si="1"/>
        <v>3.7118507604368589E-3</v>
      </c>
      <c r="J34">
        <f t="shared" ca="1" si="2"/>
        <v>5.2724015184908817E-3</v>
      </c>
      <c r="L34">
        <f t="shared" ca="1" si="3"/>
        <v>3.7118507604368589E-3</v>
      </c>
      <c r="M34">
        <f t="shared" ca="1" si="4"/>
        <v>5.2724015184908817E-3</v>
      </c>
      <c r="O34">
        <f t="shared" ca="1" si="5"/>
        <v>-20.216371628169163</v>
      </c>
      <c r="P34">
        <f t="shared" ca="1" si="6"/>
        <v>-0.42874191035536546</v>
      </c>
      <c r="R34">
        <f t="shared" ca="1" si="7"/>
        <v>-14.379989600638746</v>
      </c>
      <c r="S34">
        <f t="shared" ca="1" si="8"/>
        <v>0.30396044024964053</v>
      </c>
      <c r="U34" s="4">
        <f ca="1">1 - SUMXMY2(B4:B1000, C4:C1000) / DEVSQ(_xlfn.ANCHORARRAY(B4))</f>
        <v>-2100356.7406332875</v>
      </c>
      <c r="W34">
        <f>G9</f>
        <v>0</v>
      </c>
      <c r="X34">
        <f>G10</f>
        <v>0</v>
      </c>
      <c r="Y34">
        <f ca="1">G6</f>
        <v>1.739892501101991E-2</v>
      </c>
      <c r="Z34">
        <f ca="1">G5</f>
        <v>7.2182240680638199E-3</v>
      </c>
      <c r="AA34">
        <f>G13</f>
        <v>0</v>
      </c>
      <c r="AB34">
        <f>G14</f>
        <v>0</v>
      </c>
      <c r="AC34">
        <f>G32</f>
        <v>0.92921657518387979</v>
      </c>
    </row>
    <row r="35" spans="3:29" x14ac:dyDescent="0.35">
      <c r="C35" t="str">
        <f t="shared" si="0"/>
        <v/>
      </c>
      <c r="I35">
        <f t="shared" ca="1" si="1"/>
        <v>3.8127482910280982E-3</v>
      </c>
      <c r="J35">
        <f t="shared" ca="1" si="2"/>
        <v>5.4481482357739107E-3</v>
      </c>
      <c r="L35">
        <f t="shared" ca="1" si="3"/>
        <v>3.8127482910280982E-3</v>
      </c>
      <c r="M35">
        <f t="shared" ca="1" si="4"/>
        <v>5.4481482357739107E-3</v>
      </c>
      <c r="O35">
        <f t="shared" ca="1" si="5"/>
        <v>-19.92666253886868</v>
      </c>
      <c r="P35">
        <f t="shared" ca="1" si="6"/>
        <v>-0.42252825948064998</v>
      </c>
      <c r="R35">
        <f t="shared" ca="1" si="7"/>
        <v>-14.855344600623459</v>
      </c>
      <c r="S35">
        <f t="shared" ca="1" si="8"/>
        <v>0.31409245492462856</v>
      </c>
    </row>
    <row r="36" spans="3:29" x14ac:dyDescent="0.35">
      <c r="C36" t="str">
        <f t="shared" si="0"/>
        <v/>
      </c>
      <c r="I36">
        <f t="shared" ca="1" si="1"/>
        <v>3.9121728649683715E-3</v>
      </c>
      <c r="J36">
        <f t="shared" ca="1" si="2"/>
        <v>5.6238949530569406E-3</v>
      </c>
      <c r="L36">
        <f t="shared" ca="1" si="3"/>
        <v>3.9121728649683715E-3</v>
      </c>
      <c r="M36">
        <f t="shared" ca="1" si="4"/>
        <v>5.6238949530569406E-3</v>
      </c>
      <c r="O36">
        <f t="shared" ca="1" si="5"/>
        <v>-19.636856925925219</v>
      </c>
      <c r="P36">
        <f t="shared" ca="1" si="6"/>
        <v>-0.41631460860593461</v>
      </c>
      <c r="R36">
        <f t="shared" ca="1" si="7"/>
        <v>-15.330442956304733</v>
      </c>
      <c r="S36">
        <f t="shared" ca="1" si="8"/>
        <v>0.32422446959961659</v>
      </c>
    </row>
    <row r="37" spans="3:29" x14ac:dyDescent="0.35">
      <c r="C37" t="str">
        <f t="shared" si="0"/>
        <v/>
      </c>
      <c r="I37">
        <f t="shared" ca="1" si="1"/>
        <v>4.0101244822576768E-3</v>
      </c>
      <c r="J37">
        <f t="shared" ca="1" si="2"/>
        <v>5.7996416703399696E-3</v>
      </c>
      <c r="L37">
        <f t="shared" ca="1" si="3"/>
        <v>4.0101244822576768E-3</v>
      </c>
      <c r="M37">
        <f t="shared" ca="1" si="4"/>
        <v>5.7996416703399696E-3</v>
      </c>
      <c r="O37">
        <f t="shared" ca="1" si="5"/>
        <v>-19.346954789338774</v>
      </c>
      <c r="P37">
        <f t="shared" ca="1" si="6"/>
        <v>-0.41010095773121913</v>
      </c>
      <c r="R37">
        <f t="shared" ca="1" si="7"/>
        <v>-15.805284667682571</v>
      </c>
      <c r="S37">
        <f t="shared" ca="1" si="8"/>
        <v>0.33435648427460463</v>
      </c>
    </row>
    <row r="38" spans="3:29" x14ac:dyDescent="0.35">
      <c r="C38" t="str">
        <f t="shared" si="0"/>
        <v/>
      </c>
      <c r="I38">
        <f t="shared" ca="1" si="1"/>
        <v>4.1066031428960165E-3</v>
      </c>
      <c r="J38">
        <f t="shared" ca="1" si="2"/>
        <v>5.9753883876229996E-3</v>
      </c>
      <c r="L38">
        <f t="shared" ca="1" si="3"/>
        <v>4.1066031428960165E-3</v>
      </c>
      <c r="M38">
        <f t="shared" ca="1" si="4"/>
        <v>5.9753883876229996E-3</v>
      </c>
      <c r="O38">
        <f t="shared" ca="1" si="5"/>
        <v>-19.056956129109345</v>
      </c>
      <c r="P38">
        <f t="shared" ca="1" si="6"/>
        <v>-0.40388730685650365</v>
      </c>
      <c r="R38">
        <f t="shared" ca="1" si="7"/>
        <v>-16.279869734756975</v>
      </c>
      <c r="S38">
        <f t="shared" ca="1" si="8"/>
        <v>0.3444884989495926</v>
      </c>
    </row>
    <row r="39" spans="3:29" x14ac:dyDescent="0.35">
      <c r="C39" t="str">
        <f t="shared" si="0"/>
        <v/>
      </c>
      <c r="I39">
        <f t="shared" ca="1" si="1"/>
        <v>4.2016088468833888E-3</v>
      </c>
      <c r="J39">
        <f t="shared" ca="1" si="2"/>
        <v>6.1511351049060286E-3</v>
      </c>
      <c r="L39">
        <f t="shared" ca="1" si="3"/>
        <v>4.2016088468833888E-3</v>
      </c>
      <c r="M39">
        <f t="shared" ca="1" si="4"/>
        <v>6.1511351049060286E-3</v>
      </c>
      <c r="O39">
        <f t="shared" ca="1" si="5"/>
        <v>-18.766860945236942</v>
      </c>
      <c r="P39">
        <f t="shared" ca="1" si="6"/>
        <v>-0.39767365598178828</v>
      </c>
      <c r="R39">
        <f t="shared" ca="1" si="7"/>
        <v>-16.754198157527942</v>
      </c>
      <c r="S39">
        <f t="shared" ca="1" si="8"/>
        <v>0.35462051362458064</v>
      </c>
    </row>
    <row r="40" spans="3:29" x14ac:dyDescent="0.35">
      <c r="C40" t="str">
        <f t="shared" si="0"/>
        <v/>
      </c>
      <c r="I40">
        <f t="shared" ca="1" si="1"/>
        <v>4.2951415942197937E-3</v>
      </c>
      <c r="J40">
        <f t="shared" ca="1" si="2"/>
        <v>6.3268818221890585E-3</v>
      </c>
      <c r="L40">
        <f t="shared" ca="1" si="3"/>
        <v>4.2951415942197937E-3</v>
      </c>
      <c r="M40">
        <f t="shared" ca="1" si="4"/>
        <v>6.3268818221890585E-3</v>
      </c>
      <c r="O40">
        <f t="shared" ca="1" si="5"/>
        <v>-18.476669237721552</v>
      </c>
      <c r="P40">
        <f t="shared" ca="1" si="6"/>
        <v>-0.39146000510707279</v>
      </c>
      <c r="R40">
        <f t="shared" ca="1" si="7"/>
        <v>-17.228269935995474</v>
      </c>
      <c r="S40">
        <f t="shared" ca="1" si="8"/>
        <v>0.36475252829956867</v>
      </c>
    </row>
    <row r="41" spans="3:29" x14ac:dyDescent="0.35">
      <c r="C41" t="str">
        <f t="shared" si="0"/>
        <v/>
      </c>
      <c r="I41">
        <f t="shared" ca="1" si="1"/>
        <v>4.3872013849052321E-3</v>
      </c>
      <c r="J41">
        <f t="shared" ca="1" si="2"/>
        <v>6.5026285394720875E-3</v>
      </c>
      <c r="L41">
        <f t="shared" ca="1" si="3"/>
        <v>4.3872013849052321E-3</v>
      </c>
      <c r="M41">
        <f t="shared" ca="1" si="4"/>
        <v>6.5026285394720875E-3</v>
      </c>
      <c r="O41">
        <f t="shared" ca="1" si="5"/>
        <v>-18.186381006563177</v>
      </c>
      <c r="P41">
        <f t="shared" ca="1" si="6"/>
        <v>-0.38524635423235731</v>
      </c>
      <c r="R41">
        <f t="shared" ca="1" si="7"/>
        <v>-17.702085070159573</v>
      </c>
      <c r="S41">
        <f t="shared" ca="1" si="8"/>
        <v>0.3748845429745567</v>
      </c>
    </row>
    <row r="42" spans="3:29" x14ac:dyDescent="0.35">
      <c r="C42" t="str">
        <f t="shared" si="0"/>
        <v/>
      </c>
      <c r="I42">
        <f t="shared" ca="1" si="1"/>
        <v>4.4777882189397031E-3</v>
      </c>
      <c r="J42">
        <f t="shared" ca="1" si="2"/>
        <v>6.6783752567551175E-3</v>
      </c>
      <c r="L42">
        <f t="shared" ca="1" si="3"/>
        <v>4.4777882189397031E-3</v>
      </c>
      <c r="M42">
        <f t="shared" ca="1" si="4"/>
        <v>6.6783752567551175E-3</v>
      </c>
      <c r="O42">
        <f t="shared" ca="1" si="5"/>
        <v>-17.895996251761826</v>
      </c>
      <c r="P42">
        <f t="shared" ca="1" si="6"/>
        <v>-0.37903270335764194</v>
      </c>
      <c r="R42">
        <f t="shared" ca="1" si="7"/>
        <v>-18.17564356002023</v>
      </c>
      <c r="S42">
        <f t="shared" ca="1" si="8"/>
        <v>0.38501655764954468</v>
      </c>
    </row>
    <row r="43" spans="3:29" x14ac:dyDescent="0.35">
      <c r="C43" t="str">
        <f t="shared" si="0"/>
        <v/>
      </c>
      <c r="I43">
        <f t="shared" ca="1" si="1"/>
        <v>4.5669020963232066E-3</v>
      </c>
      <c r="J43">
        <f t="shared" ca="1" si="2"/>
        <v>6.8541219740381465E-3</v>
      </c>
      <c r="L43">
        <f t="shared" ca="1" si="3"/>
        <v>4.5669020963232066E-3</v>
      </c>
      <c r="M43">
        <f t="shared" ca="1" si="4"/>
        <v>6.8541219740381465E-3</v>
      </c>
      <c r="O43">
        <f t="shared" ca="1" si="5"/>
        <v>-17.605514973317486</v>
      </c>
      <c r="P43">
        <f t="shared" ca="1" si="6"/>
        <v>-0.37281905248292646</v>
      </c>
      <c r="R43">
        <f t="shared" ca="1" si="7"/>
        <v>-18.648945405577457</v>
      </c>
      <c r="S43">
        <f t="shared" ca="1" si="8"/>
        <v>0.39514857232453271</v>
      </c>
    </row>
    <row r="44" spans="3:29" x14ac:dyDescent="0.35">
      <c r="C44" t="str">
        <f t="shared" si="0"/>
        <v/>
      </c>
      <c r="I44">
        <f t="shared" ca="1" si="1"/>
        <v>4.6545430170557428E-3</v>
      </c>
      <c r="J44">
        <f t="shared" ca="1" si="2"/>
        <v>7.0298686913211764E-3</v>
      </c>
      <c r="L44">
        <f t="shared" ca="1" si="3"/>
        <v>4.6545430170557428E-3</v>
      </c>
      <c r="M44">
        <f t="shared" ca="1" si="4"/>
        <v>7.0298686913211764E-3</v>
      </c>
      <c r="O44">
        <f t="shared" ca="1" si="5"/>
        <v>-17.314937171230167</v>
      </c>
      <c r="P44">
        <f t="shared" ca="1" si="6"/>
        <v>-0.36660540160821103</v>
      </c>
      <c r="R44">
        <f t="shared" ca="1" si="7"/>
        <v>-19.12199060683125</v>
      </c>
      <c r="S44">
        <f t="shared" ca="1" si="8"/>
        <v>0.40528058699952074</v>
      </c>
    </row>
    <row r="45" spans="3:29" x14ac:dyDescent="0.35">
      <c r="C45" t="str">
        <f t="shared" si="0"/>
        <v/>
      </c>
      <c r="I45">
        <f t="shared" ca="1" si="1"/>
        <v>4.7407109811373133E-3</v>
      </c>
      <c r="J45">
        <f t="shared" ca="1" si="2"/>
        <v>7.2056154086042046E-3</v>
      </c>
      <c r="L45">
        <f t="shared" ca="1" si="3"/>
        <v>4.7407109811373133E-3</v>
      </c>
      <c r="M45">
        <f t="shared" ca="1" si="4"/>
        <v>7.2056154086042046E-3</v>
      </c>
      <c r="O45">
        <f t="shared" ca="1" si="5"/>
        <v>-17.024262845499869</v>
      </c>
      <c r="P45">
        <f t="shared" ca="1" si="6"/>
        <v>-0.36039175073349561</v>
      </c>
      <c r="R45">
        <f t="shared" ca="1" si="7"/>
        <v>-19.594779163781602</v>
      </c>
      <c r="S45">
        <f t="shared" ca="1" si="8"/>
        <v>0.41541260167450872</v>
      </c>
    </row>
    <row r="46" spans="3:29" x14ac:dyDescent="0.35">
      <c r="C46" t="str">
        <f t="shared" si="0"/>
        <v/>
      </c>
      <c r="I46">
        <f t="shared" ca="1" si="1"/>
        <v>4.8254059885679164E-3</v>
      </c>
      <c r="J46">
        <f t="shared" ca="1" si="2"/>
        <v>7.3813621258872336E-3</v>
      </c>
      <c r="L46">
        <f t="shared" ca="1" si="3"/>
        <v>4.8254059885679164E-3</v>
      </c>
      <c r="M46">
        <f t="shared" ca="1" si="4"/>
        <v>7.3813621258872336E-3</v>
      </c>
      <c r="O46">
        <f t="shared" ca="1" si="5"/>
        <v>-16.733491996126585</v>
      </c>
      <c r="P46">
        <f t="shared" ca="1" si="6"/>
        <v>-0.35417809985878018</v>
      </c>
      <c r="R46">
        <f t="shared" ca="1" si="7"/>
        <v>-20.067311076428521</v>
      </c>
      <c r="S46">
        <f t="shared" ca="1" si="8"/>
        <v>0.42554461634949675</v>
      </c>
    </row>
    <row r="47" spans="3:29" x14ac:dyDescent="0.35">
      <c r="C47" t="str">
        <f t="shared" si="0"/>
        <v/>
      </c>
      <c r="I47">
        <f t="shared" ca="1" si="1"/>
        <v>4.9086280393475512E-3</v>
      </c>
      <c r="J47">
        <f t="shared" ca="1" si="2"/>
        <v>7.5571088431702635E-3</v>
      </c>
      <c r="L47">
        <f t="shared" ca="1" si="3"/>
        <v>4.9086280393475512E-3</v>
      </c>
      <c r="M47">
        <f t="shared" ca="1" si="4"/>
        <v>7.5571088431702635E-3</v>
      </c>
      <c r="O47">
        <f t="shared" ca="1" si="5"/>
        <v>-16.442624623110319</v>
      </c>
      <c r="P47">
        <f t="shared" ca="1" si="6"/>
        <v>-0.3479644489840647</v>
      </c>
      <c r="R47">
        <f t="shared" ca="1" si="7"/>
        <v>-20.539586344772005</v>
      </c>
      <c r="S47">
        <f t="shared" ca="1" si="8"/>
        <v>0.43567663102448478</v>
      </c>
    </row>
    <row r="48" spans="3:29" x14ac:dyDescent="0.35">
      <c r="C48" t="str">
        <f t="shared" si="0"/>
        <v/>
      </c>
      <c r="I48">
        <f t="shared" ca="1" si="1"/>
        <v>4.9903771334762204E-3</v>
      </c>
      <c r="J48">
        <f t="shared" ca="1" si="2"/>
        <v>7.7328555604532926E-3</v>
      </c>
      <c r="L48">
        <f t="shared" ca="1" si="3"/>
        <v>4.9903771334762204E-3</v>
      </c>
      <c r="M48">
        <f t="shared" ca="1" si="4"/>
        <v>7.7328555604532926E-3</v>
      </c>
      <c r="O48">
        <f t="shared" ca="1" si="5"/>
        <v>-16.151660726451073</v>
      </c>
      <c r="P48">
        <f t="shared" ca="1" si="6"/>
        <v>-0.34175079810934927</v>
      </c>
      <c r="R48">
        <f t="shared" ca="1" si="7"/>
        <v>-21.011604968812055</v>
      </c>
      <c r="S48">
        <f t="shared" ca="1" si="8"/>
        <v>0.44580864569947282</v>
      </c>
    </row>
    <row r="49" spans="3:19" x14ac:dyDescent="0.35">
      <c r="C49" t="str">
        <f t="shared" si="0"/>
        <v/>
      </c>
      <c r="I49">
        <f t="shared" ca="1" si="1"/>
        <v>5.070653270953923E-3</v>
      </c>
      <c r="J49">
        <f t="shared" ca="1" si="2"/>
        <v>7.9086022777363225E-3</v>
      </c>
      <c r="L49">
        <f t="shared" ca="1" si="3"/>
        <v>5.070653270953923E-3</v>
      </c>
      <c r="M49">
        <f t="shared" ca="1" si="4"/>
        <v>7.9086022777363225E-3</v>
      </c>
      <c r="O49">
        <f t="shared" ca="1" si="5"/>
        <v>-15.860600306148845</v>
      </c>
      <c r="P49">
        <f t="shared" ca="1" si="6"/>
        <v>-0.33553714723463385</v>
      </c>
      <c r="R49">
        <f t="shared" ca="1" si="7"/>
        <v>-21.483366948548664</v>
      </c>
      <c r="S49">
        <f t="shared" ca="1" si="8"/>
        <v>0.45594066037446079</v>
      </c>
    </row>
    <row r="50" spans="3:19" x14ac:dyDescent="0.35">
      <c r="C50" t="str">
        <f t="shared" si="0"/>
        <v/>
      </c>
      <c r="I50">
        <f t="shared" ca="1" si="1"/>
        <v>5.1494564517806582E-3</v>
      </c>
      <c r="J50">
        <f t="shared" ca="1" si="2"/>
        <v>8.0843489950193515E-3</v>
      </c>
      <c r="L50">
        <f t="shared" ca="1" si="3"/>
        <v>5.1494564517806582E-3</v>
      </c>
      <c r="M50">
        <f t="shared" ca="1" si="4"/>
        <v>8.0843489950193515E-3</v>
      </c>
      <c r="O50">
        <f t="shared" ca="1" si="5"/>
        <v>-15.569443362203636</v>
      </c>
      <c r="P50">
        <f t="shared" ca="1" si="6"/>
        <v>-0.32932349635991842</v>
      </c>
      <c r="R50">
        <f t="shared" ca="1" si="7"/>
        <v>-21.954872283981846</v>
      </c>
      <c r="S50">
        <f t="shared" ca="1" si="8"/>
        <v>0.46607267504944883</v>
      </c>
    </row>
    <row r="51" spans="3:19" x14ac:dyDescent="0.35">
      <c r="C51" t="str">
        <f t="shared" si="0"/>
        <v/>
      </c>
      <c r="I51">
        <f t="shared" ca="1" si="1"/>
        <v>5.2267866759564251E-3</v>
      </c>
      <c r="J51">
        <f t="shared" ca="1" si="2"/>
        <v>8.2600957123023806E-3</v>
      </c>
      <c r="L51">
        <f t="shared" ca="1" si="3"/>
        <v>5.2267866759564251E-3</v>
      </c>
      <c r="M51">
        <f t="shared" ca="1" si="4"/>
        <v>8.2600957123023806E-3</v>
      </c>
      <c r="O51">
        <f t="shared" ca="1" si="5"/>
        <v>-15.278189894615439</v>
      </c>
      <c r="P51">
        <f t="shared" ca="1" si="6"/>
        <v>-0.32310984548520294</v>
      </c>
      <c r="R51">
        <f t="shared" ca="1" si="7"/>
        <v>-22.426120975111591</v>
      </c>
      <c r="S51">
        <f t="shared" ca="1" si="8"/>
        <v>0.47620468972443686</v>
      </c>
    </row>
    <row r="52" spans="3:19" x14ac:dyDescent="0.35">
      <c r="C52" t="str">
        <f t="shared" si="0"/>
        <v/>
      </c>
      <c r="I52">
        <f t="shared" ca="1" si="1"/>
        <v>5.3026439434812264E-3</v>
      </c>
      <c r="J52">
        <f t="shared" ca="1" si="2"/>
        <v>8.4358424295854113E-3</v>
      </c>
      <c r="L52">
        <f t="shared" ca="1" si="3"/>
        <v>5.3026439434812264E-3</v>
      </c>
      <c r="M52">
        <f t="shared" ca="1" si="4"/>
        <v>8.4358424295854113E-3</v>
      </c>
      <c r="O52">
        <f t="shared" ca="1" si="5"/>
        <v>-14.986839903384263</v>
      </c>
      <c r="P52">
        <f t="shared" ca="1" si="6"/>
        <v>-0.31689619461048751</v>
      </c>
      <c r="R52">
        <f t="shared" ca="1" si="7"/>
        <v>-22.897113021937891</v>
      </c>
      <c r="S52">
        <f t="shared" ca="1" si="8"/>
        <v>0.48633670439942484</v>
      </c>
    </row>
    <row r="53" spans="3:19" x14ac:dyDescent="0.35">
      <c r="C53" t="str">
        <f t="shared" si="0"/>
        <v/>
      </c>
      <c r="I53">
        <f t="shared" ca="1" si="1"/>
        <v>5.3770282543550603E-3</v>
      </c>
      <c r="J53">
        <f t="shared" ca="1" si="2"/>
        <v>8.6115891468684404E-3</v>
      </c>
      <c r="L53">
        <f t="shared" ca="1" si="3"/>
        <v>5.3770282543550603E-3</v>
      </c>
      <c r="M53">
        <f t="shared" ca="1" si="4"/>
        <v>8.6115891468684404E-3</v>
      </c>
      <c r="O53">
        <f t="shared" ca="1" si="5"/>
        <v>-14.695393388510105</v>
      </c>
      <c r="P53">
        <f t="shared" ca="1" si="6"/>
        <v>-0.31068254373577209</v>
      </c>
      <c r="R53">
        <f t="shared" ca="1" si="7"/>
        <v>-23.36784842446076</v>
      </c>
      <c r="S53">
        <f t="shared" ca="1" si="8"/>
        <v>0.49646871907441287</v>
      </c>
    </row>
    <row r="54" spans="3:19" x14ac:dyDescent="0.35">
      <c r="C54" t="str">
        <f t="shared" si="0"/>
        <v/>
      </c>
      <c r="I54">
        <f t="shared" ca="1" si="1"/>
        <v>5.4499396085779276E-3</v>
      </c>
      <c r="J54">
        <f t="shared" ca="1" si="2"/>
        <v>8.7873358641514694E-3</v>
      </c>
      <c r="L54">
        <f t="shared" ca="1" si="3"/>
        <v>5.4499396085779276E-3</v>
      </c>
      <c r="M54">
        <f t="shared" ca="1" si="4"/>
        <v>8.7873358641514694E-3</v>
      </c>
      <c r="O54">
        <f t="shared" ca="1" si="5"/>
        <v>-14.403850349992965</v>
      </c>
      <c r="P54">
        <f t="shared" ca="1" si="6"/>
        <v>-0.30446889286105661</v>
      </c>
      <c r="R54">
        <f t="shared" ca="1" si="7"/>
        <v>-23.838327182680199</v>
      </c>
      <c r="S54">
        <f t="shared" ca="1" si="8"/>
        <v>0.50660073374940084</v>
      </c>
    </row>
    <row r="55" spans="3:19" x14ac:dyDescent="0.35">
      <c r="C55" t="str">
        <f t="shared" si="0"/>
        <v/>
      </c>
      <c r="I55">
        <f t="shared" ca="1" si="1"/>
        <v>5.5213780061498276E-3</v>
      </c>
      <c r="J55">
        <f t="shared" ca="1" si="2"/>
        <v>8.9630825814344985E-3</v>
      </c>
      <c r="L55">
        <f t="shared" ca="1" si="3"/>
        <v>5.5213780061498276E-3</v>
      </c>
      <c r="M55">
        <f t="shared" ca="1" si="4"/>
        <v>8.9630825814344985E-3</v>
      </c>
      <c r="O55">
        <f t="shared" ca="1" si="5"/>
        <v>-14.112210787832844</v>
      </c>
      <c r="P55">
        <f t="shared" ca="1" si="6"/>
        <v>-0.29825524198634118</v>
      </c>
      <c r="R55">
        <f t="shared" ca="1" si="7"/>
        <v>-24.308549296596205</v>
      </c>
      <c r="S55">
        <f t="shared" ca="1" si="8"/>
        <v>0.51673274842438899</v>
      </c>
    </row>
    <row r="56" spans="3:19" x14ac:dyDescent="0.35">
      <c r="C56" t="str">
        <f t="shared" si="0"/>
        <v/>
      </c>
      <c r="I56">
        <f t="shared" ca="1" si="1"/>
        <v>5.591343447070761E-3</v>
      </c>
      <c r="J56">
        <f t="shared" ca="1" si="2"/>
        <v>9.1388292987175292E-3</v>
      </c>
      <c r="L56">
        <f t="shared" ca="1" si="3"/>
        <v>5.591343447070761E-3</v>
      </c>
      <c r="M56">
        <f t="shared" ca="1" si="4"/>
        <v>9.1388292987175292E-3</v>
      </c>
      <c r="O56">
        <f t="shared" ca="1" si="5"/>
        <v>-13.82047470202974</v>
      </c>
      <c r="P56">
        <f t="shared" ca="1" si="6"/>
        <v>-0.29204159111162575</v>
      </c>
      <c r="R56">
        <f t="shared" ca="1" si="7"/>
        <v>-24.778514766208762</v>
      </c>
      <c r="S56">
        <f t="shared" ca="1" si="8"/>
        <v>0.52686476309937691</v>
      </c>
    </row>
    <row r="57" spans="3:19" x14ac:dyDescent="0.35">
      <c r="C57" t="str">
        <f t="shared" si="0"/>
        <v/>
      </c>
      <c r="I57">
        <f t="shared" ca="1" si="1"/>
        <v>5.6598359313407261E-3</v>
      </c>
      <c r="J57">
        <f t="shared" ca="1" si="2"/>
        <v>9.3145760160005583E-3</v>
      </c>
      <c r="L57">
        <f t="shared" ca="1" si="3"/>
        <v>5.6598359313407261E-3</v>
      </c>
      <c r="M57">
        <f t="shared" ca="1" si="4"/>
        <v>9.3145760160005583E-3</v>
      </c>
      <c r="O57">
        <f t="shared" ca="1" si="5"/>
        <v>-13.528642092583654</v>
      </c>
      <c r="P57">
        <f t="shared" ca="1" si="6"/>
        <v>-0.28582794023691027</v>
      </c>
      <c r="R57">
        <f t="shared" ca="1" si="7"/>
        <v>-25.248223591517895</v>
      </c>
      <c r="S57">
        <f t="shared" ca="1" si="8"/>
        <v>0.53699677777436494</v>
      </c>
    </row>
    <row r="58" spans="3:19" x14ac:dyDescent="0.35">
      <c r="C58" t="str">
        <f t="shared" si="0"/>
        <v/>
      </c>
      <c r="I58">
        <f t="shared" ca="1" si="1"/>
        <v>5.7268554589597247E-3</v>
      </c>
      <c r="J58">
        <f t="shared" ca="1" si="2"/>
        <v>9.4903227332835873E-3</v>
      </c>
      <c r="L58">
        <f t="shared" ca="1" si="3"/>
        <v>5.7268554589597247E-3</v>
      </c>
      <c r="M58">
        <f t="shared" ca="1" si="4"/>
        <v>9.4903227332835873E-3</v>
      </c>
      <c r="O58">
        <f t="shared" ca="1" si="5"/>
        <v>-13.236712959494586</v>
      </c>
      <c r="P58">
        <f t="shared" ca="1" si="6"/>
        <v>-0.2796142893621949</v>
      </c>
      <c r="R58">
        <f t="shared" ca="1" si="7"/>
        <v>-25.717675772523588</v>
      </c>
      <c r="S58">
        <f t="shared" ca="1" si="8"/>
        <v>0.54712879244935297</v>
      </c>
    </row>
    <row r="59" spans="3:19" x14ac:dyDescent="0.35">
      <c r="C59" t="str">
        <f t="shared" si="0"/>
        <v/>
      </c>
      <c r="I59">
        <f t="shared" ca="1" si="1"/>
        <v>5.7924020299277568E-3</v>
      </c>
      <c r="J59">
        <f t="shared" ca="1" si="2"/>
        <v>9.6660694505666164E-3</v>
      </c>
      <c r="L59">
        <f t="shared" ca="1" si="3"/>
        <v>5.7924020299277568E-3</v>
      </c>
      <c r="M59">
        <f t="shared" ca="1" si="4"/>
        <v>9.6660694505666164E-3</v>
      </c>
      <c r="O59">
        <f t="shared" ca="1" si="5"/>
        <v>-12.944687302762535</v>
      </c>
      <c r="P59">
        <f t="shared" ca="1" si="6"/>
        <v>-0.27340063848747942</v>
      </c>
      <c r="R59">
        <f t="shared" ca="1" si="7"/>
        <v>-26.18687130922585</v>
      </c>
      <c r="S59">
        <f t="shared" ca="1" si="8"/>
        <v>0.55726080712434101</v>
      </c>
    </row>
    <row r="60" spans="3:19" x14ac:dyDescent="0.35">
      <c r="C60" t="str">
        <f t="shared" si="0"/>
        <v/>
      </c>
      <c r="I60">
        <f t="shared" ca="1" si="1"/>
        <v>5.8564756442448214E-3</v>
      </c>
      <c r="J60">
        <f t="shared" ca="1" si="2"/>
        <v>9.8418161678496454E-3</v>
      </c>
      <c r="L60">
        <f t="shared" ca="1" si="3"/>
        <v>5.8564756442448214E-3</v>
      </c>
      <c r="M60">
        <f t="shared" ca="1" si="4"/>
        <v>9.8418161678496454E-3</v>
      </c>
      <c r="O60">
        <f t="shared" ca="1" si="5"/>
        <v>-12.652565122387502</v>
      </c>
      <c r="P60">
        <f t="shared" ca="1" si="6"/>
        <v>-0.26718698761276399</v>
      </c>
      <c r="R60">
        <f t="shared" ca="1" si="7"/>
        <v>-26.655810201624668</v>
      </c>
      <c r="S60">
        <f t="shared" ca="1" si="8"/>
        <v>0.56739282179932893</v>
      </c>
    </row>
    <row r="61" spans="3:19" x14ac:dyDescent="0.35">
      <c r="C61" t="str">
        <f t="shared" si="0"/>
        <v/>
      </c>
      <c r="I61">
        <f t="shared" ca="1" si="1"/>
        <v>5.9190763019109187E-3</v>
      </c>
      <c r="J61">
        <f t="shared" ca="1" si="2"/>
        <v>1.0017562885132674E-2</v>
      </c>
      <c r="L61">
        <f t="shared" ca="1" si="3"/>
        <v>5.9190763019109187E-3</v>
      </c>
      <c r="M61">
        <f t="shared" ca="1" si="4"/>
        <v>1.0017562885132674E-2</v>
      </c>
      <c r="O61">
        <f t="shared" ca="1" si="5"/>
        <v>-12.360346418369485</v>
      </c>
      <c r="P61">
        <f t="shared" ca="1" si="6"/>
        <v>-0.26097333673804851</v>
      </c>
      <c r="R61">
        <f t="shared" ca="1" si="7"/>
        <v>-27.124492449720062</v>
      </c>
      <c r="S61">
        <f t="shared" ca="1" si="8"/>
        <v>0.57752483647431707</v>
      </c>
    </row>
    <row r="62" spans="3:19" x14ac:dyDescent="0.35">
      <c r="C62" t="str">
        <f t="shared" si="0"/>
        <v/>
      </c>
      <c r="I62">
        <f t="shared" ca="1" si="1"/>
        <v>5.9802040029260494E-3</v>
      </c>
      <c r="J62">
        <f t="shared" ca="1" si="2"/>
        <v>1.0193309602415703E-2</v>
      </c>
      <c r="L62">
        <f t="shared" ca="1" si="3"/>
        <v>5.9802040029260494E-3</v>
      </c>
      <c r="M62">
        <f t="shared" ca="1" si="4"/>
        <v>1.0193309602415703E-2</v>
      </c>
      <c r="O62">
        <f t="shared" ca="1" si="5"/>
        <v>-12.068031190708489</v>
      </c>
      <c r="P62">
        <f t="shared" ca="1" si="6"/>
        <v>-0.25475968586333309</v>
      </c>
      <c r="R62">
        <f t="shared" ca="1" si="7"/>
        <v>-27.592918053512012</v>
      </c>
      <c r="S62">
        <f t="shared" ca="1" si="8"/>
        <v>0.5876568511493051</v>
      </c>
    </row>
    <row r="63" spans="3:19" x14ac:dyDescent="0.35">
      <c r="C63" t="str">
        <f t="shared" si="0"/>
        <v/>
      </c>
      <c r="I63">
        <f t="shared" ca="1" si="1"/>
        <v>6.0398587472902136E-3</v>
      </c>
      <c r="J63">
        <f t="shared" ca="1" si="2"/>
        <v>1.0369056319698734E-2</v>
      </c>
      <c r="L63">
        <f t="shared" ca="1" si="3"/>
        <v>6.0398587472902136E-3</v>
      </c>
      <c r="M63">
        <f t="shared" ca="1" si="4"/>
        <v>1.0369056319698734E-2</v>
      </c>
      <c r="O63">
        <f t="shared" ca="1" si="5"/>
        <v>-11.775619439404508</v>
      </c>
      <c r="P63">
        <f t="shared" ca="1" si="6"/>
        <v>-0.2485460349886176</v>
      </c>
      <c r="R63">
        <f t="shared" ca="1" si="7"/>
        <v>-28.061087013000524</v>
      </c>
      <c r="S63">
        <f t="shared" ca="1" si="8"/>
        <v>0.59778886582429303</v>
      </c>
    </row>
    <row r="64" spans="3:19" x14ac:dyDescent="0.35">
      <c r="C64" t="str">
        <f t="shared" si="0"/>
        <v/>
      </c>
      <c r="I64">
        <f t="shared" ca="1" si="1"/>
        <v>6.0980405350034104E-3</v>
      </c>
      <c r="J64">
        <f t="shared" ca="1" si="2"/>
        <v>1.0544803036981763E-2</v>
      </c>
      <c r="L64">
        <f t="shared" ca="1" si="3"/>
        <v>6.0980405350034104E-3</v>
      </c>
      <c r="M64">
        <f t="shared" ca="1" si="4"/>
        <v>1.0544803036981763E-2</v>
      </c>
      <c r="O64">
        <f t="shared" ca="1" si="5"/>
        <v>-11.483111164457549</v>
      </c>
      <c r="P64">
        <f t="shared" ca="1" si="6"/>
        <v>-0.24233238411390223</v>
      </c>
      <c r="R64">
        <f t="shared" ca="1" si="7"/>
        <v>-28.528999328185613</v>
      </c>
      <c r="S64">
        <f t="shared" ca="1" si="8"/>
        <v>0.60792088049928106</v>
      </c>
    </row>
    <row r="65" spans="3:19" x14ac:dyDescent="0.35">
      <c r="C65" t="str">
        <f t="shared" si="0"/>
        <v/>
      </c>
      <c r="I65">
        <f t="shared" ca="1" si="1"/>
        <v>6.1547493660656406E-3</v>
      </c>
      <c r="J65">
        <f t="shared" ca="1" si="2"/>
        <v>1.0720549754264794E-2</v>
      </c>
      <c r="L65">
        <f t="shared" ca="1" si="3"/>
        <v>6.1547493660656406E-3</v>
      </c>
      <c r="M65">
        <f t="shared" ca="1" si="4"/>
        <v>1.0720549754264794E-2</v>
      </c>
      <c r="O65">
        <f t="shared" ca="1" si="5"/>
        <v>-11.190506365867606</v>
      </c>
      <c r="P65">
        <f t="shared" ca="1" si="6"/>
        <v>-0.23611873323918675</v>
      </c>
      <c r="R65">
        <f t="shared" ca="1" si="7"/>
        <v>-28.996654999067257</v>
      </c>
      <c r="S65">
        <f t="shared" ca="1" si="8"/>
        <v>0.61805289517426909</v>
      </c>
    </row>
    <row r="66" spans="3:19" x14ac:dyDescent="0.35">
      <c r="C66" t="str">
        <f t="shared" si="0"/>
        <v/>
      </c>
      <c r="I66">
        <f t="shared" ca="1" si="1"/>
        <v>6.2099852404769035E-3</v>
      </c>
      <c r="J66">
        <f t="shared" ca="1" si="2"/>
        <v>1.0896296471547821E-2</v>
      </c>
      <c r="L66">
        <f t="shared" ca="1" si="3"/>
        <v>6.2099852404769035E-3</v>
      </c>
      <c r="M66">
        <f t="shared" ca="1" si="4"/>
        <v>1.0896296471547821E-2</v>
      </c>
      <c r="O66">
        <f t="shared" ca="1" si="5"/>
        <v>-10.89780504363468</v>
      </c>
      <c r="P66">
        <f t="shared" ca="1" si="6"/>
        <v>-0.22990508236447132</v>
      </c>
      <c r="R66">
        <f t="shared" ca="1" si="7"/>
        <v>-29.464054025645471</v>
      </c>
      <c r="S66">
        <f t="shared" ca="1" si="8"/>
        <v>0.62818490984925712</v>
      </c>
    </row>
    <row r="67" spans="3:19" x14ac:dyDescent="0.35">
      <c r="C67" t="str">
        <f t="shared" si="0"/>
        <v/>
      </c>
      <c r="I67">
        <f t="shared" ca="1" si="1"/>
        <v>6.2637481582371989E-3</v>
      </c>
      <c r="J67">
        <f t="shared" ca="1" si="2"/>
        <v>1.1072043188830852E-2</v>
      </c>
      <c r="L67">
        <f t="shared" ca="1" si="3"/>
        <v>6.2637481582371989E-3</v>
      </c>
      <c r="M67">
        <f t="shared" ca="1" si="4"/>
        <v>1.1072043188830852E-2</v>
      </c>
      <c r="O67">
        <f t="shared" ca="1" si="5"/>
        <v>-10.605007197758772</v>
      </c>
      <c r="P67">
        <f t="shared" ca="1" si="6"/>
        <v>-0.22369143148975584</v>
      </c>
      <c r="R67">
        <f t="shared" ca="1" si="7"/>
        <v>-29.931196407920243</v>
      </c>
      <c r="S67">
        <f t="shared" ca="1" si="8"/>
        <v>0.63831692452424516</v>
      </c>
    </row>
    <row r="68" spans="3:19" x14ac:dyDescent="0.35">
      <c r="C68" t="str">
        <f t="shared" si="0"/>
        <v/>
      </c>
      <c r="I68">
        <f t="shared" ca="1" si="1"/>
        <v>6.3160381193465278E-3</v>
      </c>
      <c r="J68">
        <f t="shared" ca="1" si="2"/>
        <v>1.1247789906113881E-2</v>
      </c>
      <c r="L68">
        <f t="shared" ca="1" si="3"/>
        <v>6.3160381193465278E-3</v>
      </c>
      <c r="M68">
        <f t="shared" ca="1" si="4"/>
        <v>1.1247789906113881E-2</v>
      </c>
      <c r="O68">
        <f t="shared" ca="1" si="5"/>
        <v>-10.312112828239885</v>
      </c>
      <c r="P68">
        <f t="shared" ca="1" si="6"/>
        <v>-0.21747778061504047</v>
      </c>
      <c r="R68">
        <f t="shared" ca="1" si="7"/>
        <v>-30.398082145891582</v>
      </c>
      <c r="S68">
        <f t="shared" ca="1" si="8"/>
        <v>0.64844893919923319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6.3668551238048893E-3</v>
      </c>
      <c r="J69">
        <f t="shared" ref="J69:J103" ca="1" si="11">$G$9 + ($G$6 - $G$9) * (ROW(B66)-1)/99</f>
        <v>1.142353662339691E-2</v>
      </c>
      <c r="L69">
        <f t="shared" ref="L69:L103" ca="1" si="12">$G$17 * (M69 - $G$6)^2 + $G$5</f>
        <v>6.3668551238048893E-3</v>
      </c>
      <c r="M69">
        <f t="shared" ref="M69:M103" ca="1" si="13">$G$13 + ($G$6 - $G$13) * (ROW(F66)-1)/99</f>
        <v>1.142353662339691E-2</v>
      </c>
      <c r="O69">
        <f t="shared" ref="O69:O103" ca="1" si="14">$G$10 + $G$19 * ($G$23 * (P69 - $G$9))^2 + $G$21 * (1 - (P69 - $G$6)/($G$9 - $G$6))</f>
        <v>-10.019121935078013</v>
      </c>
      <c r="P69">
        <f t="shared" ref="P69:P103" ca="1" si="15">$G$26 + ($G$9 - $G$26) * (ROW(B66)-1)/99</f>
        <v>-0.21126412974032505</v>
      </c>
      <c r="R69">
        <f t="shared" ref="R69:R103" ca="1" si="16">$G$14 + $G$19 * ($G$23 * (S69 - $G$13))^2 - $G$22 * (1 - (S69 - $G$6)/($G$13 - $G$6))</f>
        <v>-30.864711239559483</v>
      </c>
      <c r="S69">
        <f t="shared" ref="S69:S103" ca="1" si="17">$G$13 + ($G$25 - $G$13) * (ROW(B66)-1)/99</f>
        <v>0.65858095387422111</v>
      </c>
    </row>
    <row r="70" spans="3:19" x14ac:dyDescent="0.35">
      <c r="C70" t="str">
        <f t="shared" si="9"/>
        <v/>
      </c>
      <c r="I70">
        <f t="shared" ca="1" si="10"/>
        <v>6.4161991716122843E-3</v>
      </c>
      <c r="J70">
        <f t="shared" ca="1" si="11"/>
        <v>1.1599283340679939E-2</v>
      </c>
      <c r="L70">
        <f t="shared" ca="1" si="12"/>
        <v>6.4161991716122843E-3</v>
      </c>
      <c r="M70">
        <f t="shared" ca="1" si="13"/>
        <v>1.1599283340679939E-2</v>
      </c>
      <c r="O70">
        <f t="shared" ca="1" si="14"/>
        <v>-9.726034518273158</v>
      </c>
      <c r="P70">
        <f t="shared" ca="1" si="15"/>
        <v>-0.20505047886560956</v>
      </c>
      <c r="R70">
        <f t="shared" ca="1" si="16"/>
        <v>-31.331083688923957</v>
      </c>
      <c r="S70">
        <f t="shared" ca="1" si="17"/>
        <v>0.66871296854920925</v>
      </c>
    </row>
    <row r="71" spans="3:19" x14ac:dyDescent="0.35">
      <c r="C71" t="str">
        <f t="shared" si="9"/>
        <v/>
      </c>
      <c r="I71">
        <f t="shared" ca="1" si="10"/>
        <v>6.4640702627687119E-3</v>
      </c>
      <c r="J71">
        <f t="shared" ca="1" si="11"/>
        <v>1.1775030057962968E-2</v>
      </c>
      <c r="L71">
        <f t="shared" ca="1" si="12"/>
        <v>6.4640702627687119E-3</v>
      </c>
      <c r="M71">
        <f t="shared" ca="1" si="13"/>
        <v>1.1775030057962968E-2</v>
      </c>
      <c r="O71">
        <f t="shared" ca="1" si="14"/>
        <v>-9.432850577825322</v>
      </c>
      <c r="P71">
        <f t="shared" ca="1" si="15"/>
        <v>-0.19883682799089414</v>
      </c>
      <c r="R71">
        <f t="shared" ca="1" si="16"/>
        <v>-31.797199493984991</v>
      </c>
      <c r="S71">
        <f t="shared" ca="1" si="17"/>
        <v>0.67884498322419717</v>
      </c>
    </row>
    <row r="72" spans="3:19" x14ac:dyDescent="0.35">
      <c r="C72" t="str">
        <f t="shared" si="9"/>
        <v/>
      </c>
      <c r="I72">
        <f t="shared" ca="1" si="10"/>
        <v>6.5104683972741729E-3</v>
      </c>
      <c r="J72">
        <f t="shared" ca="1" si="11"/>
        <v>1.1950776775245999E-2</v>
      </c>
      <c r="L72">
        <f t="shared" ca="1" si="12"/>
        <v>6.5104683972741729E-3</v>
      </c>
      <c r="M72">
        <f t="shared" ca="1" si="13"/>
        <v>1.1950776775245999E-2</v>
      </c>
      <c r="O72">
        <f t="shared" ca="1" si="14"/>
        <v>-9.1395701137345018</v>
      </c>
      <c r="P72">
        <f t="shared" ca="1" si="15"/>
        <v>-0.19262317711617866</v>
      </c>
      <c r="R72">
        <f t="shared" ca="1" si="16"/>
        <v>-32.263058654742586</v>
      </c>
      <c r="S72">
        <f t="shared" ca="1" si="17"/>
        <v>0.68897699789918521</v>
      </c>
    </row>
    <row r="73" spans="3:19" x14ac:dyDescent="0.35">
      <c r="C73" t="str">
        <f t="shared" si="9"/>
        <v/>
      </c>
      <c r="I73">
        <f t="shared" ca="1" si="10"/>
        <v>6.5553935751286666E-3</v>
      </c>
      <c r="J73">
        <f t="shared" ca="1" si="11"/>
        <v>1.2126523492529026E-2</v>
      </c>
      <c r="L73">
        <f t="shared" ca="1" si="12"/>
        <v>6.5553935751286666E-3</v>
      </c>
      <c r="M73">
        <f t="shared" ca="1" si="13"/>
        <v>1.2126523492529026E-2</v>
      </c>
      <c r="O73">
        <f t="shared" ca="1" si="14"/>
        <v>-8.8461931260007063</v>
      </c>
      <c r="P73">
        <f t="shared" ca="1" si="15"/>
        <v>-0.18640952624146329</v>
      </c>
      <c r="R73">
        <f t="shared" ca="1" si="16"/>
        <v>-32.728661171196748</v>
      </c>
      <c r="S73">
        <f t="shared" ca="1" si="17"/>
        <v>0.69910901257417324</v>
      </c>
    </row>
    <row r="74" spans="3:19" x14ac:dyDescent="0.35">
      <c r="C74" t="str">
        <f t="shared" si="9"/>
        <v/>
      </c>
      <c r="I74">
        <f t="shared" ca="1" si="10"/>
        <v>6.5988457963321936E-3</v>
      </c>
      <c r="J74">
        <f t="shared" ca="1" si="11"/>
        <v>1.2302270209812057E-2</v>
      </c>
      <c r="L74">
        <f t="shared" ca="1" si="12"/>
        <v>6.5988457963321936E-3</v>
      </c>
      <c r="M74">
        <f t="shared" ca="1" si="13"/>
        <v>1.2302270209812057E-2</v>
      </c>
      <c r="O74">
        <f t="shared" ca="1" si="14"/>
        <v>-8.5527196146239213</v>
      </c>
      <c r="P74">
        <f t="shared" ca="1" si="15"/>
        <v>-0.1801958753667478</v>
      </c>
      <c r="R74">
        <f t="shared" ca="1" si="16"/>
        <v>-33.194007043347476</v>
      </c>
      <c r="S74">
        <f t="shared" ca="1" si="17"/>
        <v>0.70924102724916127</v>
      </c>
    </row>
    <row r="75" spans="3:19" x14ac:dyDescent="0.35">
      <c r="C75" t="str">
        <f t="shared" si="9"/>
        <v/>
      </c>
      <c r="I75">
        <f t="shared" ca="1" si="10"/>
        <v>6.6408250608847525E-3</v>
      </c>
      <c r="J75">
        <f t="shared" ca="1" si="11"/>
        <v>1.2478016927095086E-2</v>
      </c>
      <c r="L75">
        <f t="shared" ca="1" si="12"/>
        <v>6.6408250608847525E-3</v>
      </c>
      <c r="M75">
        <f t="shared" ca="1" si="13"/>
        <v>1.2478016927095086E-2</v>
      </c>
      <c r="O75">
        <f t="shared" ca="1" si="14"/>
        <v>-8.2591495796041556</v>
      </c>
      <c r="P75">
        <f t="shared" ca="1" si="15"/>
        <v>-0.17398222449203238</v>
      </c>
      <c r="R75">
        <f t="shared" ca="1" si="16"/>
        <v>-33.659096271194777</v>
      </c>
      <c r="S75">
        <f t="shared" ca="1" si="17"/>
        <v>0.7193730419241493</v>
      </c>
    </row>
    <row r="76" spans="3:19" x14ac:dyDescent="0.35">
      <c r="C76" t="str">
        <f t="shared" si="9"/>
        <v/>
      </c>
      <c r="I76">
        <f t="shared" ca="1" si="10"/>
        <v>6.6813313687863456E-3</v>
      </c>
      <c r="J76">
        <f t="shared" ca="1" si="11"/>
        <v>1.2653763644378117E-2</v>
      </c>
      <c r="L76">
        <f t="shared" ca="1" si="12"/>
        <v>6.6813313687863456E-3</v>
      </c>
      <c r="M76">
        <f t="shared" ca="1" si="13"/>
        <v>1.2653763644378117E-2</v>
      </c>
      <c r="O76">
        <f t="shared" ca="1" si="14"/>
        <v>-7.9654830209414076</v>
      </c>
      <c r="P76">
        <f t="shared" ca="1" si="15"/>
        <v>-0.1677685736173169</v>
      </c>
      <c r="R76">
        <f t="shared" ca="1" si="16"/>
        <v>-34.123928854738629</v>
      </c>
      <c r="S76">
        <f t="shared" ca="1" si="17"/>
        <v>0.72950505659913734</v>
      </c>
    </row>
    <row r="77" spans="3:19" x14ac:dyDescent="0.35">
      <c r="C77" t="str">
        <f t="shared" si="9"/>
        <v/>
      </c>
      <c r="I77">
        <f t="shared" ca="1" si="10"/>
        <v>6.7203647200369714E-3</v>
      </c>
      <c r="J77">
        <f t="shared" ca="1" si="11"/>
        <v>1.2829510361661144E-2</v>
      </c>
      <c r="L77">
        <f t="shared" ca="1" si="12"/>
        <v>6.7203647200369714E-3</v>
      </c>
      <c r="M77">
        <f t="shared" ca="1" si="13"/>
        <v>1.2829510361661144E-2</v>
      </c>
      <c r="O77">
        <f t="shared" ca="1" si="14"/>
        <v>-7.6717199386356798</v>
      </c>
      <c r="P77">
        <f t="shared" ca="1" si="15"/>
        <v>-0.16155492274260147</v>
      </c>
      <c r="R77">
        <f t="shared" ca="1" si="16"/>
        <v>-34.588504793979048</v>
      </c>
      <c r="S77">
        <f t="shared" ca="1" si="17"/>
        <v>0.73963707127412526</v>
      </c>
    </row>
    <row r="78" spans="3:19" x14ac:dyDescent="0.35">
      <c r="C78" t="str">
        <f t="shared" si="9"/>
        <v/>
      </c>
      <c r="I78">
        <f t="shared" ca="1" si="10"/>
        <v>6.7579251146366297E-3</v>
      </c>
      <c r="J78">
        <f t="shared" ca="1" si="11"/>
        <v>1.3005257078944175E-2</v>
      </c>
      <c r="L78">
        <f t="shared" ca="1" si="12"/>
        <v>6.7579251146366297E-3</v>
      </c>
      <c r="M78">
        <f t="shared" ca="1" si="13"/>
        <v>1.3005257078944175E-2</v>
      </c>
      <c r="O78">
        <f t="shared" ca="1" si="14"/>
        <v>-7.3778603326869678</v>
      </c>
      <c r="P78">
        <f t="shared" ca="1" si="15"/>
        <v>-0.15534127186788599</v>
      </c>
      <c r="R78">
        <f t="shared" ca="1" si="16"/>
        <v>-35.05282408891604</v>
      </c>
      <c r="S78">
        <f t="shared" ca="1" si="17"/>
        <v>0.7497690859491134</v>
      </c>
    </row>
    <row r="79" spans="3:19" x14ac:dyDescent="0.35">
      <c r="C79" t="str">
        <f t="shared" si="9"/>
        <v/>
      </c>
      <c r="I79">
        <f t="shared" ca="1" si="10"/>
        <v>6.7940125525853216E-3</v>
      </c>
      <c r="J79">
        <f t="shared" ca="1" si="11"/>
        <v>1.3181003796227204E-2</v>
      </c>
      <c r="L79">
        <f t="shared" ca="1" si="12"/>
        <v>6.7940125525853216E-3</v>
      </c>
      <c r="M79">
        <f t="shared" ca="1" si="13"/>
        <v>1.3181003796227204E-2</v>
      </c>
      <c r="O79">
        <f t="shared" ca="1" si="14"/>
        <v>-7.083904203095277</v>
      </c>
      <c r="P79">
        <f t="shared" ca="1" si="15"/>
        <v>-0.14912762099317062</v>
      </c>
      <c r="R79">
        <f t="shared" ca="1" si="16"/>
        <v>-35.516886739549584</v>
      </c>
      <c r="S79">
        <f t="shared" ca="1" si="17"/>
        <v>0.75990110062410132</v>
      </c>
    </row>
    <row r="80" spans="3:19" x14ac:dyDescent="0.35">
      <c r="C80" t="str">
        <f t="shared" si="9"/>
        <v/>
      </c>
      <c r="I80">
        <f t="shared" ca="1" si="10"/>
        <v>6.8286270338830468E-3</v>
      </c>
      <c r="J80">
        <f t="shared" ca="1" si="11"/>
        <v>1.3356750513510235E-2</v>
      </c>
      <c r="L80">
        <f t="shared" ca="1" si="12"/>
        <v>6.8286270338830468E-3</v>
      </c>
      <c r="M80">
        <f t="shared" ca="1" si="13"/>
        <v>1.3356750513510235E-2</v>
      </c>
      <c r="O80">
        <f t="shared" ca="1" si="14"/>
        <v>-6.7898515498606002</v>
      </c>
      <c r="P80">
        <f t="shared" ca="1" si="15"/>
        <v>-0.14291397011845514</v>
      </c>
      <c r="R80">
        <f t="shared" ca="1" si="16"/>
        <v>-35.980692745879693</v>
      </c>
      <c r="S80">
        <f t="shared" ca="1" si="17"/>
        <v>0.77003311529908935</v>
      </c>
    </row>
    <row r="81" spans="3:19" x14ac:dyDescent="0.35">
      <c r="C81" t="str">
        <f t="shared" si="9"/>
        <v/>
      </c>
      <c r="I81">
        <f t="shared" ca="1" si="10"/>
        <v>6.8617685585298039E-3</v>
      </c>
      <c r="J81">
        <f t="shared" ca="1" si="11"/>
        <v>1.3532497230793262E-2</v>
      </c>
      <c r="L81">
        <f t="shared" ca="1" si="12"/>
        <v>6.8617685585298039E-3</v>
      </c>
      <c r="M81">
        <f t="shared" ca="1" si="13"/>
        <v>1.3532497230793262E-2</v>
      </c>
      <c r="O81">
        <f t="shared" ca="1" si="14"/>
        <v>-6.4957023729829428</v>
      </c>
      <c r="P81">
        <f t="shared" ca="1" si="15"/>
        <v>-0.13670031924373971</v>
      </c>
      <c r="R81">
        <f t="shared" ca="1" si="16"/>
        <v>-36.444242107906376</v>
      </c>
      <c r="S81">
        <f t="shared" ca="1" si="17"/>
        <v>0.78016512997407739</v>
      </c>
    </row>
    <row r="82" spans="3:19" x14ac:dyDescent="0.35">
      <c r="C82" t="str">
        <f t="shared" si="9"/>
        <v/>
      </c>
      <c r="I82">
        <f t="shared" ca="1" si="10"/>
        <v>6.8934371265255943E-3</v>
      </c>
      <c r="J82">
        <f t="shared" ca="1" si="11"/>
        <v>1.3708243948076293E-2</v>
      </c>
      <c r="L82">
        <f t="shared" ca="1" si="12"/>
        <v>6.8934371265255943E-3</v>
      </c>
      <c r="M82">
        <f t="shared" ca="1" si="13"/>
        <v>1.3708243948076293E-2</v>
      </c>
      <c r="O82">
        <f t="shared" ca="1" si="14"/>
        <v>-6.2014566724623013</v>
      </c>
      <c r="P82">
        <f t="shared" ca="1" si="15"/>
        <v>-0.13048666836902423</v>
      </c>
      <c r="R82">
        <f t="shared" ca="1" si="16"/>
        <v>-36.907534825629625</v>
      </c>
      <c r="S82">
        <f t="shared" ca="1" si="17"/>
        <v>0.79029714464906542</v>
      </c>
    </row>
    <row r="83" spans="3:19" x14ac:dyDescent="0.35">
      <c r="C83" t="str">
        <f t="shared" si="9"/>
        <v/>
      </c>
      <c r="I83">
        <f t="shared" ca="1" si="10"/>
        <v>6.9236327378704183E-3</v>
      </c>
      <c r="J83">
        <f t="shared" ca="1" si="11"/>
        <v>1.3883990665359322E-2</v>
      </c>
      <c r="L83">
        <f t="shared" ca="1" si="12"/>
        <v>6.9236327378704183E-3</v>
      </c>
      <c r="M83">
        <f t="shared" ca="1" si="13"/>
        <v>1.3883990665359322E-2</v>
      </c>
      <c r="O83">
        <f t="shared" ca="1" si="14"/>
        <v>-5.9071144482986808</v>
      </c>
      <c r="P83">
        <f t="shared" ca="1" si="15"/>
        <v>-0.1242730174943088</v>
      </c>
      <c r="R83">
        <f t="shared" ca="1" si="16"/>
        <v>-37.370570899049426</v>
      </c>
      <c r="S83">
        <f t="shared" ca="1" si="17"/>
        <v>0.80042915932405334</v>
      </c>
    </row>
    <row r="84" spans="3:19" x14ac:dyDescent="0.35">
      <c r="C84" t="str">
        <f t="shared" si="9"/>
        <v/>
      </c>
      <c r="I84">
        <f t="shared" ca="1" si="10"/>
        <v>6.9523553925642748E-3</v>
      </c>
      <c r="J84">
        <f t="shared" ca="1" si="11"/>
        <v>1.4059737382642353E-2</v>
      </c>
      <c r="L84">
        <f t="shared" ca="1" si="12"/>
        <v>6.9523553925642748E-3</v>
      </c>
      <c r="M84">
        <f t="shared" ca="1" si="13"/>
        <v>1.4059737382642353E-2</v>
      </c>
      <c r="O84">
        <f t="shared" ca="1" si="14"/>
        <v>-5.6126757004920771</v>
      </c>
      <c r="P84">
        <f t="shared" ca="1" si="15"/>
        <v>-0.11805936661959338</v>
      </c>
      <c r="R84">
        <f t="shared" ca="1" si="16"/>
        <v>-37.833350328165807</v>
      </c>
      <c r="S84">
        <f t="shared" ca="1" si="17"/>
        <v>0.81056117399904148</v>
      </c>
    </row>
    <row r="85" spans="3:19" x14ac:dyDescent="0.35">
      <c r="C85" t="str">
        <f t="shared" si="9"/>
        <v/>
      </c>
      <c r="I85">
        <f t="shared" ca="1" si="10"/>
        <v>6.9796050906071648E-3</v>
      </c>
      <c r="J85">
        <f t="shared" ca="1" si="11"/>
        <v>1.423548409992538E-2</v>
      </c>
      <c r="L85">
        <f t="shared" ca="1" si="12"/>
        <v>6.9796050906071648E-3</v>
      </c>
      <c r="M85">
        <f t="shared" ca="1" si="13"/>
        <v>1.423548409992538E-2</v>
      </c>
      <c r="O85">
        <f t="shared" ca="1" si="14"/>
        <v>-5.3181404290424892</v>
      </c>
      <c r="P85">
        <f t="shared" ca="1" si="15"/>
        <v>-0.11184571574487789</v>
      </c>
      <c r="R85">
        <f t="shared" ca="1" si="16"/>
        <v>-38.29587311297874</v>
      </c>
      <c r="S85">
        <f t="shared" ca="1" si="17"/>
        <v>0.82069318867402941</v>
      </c>
    </row>
    <row r="86" spans="3:19" x14ac:dyDescent="0.35">
      <c r="C86" t="str">
        <f t="shared" si="9"/>
        <v/>
      </c>
      <c r="I86">
        <f t="shared" ca="1" si="10"/>
        <v>7.0053818319990874E-3</v>
      </c>
      <c r="J86">
        <f t="shared" ca="1" si="11"/>
        <v>1.4411230817208409E-2</v>
      </c>
      <c r="L86">
        <f t="shared" ca="1" si="12"/>
        <v>7.0053818319990874E-3</v>
      </c>
      <c r="M86">
        <f t="shared" ca="1" si="13"/>
        <v>1.4411230817208409E-2</v>
      </c>
      <c r="O86">
        <f t="shared" ca="1" si="14"/>
        <v>-5.0235086339499251</v>
      </c>
      <c r="P86">
        <f t="shared" ca="1" si="15"/>
        <v>-0.10563206487016252</v>
      </c>
      <c r="R86">
        <f t="shared" ca="1" si="16"/>
        <v>-38.758139253488245</v>
      </c>
      <c r="S86">
        <f t="shared" ca="1" si="17"/>
        <v>0.83082520334901744</v>
      </c>
    </row>
    <row r="87" spans="3:19" x14ac:dyDescent="0.35">
      <c r="C87" t="str">
        <f t="shared" si="9"/>
        <v/>
      </c>
      <c r="I87">
        <f t="shared" ca="1" si="10"/>
        <v>7.0296856167400426E-3</v>
      </c>
      <c r="J87">
        <f t="shared" ca="1" si="11"/>
        <v>1.458697753449144E-2</v>
      </c>
      <c r="L87">
        <f t="shared" ca="1" si="12"/>
        <v>7.0296856167400426E-3</v>
      </c>
      <c r="M87">
        <f t="shared" ca="1" si="13"/>
        <v>1.458697753449144E-2</v>
      </c>
      <c r="O87">
        <f t="shared" ca="1" si="14"/>
        <v>-4.7287803152143724</v>
      </c>
      <c r="P87">
        <f t="shared" ca="1" si="15"/>
        <v>-9.9418413995447041E-2</v>
      </c>
      <c r="R87">
        <f t="shared" ca="1" si="16"/>
        <v>-39.22014874969431</v>
      </c>
      <c r="S87">
        <f t="shared" ca="1" si="17"/>
        <v>0.84095721802400547</v>
      </c>
    </row>
    <row r="88" spans="3:19" x14ac:dyDescent="0.35">
      <c r="C88" t="str">
        <f t="shared" si="9"/>
        <v/>
      </c>
      <c r="I88">
        <f t="shared" ca="1" si="10"/>
        <v>7.0525164448300313E-3</v>
      </c>
      <c r="J88">
        <f t="shared" ca="1" si="11"/>
        <v>1.4762724251774467E-2</v>
      </c>
      <c r="L88">
        <f t="shared" ca="1" si="12"/>
        <v>7.0525164448300313E-3</v>
      </c>
      <c r="M88">
        <f t="shared" ca="1" si="13"/>
        <v>1.4762724251774467E-2</v>
      </c>
      <c r="O88">
        <f t="shared" ca="1" si="14"/>
        <v>-4.4339554728358435</v>
      </c>
      <c r="P88">
        <f t="shared" ca="1" si="15"/>
        <v>-9.3204763120731671E-2</v>
      </c>
      <c r="R88">
        <f t="shared" ca="1" si="16"/>
        <v>-39.681901601596941</v>
      </c>
      <c r="S88">
        <f t="shared" ca="1" si="17"/>
        <v>0.8510892326989935</v>
      </c>
    </row>
    <row r="89" spans="3:19" x14ac:dyDescent="0.35">
      <c r="C89" t="str">
        <f t="shared" si="9"/>
        <v/>
      </c>
      <c r="I89">
        <f t="shared" ca="1" si="10"/>
        <v>7.0738743162690534E-3</v>
      </c>
      <c r="J89">
        <f t="shared" ca="1" si="11"/>
        <v>1.4938470969057498E-2</v>
      </c>
      <c r="L89">
        <f t="shared" ca="1" si="12"/>
        <v>7.0738743162690534E-3</v>
      </c>
      <c r="M89">
        <f t="shared" ca="1" si="13"/>
        <v>1.4938470969057498E-2</v>
      </c>
      <c r="O89">
        <f t="shared" ca="1" si="14"/>
        <v>-4.1390341068143268</v>
      </c>
      <c r="P89">
        <f t="shared" ca="1" si="15"/>
        <v>-8.6991112246016189E-2</v>
      </c>
      <c r="R89">
        <f t="shared" ca="1" si="16"/>
        <v>-40.143397809196131</v>
      </c>
      <c r="S89">
        <f t="shared" ca="1" si="17"/>
        <v>0.86122124737398154</v>
      </c>
    </row>
    <row r="90" spans="3:19" x14ac:dyDescent="0.35">
      <c r="C90" t="str">
        <f t="shared" si="9"/>
        <v/>
      </c>
      <c r="I90">
        <f t="shared" ca="1" si="10"/>
        <v>7.0937592310571073E-3</v>
      </c>
      <c r="J90">
        <f t="shared" ca="1" si="11"/>
        <v>1.5114217686340527E-2</v>
      </c>
      <c r="L90">
        <f t="shared" ca="1" si="12"/>
        <v>7.0937592310571073E-3</v>
      </c>
      <c r="M90">
        <f t="shared" ca="1" si="13"/>
        <v>1.5114217686340527E-2</v>
      </c>
      <c r="O90">
        <f t="shared" ca="1" si="14"/>
        <v>-3.8440162171498282</v>
      </c>
      <c r="P90">
        <f t="shared" ca="1" si="15"/>
        <v>-8.0777461371300707E-2</v>
      </c>
      <c r="R90">
        <f t="shared" ca="1" si="16"/>
        <v>-40.604637372491901</v>
      </c>
      <c r="S90">
        <f t="shared" ca="1" si="17"/>
        <v>0.87135326204896957</v>
      </c>
    </row>
    <row r="91" spans="3:19" x14ac:dyDescent="0.35">
      <c r="C91" t="str">
        <f t="shared" si="9"/>
        <v/>
      </c>
      <c r="I91">
        <f t="shared" ca="1" si="10"/>
        <v>7.1121711891941955E-3</v>
      </c>
      <c r="J91">
        <f t="shared" ca="1" si="11"/>
        <v>1.5289964403623558E-2</v>
      </c>
      <c r="L91">
        <f t="shared" ca="1" si="12"/>
        <v>7.1121711891941955E-3</v>
      </c>
      <c r="M91">
        <f t="shared" ca="1" si="13"/>
        <v>1.5289964403623558E-2</v>
      </c>
      <c r="O91">
        <f t="shared" ca="1" si="14"/>
        <v>-3.5489018038423481</v>
      </c>
      <c r="P91">
        <f t="shared" ca="1" si="15"/>
        <v>-7.4563810496585226E-2</v>
      </c>
      <c r="R91">
        <f t="shared" ca="1" si="16"/>
        <v>-41.065620291484215</v>
      </c>
      <c r="S91">
        <f t="shared" ca="1" si="17"/>
        <v>0.88148527672395749</v>
      </c>
    </row>
    <row r="92" spans="3:19" x14ac:dyDescent="0.35">
      <c r="C92" t="str">
        <f t="shared" si="9"/>
        <v/>
      </c>
      <c r="I92">
        <f t="shared" ca="1" si="10"/>
        <v>7.1291101906803154E-3</v>
      </c>
      <c r="J92">
        <f t="shared" ca="1" si="11"/>
        <v>1.5465711120906585E-2</v>
      </c>
      <c r="L92">
        <f t="shared" ca="1" si="12"/>
        <v>7.1291101906803154E-3</v>
      </c>
      <c r="M92">
        <f t="shared" ca="1" si="13"/>
        <v>1.5465711120906585E-2</v>
      </c>
      <c r="O92">
        <f t="shared" ca="1" si="14"/>
        <v>-3.25369086689189</v>
      </c>
      <c r="P92">
        <f t="shared" ca="1" si="15"/>
        <v>-6.8350159621869855E-2</v>
      </c>
      <c r="R92">
        <f t="shared" ca="1" si="16"/>
        <v>-41.52634656617311</v>
      </c>
      <c r="S92">
        <f t="shared" ca="1" si="17"/>
        <v>0.89161729139894563</v>
      </c>
    </row>
    <row r="93" spans="3:19" x14ac:dyDescent="0.35">
      <c r="C93" t="str">
        <f t="shared" si="9"/>
        <v/>
      </c>
      <c r="I93">
        <f t="shared" ca="1" si="10"/>
        <v>7.1445762355154697E-3</v>
      </c>
      <c r="J93">
        <f t="shared" ca="1" si="11"/>
        <v>1.5641457838189616E-2</v>
      </c>
      <c r="L93">
        <f t="shared" ca="1" si="12"/>
        <v>7.1445762355154697E-3</v>
      </c>
      <c r="M93">
        <f t="shared" ca="1" si="13"/>
        <v>1.5641457838189616E-2</v>
      </c>
      <c r="O93">
        <f t="shared" ca="1" si="14"/>
        <v>-2.9583834062984455</v>
      </c>
      <c r="P93">
        <f t="shared" ca="1" si="15"/>
        <v>-6.2136508747154373E-2</v>
      </c>
      <c r="R93">
        <f t="shared" ca="1" si="16"/>
        <v>-41.986816196558564</v>
      </c>
      <c r="S93">
        <f t="shared" ca="1" si="17"/>
        <v>0.90174930607393355</v>
      </c>
    </row>
    <row r="94" spans="3:19" x14ac:dyDescent="0.35">
      <c r="C94" t="str">
        <f t="shared" si="9"/>
        <v/>
      </c>
      <c r="I94">
        <f t="shared" ca="1" si="10"/>
        <v>7.1585693236996557E-3</v>
      </c>
      <c r="J94">
        <f t="shared" ca="1" si="11"/>
        <v>1.5817204555472645E-2</v>
      </c>
      <c r="L94">
        <f t="shared" ca="1" si="12"/>
        <v>7.1585693236996557E-3</v>
      </c>
      <c r="M94">
        <f t="shared" ca="1" si="13"/>
        <v>1.5817204555472645E-2</v>
      </c>
      <c r="O94">
        <f t="shared" ca="1" si="14"/>
        <v>-2.662979422062024</v>
      </c>
      <c r="P94">
        <f t="shared" ca="1" si="15"/>
        <v>-5.5922857872439002E-2</v>
      </c>
      <c r="R94">
        <f t="shared" ca="1" si="16"/>
        <v>-42.447029182640584</v>
      </c>
      <c r="S94">
        <f t="shared" ca="1" si="17"/>
        <v>0.91188132074892159</v>
      </c>
    </row>
    <row r="95" spans="3:19" x14ac:dyDescent="0.35">
      <c r="C95" t="str">
        <f t="shared" si="9"/>
        <v/>
      </c>
      <c r="I95">
        <f t="shared" ca="1" si="10"/>
        <v>7.171089455232876E-3</v>
      </c>
      <c r="J95">
        <f t="shared" ca="1" si="11"/>
        <v>1.5992951272755674E-2</v>
      </c>
      <c r="L95">
        <f t="shared" ca="1" si="12"/>
        <v>7.171089455232876E-3</v>
      </c>
      <c r="M95">
        <f t="shared" ca="1" si="13"/>
        <v>1.5992951272755674E-2</v>
      </c>
      <c r="O95">
        <f t="shared" ca="1" si="14"/>
        <v>-2.3674789141826147</v>
      </c>
      <c r="P95">
        <f t="shared" ca="1" si="15"/>
        <v>-4.9709206997723521E-2</v>
      </c>
      <c r="R95">
        <f t="shared" ca="1" si="16"/>
        <v>-42.906985524419163</v>
      </c>
      <c r="S95">
        <f t="shared" ca="1" si="17"/>
        <v>0.92201333542390962</v>
      </c>
    </row>
    <row r="96" spans="3:19" x14ac:dyDescent="0.35">
      <c r="C96" t="str">
        <f t="shared" si="9"/>
        <v/>
      </c>
      <c r="I96">
        <f t="shared" ca="1" si="10"/>
        <v>7.182136630115128E-3</v>
      </c>
      <c r="J96">
        <f t="shared" ca="1" si="11"/>
        <v>1.6168697990038703E-2</v>
      </c>
      <c r="L96">
        <f t="shared" ca="1" si="12"/>
        <v>7.182136630115128E-3</v>
      </c>
      <c r="M96">
        <f t="shared" ca="1" si="13"/>
        <v>1.6168697990038703E-2</v>
      </c>
      <c r="O96">
        <f t="shared" ca="1" si="14"/>
        <v>-2.0718818826602279</v>
      </c>
      <c r="P96">
        <f t="shared" ca="1" si="15"/>
        <v>-4.349555612300815E-2</v>
      </c>
      <c r="R96">
        <f t="shared" ca="1" si="16"/>
        <v>-43.366685221894315</v>
      </c>
      <c r="S96">
        <f t="shared" ca="1" si="17"/>
        <v>0.93214535009889765</v>
      </c>
    </row>
    <row r="97" spans="3:19" x14ac:dyDescent="0.35">
      <c r="C97" t="str">
        <f t="shared" si="9"/>
        <v/>
      </c>
      <c r="I97">
        <f t="shared" ca="1" si="10"/>
        <v>7.1917108483464135E-3</v>
      </c>
      <c r="J97">
        <f t="shared" ca="1" si="11"/>
        <v>1.6344444707321736E-2</v>
      </c>
      <c r="L97">
        <f t="shared" ca="1" si="12"/>
        <v>7.1917108483464135E-3</v>
      </c>
      <c r="M97">
        <f t="shared" ca="1" si="13"/>
        <v>1.6344444707321736E-2</v>
      </c>
      <c r="O97">
        <f t="shared" ca="1" si="14"/>
        <v>-1.7761883274948544</v>
      </c>
      <c r="P97">
        <f t="shared" ca="1" si="15"/>
        <v>-3.7281905248292668E-2</v>
      </c>
      <c r="R97">
        <f t="shared" ca="1" si="16"/>
        <v>-43.826128275066019</v>
      </c>
      <c r="S97">
        <f t="shared" ca="1" si="17"/>
        <v>0.94227736477388557</v>
      </c>
    </row>
    <row r="98" spans="3:19" x14ac:dyDescent="0.35">
      <c r="C98" t="str">
        <f t="shared" si="9"/>
        <v/>
      </c>
      <c r="I98">
        <f t="shared" ca="1" si="10"/>
        <v>7.1998121099267325E-3</v>
      </c>
      <c r="J98">
        <f t="shared" ca="1" si="11"/>
        <v>1.6520191424604761E-2</v>
      </c>
      <c r="L98">
        <f t="shared" ca="1" si="12"/>
        <v>7.1998121099267325E-3</v>
      </c>
      <c r="M98">
        <f t="shared" ca="1" si="13"/>
        <v>1.6520191424604761E-2</v>
      </c>
      <c r="O98">
        <f t="shared" ca="1" si="14"/>
        <v>-1.4803982486864993</v>
      </c>
      <c r="P98">
        <f t="shared" ca="1" si="15"/>
        <v>-3.1068254373577187E-2</v>
      </c>
      <c r="R98">
        <f t="shared" ca="1" si="16"/>
        <v>-44.28531468393431</v>
      </c>
      <c r="S98">
        <f t="shared" ca="1" si="17"/>
        <v>0.95240937944887372</v>
      </c>
    </row>
    <row r="99" spans="3:19" x14ac:dyDescent="0.35">
      <c r="C99" t="str">
        <f t="shared" si="9"/>
        <v/>
      </c>
      <c r="I99">
        <f t="shared" ca="1" si="10"/>
        <v>7.2064404148560841E-3</v>
      </c>
      <c r="J99">
        <f t="shared" ca="1" si="11"/>
        <v>1.6695938141887794E-2</v>
      </c>
      <c r="L99">
        <f t="shared" ca="1" si="12"/>
        <v>7.2064404148560841E-3</v>
      </c>
      <c r="M99">
        <f t="shared" ca="1" si="13"/>
        <v>1.6695938141887794E-2</v>
      </c>
      <c r="O99">
        <f t="shared" ca="1" si="14"/>
        <v>-1.1845116462351617</v>
      </c>
      <c r="P99">
        <f t="shared" ca="1" si="15"/>
        <v>-2.4854603498861705E-2</v>
      </c>
      <c r="R99">
        <f t="shared" ca="1" si="16"/>
        <v>-44.744244448499146</v>
      </c>
      <c r="S99">
        <f t="shared" ca="1" si="17"/>
        <v>0.96254139412386164</v>
      </c>
    </row>
    <row r="100" spans="3:19" x14ac:dyDescent="0.35">
      <c r="C100" t="str">
        <f t="shared" si="9"/>
        <v/>
      </c>
      <c r="I100">
        <f t="shared" ca="1" si="10"/>
        <v>7.2115957631344683E-3</v>
      </c>
      <c r="J100">
        <f t="shared" ca="1" si="11"/>
        <v>1.6871684859170823E-2</v>
      </c>
      <c r="L100">
        <f t="shared" ca="1" si="12"/>
        <v>7.2115957631344683E-3</v>
      </c>
      <c r="M100">
        <f t="shared" ca="1" si="13"/>
        <v>1.6871684859170823E-2</v>
      </c>
      <c r="O100">
        <f t="shared" ca="1" si="14"/>
        <v>-0.88852852014084682</v>
      </c>
      <c r="P100">
        <f t="shared" ca="1" si="15"/>
        <v>-1.8640952624146334E-2</v>
      </c>
      <c r="R100">
        <f t="shared" ca="1" si="16"/>
        <v>-45.202917568760547</v>
      </c>
      <c r="S100">
        <f t="shared" ca="1" si="17"/>
        <v>0.97267340879884967</v>
      </c>
    </row>
    <row r="101" spans="3:19" x14ac:dyDescent="0.35">
      <c r="C101" t="str">
        <f t="shared" si="9"/>
        <v/>
      </c>
      <c r="I101">
        <f t="shared" ca="1" si="10"/>
        <v>7.2152781547618859E-3</v>
      </c>
      <c r="J101">
        <f t="shared" ca="1" si="11"/>
        <v>1.7047431576453848E-2</v>
      </c>
      <c r="L101">
        <f t="shared" ca="1" si="12"/>
        <v>7.2152781547618859E-3</v>
      </c>
      <c r="M101">
        <f t="shared" ca="1" si="13"/>
        <v>1.7047431576453848E-2</v>
      </c>
      <c r="O101">
        <f t="shared" ca="1" si="14"/>
        <v>-0.59244887040355021</v>
      </c>
      <c r="P101">
        <f t="shared" ca="1" si="15"/>
        <v>-1.2427301749430963E-2</v>
      </c>
      <c r="R101">
        <f t="shared" ca="1" si="16"/>
        <v>-45.661334044718515</v>
      </c>
      <c r="S101">
        <f t="shared" ca="1" si="17"/>
        <v>0.9828054234738377</v>
      </c>
    </row>
    <row r="102" spans="3:19" x14ac:dyDescent="0.35">
      <c r="C102" t="str">
        <f t="shared" si="9"/>
        <v/>
      </c>
      <c r="I102">
        <f t="shared" ca="1" si="10"/>
        <v>7.2174875897383362E-3</v>
      </c>
      <c r="J102">
        <f t="shared" ca="1" si="11"/>
        <v>1.7223178293736881E-2</v>
      </c>
      <c r="L102">
        <f t="shared" ca="1" si="12"/>
        <v>7.2174875897383362E-3</v>
      </c>
      <c r="M102">
        <f t="shared" ca="1" si="13"/>
        <v>1.7223178293736881E-2</v>
      </c>
      <c r="O102">
        <f t="shared" ca="1" si="14"/>
        <v>-0.29627269702326625</v>
      </c>
      <c r="P102">
        <f t="shared" ca="1" si="15"/>
        <v>-6.2136508747154817E-3</v>
      </c>
      <c r="R102">
        <f t="shared" ca="1" si="16"/>
        <v>-46.119493876373056</v>
      </c>
      <c r="S102">
        <f t="shared" ca="1" si="17"/>
        <v>0.99293743814882574</v>
      </c>
    </row>
    <row r="103" spans="3:19" x14ac:dyDescent="0.35">
      <c r="C103" t="str">
        <f t="shared" si="9"/>
        <v/>
      </c>
      <c r="I103">
        <f t="shared" ca="1" si="10"/>
        <v>7.2182240680638199E-3</v>
      </c>
      <c r="J103">
        <f t="shared" ca="1" si="11"/>
        <v>1.739892501101991E-2</v>
      </c>
      <c r="L103">
        <f t="shared" ca="1" si="12"/>
        <v>7.2182240680638199E-3</v>
      </c>
      <c r="M103">
        <f t="shared" ca="1" si="13"/>
        <v>1.739892501101991E-2</v>
      </c>
      <c r="O103">
        <f t="shared" ca="1" si="14"/>
        <v>0</v>
      </c>
      <c r="P103">
        <f t="shared" ca="1" si="15"/>
        <v>0</v>
      </c>
      <c r="R103">
        <f t="shared" ca="1" si="16"/>
        <v>-46.577397063724156</v>
      </c>
      <c r="S103">
        <f t="shared" ca="1" si="17"/>
        <v>1.0030694528238138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zoomScaleNormal="100" workbookViewId="0">
      <selection activeCell="D24" sqref="D24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278</v>
      </c>
      <c r="C10" s="18">
        <v>-5.0000000000000002E-11</v>
      </c>
    </row>
    <row r="11" spans="1:3" x14ac:dyDescent="0.35">
      <c r="A11" s="18"/>
      <c r="B11" t="s">
        <v>279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zoomScale="85" zoomScaleNormal="85" workbookViewId="0">
      <selection activeCell="B25" sqref="B25:F25"/>
    </sheetView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242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241</v>
      </c>
      <c r="B3">
        <v>10</v>
      </c>
      <c r="C3">
        <v>50</v>
      </c>
      <c r="D3">
        <v>10</v>
      </c>
    </row>
    <row r="5" spans="1:31" x14ac:dyDescent="0.35">
      <c r="A5" t="s">
        <v>267</v>
      </c>
    </row>
    <row r="7" spans="1:31" x14ac:dyDescent="0.35">
      <c r="A7" t="s">
        <v>256</v>
      </c>
      <c r="B7" s="6"/>
      <c r="C7" s="21" t="s">
        <v>241</v>
      </c>
      <c r="D7" s="21"/>
      <c r="E7" s="21"/>
      <c r="F7" s="21"/>
      <c r="G7" s="21"/>
      <c r="H7" s="21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2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23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23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23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23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238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241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257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263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237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256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zoomScale="85" zoomScaleNormal="85" workbookViewId="0">
      <selection activeCell="M13" sqref="M13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241</v>
      </c>
      <c r="B2">
        <v>40</v>
      </c>
    </row>
    <row r="4" spans="1:10" x14ac:dyDescent="0.35">
      <c r="A4" t="s">
        <v>267</v>
      </c>
    </row>
    <row r="6" spans="1:10" x14ac:dyDescent="0.35">
      <c r="A6" s="7" t="s">
        <v>268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257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237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256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zoomScale="85" zoomScaleNormal="85" workbookViewId="0">
      <selection activeCell="D14" sqref="D14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273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270</v>
      </c>
    </row>
    <row r="4" spans="1:35" x14ac:dyDescent="0.35">
      <c r="E4">
        <f>E2*E3</f>
        <v>47.999999999999993</v>
      </c>
      <c r="G4" t="s">
        <v>271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2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2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2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23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23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23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23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23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23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23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23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23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23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23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23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23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23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23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23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23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23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257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263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237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256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zoomScale="85" zoomScaleNormal="85" workbookViewId="0">
      <selection activeCell="B20" sqref="B20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286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270</v>
      </c>
    </row>
    <row r="4" spans="1:35" x14ac:dyDescent="0.35">
      <c r="E4">
        <f>E2*E3</f>
        <v>47.999999999999993</v>
      </c>
      <c r="G4" t="s">
        <v>287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 t="str">
        <f>IF(B25="","",B25)</f>
        <v/>
      </c>
      <c r="D10" t="str">
        <f t="shared" ref="D10:I10" si="0">IF(C25="","",C25)</f>
        <v/>
      </c>
      <c r="E10" t="str">
        <f t="shared" si="0"/>
        <v/>
      </c>
      <c r="F10" t="str">
        <f t="shared" si="0"/>
        <v/>
      </c>
      <c r="G10" t="str">
        <f t="shared" si="0"/>
        <v/>
      </c>
      <c r="H10" t="str">
        <f t="shared" si="0"/>
        <v/>
      </c>
      <c r="I10" t="str">
        <f t="shared" si="0"/>
        <v/>
      </c>
      <c r="J10" s="22" t="s">
        <v>56</v>
      </c>
      <c r="K10" s="6">
        <v>0.05</v>
      </c>
      <c r="L10" t="str">
        <f>IF(B26="","",B26)</f>
        <v/>
      </c>
      <c r="M10" t="str">
        <f t="shared" ref="M10:Q10" si="1">IF(C26="","",C26)</f>
        <v/>
      </c>
      <c r="N10" t="str">
        <f t="shared" si="1"/>
        <v/>
      </c>
      <c r="O10" t="str">
        <f t="shared" si="1"/>
        <v/>
      </c>
      <c r="P10" t="str">
        <f t="shared" si="1"/>
        <v/>
      </c>
      <c r="Q10" t="str">
        <f t="shared" si="1"/>
        <v/>
      </c>
      <c r="S10" s="22" t="s">
        <v>56</v>
      </c>
      <c r="T10" s="6">
        <v>0.05</v>
      </c>
      <c r="U10" t="str">
        <f>IF(B21="","",B21)</f>
        <v/>
      </c>
      <c r="V10" t="str">
        <f t="shared" ref="V10:Z10" si="2">IF(C21="","",C21)</f>
        <v/>
      </c>
      <c r="W10" t="str">
        <f t="shared" si="2"/>
        <v/>
      </c>
      <c r="X10" t="str">
        <f t="shared" si="2"/>
        <v/>
      </c>
      <c r="Y10" t="str">
        <f t="shared" si="2"/>
        <v/>
      </c>
      <c r="Z10" t="str">
        <f t="shared" si="2"/>
        <v/>
      </c>
      <c r="AB10" s="22" t="s">
        <v>56</v>
      </c>
      <c r="AC10" s="6">
        <v>0.05</v>
      </c>
      <c r="AD10" t="str">
        <f>IF(B23="","",B23)</f>
        <v/>
      </c>
      <c r="AE10" t="str">
        <f t="shared" ref="AE10:AI10" si="3">IF(C23="","",C23)</f>
        <v/>
      </c>
      <c r="AF10" t="str">
        <f t="shared" si="3"/>
        <v/>
      </c>
      <c r="AG10" t="str">
        <f t="shared" si="3"/>
        <v/>
      </c>
      <c r="AH10" t="str">
        <f t="shared" si="3"/>
        <v/>
      </c>
      <c r="AI10" t="str">
        <f t="shared" si="3"/>
        <v/>
      </c>
    </row>
    <row r="11" spans="1:35" x14ac:dyDescent="0.35">
      <c r="A11" s="23"/>
      <c r="B11" s="6">
        <v>0.1</v>
      </c>
      <c r="C11" t="str">
        <f>IF(K25="","",K25)</f>
        <v/>
      </c>
      <c r="D11" t="str">
        <f t="shared" ref="D11:I11" si="4">IF(L25="","",L25)</f>
        <v/>
      </c>
      <c r="E11" t="str">
        <f t="shared" si="4"/>
        <v/>
      </c>
      <c r="F11" t="str">
        <f t="shared" si="4"/>
        <v/>
      </c>
      <c r="G11" t="str">
        <f t="shared" si="4"/>
        <v/>
      </c>
      <c r="H11" t="str">
        <f t="shared" si="4"/>
        <v/>
      </c>
      <c r="I11" t="str">
        <f t="shared" si="4"/>
        <v/>
      </c>
      <c r="J11" s="23"/>
      <c r="K11" s="6">
        <v>0.1</v>
      </c>
      <c r="L11" t="str">
        <f>IF(K26="","",K26)</f>
        <v/>
      </c>
      <c r="M11" t="str">
        <f t="shared" ref="M11:Q11" si="5">IF(L26="","",L26)</f>
        <v/>
      </c>
      <c r="N11" t="str">
        <f t="shared" si="5"/>
        <v/>
      </c>
      <c r="O11" t="str">
        <f t="shared" si="5"/>
        <v/>
      </c>
      <c r="P11" t="str">
        <f t="shared" si="5"/>
        <v/>
      </c>
      <c r="Q11" t="str">
        <f t="shared" si="5"/>
        <v/>
      </c>
      <c r="S11" s="23"/>
      <c r="T11" s="6">
        <v>0.1</v>
      </c>
      <c r="U11" t="str">
        <f>IF(K21="","",K21)</f>
        <v/>
      </c>
      <c r="V11" t="str">
        <f t="shared" ref="V11:Z11" si="6">IF(L21="","",L21)</f>
        <v/>
      </c>
      <c r="W11" t="str">
        <f t="shared" si="6"/>
        <v/>
      </c>
      <c r="X11" t="str">
        <f t="shared" si="6"/>
        <v/>
      </c>
      <c r="Y11" t="str">
        <f t="shared" si="6"/>
        <v/>
      </c>
      <c r="Z11" t="str">
        <f t="shared" si="6"/>
        <v/>
      </c>
      <c r="AB11" s="23"/>
      <c r="AC11" s="6">
        <v>0.1</v>
      </c>
      <c r="AD11" t="str">
        <f>IF(K23="","",K23)</f>
        <v/>
      </c>
      <c r="AE11" t="str">
        <f t="shared" ref="AE11:AI11" si="7">IF(L23="","",L23)</f>
        <v/>
      </c>
      <c r="AF11" t="str">
        <f t="shared" si="7"/>
        <v/>
      </c>
      <c r="AG11" t="str">
        <f t="shared" si="7"/>
        <v/>
      </c>
      <c r="AH11" t="str">
        <f t="shared" si="7"/>
        <v/>
      </c>
      <c r="AI11" t="str">
        <f t="shared" si="7"/>
        <v/>
      </c>
    </row>
    <row r="12" spans="1:35" x14ac:dyDescent="0.35">
      <c r="A12" s="23"/>
      <c r="B12" s="6">
        <v>0.15</v>
      </c>
      <c r="C12" t="str">
        <f>IF(T25="","",T25)</f>
        <v/>
      </c>
      <c r="D12" t="str">
        <f t="shared" ref="D12:I12" si="8">IF(U25="","",U25)</f>
        <v/>
      </c>
      <c r="E12" t="str">
        <f t="shared" si="8"/>
        <v/>
      </c>
      <c r="F12" t="str">
        <f t="shared" si="8"/>
        <v/>
      </c>
      <c r="G12" t="str">
        <f t="shared" si="8"/>
        <v/>
      </c>
      <c r="H12" t="str">
        <f t="shared" si="8"/>
        <v/>
      </c>
      <c r="I12" t="str">
        <f t="shared" si="8"/>
        <v/>
      </c>
      <c r="J12" s="23"/>
      <c r="K12" s="6">
        <v>0.15</v>
      </c>
      <c r="L12" t="str">
        <f>IF(T26="","",T26)</f>
        <v/>
      </c>
      <c r="M12" t="str">
        <f t="shared" ref="M12:Q12" si="9">IF(U26="","",U26)</f>
        <v/>
      </c>
      <c r="N12" t="str">
        <f t="shared" si="9"/>
        <v/>
      </c>
      <c r="O12" t="str">
        <f t="shared" si="9"/>
        <v/>
      </c>
      <c r="P12" t="str">
        <f t="shared" si="9"/>
        <v/>
      </c>
      <c r="Q12" t="str">
        <f t="shared" si="9"/>
        <v/>
      </c>
      <c r="S12" s="23"/>
      <c r="T12" s="6">
        <v>0.15</v>
      </c>
      <c r="U12" t="str">
        <f>IF(T21="","",T21)</f>
        <v/>
      </c>
      <c r="V12" t="str">
        <f t="shared" ref="V12:Z12" si="10">IF(U21="","",U21)</f>
        <v/>
      </c>
      <c r="W12" t="str">
        <f t="shared" si="10"/>
        <v/>
      </c>
      <c r="X12" t="str">
        <f t="shared" si="10"/>
        <v/>
      </c>
      <c r="Y12" t="str">
        <f t="shared" si="10"/>
        <v/>
      </c>
      <c r="Z12" t="str">
        <f t="shared" si="10"/>
        <v/>
      </c>
      <c r="AB12" s="23"/>
      <c r="AC12" s="6">
        <v>0.15</v>
      </c>
      <c r="AD12" t="str">
        <f>IF(T23="","",T23)</f>
        <v/>
      </c>
      <c r="AE12" t="str">
        <f t="shared" ref="AE12:AI12" si="11">IF(U23="","",U23)</f>
        <v/>
      </c>
      <c r="AF12" t="str">
        <f t="shared" si="11"/>
        <v/>
      </c>
      <c r="AG12" t="str">
        <f t="shared" si="11"/>
        <v/>
      </c>
      <c r="AH12" t="str">
        <f t="shared" si="11"/>
        <v/>
      </c>
      <c r="AI12" t="str">
        <f t="shared" si="11"/>
        <v/>
      </c>
    </row>
    <row r="13" spans="1:35" x14ac:dyDescent="0.35">
      <c r="A13" s="23"/>
      <c r="B13" s="6">
        <v>0.2</v>
      </c>
      <c r="C13" t="str">
        <f>IF(AC25="","",AC25)</f>
        <v/>
      </c>
      <c r="D13" t="str">
        <f t="shared" ref="D13:I13" si="12">IF(AD25="","",AD25)</f>
        <v/>
      </c>
      <c r="E13" t="str">
        <f t="shared" si="12"/>
        <v/>
      </c>
      <c r="F13" t="str">
        <f t="shared" si="12"/>
        <v/>
      </c>
      <c r="G13" t="str">
        <f t="shared" si="12"/>
        <v/>
      </c>
      <c r="H13" t="str">
        <f t="shared" si="12"/>
        <v/>
      </c>
      <c r="I13" t="str">
        <f t="shared" si="12"/>
        <v/>
      </c>
      <c r="J13" s="23"/>
      <c r="K13" s="6">
        <v>0.2</v>
      </c>
      <c r="L13" t="str">
        <f>IF(AC26="","",AC26)</f>
        <v/>
      </c>
      <c r="M13" t="str">
        <f t="shared" ref="M13:Q13" si="13">IF(AD26="","",AD26)</f>
        <v/>
      </c>
      <c r="N13" t="str">
        <f t="shared" si="13"/>
        <v/>
      </c>
      <c r="O13" t="str">
        <f t="shared" si="13"/>
        <v/>
      </c>
      <c r="P13" t="str">
        <f t="shared" si="13"/>
        <v/>
      </c>
      <c r="Q13" t="str">
        <f t="shared" si="13"/>
        <v/>
      </c>
      <c r="S13" s="23"/>
      <c r="T13" s="6">
        <v>0.2</v>
      </c>
      <c r="U13" t="str">
        <f>IF(AC21="","",AC21)</f>
        <v/>
      </c>
      <c r="V13" t="str">
        <f t="shared" ref="V13:Z13" si="14">IF(AD21="","",AD21)</f>
        <v/>
      </c>
      <c r="W13" t="str">
        <f t="shared" si="14"/>
        <v/>
      </c>
      <c r="X13" t="str">
        <f t="shared" si="14"/>
        <v/>
      </c>
      <c r="Y13" t="str">
        <f t="shared" si="14"/>
        <v/>
      </c>
      <c r="Z13" t="str">
        <f t="shared" si="14"/>
        <v/>
      </c>
      <c r="AB13" s="23"/>
      <c r="AC13" s="6">
        <v>0.2</v>
      </c>
      <c r="AD13" t="str">
        <f>IF(AC23="","",AC23)</f>
        <v/>
      </c>
      <c r="AE13" t="str">
        <f t="shared" ref="AE13:AI13" si="15">IF(AD23="","",AD23)</f>
        <v/>
      </c>
      <c r="AF13" t="str">
        <f t="shared" si="15"/>
        <v/>
      </c>
      <c r="AG13" t="str">
        <f t="shared" si="15"/>
        <v/>
      </c>
      <c r="AH13" t="str">
        <f t="shared" si="15"/>
        <v/>
      </c>
      <c r="AI13" t="str">
        <f t="shared" si="15"/>
        <v/>
      </c>
    </row>
    <row r="14" spans="1:35" x14ac:dyDescent="0.35">
      <c r="A14" s="23"/>
      <c r="B14" s="6">
        <v>0.25</v>
      </c>
      <c r="C14" t="str">
        <f>IF(AL25="","",AL25)</f>
        <v/>
      </c>
      <c r="D14" t="str">
        <f t="shared" ref="D14:I14" si="16">IF(AM25="","",AM25)</f>
        <v/>
      </c>
      <c r="E14" t="str">
        <f t="shared" si="16"/>
        <v/>
      </c>
      <c r="F14" t="str">
        <f t="shared" si="16"/>
        <v/>
      </c>
      <c r="G14" t="str">
        <f t="shared" si="16"/>
        <v/>
      </c>
      <c r="H14" t="str">
        <f t="shared" si="16"/>
        <v/>
      </c>
      <c r="I14" t="str">
        <f t="shared" si="16"/>
        <v/>
      </c>
      <c r="J14" s="23"/>
      <c r="K14" s="6">
        <v>0.25</v>
      </c>
      <c r="L14" t="str">
        <f>IF(AL26="","",AL26)</f>
        <v/>
      </c>
      <c r="M14" t="str">
        <f t="shared" ref="M14:Q14" si="17">IF(AM26="","",AM26)</f>
        <v/>
      </c>
      <c r="N14" t="str">
        <f t="shared" si="17"/>
        <v/>
      </c>
      <c r="O14" t="str">
        <f t="shared" si="17"/>
        <v/>
      </c>
      <c r="P14" t="str">
        <f t="shared" si="17"/>
        <v/>
      </c>
      <c r="Q14" t="str">
        <f t="shared" si="17"/>
        <v/>
      </c>
      <c r="S14" s="23"/>
      <c r="T14" s="6">
        <v>0.25</v>
      </c>
      <c r="U14" t="str">
        <f>IF(AL21="","",AL21)</f>
        <v/>
      </c>
      <c r="V14" t="str">
        <f t="shared" ref="V14:Z14" si="18">IF(AM21="","",AM21)</f>
        <v/>
      </c>
      <c r="W14" t="str">
        <f t="shared" si="18"/>
        <v/>
      </c>
      <c r="X14" t="str">
        <f t="shared" si="18"/>
        <v/>
      </c>
      <c r="Y14" t="str">
        <f t="shared" si="18"/>
        <v/>
      </c>
      <c r="Z14" t="str">
        <f t="shared" si="18"/>
        <v/>
      </c>
      <c r="AB14" s="23"/>
      <c r="AC14" s="6">
        <v>0.25</v>
      </c>
      <c r="AD14" t="str">
        <f>IF(AL23="","",AL23)</f>
        <v/>
      </c>
      <c r="AE14" t="str">
        <f t="shared" ref="AE14:AI14" si="19">IF(AM23="","",AM23)</f>
        <v/>
      </c>
      <c r="AF14" t="str">
        <f t="shared" si="19"/>
        <v/>
      </c>
      <c r="AG14" t="str">
        <f t="shared" si="19"/>
        <v/>
      </c>
      <c r="AH14" t="str">
        <f t="shared" si="19"/>
        <v/>
      </c>
      <c r="AI14" t="str">
        <f t="shared" si="19"/>
        <v/>
      </c>
    </row>
    <row r="15" spans="1:35" x14ac:dyDescent="0.35">
      <c r="A15" s="23"/>
      <c r="B15" s="6">
        <v>0.3</v>
      </c>
      <c r="C15" t="str">
        <f>IF(AU25="","",AU25)</f>
        <v/>
      </c>
      <c r="D15" t="str">
        <f t="shared" ref="D15:I15" si="20">IF(AV25="","",AV25)</f>
        <v/>
      </c>
      <c r="E15" t="str">
        <f t="shared" si="20"/>
        <v/>
      </c>
      <c r="F15" t="str">
        <f t="shared" si="20"/>
        <v/>
      </c>
      <c r="G15" t="str">
        <f t="shared" si="20"/>
        <v/>
      </c>
      <c r="H15" t="str">
        <f t="shared" si="20"/>
        <v/>
      </c>
      <c r="I15" t="str">
        <f t="shared" si="20"/>
        <v/>
      </c>
      <c r="J15" s="23"/>
      <c r="K15" s="6">
        <v>0.3</v>
      </c>
      <c r="L15" t="str">
        <f>IF(AU26="","",AU26)</f>
        <v/>
      </c>
      <c r="M15" t="str">
        <f t="shared" ref="M15:Q15" si="21">IF(AV26="","",AV26)</f>
        <v/>
      </c>
      <c r="N15" t="str">
        <f t="shared" si="21"/>
        <v/>
      </c>
      <c r="O15" t="str">
        <f t="shared" si="21"/>
        <v/>
      </c>
      <c r="P15" t="str">
        <f t="shared" si="21"/>
        <v/>
      </c>
      <c r="Q15" t="str">
        <f t="shared" si="21"/>
        <v/>
      </c>
      <c r="S15" s="23"/>
      <c r="T15" s="6">
        <v>0.3</v>
      </c>
      <c r="U15" t="str">
        <f>IF(AU21="","",AU21)</f>
        <v/>
      </c>
      <c r="V15" t="str">
        <f t="shared" ref="V15:Z15" si="22">IF(AV21="","",AV21)</f>
        <v/>
      </c>
      <c r="W15" t="str">
        <f t="shared" si="22"/>
        <v/>
      </c>
      <c r="X15" t="str">
        <f t="shared" si="22"/>
        <v/>
      </c>
      <c r="Y15" t="str">
        <f t="shared" si="22"/>
        <v/>
      </c>
      <c r="Z15" t="str">
        <f t="shared" si="22"/>
        <v/>
      </c>
      <c r="AB15" s="23"/>
      <c r="AC15" s="6">
        <v>0.3</v>
      </c>
      <c r="AD15" t="str">
        <f>IF(AU23="","",AU23)</f>
        <v/>
      </c>
      <c r="AE15" t="str">
        <f t="shared" ref="AE15:AI15" si="23">IF(AV23="","",AV23)</f>
        <v/>
      </c>
      <c r="AF15" t="str">
        <f t="shared" si="23"/>
        <v/>
      </c>
      <c r="AG15" t="str">
        <f t="shared" si="23"/>
        <v/>
      </c>
      <c r="AH15" t="str">
        <f t="shared" si="23"/>
        <v/>
      </c>
      <c r="AI15" t="str">
        <f t="shared" si="23"/>
        <v/>
      </c>
    </row>
    <row r="16" spans="1:35" x14ac:dyDescent="0.35">
      <c r="A16" s="23"/>
      <c r="B16" s="6">
        <v>0.35</v>
      </c>
      <c r="C16" t="str">
        <f t="shared" ref="C16:I16" si="24">IF(BD25="","",BD25)</f>
        <v/>
      </c>
      <c r="D16" t="str">
        <f t="shared" si="24"/>
        <v/>
      </c>
      <c r="E16" t="str">
        <f t="shared" si="24"/>
        <v/>
      </c>
      <c r="F16" t="str">
        <f t="shared" si="24"/>
        <v/>
      </c>
      <c r="G16" t="str">
        <f t="shared" si="24"/>
        <v/>
      </c>
      <c r="H16" t="str">
        <f t="shared" si="24"/>
        <v/>
      </c>
      <c r="I16" t="str">
        <f t="shared" si="24"/>
        <v/>
      </c>
      <c r="J16" s="23"/>
      <c r="K16" s="6">
        <v>0.35</v>
      </c>
      <c r="L16" t="str">
        <f>IF(BD26="","",BD26)</f>
        <v/>
      </c>
      <c r="M16" t="str">
        <f t="shared" ref="M16:Q16" si="25">IF(BE26="","",BE26)</f>
        <v/>
      </c>
      <c r="N16" t="str">
        <f t="shared" si="25"/>
        <v/>
      </c>
      <c r="O16" t="str">
        <f t="shared" si="25"/>
        <v/>
      </c>
      <c r="P16" t="str">
        <f t="shared" si="25"/>
        <v/>
      </c>
      <c r="Q16" t="str">
        <f t="shared" si="25"/>
        <v/>
      </c>
      <c r="S16" s="23"/>
      <c r="T16" s="6">
        <v>0.35</v>
      </c>
      <c r="U16" t="str">
        <f>IF(BD21="","",BD21)</f>
        <v/>
      </c>
      <c r="V16" t="str">
        <f t="shared" ref="V16:Z16" si="26">IF(BE21="","",BE21)</f>
        <v/>
      </c>
      <c r="W16" t="str">
        <f t="shared" si="26"/>
        <v/>
      </c>
      <c r="X16" t="str">
        <f t="shared" si="26"/>
        <v/>
      </c>
      <c r="Y16" t="str">
        <f t="shared" si="26"/>
        <v/>
      </c>
      <c r="Z16" t="str">
        <f t="shared" si="26"/>
        <v/>
      </c>
      <c r="AB16" s="23"/>
      <c r="AC16" s="6">
        <v>0.35</v>
      </c>
      <c r="AD16" t="str">
        <f>IF(BD23="","",BD23)</f>
        <v/>
      </c>
      <c r="AE16" t="str">
        <f t="shared" ref="AE16:AI16" si="27">IF(BE23="","",BE23)</f>
        <v/>
      </c>
      <c r="AF16" t="str">
        <f t="shared" si="27"/>
        <v/>
      </c>
      <c r="AG16" t="str">
        <f t="shared" si="27"/>
        <v/>
      </c>
      <c r="AH16" t="str">
        <f t="shared" si="27"/>
        <v/>
      </c>
      <c r="AI16" t="str">
        <f t="shared" si="27"/>
        <v/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/>
    </row>
    <row r="21" spans="1:64" x14ac:dyDescent="0.35">
      <c r="A21" t="s">
        <v>136</v>
      </c>
      <c r="B21" s="11"/>
    </row>
    <row r="22" spans="1:64" x14ac:dyDescent="0.35">
      <c r="A22" t="s">
        <v>257</v>
      </c>
      <c r="B22" s="11"/>
    </row>
    <row r="23" spans="1:64" x14ac:dyDescent="0.35">
      <c r="A23" t="s">
        <v>263</v>
      </c>
      <c r="B23" s="11"/>
    </row>
    <row r="24" spans="1:64" x14ac:dyDescent="0.35">
      <c r="A24" t="s">
        <v>237</v>
      </c>
      <c r="B24" s="11"/>
    </row>
    <row r="25" spans="1:64" x14ac:dyDescent="0.35">
      <c r="A25" s="6" t="s">
        <v>256</v>
      </c>
    </row>
    <row r="26" spans="1:64" x14ac:dyDescent="0.35">
      <c r="A26" s="6" t="s">
        <v>143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24"/>
  <sheetViews>
    <sheetView tabSelected="1" zoomScale="70" zoomScaleNormal="70" workbookViewId="0">
      <selection activeCell="B12" sqref="B12"/>
    </sheetView>
  </sheetViews>
  <sheetFormatPr defaultRowHeight="14.5" x14ac:dyDescent="0.35"/>
  <cols>
    <col min="1" max="1" width="15.26953125" style="6" bestFit="1" customWidth="1"/>
    <col min="3" max="3" width="9.1796875" style="6"/>
    <col min="6" max="6" width="9.1796875" style="6"/>
    <col min="8" max="8" width="9.54296875" style="10" bestFit="1" customWidth="1"/>
    <col min="10" max="10" width="9.1796875" style="6"/>
    <col min="12" max="12" width="9.1796875" style="11"/>
    <col min="28" max="28" width="9.1796875" style="6"/>
  </cols>
  <sheetData>
    <row r="1" spans="1:28" x14ac:dyDescent="0.35">
      <c r="A1" s="25" t="s">
        <v>62</v>
      </c>
      <c r="B1" s="26"/>
      <c r="C1" s="26"/>
      <c r="D1" s="26"/>
      <c r="E1" s="26"/>
      <c r="F1" s="27"/>
      <c r="H1" s="25" t="s">
        <v>67</v>
      </c>
      <c r="I1" s="26"/>
      <c r="J1" s="27"/>
      <c r="L1" s="25" t="s">
        <v>63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245</v>
      </c>
      <c r="H4" s="10" t="s">
        <v>68</v>
      </c>
      <c r="I4" s="13">
        <v>33079.131000000001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3">
        <f>(I4*I3)/(I5*I7^2*B8)</f>
        <v>0.25429082852241713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8.3815909783602507</v>
      </c>
      <c r="O5">
        <f>B14</f>
        <v>4.9059143350080596</v>
      </c>
    </row>
    <row r="6" spans="1:28" x14ac:dyDescent="0.35">
      <c r="H6" s="10" t="s">
        <v>246</v>
      </c>
      <c r="I6" s="19">
        <v>1.42354425457476E-5</v>
      </c>
      <c r="J6" s="6" t="s">
        <v>89</v>
      </c>
      <c r="M6">
        <v>3</v>
      </c>
      <c r="N6">
        <f>N5</f>
        <v>8.3815909783602507</v>
      </c>
      <c r="O6">
        <f>O5+B13</f>
        <v>5.2964963777640151</v>
      </c>
    </row>
    <row r="7" spans="1:28" x14ac:dyDescent="0.35">
      <c r="A7" s="9" t="s">
        <v>61</v>
      </c>
      <c r="H7" s="10" t="s">
        <v>247</v>
      </c>
      <c r="I7" s="13">
        <v>248.035657436587</v>
      </c>
      <c r="J7" s="6" t="s">
        <v>74</v>
      </c>
      <c r="M7">
        <v>4</v>
      </c>
      <c r="N7">
        <v>0</v>
      </c>
      <c r="O7">
        <f>B12</f>
        <v>7.8116408551191174</v>
      </c>
    </row>
    <row r="8" spans="1:28" x14ac:dyDescent="0.35">
      <c r="A8" s="6" t="s">
        <v>54</v>
      </c>
      <c r="B8">
        <v>68.747677443329593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16.763181956720501</v>
      </c>
      <c r="C9" s="6" t="s">
        <v>58</v>
      </c>
      <c r="M9">
        <v>6</v>
      </c>
      <c r="N9">
        <f>-N5</f>
        <v>-8.3815909783602507</v>
      </c>
      <c r="O9">
        <f>O5</f>
        <v>4.9059143350080596</v>
      </c>
    </row>
    <row r="10" spans="1:28" x14ac:dyDescent="0.35">
      <c r="A10" s="6" t="s">
        <v>56</v>
      </c>
      <c r="B10" s="3">
        <v>0.05</v>
      </c>
      <c r="M10">
        <v>7</v>
      </c>
      <c r="N10">
        <f>N9</f>
        <v>-8.3815909783602507</v>
      </c>
      <c r="O10">
        <f>O6</f>
        <v>5.2964963777640151</v>
      </c>
    </row>
    <row r="11" spans="1:28" x14ac:dyDescent="0.35">
      <c r="A11" s="6" t="s">
        <v>241</v>
      </c>
      <c r="B11" s="3">
        <v>20</v>
      </c>
      <c r="C11" s="6" t="s">
        <v>88</v>
      </c>
      <c r="M11">
        <v>8</v>
      </c>
      <c r="N11">
        <f>0</f>
        <v>0</v>
      </c>
      <c r="O11">
        <f>O7</f>
        <v>7.8116408551191174</v>
      </c>
    </row>
    <row r="12" spans="1:28" x14ac:dyDescent="0.35">
      <c r="A12" s="6" t="s">
        <v>59</v>
      </c>
      <c r="B12">
        <f>(2*B8)/(B9*(1+B10))</f>
        <v>7.8116408551191174</v>
      </c>
      <c r="C12" s="6" t="s">
        <v>58</v>
      </c>
    </row>
    <row r="13" spans="1:28" x14ac:dyDescent="0.35">
      <c r="A13" s="6" t="s">
        <v>60</v>
      </c>
      <c r="B13">
        <f>B12*B10</f>
        <v>0.39058204275595587</v>
      </c>
      <c r="C13" s="6" t="s">
        <v>58</v>
      </c>
      <c r="H13" s="12"/>
      <c r="I13" s="8"/>
      <c r="J13" s="7"/>
    </row>
    <row r="14" spans="1:28" x14ac:dyDescent="0.35">
      <c r="A14" s="6" t="s">
        <v>244</v>
      </c>
      <c r="B14">
        <f>0.25*(B12-B13)+(B9/2)*TAN(B11*PI()/180)</f>
        <v>4.9059143350080596</v>
      </c>
      <c r="C14" s="6" t="s">
        <v>58</v>
      </c>
      <c r="H14"/>
      <c r="J14"/>
    </row>
    <row r="15" spans="1:28" x14ac:dyDescent="0.35">
      <c r="A15" s="6" t="s">
        <v>268</v>
      </c>
      <c r="B15" s="3">
        <v>0</v>
      </c>
      <c r="C15" s="6" t="s">
        <v>88</v>
      </c>
      <c r="H15"/>
      <c r="J15"/>
    </row>
    <row r="16" spans="1:28" x14ac:dyDescent="0.35">
      <c r="H16" s="28" t="s">
        <v>258</v>
      </c>
      <c r="I16" s="29"/>
      <c r="J16" s="30"/>
    </row>
    <row r="17" spans="4:30" x14ac:dyDescent="0.35">
      <c r="D17" s="2" t="s">
        <v>266</v>
      </c>
      <c r="H17" s="10" t="s">
        <v>48</v>
      </c>
      <c r="I17" t="s">
        <v>49</v>
      </c>
      <c r="J17" s="6" t="s">
        <v>50</v>
      </c>
    </row>
    <row r="18" spans="4:30" x14ac:dyDescent="0.35">
      <c r="D18" t="s">
        <v>260</v>
      </c>
      <c r="E18">
        <v>0.95</v>
      </c>
      <c r="H18" s="10" t="s">
        <v>139</v>
      </c>
      <c r="I18" s="4">
        <f>CruiseST!F27</f>
        <v>5.1544E-3</v>
      </c>
    </row>
    <row r="19" spans="4:30" x14ac:dyDescent="0.35">
      <c r="D19" t="s">
        <v>261</v>
      </c>
      <c r="E19">
        <v>0.06</v>
      </c>
      <c r="H19" s="10" t="s">
        <v>136</v>
      </c>
      <c r="I19" s="4">
        <f>CruiseST!C26</f>
        <v>7.7200000000000003E-3</v>
      </c>
    </row>
    <row r="20" spans="4:30" x14ac:dyDescent="0.35">
      <c r="D20" t="s">
        <v>259</v>
      </c>
      <c r="E20">
        <f>(E18/COS(B11*PI()/180))-(E19/(COS(B11*PI()/180)^2))-(B5/(10*COS(B11*PI()/180)^3))</f>
        <v>0.91237446276037193</v>
      </c>
      <c r="H20" s="11" t="s">
        <v>257</v>
      </c>
      <c r="I20" s="11">
        <v>0.01</v>
      </c>
    </row>
    <row r="21" spans="4:30" x14ac:dyDescent="0.35">
      <c r="D21" t="s">
        <v>262</v>
      </c>
      <c r="E21">
        <f>E20-(0.1/80)^(1/3)</f>
        <v>0.80465272825877776</v>
      </c>
      <c r="H21" s="11" t="s">
        <v>263</v>
      </c>
      <c r="I21" s="11">
        <f>20*(E22-E21)^4*E23</f>
        <v>8.4573567284889573E-5</v>
      </c>
    </row>
    <row r="22" spans="4:30" x14ac:dyDescent="0.35">
      <c r="D22" t="s">
        <v>264</v>
      </c>
      <c r="E22">
        <v>0.85</v>
      </c>
      <c r="H22" s="11" t="s">
        <v>237</v>
      </c>
      <c r="I22" s="11">
        <f>SUM(I18:I19,I20:I21)</f>
        <v>2.2958973567284893E-2</v>
      </c>
      <c r="AD22" t="s">
        <v>274</v>
      </c>
    </row>
    <row r="23" spans="4:30" x14ac:dyDescent="0.35">
      <c r="D23" t="s">
        <v>265</v>
      </c>
      <c r="E23">
        <f>IF(E22&gt;E21, 1, 0)</f>
        <v>1</v>
      </c>
      <c r="H23" s="10" t="s">
        <v>256</v>
      </c>
      <c r="I23">
        <f>B5/I22</f>
        <v>11.075879667580859</v>
      </c>
    </row>
    <row r="24" spans="4:30" x14ac:dyDescent="0.35">
      <c r="H24" s="10" t="s">
        <v>143</v>
      </c>
      <c r="I24">
        <f>(B5^2)/(PI()*(B9^2/B8)*I18)</f>
        <v>0.97696389708078901</v>
      </c>
    </row>
  </sheetData>
  <mergeCells count="4">
    <mergeCell ref="A1:F1"/>
    <mergeCell ref="L1:AB1"/>
    <mergeCell ref="H16:J16"/>
    <mergeCell ref="H1:J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zoomScale="115" zoomScaleNormal="115" workbookViewId="0">
      <selection activeCell="B4" sqref="B4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26" t="s">
        <v>75</v>
      </c>
      <c r="B1" s="26"/>
      <c r="C1" s="27"/>
      <c r="D1" s="10"/>
      <c r="E1" s="25" t="s">
        <v>76</v>
      </c>
      <c r="F1" s="26"/>
      <c r="G1" s="2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68.747677443329593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5.220160000008172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16.763181956720501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7.8116408551191174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4.9059143350080596</v>
      </c>
      <c r="G12" s="6" t="s">
        <v>58</v>
      </c>
    </row>
    <row r="13" spans="1:8" x14ac:dyDescent="0.35">
      <c r="E13" s="10" t="s">
        <v>83</v>
      </c>
      <c r="F13">
        <f>Variables!B9/2</f>
        <v>8.3815909783602507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0.39058204275595587</v>
      </c>
      <c r="G15" s="6" t="s">
        <v>58</v>
      </c>
    </row>
    <row r="16" spans="1:8" x14ac:dyDescent="0.35">
      <c r="E16" s="10" t="s">
        <v>87</v>
      </c>
      <c r="F16">
        <f>Variables!B15</f>
        <v>0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9"/>
  <sheetViews>
    <sheetView zoomScale="115" zoomScaleNormal="115" workbookViewId="0">
      <selection activeCell="A4" sqref="A4:H5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24" t="s">
        <v>76</v>
      </c>
      <c r="B1" s="21"/>
      <c r="C1" s="21"/>
      <c r="D1" s="21"/>
      <c r="E1" s="21"/>
      <c r="F1" s="21"/>
      <c r="G1" s="21"/>
      <c r="H1" s="21"/>
      <c r="I1" s="11"/>
    </row>
    <row r="3" spans="1:9" x14ac:dyDescent="0.35">
      <c r="A3" s="2" t="s">
        <v>77</v>
      </c>
    </row>
    <row r="4" spans="1:9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9" x14ac:dyDescent="0.35">
      <c r="A5" s="18">
        <f>Variables!I5*Variables!I7*Variables!B12/Variables!I6</f>
        <v>41066864.755643956</v>
      </c>
      <c r="B5" s="18">
        <f>'CDCL(Re)'!B18*$A$5^2 + 'CDCL(Re)'!B19*$A$5 + 'CDCL(Re)'!B20</f>
        <v>-3.9786657637508778E-3</v>
      </c>
      <c r="C5">
        <f>'CDCL(Re)'!C18*$A$5^2 + 'CDCL(Re)'!C19*$A$5 + 'CDCL(Re)'!C20</f>
        <v>7.4892457718918233E-3</v>
      </c>
      <c r="D5" s="18">
        <f>'CDCL(Re)'!D18*$A$5^2 + 'CDCL(Re)'!D19*$A$5 + 'CDCL(Re)'!D20</f>
        <v>0.14725093717916046</v>
      </c>
      <c r="E5">
        <f>'CDCL(Re)'!E18*$A$5^2 + 'CDCL(Re)'!E19*$A$5 + 'CDCL(Re)'!E20</f>
        <v>7.0466567622178193E-3</v>
      </c>
      <c r="F5">
        <f>'CDCL(Re)'!F18*$A$5^2 + 'CDCL(Re)'!F19*$A$5 + 'CDCL(Re)'!F20</f>
        <v>0.61178193152036719</v>
      </c>
      <c r="G5">
        <f>'CDCL(Re)'!G18*$A$5^2 + 'CDCL(Re)'!G19*$A$5 + 'CDCL(Re)'!G20</f>
        <v>7.3626169432765946E-3</v>
      </c>
      <c r="H5" s="6">
        <f>'CDCL(Re)'!I18</f>
        <v>0.92921657518387979</v>
      </c>
    </row>
    <row r="7" spans="1:9" x14ac:dyDescent="0.35">
      <c r="A7" s="2" t="s">
        <v>78</v>
      </c>
    </row>
    <row r="8" spans="1:9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9" x14ac:dyDescent="0.35">
      <c r="A9" s="18">
        <f>Variables!I5*Variables!I7*Variables!B13/Variables!I6</f>
        <v>2053343.2377821978</v>
      </c>
      <c r="B9">
        <f>'CDCL(Re)'!B18*$A$9^2 + 'CDCL(Re)'!B19*$A$9 + 'CDCL(Re)'!B20</f>
        <v>-7.8081762340521423E-3</v>
      </c>
      <c r="C9">
        <f>'CDCL(Re)'!C18*$A$9^2 + 'CDCL(Re)'!C19*$A$9 + 'CDCL(Re)'!C20</f>
        <v>9.9374190283582822E-3</v>
      </c>
      <c r="D9" s="18">
        <f>'CDCL(Re)'!D18*$A$9^2 + 'CDCL(Re)'!D19*$A$9 + 'CDCL(Re)'!D20</f>
        <v>0.28576389481169628</v>
      </c>
      <c r="E9">
        <f>'CDCL(Re)'!E18*$A$9^2 + 'CDCL(Re)'!E19*$A$9 + 'CDCL(Re)'!E20</f>
        <v>8.99733283811089E-3</v>
      </c>
      <c r="F9">
        <f>'CDCL(Re)'!F18*$A$9^2 + 'CDCL(Re)'!F19*$A$9 + 'CDCL(Re)'!F20</f>
        <v>0.60129517808192612</v>
      </c>
      <c r="G9">
        <f>'CDCL(Re)'!G18*$A$9^2 + 'CDCL(Re)'!G19*$A$9 + 'CDCL(Re)'!G20</f>
        <v>9.7571092170456765E-3</v>
      </c>
      <c r="H9" s="6">
        <f>'CDCL(Re)'!I18</f>
        <v>0.92921657518387979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3"/>
  <sheetViews>
    <sheetView workbookViewId="0">
      <selection activeCell="C8" sqref="C8"/>
    </sheetView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248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80</v>
      </c>
    </row>
    <row r="7" spans="1:9" x14ac:dyDescent="0.35">
      <c r="A7" t="s">
        <v>101</v>
      </c>
      <c r="B7" t="s">
        <v>105</v>
      </c>
      <c r="C7">
        <f>1600</f>
        <v>1600</v>
      </c>
    </row>
    <row r="9" spans="1:9" x14ac:dyDescent="0.35">
      <c r="A9" t="s">
        <v>79</v>
      </c>
      <c r="B9" t="s">
        <v>103</v>
      </c>
      <c r="C9" s="18">
        <v>68.748000000000005</v>
      </c>
      <c r="D9" t="s">
        <v>80</v>
      </c>
      <c r="E9" t="s">
        <v>103</v>
      </c>
      <c r="F9" s="18">
        <v>5.2202000000000002</v>
      </c>
      <c r="G9" t="s">
        <v>81</v>
      </c>
      <c r="H9" t="s">
        <v>103</v>
      </c>
      <c r="I9">
        <v>16.763000000000002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4.0332400000000002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4.45E-3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-6.0000000000000002E-5</v>
      </c>
      <c r="D21" t="s">
        <v>130</v>
      </c>
      <c r="E21" t="s">
        <v>103</v>
      </c>
      <c r="F21">
        <v>-0.15493999999999999</v>
      </c>
    </row>
    <row r="22" spans="1:9" x14ac:dyDescent="0.35">
      <c r="A22" t="s">
        <v>131</v>
      </c>
      <c r="B22" t="s">
        <v>103</v>
      </c>
      <c r="C22">
        <v>-0.25462000000000001</v>
      </c>
      <c r="D22" t="s">
        <v>132</v>
      </c>
      <c r="E22" t="s">
        <v>103</v>
      </c>
      <c r="F22">
        <v>4.0000000000000003E-5</v>
      </c>
      <c r="G22" t="s">
        <v>133</v>
      </c>
      <c r="H22" t="s">
        <v>103</v>
      </c>
      <c r="I22">
        <v>4.0000000000000003E-5</v>
      </c>
    </row>
    <row r="24" spans="1:9" x14ac:dyDescent="0.35">
      <c r="A24" t="s">
        <v>134</v>
      </c>
      <c r="B24" t="s">
        <v>103</v>
      </c>
      <c r="C24">
        <v>0.25430000000000003</v>
      </c>
    </row>
    <row r="25" spans="1:9" x14ac:dyDescent="0.35">
      <c r="A25" t="s">
        <v>135</v>
      </c>
      <c r="B25" t="s">
        <v>103</v>
      </c>
      <c r="C25">
        <v>1.3469999999999999E-2</v>
      </c>
    </row>
    <row r="26" spans="1:9" x14ac:dyDescent="0.35">
      <c r="A26" t="s">
        <v>136</v>
      </c>
      <c r="B26" t="s">
        <v>103</v>
      </c>
      <c r="C26">
        <v>7.7200000000000003E-3</v>
      </c>
      <c r="D26" t="s">
        <v>137</v>
      </c>
      <c r="E26" t="s">
        <v>103</v>
      </c>
      <c r="F26">
        <v>5.7555000000000002E-3</v>
      </c>
    </row>
    <row r="27" spans="1:9" x14ac:dyDescent="0.35">
      <c r="A27" t="s">
        <v>138</v>
      </c>
      <c r="B27" t="s">
        <v>103</v>
      </c>
      <c r="C27">
        <v>0.25470999999999999</v>
      </c>
      <c r="D27" t="s">
        <v>139</v>
      </c>
      <c r="E27" t="s">
        <v>103</v>
      </c>
      <c r="F27">
        <v>5.1544E-3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0.98019999999999996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3.5951590000000002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-1.57E-3</v>
      </c>
      <c r="H38" t="s">
        <v>156</v>
      </c>
      <c r="I38" t="s">
        <v>103</v>
      </c>
      <c r="J38">
        <v>-7.7169999999999999E-3</v>
      </c>
    </row>
    <row r="39" spans="1:13" x14ac:dyDescent="0.35">
      <c r="A39" t="s">
        <v>157</v>
      </c>
      <c r="B39" t="s">
        <v>158</v>
      </c>
      <c r="C39" t="s">
        <v>159</v>
      </c>
      <c r="D39" t="s">
        <v>160</v>
      </c>
      <c r="E39" t="s">
        <v>103</v>
      </c>
      <c r="F39">
        <v>1.18E-4</v>
      </c>
      <c r="G39" t="s">
        <v>161</v>
      </c>
      <c r="H39" t="s">
        <v>103</v>
      </c>
      <c r="I39">
        <v>-3.9385000000000003E-2</v>
      </c>
    </row>
    <row r="40" spans="1:13" x14ac:dyDescent="0.35">
      <c r="A40" t="s">
        <v>153</v>
      </c>
      <c r="B40" t="s">
        <v>158</v>
      </c>
      <c r="C40" t="s">
        <v>4</v>
      </c>
      <c r="D40" t="s">
        <v>140</v>
      </c>
      <c r="E40" t="s">
        <v>162</v>
      </c>
      <c r="F40" t="s">
        <v>103</v>
      </c>
      <c r="G40">
        <v>-2.1866449999999999</v>
      </c>
      <c r="H40" t="s">
        <v>163</v>
      </c>
      <c r="I40" t="s">
        <v>103</v>
      </c>
      <c r="J40">
        <v>0</v>
      </c>
    </row>
    <row r="41" spans="1:13" x14ac:dyDescent="0.35">
      <c r="A41" t="s">
        <v>149</v>
      </c>
      <c r="B41" t="s">
        <v>158</v>
      </c>
      <c r="C41" t="s">
        <v>164</v>
      </c>
      <c r="D41" t="s">
        <v>165</v>
      </c>
      <c r="E41" t="s">
        <v>103</v>
      </c>
      <c r="F41">
        <v>1.116E-3</v>
      </c>
      <c r="G41" t="s">
        <v>166</v>
      </c>
      <c r="H41" t="s">
        <v>103</v>
      </c>
      <c r="I41">
        <v>4.1799999999999997E-3</v>
      </c>
    </row>
    <row r="43" spans="1:13" x14ac:dyDescent="0.35">
      <c r="A43" t="s">
        <v>167</v>
      </c>
      <c r="B43" t="s">
        <v>168</v>
      </c>
      <c r="C43" t="s">
        <v>169</v>
      </c>
      <c r="D43" t="s">
        <v>170</v>
      </c>
      <c r="E43" t="s">
        <v>168</v>
      </c>
      <c r="F43" t="s">
        <v>171</v>
      </c>
      <c r="G43" t="s">
        <v>172</v>
      </c>
      <c r="H43" t="s">
        <v>168</v>
      </c>
      <c r="I43" t="s">
        <v>173</v>
      </c>
    </row>
    <row r="44" spans="1:13" x14ac:dyDescent="0.35">
      <c r="A44" t="s">
        <v>148</v>
      </c>
      <c r="B44" t="s">
        <v>148</v>
      </c>
      <c r="C44" t="s">
        <v>148</v>
      </c>
    </row>
    <row r="45" spans="1:13" x14ac:dyDescent="0.35">
      <c r="A45" t="s">
        <v>149</v>
      </c>
      <c r="B45" t="s">
        <v>150</v>
      </c>
      <c r="C45" t="s">
        <v>1</v>
      </c>
      <c r="D45" t="s">
        <v>140</v>
      </c>
      <c r="E45" t="s">
        <v>174</v>
      </c>
      <c r="F45" t="s">
        <v>103</v>
      </c>
      <c r="G45">
        <v>-4.1E-5</v>
      </c>
      <c r="H45" t="s">
        <v>175</v>
      </c>
      <c r="I45" t="s">
        <v>103</v>
      </c>
      <c r="J45">
        <v>7.905456</v>
      </c>
      <c r="K45" t="s">
        <v>176</v>
      </c>
      <c r="L45" t="s">
        <v>103</v>
      </c>
      <c r="M45">
        <v>3.0000000000000001E-6</v>
      </c>
    </row>
    <row r="46" spans="1:13" x14ac:dyDescent="0.35">
      <c r="A46" t="s">
        <v>153</v>
      </c>
      <c r="B46" t="s">
        <v>150</v>
      </c>
      <c r="C46" t="s">
        <v>154</v>
      </c>
      <c r="D46" t="s">
        <v>140</v>
      </c>
      <c r="E46" t="s">
        <v>177</v>
      </c>
      <c r="F46" t="s">
        <v>103</v>
      </c>
      <c r="G46">
        <v>6.1178000000000003E-2</v>
      </c>
      <c r="H46" t="s">
        <v>178</v>
      </c>
      <c r="I46" t="s">
        <v>103</v>
      </c>
      <c r="J46">
        <v>-2.3110000000000001E-3</v>
      </c>
      <c r="K46" t="s">
        <v>179</v>
      </c>
      <c r="L46" t="s">
        <v>103</v>
      </c>
      <c r="M46">
        <v>-1.482E-3</v>
      </c>
    </row>
    <row r="47" spans="1:13" x14ac:dyDescent="0.35">
      <c r="A47" t="s">
        <v>157</v>
      </c>
      <c r="B47" t="s">
        <v>158</v>
      </c>
      <c r="C47" t="s">
        <v>159</v>
      </c>
      <c r="D47" t="s">
        <v>180</v>
      </c>
      <c r="E47" t="s">
        <v>103</v>
      </c>
      <c r="F47">
        <v>-0.27915400000000001</v>
      </c>
      <c r="G47" t="s">
        <v>181</v>
      </c>
      <c r="H47" t="s">
        <v>103</v>
      </c>
      <c r="I47">
        <v>1.21E-4</v>
      </c>
      <c r="J47" t="s">
        <v>182</v>
      </c>
      <c r="K47" t="s">
        <v>103</v>
      </c>
      <c r="L47">
        <v>6.8140999999999993E-2</v>
      </c>
    </row>
    <row r="48" spans="1:13" x14ac:dyDescent="0.35">
      <c r="A48" t="s">
        <v>153</v>
      </c>
      <c r="B48" t="s">
        <v>158</v>
      </c>
      <c r="C48" t="s">
        <v>4</v>
      </c>
      <c r="D48" t="s">
        <v>140</v>
      </c>
      <c r="E48" t="s">
        <v>183</v>
      </c>
      <c r="F48" t="s">
        <v>103</v>
      </c>
      <c r="G48">
        <v>0</v>
      </c>
      <c r="H48" t="s">
        <v>184</v>
      </c>
      <c r="I48" t="s">
        <v>103</v>
      </c>
      <c r="J48">
        <v>-5.5246729999999999</v>
      </c>
      <c r="K48" t="s">
        <v>185</v>
      </c>
      <c r="L48" t="s">
        <v>103</v>
      </c>
      <c r="M48">
        <v>0</v>
      </c>
    </row>
    <row r="49" spans="1:14" x14ac:dyDescent="0.35">
      <c r="A49" t="s">
        <v>149</v>
      </c>
      <c r="B49" t="s">
        <v>158</v>
      </c>
      <c r="C49" t="s">
        <v>164</v>
      </c>
      <c r="D49" t="s">
        <v>186</v>
      </c>
      <c r="E49" t="s">
        <v>103</v>
      </c>
      <c r="F49">
        <v>-2.9094999999999999E-2</v>
      </c>
      <c r="G49" t="s">
        <v>187</v>
      </c>
      <c r="H49" t="s">
        <v>103</v>
      </c>
      <c r="I49">
        <v>1.717E-3</v>
      </c>
      <c r="J49" t="s">
        <v>188</v>
      </c>
      <c r="K49" t="s">
        <v>103</v>
      </c>
      <c r="L49">
        <v>-3.457E-3</v>
      </c>
    </row>
    <row r="51" spans="1:14" x14ac:dyDescent="0.35">
      <c r="A51" t="s">
        <v>189</v>
      </c>
      <c r="B51" t="s">
        <v>190</v>
      </c>
      <c r="C51" t="s">
        <v>191</v>
      </c>
      <c r="D51" t="s">
        <v>103</v>
      </c>
      <c r="E51">
        <v>3.175027</v>
      </c>
    </row>
    <row r="53" spans="1:14" x14ac:dyDescent="0.35">
      <c r="A53" t="s">
        <v>161</v>
      </c>
      <c r="B53" t="s">
        <v>188</v>
      </c>
      <c r="C53" t="s">
        <v>249</v>
      </c>
      <c r="D53" t="s">
        <v>182</v>
      </c>
      <c r="E53" t="s">
        <v>166</v>
      </c>
      <c r="F53" t="s">
        <v>103</v>
      </c>
      <c r="G53">
        <v>0.47797099999999998</v>
      </c>
      <c r="H53" t="s">
        <v>250</v>
      </c>
      <c r="I53" t="s">
        <v>251</v>
      </c>
      <c r="J53">
        <v>1</v>
      </c>
      <c r="K53" t="s">
        <v>252</v>
      </c>
      <c r="L53" t="s">
        <v>253</v>
      </c>
      <c r="M53" t="s">
        <v>254</v>
      </c>
      <c r="N53" t="s">
        <v>255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N116"/>
  <sheetViews>
    <sheetView topLeftCell="A40" workbookViewId="0">
      <selection activeCell="H61" sqref="H61"/>
    </sheetView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99</v>
      </c>
      <c r="B4" t="s">
        <v>197</v>
      </c>
      <c r="C4" t="s">
        <v>198</v>
      </c>
      <c r="D4" t="s">
        <v>199</v>
      </c>
      <c r="E4" t="s">
        <v>200</v>
      </c>
      <c r="F4" t="s">
        <v>81</v>
      </c>
      <c r="G4" t="s">
        <v>201</v>
      </c>
      <c r="H4" t="s">
        <v>202</v>
      </c>
      <c r="I4" t="s">
        <v>203</v>
      </c>
      <c r="J4" t="s">
        <v>108</v>
      </c>
    </row>
    <row r="5" spans="1:12" x14ac:dyDescent="0.35">
      <c r="A5" t="s">
        <v>109</v>
      </c>
      <c r="B5" t="s">
        <v>110</v>
      </c>
      <c r="C5" t="s">
        <v>111</v>
      </c>
      <c r="D5" t="s">
        <v>65</v>
      </c>
      <c r="E5" t="s">
        <v>112</v>
      </c>
      <c r="F5" t="s">
        <v>113</v>
      </c>
      <c r="G5" t="s">
        <v>114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20</v>
      </c>
      <c r="E8" t="s">
        <v>101</v>
      </c>
      <c r="F8" t="s">
        <v>205</v>
      </c>
      <c r="G8" t="s">
        <v>103</v>
      </c>
      <c r="H8">
        <v>40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103</v>
      </c>
      <c r="D9">
        <v>34.373783000000003</v>
      </c>
      <c r="E9" t="s">
        <v>209</v>
      </c>
      <c r="F9" t="s">
        <v>85</v>
      </c>
      <c r="G9" t="s">
        <v>103</v>
      </c>
      <c r="H9">
        <v>4.1010999999999997</v>
      </c>
    </row>
    <row r="10" spans="1:12" x14ac:dyDescent="0.35">
      <c r="A10" t="s">
        <v>210</v>
      </c>
      <c r="B10" t="s">
        <v>103</v>
      </c>
      <c r="C10">
        <v>0.12715000000000001</v>
      </c>
      <c r="D10" t="s">
        <v>211</v>
      </c>
      <c r="E10" t="s">
        <v>103</v>
      </c>
      <c r="F10">
        <v>-2.5669999999999998E-2</v>
      </c>
    </row>
    <row r="11" spans="1:12" x14ac:dyDescent="0.35">
      <c r="A11" t="s">
        <v>212</v>
      </c>
      <c r="B11" t="s">
        <v>103</v>
      </c>
      <c r="C11">
        <v>-2.5300000000000001E-3</v>
      </c>
      <c r="D11" t="s">
        <v>213</v>
      </c>
      <c r="E11" t="s">
        <v>103</v>
      </c>
      <c r="F11">
        <v>-7.7469999999999997E-2</v>
      </c>
    </row>
    <row r="12" spans="1:12" x14ac:dyDescent="0.35">
      <c r="A12" t="s">
        <v>214</v>
      </c>
      <c r="B12" t="s">
        <v>103</v>
      </c>
      <c r="C12">
        <v>6.79E-3</v>
      </c>
      <c r="D12" t="s">
        <v>215</v>
      </c>
      <c r="E12" t="s">
        <v>103</v>
      </c>
      <c r="F12">
        <v>2.7999999999999998E-4</v>
      </c>
    </row>
    <row r="13" spans="1:12" x14ac:dyDescent="0.35">
      <c r="A13" t="s">
        <v>216</v>
      </c>
      <c r="B13" t="s">
        <v>103</v>
      </c>
      <c r="C13">
        <v>2.9299999999999999E-3</v>
      </c>
      <c r="D13" t="s">
        <v>217</v>
      </c>
      <c r="E13" t="s">
        <v>103</v>
      </c>
      <c r="F13">
        <v>3.8600000000000001E-3</v>
      </c>
    </row>
    <row r="15" spans="1:12" x14ac:dyDescent="0.35">
      <c r="A15" t="s">
        <v>99</v>
      </c>
      <c r="B15" t="s">
        <v>197</v>
      </c>
      <c r="C15" t="s">
        <v>198</v>
      </c>
      <c r="D15" t="s">
        <v>218</v>
      </c>
      <c r="E15" t="s">
        <v>219</v>
      </c>
      <c r="F15" t="s">
        <v>201</v>
      </c>
      <c r="G15" t="s">
        <v>220</v>
      </c>
      <c r="H15" t="s">
        <v>110</v>
      </c>
      <c r="I15" t="s">
        <v>221</v>
      </c>
      <c r="J15" t="s">
        <v>222</v>
      </c>
    </row>
    <row r="16" spans="1:12" x14ac:dyDescent="0.35">
      <c r="A16" t="s">
        <v>210</v>
      </c>
      <c r="B16" t="s">
        <v>103</v>
      </c>
      <c r="C16">
        <v>0.25429000000000002</v>
      </c>
      <c r="D16" t="s">
        <v>214</v>
      </c>
      <c r="E16" t="s">
        <v>103</v>
      </c>
      <c r="F16">
        <v>1.358E-2</v>
      </c>
    </row>
    <row r="17" spans="1:14" x14ac:dyDescent="0.35">
      <c r="A17" t="s">
        <v>223</v>
      </c>
      <c r="B17" t="s">
        <v>103</v>
      </c>
    </row>
    <row r="19" spans="1:14" x14ac:dyDescent="0.35">
      <c r="A19" t="s">
        <v>194</v>
      </c>
      <c r="B19" t="s">
        <v>99</v>
      </c>
      <c r="C19" t="s">
        <v>197</v>
      </c>
      <c r="D19" t="s">
        <v>198</v>
      </c>
      <c r="E19" t="s">
        <v>194</v>
      </c>
      <c r="F19" t="s">
        <v>224</v>
      </c>
      <c r="G19" t="s">
        <v>86</v>
      </c>
    </row>
    <row r="20" spans="1:14" x14ac:dyDescent="0.35">
      <c r="A20" t="s">
        <v>225</v>
      </c>
      <c r="B20" t="s">
        <v>83</v>
      </c>
      <c r="C20" t="s">
        <v>86</v>
      </c>
      <c r="D20" t="s">
        <v>226</v>
      </c>
      <c r="E20" t="s">
        <v>227</v>
      </c>
      <c r="F20" t="s">
        <v>228</v>
      </c>
      <c r="G20" t="s">
        <v>229</v>
      </c>
      <c r="H20" t="s">
        <v>230</v>
      </c>
      <c r="I20" t="s">
        <v>228</v>
      </c>
      <c r="J20" t="s">
        <v>231</v>
      </c>
      <c r="K20" t="s">
        <v>232</v>
      </c>
      <c r="L20" t="s">
        <v>233</v>
      </c>
      <c r="M20" t="s">
        <v>234</v>
      </c>
      <c r="N20" t="s">
        <v>235</v>
      </c>
    </row>
    <row r="21" spans="1:14" x14ac:dyDescent="0.35">
      <c r="A21">
        <v>1</v>
      </c>
      <c r="B21">
        <v>3.2000000000000002E-3</v>
      </c>
      <c r="C21">
        <v>7.8087</v>
      </c>
      <c r="D21">
        <v>0.1009</v>
      </c>
      <c r="E21">
        <v>1.4438</v>
      </c>
      <c r="F21">
        <v>5.2999999999999999E-2</v>
      </c>
      <c r="G21">
        <v>0.2026</v>
      </c>
      <c r="H21">
        <v>0.17899999999999999</v>
      </c>
      <c r="I21">
        <v>9.7100000000000006E-2</v>
      </c>
      <c r="J21">
        <v>7.0000000000000001E-3</v>
      </c>
      <c r="K21">
        <v>-4.4000000000000003E-3</v>
      </c>
      <c r="L21">
        <v>-4.3799999999999999E-2</v>
      </c>
      <c r="M21">
        <v>0.27400000000000002</v>
      </c>
    </row>
    <row r="22" spans="1:14" x14ac:dyDescent="0.35">
      <c r="A22">
        <v>2</v>
      </c>
      <c r="B22">
        <v>2.9000000000000001E-2</v>
      </c>
      <c r="C22">
        <v>7.7858999999999998</v>
      </c>
      <c r="D22">
        <v>0.30109999999999998</v>
      </c>
      <c r="E22">
        <v>1.4437</v>
      </c>
      <c r="F22">
        <v>5.2699999999999997E-2</v>
      </c>
      <c r="G22">
        <v>0.20910000000000001</v>
      </c>
      <c r="H22">
        <v>0.18479999999999999</v>
      </c>
      <c r="I22">
        <v>2.29E-2</v>
      </c>
      <c r="J22">
        <v>7.0000000000000001E-3</v>
      </c>
      <c r="K22">
        <v>-4.3E-3</v>
      </c>
      <c r="L22">
        <v>-4.3799999999999999E-2</v>
      </c>
      <c r="M22">
        <v>0.27300000000000002</v>
      </c>
    </row>
    <row r="23" spans="1:14" x14ac:dyDescent="0.35">
      <c r="A23">
        <v>3</v>
      </c>
      <c r="B23">
        <v>8.0500000000000002E-2</v>
      </c>
      <c r="C23">
        <v>7.7403000000000004</v>
      </c>
      <c r="D23">
        <v>0.49690000000000001</v>
      </c>
      <c r="E23">
        <v>1.4435</v>
      </c>
      <c r="F23">
        <v>5.2299999999999999E-2</v>
      </c>
      <c r="G23">
        <v>0.21079999999999999</v>
      </c>
      <c r="H23">
        <v>0.1862</v>
      </c>
      <c r="I23">
        <v>1.7999999999999999E-2</v>
      </c>
      <c r="J23">
        <v>7.0000000000000001E-3</v>
      </c>
      <c r="K23">
        <v>-4.1999999999999997E-3</v>
      </c>
      <c r="L23">
        <v>-4.3900000000000002E-2</v>
      </c>
      <c r="M23">
        <v>0.27200000000000002</v>
      </c>
    </row>
    <row r="24" spans="1:14" x14ac:dyDescent="0.35">
      <c r="A24">
        <v>4</v>
      </c>
      <c r="B24">
        <v>0.1573</v>
      </c>
      <c r="C24">
        <v>7.6722999999999999</v>
      </c>
      <c r="D24">
        <v>0.68530000000000002</v>
      </c>
      <c r="E24">
        <v>1.4429000000000001</v>
      </c>
      <c r="F24">
        <v>5.1900000000000002E-2</v>
      </c>
      <c r="G24">
        <v>0.21260000000000001</v>
      </c>
      <c r="H24">
        <v>0.18779999999999999</v>
      </c>
      <c r="I24">
        <v>1.6799999999999999E-2</v>
      </c>
      <c r="J24">
        <v>7.0000000000000001E-3</v>
      </c>
      <c r="K24">
        <v>-3.8E-3</v>
      </c>
      <c r="L24">
        <v>-4.3999999999999997E-2</v>
      </c>
      <c r="M24">
        <v>0.27</v>
      </c>
    </row>
    <row r="25" spans="1:14" x14ac:dyDescent="0.35">
      <c r="A25">
        <v>5</v>
      </c>
      <c r="B25">
        <v>0.25900000000000001</v>
      </c>
      <c r="C25">
        <v>7.5823</v>
      </c>
      <c r="D25">
        <v>0.86360000000000003</v>
      </c>
      <c r="E25">
        <v>1.4417</v>
      </c>
      <c r="F25">
        <v>5.1400000000000001E-2</v>
      </c>
      <c r="G25">
        <v>0.215</v>
      </c>
      <c r="H25">
        <v>0.19</v>
      </c>
      <c r="I25">
        <v>1.6299999999999999E-2</v>
      </c>
      <c r="J25">
        <v>7.1000000000000004E-3</v>
      </c>
      <c r="K25">
        <v>-3.3999999999999998E-3</v>
      </c>
      <c r="L25">
        <v>-4.41E-2</v>
      </c>
      <c r="M25">
        <v>0.26800000000000002</v>
      </c>
    </row>
    <row r="26" spans="1:14" x14ac:dyDescent="0.35">
      <c r="A26">
        <v>6</v>
      </c>
      <c r="B26">
        <v>0.38500000000000001</v>
      </c>
      <c r="C26">
        <v>7.4707999999999997</v>
      </c>
      <c r="D26">
        <v>1.0291999999999999</v>
      </c>
      <c r="E26">
        <v>1.4396</v>
      </c>
      <c r="F26">
        <v>5.0999999999999997E-2</v>
      </c>
      <c r="G26">
        <v>0.218</v>
      </c>
      <c r="H26">
        <v>0.19259999999999999</v>
      </c>
      <c r="I26">
        <v>1.5900000000000001E-2</v>
      </c>
      <c r="J26">
        <v>7.1000000000000004E-3</v>
      </c>
      <c r="K26">
        <v>-2.8999999999999998E-3</v>
      </c>
      <c r="L26">
        <v>-4.4200000000000003E-2</v>
      </c>
      <c r="M26">
        <v>0.26500000000000001</v>
      </c>
    </row>
    <row r="27" spans="1:14" x14ac:dyDescent="0.35">
      <c r="A27">
        <v>7</v>
      </c>
      <c r="B27">
        <v>0.5343</v>
      </c>
      <c r="C27">
        <v>7.3384999999999998</v>
      </c>
      <c r="D27">
        <v>1.1798999999999999</v>
      </c>
      <c r="E27">
        <v>1.4363999999999999</v>
      </c>
      <c r="F27">
        <v>5.0500000000000003E-2</v>
      </c>
      <c r="G27">
        <v>0.22140000000000001</v>
      </c>
      <c r="H27">
        <v>0.1956</v>
      </c>
      <c r="I27">
        <v>1.5599999999999999E-2</v>
      </c>
      <c r="J27">
        <v>7.1000000000000004E-3</v>
      </c>
      <c r="K27">
        <v>-2.3999999999999998E-3</v>
      </c>
      <c r="L27">
        <v>-4.4400000000000002E-2</v>
      </c>
      <c r="M27">
        <v>0.26200000000000001</v>
      </c>
    </row>
    <row r="28" spans="1:14" x14ac:dyDescent="0.35">
      <c r="A28">
        <v>8</v>
      </c>
      <c r="B28">
        <v>0.70630000000000004</v>
      </c>
      <c r="C28">
        <v>7.1863000000000001</v>
      </c>
      <c r="D28">
        <v>1.3138000000000001</v>
      </c>
      <c r="E28">
        <v>1.4318</v>
      </c>
      <c r="F28">
        <v>4.99E-2</v>
      </c>
      <c r="G28">
        <v>0.22550000000000001</v>
      </c>
      <c r="H28">
        <v>0.19919999999999999</v>
      </c>
      <c r="I28">
        <v>1.47E-2</v>
      </c>
      <c r="J28">
        <v>7.1999999999999998E-3</v>
      </c>
      <c r="K28">
        <v>-1.8E-3</v>
      </c>
      <c r="L28">
        <v>-4.4600000000000001E-2</v>
      </c>
      <c r="M28">
        <v>0.25900000000000001</v>
      </c>
    </row>
    <row r="29" spans="1:14" x14ac:dyDescent="0.35">
      <c r="A29">
        <v>9</v>
      </c>
      <c r="B29">
        <v>0.89970000000000006</v>
      </c>
      <c r="C29">
        <v>7.0149999999999997</v>
      </c>
      <c r="D29">
        <v>1.4291</v>
      </c>
      <c r="E29">
        <v>1.4254</v>
      </c>
      <c r="F29">
        <v>4.9399999999999999E-2</v>
      </c>
      <c r="G29">
        <v>0.23</v>
      </c>
      <c r="H29">
        <v>0.20319999999999999</v>
      </c>
      <c r="I29">
        <v>1.47E-2</v>
      </c>
      <c r="J29">
        <v>7.1999999999999998E-3</v>
      </c>
      <c r="K29">
        <v>-1.1999999999999999E-3</v>
      </c>
      <c r="L29">
        <v>-4.4999999999999998E-2</v>
      </c>
      <c r="M29">
        <v>0.25600000000000001</v>
      </c>
    </row>
    <row r="30" spans="1:14" x14ac:dyDescent="0.35">
      <c r="A30">
        <v>10</v>
      </c>
      <c r="B30">
        <v>1.1133999999999999</v>
      </c>
      <c r="C30">
        <v>6.8258000000000001</v>
      </c>
      <c r="D30">
        <v>1.5246999999999999</v>
      </c>
      <c r="E30">
        <v>1.417</v>
      </c>
      <c r="F30">
        <v>4.8800000000000003E-2</v>
      </c>
      <c r="G30">
        <v>0.23499999999999999</v>
      </c>
      <c r="H30">
        <v>0.20760000000000001</v>
      </c>
      <c r="I30">
        <v>1.4800000000000001E-2</v>
      </c>
      <c r="J30">
        <v>7.3000000000000001E-3</v>
      </c>
      <c r="K30">
        <v>-6.9999999999999999E-4</v>
      </c>
      <c r="L30">
        <v>-4.5499999999999999E-2</v>
      </c>
      <c r="M30">
        <v>0.253</v>
      </c>
    </row>
    <row r="31" spans="1:14" x14ac:dyDescent="0.35">
      <c r="A31">
        <v>11</v>
      </c>
      <c r="B31">
        <v>1.3461000000000001</v>
      </c>
      <c r="C31">
        <v>6.6197999999999997</v>
      </c>
      <c r="D31">
        <v>1.5995999999999999</v>
      </c>
      <c r="E31">
        <v>1.4064000000000001</v>
      </c>
      <c r="F31">
        <v>4.82E-2</v>
      </c>
      <c r="G31">
        <v>0.24049999999999999</v>
      </c>
      <c r="H31">
        <v>0.21249999999999999</v>
      </c>
      <c r="I31">
        <v>1.47E-2</v>
      </c>
      <c r="J31">
        <v>7.3000000000000001E-3</v>
      </c>
      <c r="K31">
        <v>-1E-4</v>
      </c>
      <c r="L31">
        <v>-4.6100000000000002E-2</v>
      </c>
      <c r="M31">
        <v>0.251</v>
      </c>
    </row>
    <row r="32" spans="1:14" x14ac:dyDescent="0.35">
      <c r="A32">
        <v>12</v>
      </c>
      <c r="B32">
        <v>1.5963000000000001</v>
      </c>
      <c r="C32">
        <v>6.3982000000000001</v>
      </c>
      <c r="D32">
        <v>1.6534</v>
      </c>
      <c r="E32">
        <v>1.3931</v>
      </c>
      <c r="F32">
        <v>4.7500000000000001E-2</v>
      </c>
      <c r="G32">
        <v>0.2465</v>
      </c>
      <c r="H32">
        <v>0.21779999999999999</v>
      </c>
      <c r="I32">
        <v>1.4E-2</v>
      </c>
      <c r="J32">
        <v>7.4000000000000003E-3</v>
      </c>
      <c r="K32">
        <v>2.9999999999999997E-4</v>
      </c>
      <c r="L32">
        <v>-4.6800000000000001E-2</v>
      </c>
      <c r="M32">
        <v>0.248</v>
      </c>
    </row>
    <row r="33" spans="1:13" x14ac:dyDescent="0.35">
      <c r="A33">
        <v>13</v>
      </c>
      <c r="B33">
        <v>1.8625</v>
      </c>
      <c r="C33">
        <v>6.1624999999999996</v>
      </c>
      <c r="D33">
        <v>1.6860999999999999</v>
      </c>
      <c r="E33">
        <v>1.3769</v>
      </c>
      <c r="F33">
        <v>4.6800000000000001E-2</v>
      </c>
      <c r="G33">
        <v>0.253</v>
      </c>
      <c r="H33">
        <v>0.2235</v>
      </c>
      <c r="I33">
        <v>1.4200000000000001E-2</v>
      </c>
      <c r="J33">
        <v>7.4000000000000003E-3</v>
      </c>
      <c r="K33">
        <v>8.0000000000000004E-4</v>
      </c>
      <c r="L33">
        <v>-4.7600000000000003E-2</v>
      </c>
      <c r="M33">
        <v>0.246</v>
      </c>
    </row>
    <row r="34" spans="1:13" x14ac:dyDescent="0.35">
      <c r="A34">
        <v>14</v>
      </c>
      <c r="B34">
        <v>2.1431</v>
      </c>
      <c r="C34">
        <v>5.9141000000000004</v>
      </c>
      <c r="D34">
        <v>1.698</v>
      </c>
      <c r="E34">
        <v>1.3576999999999999</v>
      </c>
      <c r="F34">
        <v>4.5999999999999999E-2</v>
      </c>
      <c r="G34">
        <v>0.26</v>
      </c>
      <c r="H34">
        <v>0.22969999999999999</v>
      </c>
      <c r="I34">
        <v>1.38E-2</v>
      </c>
      <c r="J34">
        <v>7.4999999999999997E-3</v>
      </c>
      <c r="K34">
        <v>1.1999999999999999E-3</v>
      </c>
      <c r="L34">
        <v>-4.8599999999999997E-2</v>
      </c>
      <c r="M34">
        <v>0.245</v>
      </c>
    </row>
    <row r="35" spans="1:13" x14ac:dyDescent="0.35">
      <c r="A35">
        <v>15</v>
      </c>
      <c r="B35">
        <v>2.4363000000000001</v>
      </c>
      <c r="C35">
        <v>5.6544999999999996</v>
      </c>
      <c r="D35">
        <v>1.6898</v>
      </c>
      <c r="E35">
        <v>1.3351</v>
      </c>
      <c r="F35">
        <v>4.5199999999999997E-2</v>
      </c>
      <c r="G35">
        <v>0.26740000000000003</v>
      </c>
      <c r="H35">
        <v>0.23619999999999999</v>
      </c>
      <c r="I35">
        <v>1.43E-2</v>
      </c>
      <c r="J35">
        <v>7.6E-3</v>
      </c>
      <c r="K35">
        <v>1.6000000000000001E-3</v>
      </c>
      <c r="L35">
        <v>-4.9700000000000001E-2</v>
      </c>
      <c r="M35">
        <v>0.24299999999999999</v>
      </c>
    </row>
    <row r="36" spans="1:13" x14ac:dyDescent="0.35">
      <c r="A36">
        <v>16</v>
      </c>
      <c r="B36">
        <v>2.7403</v>
      </c>
      <c r="C36">
        <v>5.3853999999999997</v>
      </c>
      <c r="D36">
        <v>1.6626000000000001</v>
      </c>
      <c r="E36">
        <v>1.3090999999999999</v>
      </c>
      <c r="F36">
        <v>4.4400000000000002E-2</v>
      </c>
      <c r="G36">
        <v>0.27539999999999998</v>
      </c>
      <c r="H36">
        <v>0.24329999999999999</v>
      </c>
      <c r="I36">
        <v>1.2999999999999999E-2</v>
      </c>
      <c r="J36">
        <v>7.7000000000000002E-3</v>
      </c>
      <c r="K36">
        <v>1.9E-3</v>
      </c>
      <c r="L36">
        <v>-5.0900000000000001E-2</v>
      </c>
      <c r="M36">
        <v>0.24199999999999999</v>
      </c>
    </row>
    <row r="37" spans="1:13" x14ac:dyDescent="0.35">
      <c r="A37">
        <v>17</v>
      </c>
      <c r="B37">
        <v>3.0531999999999999</v>
      </c>
      <c r="C37">
        <v>5.1082999999999998</v>
      </c>
      <c r="D37">
        <v>1.6177999999999999</v>
      </c>
      <c r="E37">
        <v>1.2795000000000001</v>
      </c>
      <c r="F37">
        <v>4.3400000000000001E-2</v>
      </c>
      <c r="G37">
        <v>0.2838</v>
      </c>
      <c r="H37">
        <v>0.25069999999999998</v>
      </c>
      <c r="I37">
        <v>1.3899999999999999E-2</v>
      </c>
      <c r="J37">
        <v>7.7000000000000002E-3</v>
      </c>
      <c r="K37">
        <v>2.0999999999999999E-3</v>
      </c>
      <c r="L37">
        <v>-5.2299999999999999E-2</v>
      </c>
      <c r="M37">
        <v>0.24099999999999999</v>
      </c>
    </row>
    <row r="38" spans="1:13" x14ac:dyDescent="0.35">
      <c r="A38">
        <v>18</v>
      </c>
      <c r="B38">
        <v>3.3732000000000002</v>
      </c>
      <c r="C38">
        <v>4.8250000000000002</v>
      </c>
      <c r="D38">
        <v>1.5571999999999999</v>
      </c>
      <c r="E38">
        <v>1.2463</v>
      </c>
      <c r="F38">
        <v>4.24E-2</v>
      </c>
      <c r="G38">
        <v>0.29270000000000002</v>
      </c>
      <c r="H38">
        <v>0.2586</v>
      </c>
      <c r="I38">
        <v>1.3299999999999999E-2</v>
      </c>
      <c r="J38">
        <v>7.7999999999999996E-3</v>
      </c>
      <c r="K38">
        <v>2.3999999999999998E-3</v>
      </c>
      <c r="L38">
        <v>-5.3800000000000001E-2</v>
      </c>
      <c r="M38">
        <v>0.24099999999999999</v>
      </c>
    </row>
    <row r="39" spans="1:13" x14ac:dyDescent="0.35">
      <c r="A39">
        <v>19</v>
      </c>
      <c r="B39">
        <v>3.6981999999999999</v>
      </c>
      <c r="C39">
        <v>4.5372000000000003</v>
      </c>
      <c r="D39">
        <v>1.4826999999999999</v>
      </c>
      <c r="E39">
        <v>1.2094</v>
      </c>
      <c r="F39">
        <v>4.1300000000000003E-2</v>
      </c>
      <c r="G39">
        <v>0.30199999999999999</v>
      </c>
      <c r="H39">
        <v>0.26679999999999998</v>
      </c>
      <c r="I39">
        <v>1.3299999999999999E-2</v>
      </c>
      <c r="J39">
        <v>7.9000000000000008E-3</v>
      </c>
      <c r="K39">
        <v>2.5999999999999999E-3</v>
      </c>
      <c r="L39">
        <v>-5.5399999999999998E-2</v>
      </c>
      <c r="M39">
        <v>0.24</v>
      </c>
    </row>
    <row r="40" spans="1:13" x14ac:dyDescent="0.35">
      <c r="A40">
        <v>20</v>
      </c>
      <c r="B40">
        <v>4.0263</v>
      </c>
      <c r="C40">
        <v>4.2468000000000004</v>
      </c>
      <c r="D40">
        <v>1.3964000000000001</v>
      </c>
      <c r="E40">
        <v>1.1689000000000001</v>
      </c>
      <c r="F40">
        <v>0.04</v>
      </c>
      <c r="G40">
        <v>0.31190000000000001</v>
      </c>
      <c r="H40">
        <v>0.27560000000000001</v>
      </c>
      <c r="I40">
        <v>1.2999999999999999E-2</v>
      </c>
      <c r="J40">
        <v>8.0000000000000002E-3</v>
      </c>
      <c r="K40">
        <v>2.7000000000000001E-3</v>
      </c>
      <c r="L40">
        <v>-5.7200000000000001E-2</v>
      </c>
      <c r="M40">
        <v>0.24</v>
      </c>
    </row>
    <row r="41" spans="1:13" x14ac:dyDescent="0.35">
      <c r="A41">
        <v>21</v>
      </c>
      <c r="B41">
        <v>4.3552999999999997</v>
      </c>
      <c r="C41">
        <v>3.9554</v>
      </c>
      <c r="D41">
        <v>1.3006</v>
      </c>
      <c r="E41">
        <v>1.1248</v>
      </c>
      <c r="F41">
        <v>3.8699999999999998E-2</v>
      </c>
      <c r="G41">
        <v>0.32229999999999998</v>
      </c>
      <c r="H41">
        <v>0.2848</v>
      </c>
      <c r="I41">
        <v>1.24E-2</v>
      </c>
      <c r="J41">
        <v>8.0999999999999996E-3</v>
      </c>
      <c r="K41">
        <v>2.8999999999999998E-3</v>
      </c>
      <c r="L41">
        <v>-5.8999999999999997E-2</v>
      </c>
      <c r="M41">
        <v>0.24</v>
      </c>
    </row>
    <row r="42" spans="1:13" x14ac:dyDescent="0.35">
      <c r="A42">
        <v>22</v>
      </c>
      <c r="B42">
        <v>4.6833999999999998</v>
      </c>
      <c r="C42">
        <v>3.665</v>
      </c>
      <c r="D42">
        <v>1.1976</v>
      </c>
      <c r="E42">
        <v>1.0772999999999999</v>
      </c>
      <c r="F42">
        <v>3.73E-2</v>
      </c>
      <c r="G42">
        <v>0.33329999999999999</v>
      </c>
      <c r="H42">
        <v>0.29449999999999998</v>
      </c>
      <c r="I42">
        <v>1.0999999999999999E-2</v>
      </c>
      <c r="J42">
        <v>8.0999999999999996E-3</v>
      </c>
      <c r="K42">
        <v>3.0000000000000001E-3</v>
      </c>
      <c r="L42">
        <v>-6.0999999999999999E-2</v>
      </c>
      <c r="M42">
        <v>0.24</v>
      </c>
    </row>
    <row r="43" spans="1:13" x14ac:dyDescent="0.35">
      <c r="A43">
        <v>23</v>
      </c>
      <c r="B43">
        <v>5.0084</v>
      </c>
      <c r="C43">
        <v>3.3772000000000002</v>
      </c>
      <c r="D43">
        <v>1.0900000000000001</v>
      </c>
      <c r="E43">
        <v>1.0266999999999999</v>
      </c>
      <c r="F43">
        <v>3.5700000000000003E-2</v>
      </c>
      <c r="G43">
        <v>0.34439999999999998</v>
      </c>
      <c r="H43">
        <v>0.30430000000000001</v>
      </c>
      <c r="I43">
        <v>1.5299999999999999E-2</v>
      </c>
      <c r="J43">
        <v>8.2000000000000007E-3</v>
      </c>
      <c r="K43">
        <v>3.0000000000000001E-3</v>
      </c>
      <c r="L43">
        <v>-6.3100000000000003E-2</v>
      </c>
      <c r="M43">
        <v>0.24</v>
      </c>
    </row>
    <row r="44" spans="1:13" x14ac:dyDescent="0.35">
      <c r="A44">
        <v>24</v>
      </c>
      <c r="B44">
        <v>5.3284000000000002</v>
      </c>
      <c r="C44">
        <v>3.0939000000000001</v>
      </c>
      <c r="D44">
        <v>0.97989999999999999</v>
      </c>
      <c r="E44">
        <v>0.97319999999999995</v>
      </c>
      <c r="F44">
        <v>3.4000000000000002E-2</v>
      </c>
      <c r="G44">
        <v>0.35680000000000001</v>
      </c>
      <c r="H44">
        <v>0.31519999999999998</v>
      </c>
      <c r="I44">
        <v>1.0200000000000001E-2</v>
      </c>
      <c r="J44">
        <v>8.3000000000000001E-3</v>
      </c>
      <c r="K44">
        <v>3.0999999999999999E-3</v>
      </c>
      <c r="L44">
        <v>-6.5299999999999997E-2</v>
      </c>
      <c r="M44">
        <v>0.24</v>
      </c>
    </row>
    <row r="45" spans="1:13" x14ac:dyDescent="0.35">
      <c r="A45">
        <v>25</v>
      </c>
      <c r="B45">
        <v>5.6413000000000002</v>
      </c>
      <c r="C45">
        <v>2.8168000000000002</v>
      </c>
      <c r="D45">
        <v>0.86960000000000004</v>
      </c>
      <c r="E45">
        <v>0.91710000000000003</v>
      </c>
      <c r="F45">
        <v>3.2199999999999999E-2</v>
      </c>
      <c r="G45">
        <v>0.36909999999999998</v>
      </c>
      <c r="H45">
        <v>0.32600000000000001</v>
      </c>
      <c r="I45">
        <v>1.3599999999999999E-2</v>
      </c>
      <c r="J45">
        <v>8.3999999999999995E-3</v>
      </c>
      <c r="K45">
        <v>3.2000000000000002E-3</v>
      </c>
      <c r="L45">
        <v>-6.7599999999999993E-2</v>
      </c>
      <c r="M45">
        <v>0.24</v>
      </c>
    </row>
    <row r="46" spans="1:13" x14ac:dyDescent="0.35">
      <c r="A46">
        <v>26</v>
      </c>
      <c r="B46">
        <v>5.9452999999999996</v>
      </c>
      <c r="C46">
        <v>2.5476999999999999</v>
      </c>
      <c r="D46">
        <v>0.76129999999999998</v>
      </c>
      <c r="E46">
        <v>0.8589</v>
      </c>
      <c r="F46">
        <v>3.0300000000000001E-2</v>
      </c>
      <c r="G46">
        <v>0.38219999999999998</v>
      </c>
      <c r="H46">
        <v>0.33760000000000001</v>
      </c>
      <c r="I46">
        <v>1.29E-2</v>
      </c>
      <c r="J46">
        <v>8.5000000000000006E-3</v>
      </c>
      <c r="K46">
        <v>3.3E-3</v>
      </c>
      <c r="L46">
        <v>-7.0000000000000007E-2</v>
      </c>
      <c r="M46">
        <v>0.24</v>
      </c>
    </row>
    <row r="47" spans="1:13" x14ac:dyDescent="0.35">
      <c r="A47">
        <v>27</v>
      </c>
      <c r="B47">
        <v>6.2385000000000002</v>
      </c>
      <c r="C47">
        <v>2.2881</v>
      </c>
      <c r="D47">
        <v>0.65690000000000004</v>
      </c>
      <c r="E47">
        <v>0.79890000000000005</v>
      </c>
      <c r="F47">
        <v>2.8299999999999999E-2</v>
      </c>
      <c r="G47">
        <v>0.3962</v>
      </c>
      <c r="H47">
        <v>0.35</v>
      </c>
      <c r="I47">
        <v>8.2000000000000007E-3</v>
      </c>
      <c r="J47">
        <v>8.5000000000000006E-3</v>
      </c>
      <c r="K47">
        <v>3.3999999999999998E-3</v>
      </c>
      <c r="L47">
        <v>-7.2499999999999995E-2</v>
      </c>
      <c r="M47">
        <v>0.24</v>
      </c>
    </row>
    <row r="48" spans="1:13" x14ac:dyDescent="0.35">
      <c r="A48">
        <v>28</v>
      </c>
      <c r="B48">
        <v>6.5190999999999999</v>
      </c>
      <c r="C48">
        <v>2.0396999999999998</v>
      </c>
      <c r="D48">
        <v>0.55810000000000004</v>
      </c>
      <c r="E48">
        <v>0.73760000000000003</v>
      </c>
      <c r="F48">
        <v>2.6100000000000002E-2</v>
      </c>
      <c r="G48">
        <v>0.41060000000000002</v>
      </c>
      <c r="H48">
        <v>0.36270000000000002</v>
      </c>
      <c r="I48">
        <v>5.8999999999999999E-3</v>
      </c>
      <c r="J48">
        <v>8.6E-3</v>
      </c>
      <c r="K48">
        <v>3.5000000000000001E-3</v>
      </c>
      <c r="L48">
        <v>-7.51E-2</v>
      </c>
      <c r="M48">
        <v>0.24</v>
      </c>
    </row>
    <row r="49" spans="1:13" x14ac:dyDescent="0.35">
      <c r="A49">
        <v>29</v>
      </c>
      <c r="B49">
        <v>6.7853000000000003</v>
      </c>
      <c r="C49">
        <v>1.804</v>
      </c>
      <c r="D49">
        <v>0.4662</v>
      </c>
      <c r="E49">
        <v>0.67549999999999999</v>
      </c>
      <c r="F49">
        <v>2.3900000000000001E-2</v>
      </c>
      <c r="G49">
        <v>0.42499999999999999</v>
      </c>
      <c r="H49">
        <v>0.37540000000000001</v>
      </c>
      <c r="I49">
        <v>8.0000000000000002E-3</v>
      </c>
      <c r="J49">
        <v>8.6999999999999994E-3</v>
      </c>
      <c r="K49">
        <v>3.7000000000000002E-3</v>
      </c>
      <c r="L49">
        <v>-7.7700000000000005E-2</v>
      </c>
      <c r="M49">
        <v>0.24</v>
      </c>
    </row>
    <row r="50" spans="1:13" x14ac:dyDescent="0.35">
      <c r="A50">
        <v>30</v>
      </c>
      <c r="B50">
        <v>7.0354999999999999</v>
      </c>
      <c r="C50">
        <v>1.5824</v>
      </c>
      <c r="D50">
        <v>0.38240000000000002</v>
      </c>
      <c r="E50">
        <v>0.61309999999999998</v>
      </c>
      <c r="F50">
        <v>2.1600000000000001E-2</v>
      </c>
      <c r="G50">
        <v>0.43969999999999998</v>
      </c>
      <c r="H50">
        <v>0.38840000000000002</v>
      </c>
      <c r="I50">
        <v>8.6999999999999994E-3</v>
      </c>
      <c r="J50">
        <v>8.8000000000000005E-3</v>
      </c>
      <c r="K50">
        <v>3.8999999999999998E-3</v>
      </c>
      <c r="L50">
        <v>-8.0299999999999996E-2</v>
      </c>
      <c r="M50">
        <v>0.24</v>
      </c>
    </row>
    <row r="51" spans="1:13" x14ac:dyDescent="0.35">
      <c r="A51">
        <v>31</v>
      </c>
      <c r="B51">
        <v>7.2682000000000002</v>
      </c>
      <c r="C51">
        <v>1.3764000000000001</v>
      </c>
      <c r="D51">
        <v>0.30740000000000001</v>
      </c>
      <c r="E51">
        <v>0.55089999999999995</v>
      </c>
      <c r="F51">
        <v>1.9400000000000001E-2</v>
      </c>
      <c r="G51">
        <v>0.45440000000000003</v>
      </c>
      <c r="H51">
        <v>0.40139999999999998</v>
      </c>
      <c r="I51">
        <v>6.4999999999999997E-3</v>
      </c>
      <c r="J51">
        <v>8.8999999999999999E-3</v>
      </c>
      <c r="K51">
        <v>4.3E-3</v>
      </c>
      <c r="L51">
        <v>-8.2799999999999999E-2</v>
      </c>
      <c r="M51">
        <v>0.23899999999999999</v>
      </c>
    </row>
    <row r="52" spans="1:13" x14ac:dyDescent="0.35">
      <c r="A52">
        <v>32</v>
      </c>
      <c r="B52">
        <v>7.4819000000000004</v>
      </c>
      <c r="C52">
        <v>1.1872</v>
      </c>
      <c r="D52">
        <v>0.2419</v>
      </c>
      <c r="E52">
        <v>0.4894</v>
      </c>
      <c r="F52">
        <v>1.72E-2</v>
      </c>
      <c r="G52">
        <v>0.46820000000000001</v>
      </c>
      <c r="H52">
        <v>0.41360000000000002</v>
      </c>
      <c r="I52">
        <v>4.7999999999999996E-3</v>
      </c>
      <c r="J52">
        <v>8.8999999999999999E-3</v>
      </c>
      <c r="K52">
        <v>4.8999999999999998E-3</v>
      </c>
      <c r="L52">
        <v>-8.48E-2</v>
      </c>
      <c r="M52">
        <v>0.23799999999999999</v>
      </c>
    </row>
    <row r="53" spans="1:13" x14ac:dyDescent="0.35">
      <c r="A53">
        <v>33</v>
      </c>
      <c r="B53">
        <v>7.6753</v>
      </c>
      <c r="C53">
        <v>1.0159</v>
      </c>
      <c r="D53">
        <v>0.1857</v>
      </c>
      <c r="E53">
        <v>0.42909999999999998</v>
      </c>
      <c r="F53">
        <v>1.54E-2</v>
      </c>
      <c r="G53">
        <v>0.4798</v>
      </c>
      <c r="H53">
        <v>0.4239</v>
      </c>
      <c r="I53">
        <v>2.5000000000000001E-3</v>
      </c>
      <c r="J53">
        <v>8.9999999999999993E-3</v>
      </c>
      <c r="K53">
        <v>5.8999999999999999E-3</v>
      </c>
      <c r="L53">
        <v>-8.6199999999999999E-2</v>
      </c>
      <c r="M53">
        <v>0.23599999999999999</v>
      </c>
    </row>
    <row r="54" spans="1:13" x14ac:dyDescent="0.35">
      <c r="A54">
        <v>34</v>
      </c>
      <c r="B54">
        <v>7.8472999999999997</v>
      </c>
      <c r="C54">
        <v>0.86370000000000002</v>
      </c>
      <c r="D54">
        <v>0.1389</v>
      </c>
      <c r="E54">
        <v>0.37009999999999998</v>
      </c>
      <c r="F54">
        <v>1.4200000000000001E-2</v>
      </c>
      <c r="G54">
        <v>0.48680000000000001</v>
      </c>
      <c r="H54">
        <v>0.43</v>
      </c>
      <c r="I54">
        <v>2E-3</v>
      </c>
      <c r="J54">
        <v>8.9999999999999993E-3</v>
      </c>
      <c r="K54">
        <v>7.4000000000000003E-3</v>
      </c>
      <c r="L54">
        <v>-8.6199999999999999E-2</v>
      </c>
      <c r="M54">
        <v>0.23300000000000001</v>
      </c>
    </row>
    <row r="55" spans="1:13" x14ac:dyDescent="0.35">
      <c r="A55">
        <v>35</v>
      </c>
      <c r="B55">
        <v>7.9965999999999999</v>
      </c>
      <c r="C55">
        <v>0.73140000000000005</v>
      </c>
      <c r="D55">
        <v>0.1008</v>
      </c>
      <c r="E55">
        <v>0.3125</v>
      </c>
      <c r="F55">
        <v>1.3899999999999999E-2</v>
      </c>
      <c r="G55">
        <v>0.48559999999999998</v>
      </c>
      <c r="H55">
        <v>0.4289</v>
      </c>
      <c r="I55">
        <v>0</v>
      </c>
      <c r="J55">
        <v>9.1000000000000004E-3</v>
      </c>
      <c r="K55">
        <v>9.5999999999999992E-3</v>
      </c>
      <c r="L55">
        <v>-8.4000000000000005E-2</v>
      </c>
      <c r="M55">
        <v>0.22800000000000001</v>
      </c>
    </row>
    <row r="56" spans="1:13" x14ac:dyDescent="0.35">
      <c r="A56">
        <v>36</v>
      </c>
      <c r="B56">
        <v>8.1226000000000003</v>
      </c>
      <c r="C56">
        <v>0.61990000000000001</v>
      </c>
      <c r="D56">
        <v>7.0599999999999996E-2</v>
      </c>
      <c r="E56">
        <v>0.25609999999999999</v>
      </c>
      <c r="F56">
        <v>1.49E-2</v>
      </c>
      <c r="G56">
        <v>0.46970000000000001</v>
      </c>
      <c r="H56">
        <v>0.41499999999999998</v>
      </c>
      <c r="I56">
        <v>-3.5000000000000001E-3</v>
      </c>
      <c r="J56">
        <v>9.1000000000000004E-3</v>
      </c>
      <c r="K56">
        <v>1.29E-2</v>
      </c>
      <c r="L56">
        <v>-7.8100000000000003E-2</v>
      </c>
      <c r="M56">
        <v>0.219</v>
      </c>
    </row>
    <row r="57" spans="1:13" x14ac:dyDescent="0.35">
      <c r="A57">
        <v>37</v>
      </c>
      <c r="B57">
        <v>8.2242999999999995</v>
      </c>
      <c r="C57">
        <v>0.52990000000000004</v>
      </c>
      <c r="D57">
        <v>4.7300000000000002E-2</v>
      </c>
      <c r="E57">
        <v>0.20019999999999999</v>
      </c>
      <c r="F57">
        <v>1.72E-2</v>
      </c>
      <c r="G57">
        <v>0.42970000000000003</v>
      </c>
      <c r="H57">
        <v>0.37959999999999999</v>
      </c>
      <c r="I57">
        <v>-3.5999999999999999E-3</v>
      </c>
      <c r="J57">
        <v>8.9999999999999993E-3</v>
      </c>
      <c r="K57">
        <v>1.6899999999999998E-2</v>
      </c>
      <c r="L57">
        <v>-6.7100000000000007E-2</v>
      </c>
      <c r="M57">
        <v>0.20499999999999999</v>
      </c>
    </row>
    <row r="58" spans="1:13" x14ac:dyDescent="0.35">
      <c r="A58">
        <v>38</v>
      </c>
      <c r="B58">
        <v>8.3010999999999999</v>
      </c>
      <c r="C58">
        <v>0.46189999999999998</v>
      </c>
      <c r="D58">
        <v>2.9700000000000001E-2</v>
      </c>
      <c r="E58">
        <v>0.14410000000000001</v>
      </c>
      <c r="F58">
        <v>2.06E-2</v>
      </c>
      <c r="G58">
        <v>0.35499999999999998</v>
      </c>
      <c r="H58">
        <v>0.31359999999999999</v>
      </c>
      <c r="I58">
        <v>-3.5000000000000001E-3</v>
      </c>
      <c r="J58">
        <v>8.9999999999999993E-3</v>
      </c>
      <c r="K58">
        <v>0.02</v>
      </c>
      <c r="L58">
        <v>-5.0200000000000002E-2</v>
      </c>
      <c r="M58">
        <v>0.186</v>
      </c>
    </row>
    <row r="59" spans="1:13" x14ac:dyDescent="0.35">
      <c r="A59">
        <v>39</v>
      </c>
      <c r="B59">
        <v>8.3526000000000007</v>
      </c>
      <c r="C59">
        <v>0.4163</v>
      </c>
      <c r="D59">
        <v>1.61E-2</v>
      </c>
      <c r="E59">
        <v>8.72E-2</v>
      </c>
      <c r="F59">
        <v>2.4299999999999999E-2</v>
      </c>
      <c r="G59">
        <v>0.23830000000000001</v>
      </c>
      <c r="H59">
        <v>0.21049999999999999</v>
      </c>
      <c r="I59">
        <v>-5.0000000000000001E-4</v>
      </c>
      <c r="J59">
        <v>9.1000000000000004E-3</v>
      </c>
      <c r="K59">
        <v>1.8200000000000001E-2</v>
      </c>
      <c r="L59">
        <v>-2.9600000000000001E-2</v>
      </c>
      <c r="M59">
        <v>0.16400000000000001</v>
      </c>
    </row>
    <row r="60" spans="1:13" x14ac:dyDescent="0.35">
      <c r="A60">
        <v>40</v>
      </c>
      <c r="B60">
        <v>8.3783999999999992</v>
      </c>
      <c r="C60">
        <v>0.39350000000000002</v>
      </c>
      <c r="D60">
        <v>5.1000000000000004E-3</v>
      </c>
      <c r="E60">
        <v>2.92E-2</v>
      </c>
      <c r="F60">
        <v>2.7199999999999998E-2</v>
      </c>
      <c r="G60">
        <v>8.4599999999999995E-2</v>
      </c>
      <c r="H60">
        <v>7.4800000000000005E-2</v>
      </c>
      <c r="I60">
        <v>5.0000000000000001E-3</v>
      </c>
      <c r="J60">
        <v>9.4999999999999998E-3</v>
      </c>
      <c r="K60">
        <v>7.9000000000000008E-3</v>
      </c>
      <c r="L60">
        <v>-9.4000000000000004E-3</v>
      </c>
      <c r="M60">
        <v>0.14499999999999999</v>
      </c>
    </row>
    <row r="62" spans="1:13" x14ac:dyDescent="0.35">
      <c r="A62" t="s">
        <v>192</v>
      </c>
      <c r="B62" t="s">
        <v>101</v>
      </c>
      <c r="C62">
        <v>2</v>
      </c>
      <c r="D62" t="s">
        <v>76</v>
      </c>
      <c r="E62" t="s">
        <v>236</v>
      </c>
    </row>
    <row r="63" spans="1:13" x14ac:dyDescent="0.35">
      <c r="A63" t="s">
        <v>101</v>
      </c>
      <c r="B63" t="s">
        <v>204</v>
      </c>
      <c r="C63" t="s">
        <v>103</v>
      </c>
      <c r="D63">
        <v>20</v>
      </c>
      <c r="E63" t="s">
        <v>101</v>
      </c>
      <c r="F63" t="s">
        <v>205</v>
      </c>
      <c r="G63" t="s">
        <v>103</v>
      </c>
      <c r="H63">
        <v>40</v>
      </c>
      <c r="I63" t="s">
        <v>206</v>
      </c>
      <c r="J63" t="s">
        <v>207</v>
      </c>
      <c r="K63" t="s">
        <v>103</v>
      </c>
      <c r="L63">
        <v>41</v>
      </c>
    </row>
    <row r="64" spans="1:13" x14ac:dyDescent="0.35">
      <c r="A64" t="s">
        <v>192</v>
      </c>
      <c r="B64" t="s">
        <v>208</v>
      </c>
      <c r="C64" t="s">
        <v>103</v>
      </c>
      <c r="D64">
        <v>34.373783000000003</v>
      </c>
      <c r="E64" t="s">
        <v>209</v>
      </c>
      <c r="F64" t="s">
        <v>85</v>
      </c>
      <c r="G64" t="s">
        <v>103</v>
      </c>
      <c r="H64">
        <v>4.1010999999999997</v>
      </c>
    </row>
    <row r="65" spans="1:14" x14ac:dyDescent="0.35">
      <c r="A65" t="s">
        <v>210</v>
      </c>
      <c r="B65" t="s">
        <v>103</v>
      </c>
      <c r="C65">
        <v>0.12715000000000001</v>
      </c>
      <c r="D65" t="s">
        <v>211</v>
      </c>
      <c r="E65" t="s">
        <v>103</v>
      </c>
      <c r="F65">
        <v>2.5669999999999998E-2</v>
      </c>
    </row>
    <row r="66" spans="1:14" x14ac:dyDescent="0.35">
      <c r="A66" t="s">
        <v>212</v>
      </c>
      <c r="B66" t="s">
        <v>103</v>
      </c>
      <c r="C66">
        <v>2.48E-3</v>
      </c>
      <c r="D66" t="s">
        <v>213</v>
      </c>
      <c r="E66" t="s">
        <v>103</v>
      </c>
      <c r="F66">
        <v>-7.7469999999999997E-2</v>
      </c>
    </row>
    <row r="67" spans="1:14" x14ac:dyDescent="0.35">
      <c r="A67" t="s">
        <v>214</v>
      </c>
      <c r="B67" t="s">
        <v>103</v>
      </c>
      <c r="C67">
        <v>6.6800000000000002E-3</v>
      </c>
      <c r="D67" t="s">
        <v>215</v>
      </c>
      <c r="E67" t="s">
        <v>103</v>
      </c>
      <c r="F67">
        <v>-2.4000000000000001E-4</v>
      </c>
    </row>
    <row r="68" spans="1:14" x14ac:dyDescent="0.35">
      <c r="A68" t="s">
        <v>216</v>
      </c>
      <c r="B68" t="s">
        <v>103</v>
      </c>
      <c r="C68">
        <v>2.8300000000000001E-3</v>
      </c>
      <c r="D68" t="s">
        <v>217</v>
      </c>
      <c r="E68" t="s">
        <v>103</v>
      </c>
      <c r="F68">
        <v>3.8600000000000001E-3</v>
      </c>
    </row>
    <row r="70" spans="1:14" x14ac:dyDescent="0.35">
      <c r="A70" t="s">
        <v>99</v>
      </c>
      <c r="B70" t="s">
        <v>197</v>
      </c>
      <c r="C70" t="s">
        <v>198</v>
      </c>
      <c r="D70" t="s">
        <v>218</v>
      </c>
      <c r="E70" t="s">
        <v>219</v>
      </c>
      <c r="F70" t="s">
        <v>201</v>
      </c>
      <c r="G70" t="s">
        <v>220</v>
      </c>
      <c r="H70" t="s">
        <v>110</v>
      </c>
      <c r="I70" t="s">
        <v>221</v>
      </c>
      <c r="J70" t="s">
        <v>222</v>
      </c>
    </row>
    <row r="71" spans="1:14" x14ac:dyDescent="0.35">
      <c r="A71" t="s">
        <v>210</v>
      </c>
      <c r="B71" t="s">
        <v>103</v>
      </c>
      <c r="C71">
        <v>0.25430999999999998</v>
      </c>
      <c r="D71" t="s">
        <v>214</v>
      </c>
      <c r="E71" t="s">
        <v>103</v>
      </c>
      <c r="F71">
        <v>1.337E-2</v>
      </c>
    </row>
    <row r="72" spans="1:14" x14ac:dyDescent="0.35">
      <c r="A72" t="s">
        <v>223</v>
      </c>
      <c r="B72" t="s">
        <v>103</v>
      </c>
    </row>
    <row r="74" spans="1:14" x14ac:dyDescent="0.35">
      <c r="A74" t="s">
        <v>194</v>
      </c>
      <c r="B74" t="s">
        <v>99</v>
      </c>
      <c r="C74" t="s">
        <v>197</v>
      </c>
      <c r="D74" t="s">
        <v>198</v>
      </c>
      <c r="E74" t="s">
        <v>194</v>
      </c>
      <c r="F74" t="s">
        <v>224</v>
      </c>
      <c r="G74" t="s">
        <v>86</v>
      </c>
    </row>
    <row r="75" spans="1:14" x14ac:dyDescent="0.35">
      <c r="A75" t="s">
        <v>225</v>
      </c>
      <c r="B75" t="s">
        <v>83</v>
      </c>
      <c r="C75" t="s">
        <v>86</v>
      </c>
      <c r="D75" t="s">
        <v>226</v>
      </c>
      <c r="E75" t="s">
        <v>227</v>
      </c>
      <c r="F75" t="s">
        <v>228</v>
      </c>
      <c r="G75" t="s">
        <v>229</v>
      </c>
      <c r="H75" t="s">
        <v>230</v>
      </c>
      <c r="I75" t="s">
        <v>228</v>
      </c>
      <c r="J75" t="s">
        <v>231</v>
      </c>
      <c r="K75" t="s">
        <v>232</v>
      </c>
      <c r="L75" t="s">
        <v>233</v>
      </c>
      <c r="M75" t="s">
        <v>234</v>
      </c>
      <c r="N75" t="s">
        <v>235</v>
      </c>
    </row>
    <row r="76" spans="1:14" x14ac:dyDescent="0.35">
      <c r="A76">
        <v>41</v>
      </c>
      <c r="B76">
        <v>-3.2000000000000002E-3</v>
      </c>
      <c r="C76">
        <v>7.8087</v>
      </c>
      <c r="D76">
        <v>0.1009</v>
      </c>
      <c r="E76">
        <v>1.4438</v>
      </c>
      <c r="F76">
        <v>5.2999999999999999E-2</v>
      </c>
      <c r="G76">
        <v>0.2026</v>
      </c>
      <c r="H76">
        <v>0.17899999999999999</v>
      </c>
      <c r="I76">
        <v>9.7000000000000003E-2</v>
      </c>
      <c r="J76">
        <v>7.0000000000000001E-3</v>
      </c>
      <c r="K76">
        <v>-4.4000000000000003E-3</v>
      </c>
      <c r="L76">
        <v>4.3799999999999999E-2</v>
      </c>
      <c r="M76">
        <v>0.27400000000000002</v>
      </c>
    </row>
    <row r="77" spans="1:14" x14ac:dyDescent="0.35">
      <c r="A77">
        <v>42</v>
      </c>
      <c r="B77">
        <v>-2.9000000000000001E-2</v>
      </c>
      <c r="C77">
        <v>7.7858999999999998</v>
      </c>
      <c r="D77">
        <v>0.30109999999999998</v>
      </c>
      <c r="E77">
        <v>1.4437</v>
      </c>
      <c r="F77">
        <v>5.2699999999999997E-2</v>
      </c>
      <c r="G77">
        <v>0.20910000000000001</v>
      </c>
      <c r="H77">
        <v>0.18479999999999999</v>
      </c>
      <c r="I77">
        <v>2.29E-2</v>
      </c>
      <c r="J77">
        <v>7.0000000000000001E-3</v>
      </c>
      <c r="K77">
        <v>-4.3E-3</v>
      </c>
      <c r="L77">
        <v>4.3799999999999999E-2</v>
      </c>
      <c r="M77">
        <v>0.27300000000000002</v>
      </c>
    </row>
    <row r="78" spans="1:14" x14ac:dyDescent="0.35">
      <c r="A78">
        <v>43</v>
      </c>
      <c r="B78">
        <v>-8.0500000000000002E-2</v>
      </c>
      <c r="C78">
        <v>7.7403000000000004</v>
      </c>
      <c r="D78">
        <v>0.49690000000000001</v>
      </c>
      <c r="E78">
        <v>1.4435</v>
      </c>
      <c r="F78">
        <v>5.2299999999999999E-2</v>
      </c>
      <c r="G78">
        <v>0.2107</v>
      </c>
      <c r="H78">
        <v>0.1862</v>
      </c>
      <c r="I78">
        <v>1.7999999999999999E-2</v>
      </c>
      <c r="J78">
        <v>7.0000000000000001E-3</v>
      </c>
      <c r="K78">
        <v>-4.1999999999999997E-3</v>
      </c>
      <c r="L78">
        <v>4.3900000000000002E-2</v>
      </c>
      <c r="M78">
        <v>0.27200000000000002</v>
      </c>
    </row>
    <row r="79" spans="1:14" x14ac:dyDescent="0.35">
      <c r="A79">
        <v>44</v>
      </c>
      <c r="B79">
        <v>-0.1573</v>
      </c>
      <c r="C79">
        <v>7.6722999999999999</v>
      </c>
      <c r="D79">
        <v>0.68530000000000002</v>
      </c>
      <c r="E79">
        <v>1.4429000000000001</v>
      </c>
      <c r="F79">
        <v>5.1900000000000002E-2</v>
      </c>
      <c r="G79">
        <v>0.21260000000000001</v>
      </c>
      <c r="H79">
        <v>0.18779999999999999</v>
      </c>
      <c r="I79">
        <v>1.6799999999999999E-2</v>
      </c>
      <c r="J79">
        <v>7.0000000000000001E-3</v>
      </c>
      <c r="K79">
        <v>-3.8E-3</v>
      </c>
      <c r="L79">
        <v>4.3999999999999997E-2</v>
      </c>
      <c r="M79">
        <v>0.27</v>
      </c>
    </row>
    <row r="80" spans="1:14" x14ac:dyDescent="0.35">
      <c r="A80">
        <v>45</v>
      </c>
      <c r="B80">
        <v>-0.25900000000000001</v>
      </c>
      <c r="C80">
        <v>7.5823</v>
      </c>
      <c r="D80">
        <v>0.86360000000000003</v>
      </c>
      <c r="E80">
        <v>1.4417</v>
      </c>
      <c r="F80">
        <v>5.1400000000000001E-2</v>
      </c>
      <c r="G80">
        <v>0.215</v>
      </c>
      <c r="H80">
        <v>0.19</v>
      </c>
      <c r="I80">
        <v>1.6299999999999999E-2</v>
      </c>
      <c r="J80">
        <v>7.1000000000000004E-3</v>
      </c>
      <c r="K80">
        <v>-3.3999999999999998E-3</v>
      </c>
      <c r="L80">
        <v>4.41E-2</v>
      </c>
      <c r="M80">
        <v>0.26800000000000002</v>
      </c>
    </row>
    <row r="81" spans="1:13" x14ac:dyDescent="0.35">
      <c r="A81">
        <v>46</v>
      </c>
      <c r="B81">
        <v>-0.38500000000000001</v>
      </c>
      <c r="C81">
        <v>7.4707999999999997</v>
      </c>
      <c r="D81">
        <v>1.0291999999999999</v>
      </c>
      <c r="E81">
        <v>1.4396</v>
      </c>
      <c r="F81">
        <v>5.0999999999999997E-2</v>
      </c>
      <c r="G81">
        <v>0.218</v>
      </c>
      <c r="H81">
        <v>0.19259999999999999</v>
      </c>
      <c r="I81">
        <v>1.5900000000000001E-2</v>
      </c>
      <c r="J81">
        <v>7.1000000000000004E-3</v>
      </c>
      <c r="K81">
        <v>-2.8999999999999998E-3</v>
      </c>
      <c r="L81">
        <v>4.4200000000000003E-2</v>
      </c>
      <c r="M81">
        <v>0.26500000000000001</v>
      </c>
    </row>
    <row r="82" spans="1:13" x14ac:dyDescent="0.35">
      <c r="A82">
        <v>47</v>
      </c>
      <c r="B82">
        <v>-0.5343</v>
      </c>
      <c r="C82">
        <v>7.3384999999999998</v>
      </c>
      <c r="D82">
        <v>1.1798999999999999</v>
      </c>
      <c r="E82">
        <v>1.4363999999999999</v>
      </c>
      <c r="F82">
        <v>5.0500000000000003E-2</v>
      </c>
      <c r="G82">
        <v>0.22140000000000001</v>
      </c>
      <c r="H82">
        <v>0.1956</v>
      </c>
      <c r="I82">
        <v>1.5599999999999999E-2</v>
      </c>
      <c r="J82">
        <v>7.1000000000000004E-3</v>
      </c>
      <c r="K82">
        <v>-2.3999999999999998E-3</v>
      </c>
      <c r="L82">
        <v>4.4400000000000002E-2</v>
      </c>
      <c r="M82">
        <v>0.26200000000000001</v>
      </c>
    </row>
    <row r="83" spans="1:13" x14ac:dyDescent="0.35">
      <c r="A83">
        <v>48</v>
      </c>
      <c r="B83">
        <v>-0.70630000000000004</v>
      </c>
      <c r="C83">
        <v>7.1863000000000001</v>
      </c>
      <c r="D83">
        <v>1.3138000000000001</v>
      </c>
      <c r="E83">
        <v>1.4318</v>
      </c>
      <c r="F83">
        <v>4.99E-2</v>
      </c>
      <c r="G83">
        <v>0.22550000000000001</v>
      </c>
      <c r="H83">
        <v>0.19919999999999999</v>
      </c>
      <c r="I83">
        <v>1.47E-2</v>
      </c>
      <c r="J83">
        <v>7.1999999999999998E-3</v>
      </c>
      <c r="K83">
        <v>-1.8E-3</v>
      </c>
      <c r="L83">
        <v>4.4600000000000001E-2</v>
      </c>
      <c r="M83">
        <v>0.25900000000000001</v>
      </c>
    </row>
    <row r="84" spans="1:13" x14ac:dyDescent="0.35">
      <c r="A84">
        <v>49</v>
      </c>
      <c r="B84">
        <v>-0.89970000000000006</v>
      </c>
      <c r="C84">
        <v>7.0149999999999997</v>
      </c>
      <c r="D84">
        <v>1.4291</v>
      </c>
      <c r="E84">
        <v>1.4254</v>
      </c>
      <c r="F84">
        <v>4.9399999999999999E-2</v>
      </c>
      <c r="G84">
        <v>0.23</v>
      </c>
      <c r="H84">
        <v>0.20319999999999999</v>
      </c>
      <c r="I84">
        <v>1.4500000000000001E-2</v>
      </c>
      <c r="J84">
        <v>7.1999999999999998E-3</v>
      </c>
      <c r="K84">
        <v>-1.1999999999999999E-3</v>
      </c>
      <c r="L84">
        <v>4.4999999999999998E-2</v>
      </c>
      <c r="M84">
        <v>0.25600000000000001</v>
      </c>
    </row>
    <row r="85" spans="1:13" x14ac:dyDescent="0.35">
      <c r="A85">
        <v>50</v>
      </c>
      <c r="B85">
        <v>-1.1133999999999999</v>
      </c>
      <c r="C85">
        <v>6.8258000000000001</v>
      </c>
      <c r="D85">
        <v>1.5246999999999999</v>
      </c>
      <c r="E85">
        <v>1.417</v>
      </c>
      <c r="F85">
        <v>4.8800000000000003E-2</v>
      </c>
      <c r="G85">
        <v>0.23499999999999999</v>
      </c>
      <c r="H85">
        <v>0.20760000000000001</v>
      </c>
      <c r="I85">
        <v>1.4800000000000001E-2</v>
      </c>
      <c r="J85">
        <v>7.3000000000000001E-3</v>
      </c>
      <c r="K85">
        <v>-6.9999999999999999E-4</v>
      </c>
      <c r="L85">
        <v>4.5499999999999999E-2</v>
      </c>
      <c r="M85">
        <v>0.253</v>
      </c>
    </row>
    <row r="86" spans="1:13" x14ac:dyDescent="0.35">
      <c r="A86">
        <v>51</v>
      </c>
      <c r="B86">
        <v>-1.3461000000000001</v>
      </c>
      <c r="C86">
        <v>6.6197999999999997</v>
      </c>
      <c r="D86">
        <v>1.5995999999999999</v>
      </c>
      <c r="E86">
        <v>1.4064000000000001</v>
      </c>
      <c r="F86">
        <v>4.82E-2</v>
      </c>
      <c r="G86">
        <v>0.24049999999999999</v>
      </c>
      <c r="H86">
        <v>0.21249999999999999</v>
      </c>
      <c r="I86">
        <v>1.44E-2</v>
      </c>
      <c r="J86">
        <v>7.3000000000000001E-3</v>
      </c>
      <c r="K86">
        <v>-1E-4</v>
      </c>
      <c r="L86">
        <v>4.6100000000000002E-2</v>
      </c>
      <c r="M86">
        <v>0.251</v>
      </c>
    </row>
    <row r="87" spans="1:13" x14ac:dyDescent="0.35">
      <c r="A87">
        <v>52</v>
      </c>
      <c r="B87">
        <v>-1.5963000000000001</v>
      </c>
      <c r="C87">
        <v>6.3982000000000001</v>
      </c>
      <c r="D87">
        <v>1.6534</v>
      </c>
      <c r="E87">
        <v>1.3931</v>
      </c>
      <c r="F87">
        <v>4.7500000000000001E-2</v>
      </c>
      <c r="G87">
        <v>0.2465</v>
      </c>
      <c r="H87">
        <v>0.21779999999999999</v>
      </c>
      <c r="I87">
        <v>1.4E-2</v>
      </c>
      <c r="J87">
        <v>7.4000000000000003E-3</v>
      </c>
      <c r="K87">
        <v>2.9999999999999997E-4</v>
      </c>
      <c r="L87">
        <v>4.6800000000000001E-2</v>
      </c>
      <c r="M87">
        <v>0.248</v>
      </c>
    </row>
    <row r="88" spans="1:13" x14ac:dyDescent="0.35">
      <c r="A88">
        <v>53</v>
      </c>
      <c r="B88">
        <v>-1.8625</v>
      </c>
      <c r="C88">
        <v>6.1624999999999996</v>
      </c>
      <c r="D88">
        <v>1.6860999999999999</v>
      </c>
      <c r="E88">
        <v>1.3769</v>
      </c>
      <c r="F88">
        <v>4.6800000000000001E-2</v>
      </c>
      <c r="G88">
        <v>0.253</v>
      </c>
      <c r="H88">
        <v>0.2235</v>
      </c>
      <c r="I88">
        <v>1.4200000000000001E-2</v>
      </c>
      <c r="J88">
        <v>7.4000000000000003E-3</v>
      </c>
      <c r="K88">
        <v>8.0000000000000004E-4</v>
      </c>
      <c r="L88">
        <v>4.7600000000000003E-2</v>
      </c>
      <c r="M88">
        <v>0.246</v>
      </c>
    </row>
    <row r="89" spans="1:13" x14ac:dyDescent="0.35">
      <c r="A89">
        <v>54</v>
      </c>
      <c r="B89">
        <v>-2.1431</v>
      </c>
      <c r="C89">
        <v>5.9141000000000004</v>
      </c>
      <c r="D89">
        <v>1.698</v>
      </c>
      <c r="E89">
        <v>1.3576999999999999</v>
      </c>
      <c r="F89">
        <v>4.5999999999999999E-2</v>
      </c>
      <c r="G89">
        <v>0.26</v>
      </c>
      <c r="H89">
        <v>0.22969999999999999</v>
      </c>
      <c r="I89">
        <v>1.38E-2</v>
      </c>
      <c r="J89">
        <v>7.4999999999999997E-3</v>
      </c>
      <c r="K89">
        <v>1.1999999999999999E-3</v>
      </c>
      <c r="L89">
        <v>4.8599999999999997E-2</v>
      </c>
      <c r="M89">
        <v>0.245</v>
      </c>
    </row>
    <row r="90" spans="1:13" x14ac:dyDescent="0.35">
      <c r="A90">
        <v>55</v>
      </c>
      <c r="B90">
        <v>-2.4363000000000001</v>
      </c>
      <c r="C90">
        <v>5.6544999999999996</v>
      </c>
      <c r="D90">
        <v>1.6898</v>
      </c>
      <c r="E90">
        <v>1.3351</v>
      </c>
      <c r="F90">
        <v>4.5199999999999997E-2</v>
      </c>
      <c r="G90">
        <v>0.26740000000000003</v>
      </c>
      <c r="H90">
        <v>0.23619999999999999</v>
      </c>
      <c r="I90">
        <v>1.4200000000000001E-2</v>
      </c>
      <c r="J90">
        <v>7.6E-3</v>
      </c>
      <c r="K90">
        <v>1.6000000000000001E-3</v>
      </c>
      <c r="L90">
        <v>4.9700000000000001E-2</v>
      </c>
      <c r="M90">
        <v>0.24299999999999999</v>
      </c>
    </row>
    <row r="91" spans="1:13" x14ac:dyDescent="0.35">
      <c r="A91">
        <v>56</v>
      </c>
      <c r="B91">
        <v>-2.7403</v>
      </c>
      <c r="C91">
        <v>5.3853999999999997</v>
      </c>
      <c r="D91">
        <v>1.6626000000000001</v>
      </c>
      <c r="E91">
        <v>1.3090999999999999</v>
      </c>
      <c r="F91">
        <v>4.4400000000000002E-2</v>
      </c>
      <c r="G91">
        <v>0.27539999999999998</v>
      </c>
      <c r="H91">
        <v>0.24329999999999999</v>
      </c>
      <c r="I91">
        <v>1.29E-2</v>
      </c>
      <c r="J91">
        <v>7.7000000000000002E-3</v>
      </c>
      <c r="K91">
        <v>1.9E-3</v>
      </c>
      <c r="L91">
        <v>5.0900000000000001E-2</v>
      </c>
      <c r="M91">
        <v>0.24199999999999999</v>
      </c>
    </row>
    <row r="92" spans="1:13" x14ac:dyDescent="0.35">
      <c r="A92">
        <v>57</v>
      </c>
      <c r="B92">
        <v>-3.0531999999999999</v>
      </c>
      <c r="C92">
        <v>5.1082999999999998</v>
      </c>
      <c r="D92">
        <v>1.6177999999999999</v>
      </c>
      <c r="E92">
        <v>1.2795000000000001</v>
      </c>
      <c r="F92">
        <v>4.3400000000000001E-2</v>
      </c>
      <c r="G92">
        <v>0.2838</v>
      </c>
      <c r="H92">
        <v>0.25069999999999998</v>
      </c>
      <c r="I92">
        <v>1.3899999999999999E-2</v>
      </c>
      <c r="J92">
        <v>7.7000000000000002E-3</v>
      </c>
      <c r="K92">
        <v>2.0999999999999999E-3</v>
      </c>
      <c r="L92">
        <v>5.2299999999999999E-2</v>
      </c>
      <c r="M92">
        <v>0.24099999999999999</v>
      </c>
    </row>
    <row r="93" spans="1:13" x14ac:dyDescent="0.35">
      <c r="A93">
        <v>58</v>
      </c>
      <c r="B93">
        <v>-3.3732000000000002</v>
      </c>
      <c r="C93">
        <v>4.8250000000000002</v>
      </c>
      <c r="D93">
        <v>1.5571999999999999</v>
      </c>
      <c r="E93">
        <v>1.2463</v>
      </c>
      <c r="F93">
        <v>4.24E-2</v>
      </c>
      <c r="G93">
        <v>0.29270000000000002</v>
      </c>
      <c r="H93">
        <v>0.2586</v>
      </c>
      <c r="I93">
        <v>1.3299999999999999E-2</v>
      </c>
      <c r="J93">
        <v>7.7999999999999996E-3</v>
      </c>
      <c r="K93">
        <v>2.3999999999999998E-3</v>
      </c>
      <c r="L93">
        <v>5.3800000000000001E-2</v>
      </c>
      <c r="M93">
        <v>0.24099999999999999</v>
      </c>
    </row>
    <row r="94" spans="1:13" x14ac:dyDescent="0.35">
      <c r="A94">
        <v>59</v>
      </c>
      <c r="B94">
        <v>-3.6981999999999999</v>
      </c>
      <c r="C94">
        <v>4.5372000000000003</v>
      </c>
      <c r="D94">
        <v>1.4826999999999999</v>
      </c>
      <c r="E94">
        <v>1.2094</v>
      </c>
      <c r="F94">
        <v>4.1300000000000003E-2</v>
      </c>
      <c r="G94">
        <v>0.30209999999999998</v>
      </c>
      <c r="H94">
        <v>0.26679999999999998</v>
      </c>
      <c r="I94">
        <v>1.3100000000000001E-2</v>
      </c>
      <c r="J94">
        <v>7.9000000000000008E-3</v>
      </c>
      <c r="K94">
        <v>2.5999999999999999E-3</v>
      </c>
      <c r="L94">
        <v>5.5399999999999998E-2</v>
      </c>
      <c r="M94">
        <v>0.24</v>
      </c>
    </row>
    <row r="95" spans="1:13" x14ac:dyDescent="0.35">
      <c r="A95">
        <v>60</v>
      </c>
      <c r="B95">
        <v>-4.0263</v>
      </c>
      <c r="C95">
        <v>4.2468000000000004</v>
      </c>
      <c r="D95">
        <v>1.3964000000000001</v>
      </c>
      <c r="E95">
        <v>1.1689000000000001</v>
      </c>
      <c r="F95">
        <v>0.04</v>
      </c>
      <c r="G95">
        <v>0.31190000000000001</v>
      </c>
      <c r="H95">
        <v>0.27560000000000001</v>
      </c>
      <c r="I95">
        <v>1.2800000000000001E-2</v>
      </c>
      <c r="J95">
        <v>8.0000000000000002E-3</v>
      </c>
      <c r="K95">
        <v>2.7000000000000001E-3</v>
      </c>
      <c r="L95">
        <v>5.7200000000000001E-2</v>
      </c>
      <c r="M95">
        <v>0.24</v>
      </c>
    </row>
    <row r="96" spans="1:13" x14ac:dyDescent="0.35">
      <c r="A96">
        <v>61</v>
      </c>
      <c r="B96">
        <v>-4.3552999999999997</v>
      </c>
      <c r="C96">
        <v>3.9554</v>
      </c>
      <c r="D96">
        <v>1.3006</v>
      </c>
      <c r="E96">
        <v>1.1248</v>
      </c>
      <c r="F96">
        <v>3.8699999999999998E-2</v>
      </c>
      <c r="G96">
        <v>0.32240000000000002</v>
      </c>
      <c r="H96">
        <v>0.2848</v>
      </c>
      <c r="I96">
        <v>1.18E-2</v>
      </c>
      <c r="J96">
        <v>8.0999999999999996E-3</v>
      </c>
      <c r="K96">
        <v>2.8999999999999998E-3</v>
      </c>
      <c r="L96">
        <v>5.8999999999999997E-2</v>
      </c>
      <c r="M96">
        <v>0.24</v>
      </c>
    </row>
    <row r="97" spans="1:13" x14ac:dyDescent="0.35">
      <c r="A97">
        <v>62</v>
      </c>
      <c r="B97">
        <v>-4.6833999999999998</v>
      </c>
      <c r="C97">
        <v>3.665</v>
      </c>
      <c r="D97">
        <v>1.1976</v>
      </c>
      <c r="E97">
        <v>1.0772999999999999</v>
      </c>
      <c r="F97">
        <v>3.73E-2</v>
      </c>
      <c r="G97">
        <v>0.33339999999999997</v>
      </c>
      <c r="H97">
        <v>0.29449999999999998</v>
      </c>
      <c r="I97">
        <v>1.0500000000000001E-2</v>
      </c>
      <c r="J97">
        <v>8.0999999999999996E-3</v>
      </c>
      <c r="K97">
        <v>3.0000000000000001E-3</v>
      </c>
      <c r="L97">
        <v>6.0999999999999999E-2</v>
      </c>
      <c r="M97">
        <v>0.24</v>
      </c>
    </row>
    <row r="98" spans="1:13" x14ac:dyDescent="0.35">
      <c r="A98">
        <v>63</v>
      </c>
      <c r="B98">
        <v>-5.0084</v>
      </c>
      <c r="C98">
        <v>3.3772000000000002</v>
      </c>
      <c r="D98">
        <v>1.0900000000000001</v>
      </c>
      <c r="E98">
        <v>1.0266999999999999</v>
      </c>
      <c r="F98">
        <v>3.5700000000000003E-2</v>
      </c>
      <c r="G98">
        <v>0.34439999999999998</v>
      </c>
      <c r="H98">
        <v>0.30430000000000001</v>
      </c>
      <c r="I98">
        <v>1.49E-2</v>
      </c>
      <c r="J98">
        <v>8.2000000000000007E-3</v>
      </c>
      <c r="K98">
        <v>3.0000000000000001E-3</v>
      </c>
      <c r="L98">
        <v>6.3100000000000003E-2</v>
      </c>
      <c r="M98">
        <v>0.24</v>
      </c>
    </row>
    <row r="99" spans="1:13" x14ac:dyDescent="0.35">
      <c r="A99">
        <v>64</v>
      </c>
      <c r="B99">
        <v>-5.3284000000000002</v>
      </c>
      <c r="C99">
        <v>3.0939000000000001</v>
      </c>
      <c r="D99">
        <v>0.97989999999999999</v>
      </c>
      <c r="E99">
        <v>0.97319999999999995</v>
      </c>
      <c r="F99">
        <v>3.4000000000000002E-2</v>
      </c>
      <c r="G99">
        <v>0.35680000000000001</v>
      </c>
      <c r="H99">
        <v>0.31519999999999998</v>
      </c>
      <c r="I99">
        <v>1.01E-2</v>
      </c>
      <c r="J99">
        <v>8.3000000000000001E-3</v>
      </c>
      <c r="K99">
        <v>3.0999999999999999E-3</v>
      </c>
      <c r="L99">
        <v>6.5299999999999997E-2</v>
      </c>
      <c r="M99">
        <v>0.24</v>
      </c>
    </row>
    <row r="100" spans="1:13" x14ac:dyDescent="0.35">
      <c r="A100">
        <v>65</v>
      </c>
      <c r="B100">
        <v>-5.6413000000000002</v>
      </c>
      <c r="C100">
        <v>2.8168000000000002</v>
      </c>
      <c r="D100">
        <v>0.86960000000000004</v>
      </c>
      <c r="E100">
        <v>0.91710000000000003</v>
      </c>
      <c r="F100">
        <v>3.2199999999999999E-2</v>
      </c>
      <c r="G100">
        <v>0.36919999999999997</v>
      </c>
      <c r="H100">
        <v>0.32619999999999999</v>
      </c>
      <c r="I100">
        <v>1.14E-2</v>
      </c>
      <c r="J100">
        <v>8.3999999999999995E-3</v>
      </c>
      <c r="K100">
        <v>3.2000000000000002E-3</v>
      </c>
      <c r="L100">
        <v>6.7599999999999993E-2</v>
      </c>
      <c r="M100">
        <v>0.24</v>
      </c>
    </row>
    <row r="101" spans="1:13" x14ac:dyDescent="0.35">
      <c r="A101">
        <v>66</v>
      </c>
      <c r="B101">
        <v>-5.9452999999999996</v>
      </c>
      <c r="C101">
        <v>2.5476999999999999</v>
      </c>
      <c r="D101">
        <v>0.76129999999999998</v>
      </c>
      <c r="E101">
        <v>0.8589</v>
      </c>
      <c r="F101">
        <v>3.0300000000000001E-2</v>
      </c>
      <c r="G101">
        <v>0.38229999999999997</v>
      </c>
      <c r="H101">
        <v>0.3377</v>
      </c>
      <c r="I101">
        <v>1.1599999999999999E-2</v>
      </c>
      <c r="J101">
        <v>8.5000000000000006E-3</v>
      </c>
      <c r="K101">
        <v>3.3E-3</v>
      </c>
      <c r="L101">
        <v>7.0000000000000007E-2</v>
      </c>
      <c r="M101">
        <v>0.24</v>
      </c>
    </row>
    <row r="102" spans="1:13" x14ac:dyDescent="0.35">
      <c r="A102">
        <v>67</v>
      </c>
      <c r="B102">
        <v>-6.2385000000000002</v>
      </c>
      <c r="C102">
        <v>2.2881</v>
      </c>
      <c r="D102">
        <v>0.65690000000000004</v>
      </c>
      <c r="E102">
        <v>0.79890000000000005</v>
      </c>
      <c r="F102">
        <v>2.8299999999999999E-2</v>
      </c>
      <c r="G102">
        <v>0.3962</v>
      </c>
      <c r="H102">
        <v>0.35010000000000002</v>
      </c>
      <c r="I102">
        <v>7.9000000000000008E-3</v>
      </c>
      <c r="J102">
        <v>8.5000000000000006E-3</v>
      </c>
      <c r="K102">
        <v>3.3999999999999998E-3</v>
      </c>
      <c r="L102">
        <v>7.2499999999999995E-2</v>
      </c>
      <c r="M102">
        <v>0.24</v>
      </c>
    </row>
    <row r="103" spans="1:13" x14ac:dyDescent="0.35">
      <c r="A103">
        <v>68</v>
      </c>
      <c r="B103">
        <v>-6.5190999999999999</v>
      </c>
      <c r="C103">
        <v>2.0396999999999998</v>
      </c>
      <c r="D103">
        <v>0.55810000000000004</v>
      </c>
      <c r="E103">
        <v>0.73760000000000003</v>
      </c>
      <c r="F103">
        <v>2.6100000000000002E-2</v>
      </c>
      <c r="G103">
        <v>0.41060000000000002</v>
      </c>
      <c r="H103">
        <v>0.36270000000000002</v>
      </c>
      <c r="I103">
        <v>5.5999999999999999E-3</v>
      </c>
      <c r="J103">
        <v>8.6E-3</v>
      </c>
      <c r="K103">
        <v>3.5000000000000001E-3</v>
      </c>
      <c r="L103">
        <v>7.51E-2</v>
      </c>
      <c r="M103">
        <v>0.24</v>
      </c>
    </row>
    <row r="104" spans="1:13" x14ac:dyDescent="0.35">
      <c r="A104">
        <v>69</v>
      </c>
      <c r="B104">
        <v>-6.7853000000000003</v>
      </c>
      <c r="C104">
        <v>1.804</v>
      </c>
      <c r="D104">
        <v>0.4662</v>
      </c>
      <c r="E104">
        <v>0.67549999999999999</v>
      </c>
      <c r="F104">
        <v>2.3900000000000001E-2</v>
      </c>
      <c r="G104">
        <v>0.4249</v>
      </c>
      <c r="H104">
        <v>0.37540000000000001</v>
      </c>
      <c r="I104">
        <v>8.6999999999999994E-3</v>
      </c>
      <c r="J104">
        <v>8.6999999999999994E-3</v>
      </c>
      <c r="K104">
        <v>3.7000000000000002E-3</v>
      </c>
      <c r="L104">
        <v>7.7700000000000005E-2</v>
      </c>
      <c r="M104">
        <v>0.24</v>
      </c>
    </row>
    <row r="105" spans="1:13" x14ac:dyDescent="0.35">
      <c r="A105">
        <v>70</v>
      </c>
      <c r="B105">
        <v>-7.0354999999999999</v>
      </c>
      <c r="C105">
        <v>1.5824</v>
      </c>
      <c r="D105">
        <v>0.38240000000000002</v>
      </c>
      <c r="E105">
        <v>0.61309999999999998</v>
      </c>
      <c r="F105">
        <v>2.1600000000000001E-2</v>
      </c>
      <c r="G105">
        <v>0.43969999999999998</v>
      </c>
      <c r="H105">
        <v>0.38840000000000002</v>
      </c>
      <c r="I105">
        <v>8.2000000000000007E-3</v>
      </c>
      <c r="J105">
        <v>8.8000000000000005E-3</v>
      </c>
      <c r="K105">
        <v>3.8999999999999998E-3</v>
      </c>
      <c r="L105">
        <v>8.0299999999999996E-2</v>
      </c>
      <c r="M105">
        <v>0.24</v>
      </c>
    </row>
    <row r="106" spans="1:13" x14ac:dyDescent="0.35">
      <c r="A106">
        <v>71</v>
      </c>
      <c r="B106">
        <v>-7.2682000000000002</v>
      </c>
      <c r="C106">
        <v>1.3764000000000001</v>
      </c>
      <c r="D106">
        <v>0.30740000000000001</v>
      </c>
      <c r="E106">
        <v>0.55089999999999995</v>
      </c>
      <c r="F106">
        <v>1.9400000000000001E-2</v>
      </c>
      <c r="G106">
        <v>0.45440000000000003</v>
      </c>
      <c r="H106">
        <v>0.40139999999999998</v>
      </c>
      <c r="I106">
        <v>6.3E-3</v>
      </c>
      <c r="J106">
        <v>8.8999999999999999E-3</v>
      </c>
      <c r="K106">
        <v>4.3E-3</v>
      </c>
      <c r="L106">
        <v>8.2799999999999999E-2</v>
      </c>
      <c r="M106">
        <v>0.23899999999999999</v>
      </c>
    </row>
    <row r="107" spans="1:13" x14ac:dyDescent="0.35">
      <c r="A107">
        <v>72</v>
      </c>
      <c r="B107">
        <v>-7.4819000000000004</v>
      </c>
      <c r="C107">
        <v>1.1872</v>
      </c>
      <c r="D107">
        <v>0.2419</v>
      </c>
      <c r="E107">
        <v>0.4894</v>
      </c>
      <c r="F107">
        <v>1.72E-2</v>
      </c>
      <c r="G107">
        <v>0.46820000000000001</v>
      </c>
      <c r="H107">
        <v>0.41360000000000002</v>
      </c>
      <c r="I107">
        <v>4.4000000000000003E-3</v>
      </c>
      <c r="J107">
        <v>8.8999999999999999E-3</v>
      </c>
      <c r="K107">
        <v>4.8999999999999998E-3</v>
      </c>
      <c r="L107">
        <v>8.48E-2</v>
      </c>
      <c r="M107">
        <v>0.23799999999999999</v>
      </c>
    </row>
    <row r="108" spans="1:13" x14ac:dyDescent="0.35">
      <c r="A108">
        <v>73</v>
      </c>
      <c r="B108">
        <v>-7.6753</v>
      </c>
      <c r="C108">
        <v>1.0159</v>
      </c>
      <c r="D108">
        <v>0.1857</v>
      </c>
      <c r="E108">
        <v>0.42909999999999998</v>
      </c>
      <c r="F108">
        <v>1.54E-2</v>
      </c>
      <c r="G108">
        <v>0.4798</v>
      </c>
      <c r="H108">
        <v>0.4239</v>
      </c>
      <c r="I108">
        <v>1.8E-3</v>
      </c>
      <c r="J108">
        <v>8.9999999999999993E-3</v>
      </c>
      <c r="K108">
        <v>5.8999999999999999E-3</v>
      </c>
      <c r="L108">
        <v>8.6199999999999999E-2</v>
      </c>
      <c r="M108">
        <v>0.23599999999999999</v>
      </c>
    </row>
    <row r="109" spans="1:13" x14ac:dyDescent="0.35">
      <c r="A109">
        <v>74</v>
      </c>
      <c r="B109">
        <v>-7.8472999999999997</v>
      </c>
      <c r="C109">
        <v>0.86370000000000002</v>
      </c>
      <c r="D109">
        <v>0.1389</v>
      </c>
      <c r="E109">
        <v>0.37009999999999998</v>
      </c>
      <c r="F109">
        <v>1.4200000000000001E-2</v>
      </c>
      <c r="G109">
        <v>0.48680000000000001</v>
      </c>
      <c r="H109">
        <v>0.43009999999999998</v>
      </c>
      <c r="I109">
        <v>1.2999999999999999E-3</v>
      </c>
      <c r="J109">
        <v>8.9999999999999993E-3</v>
      </c>
      <c r="K109">
        <v>7.4000000000000003E-3</v>
      </c>
      <c r="L109">
        <v>8.6199999999999999E-2</v>
      </c>
      <c r="M109">
        <v>0.23300000000000001</v>
      </c>
    </row>
    <row r="110" spans="1:13" x14ac:dyDescent="0.35">
      <c r="A110">
        <v>75</v>
      </c>
      <c r="B110">
        <v>-7.9965999999999999</v>
      </c>
      <c r="C110">
        <v>0.73140000000000005</v>
      </c>
      <c r="D110">
        <v>0.1008</v>
      </c>
      <c r="E110">
        <v>0.3125</v>
      </c>
      <c r="F110">
        <v>1.3899999999999999E-2</v>
      </c>
      <c r="G110">
        <v>0.48559999999999998</v>
      </c>
      <c r="H110">
        <v>0.42899999999999999</v>
      </c>
      <c r="I110">
        <v>-8.9999999999999998E-4</v>
      </c>
      <c r="J110">
        <v>9.1000000000000004E-3</v>
      </c>
      <c r="K110">
        <v>9.5999999999999992E-3</v>
      </c>
      <c r="L110">
        <v>8.4000000000000005E-2</v>
      </c>
      <c r="M110">
        <v>0.22800000000000001</v>
      </c>
    </row>
    <row r="111" spans="1:13" x14ac:dyDescent="0.35">
      <c r="A111">
        <v>76</v>
      </c>
      <c r="B111">
        <v>-8.1226000000000003</v>
      </c>
      <c r="C111">
        <v>0.61990000000000001</v>
      </c>
      <c r="D111">
        <v>7.0599999999999996E-2</v>
      </c>
      <c r="E111">
        <v>0.25609999999999999</v>
      </c>
      <c r="F111">
        <v>1.49E-2</v>
      </c>
      <c r="G111">
        <v>0.46970000000000001</v>
      </c>
      <c r="H111">
        <v>0.41499999999999998</v>
      </c>
      <c r="I111">
        <v>-3.3999999999999998E-3</v>
      </c>
      <c r="J111">
        <v>9.1000000000000004E-3</v>
      </c>
      <c r="K111">
        <v>1.29E-2</v>
      </c>
      <c r="L111">
        <v>7.8100000000000003E-2</v>
      </c>
      <c r="M111">
        <v>0.219</v>
      </c>
    </row>
    <row r="112" spans="1:13" x14ac:dyDescent="0.35">
      <c r="A112">
        <v>77</v>
      </c>
      <c r="B112">
        <v>-8.2242999999999995</v>
      </c>
      <c r="C112">
        <v>0.52990000000000004</v>
      </c>
      <c r="D112">
        <v>4.7300000000000002E-2</v>
      </c>
      <c r="E112">
        <v>0.20019999999999999</v>
      </c>
      <c r="F112">
        <v>1.72E-2</v>
      </c>
      <c r="G112">
        <v>0.42970000000000003</v>
      </c>
      <c r="H112">
        <v>0.37959999999999999</v>
      </c>
      <c r="I112">
        <v>-3.2000000000000002E-3</v>
      </c>
      <c r="J112">
        <v>8.9999999999999993E-3</v>
      </c>
      <c r="K112">
        <v>1.6899999999999998E-2</v>
      </c>
      <c r="L112">
        <v>6.7100000000000007E-2</v>
      </c>
      <c r="M112">
        <v>0.20499999999999999</v>
      </c>
    </row>
    <row r="113" spans="1:13" x14ac:dyDescent="0.35">
      <c r="A113">
        <v>78</v>
      </c>
      <c r="B113">
        <v>-8.3010999999999999</v>
      </c>
      <c r="C113">
        <v>0.46189999999999998</v>
      </c>
      <c r="D113">
        <v>2.9700000000000001E-2</v>
      </c>
      <c r="E113">
        <v>0.14410000000000001</v>
      </c>
      <c r="F113">
        <v>2.06E-2</v>
      </c>
      <c r="G113">
        <v>0.35499999999999998</v>
      </c>
      <c r="H113">
        <v>0.31359999999999999</v>
      </c>
      <c r="I113">
        <v>-3.5999999999999999E-3</v>
      </c>
      <c r="J113">
        <v>8.9999999999999993E-3</v>
      </c>
      <c r="K113">
        <v>0.02</v>
      </c>
      <c r="L113">
        <v>5.0200000000000002E-2</v>
      </c>
      <c r="M113">
        <v>0.186</v>
      </c>
    </row>
    <row r="114" spans="1:13" x14ac:dyDescent="0.35">
      <c r="A114">
        <v>79</v>
      </c>
      <c r="B114">
        <v>-8.3526000000000007</v>
      </c>
      <c r="C114">
        <v>0.4163</v>
      </c>
      <c r="D114">
        <v>1.61E-2</v>
      </c>
      <c r="E114">
        <v>8.72E-2</v>
      </c>
      <c r="F114">
        <v>2.4299999999999999E-2</v>
      </c>
      <c r="G114">
        <v>0.23830000000000001</v>
      </c>
      <c r="H114">
        <v>0.21049999999999999</v>
      </c>
      <c r="I114">
        <v>-5.9999999999999995E-4</v>
      </c>
      <c r="J114">
        <v>9.1000000000000004E-3</v>
      </c>
      <c r="K114">
        <v>1.8200000000000001E-2</v>
      </c>
      <c r="L114">
        <v>2.9600000000000001E-2</v>
      </c>
      <c r="M114">
        <v>0.16400000000000001</v>
      </c>
    </row>
    <row r="115" spans="1:13" x14ac:dyDescent="0.35">
      <c r="A115">
        <v>80</v>
      </c>
      <c r="B115">
        <v>-8.3783999999999992</v>
      </c>
      <c r="C115">
        <v>0.39350000000000002</v>
      </c>
      <c r="D115">
        <v>5.1000000000000004E-3</v>
      </c>
      <c r="E115">
        <v>2.92E-2</v>
      </c>
      <c r="F115">
        <v>2.7199999999999998E-2</v>
      </c>
      <c r="G115">
        <v>8.4599999999999995E-2</v>
      </c>
      <c r="H115">
        <v>7.4700000000000003E-2</v>
      </c>
      <c r="I115">
        <v>5.1000000000000004E-3</v>
      </c>
      <c r="J115">
        <v>9.4999999999999998E-3</v>
      </c>
      <c r="K115">
        <v>7.9000000000000008E-3</v>
      </c>
      <c r="L115">
        <v>9.4000000000000004E-3</v>
      </c>
      <c r="M115">
        <v>0.14499999999999999</v>
      </c>
    </row>
    <row r="116" spans="1:13" x14ac:dyDescent="0.35">
      <c r="A116" t="s">
        <v>93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AB43"/>
  <sheetViews>
    <sheetView zoomScaleNormal="100" workbookViewId="0">
      <selection activeCell="D11" sqref="D11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243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281</v>
      </c>
      <c r="Y29" t="s">
        <v>280</v>
      </c>
      <c r="Z29" t="s">
        <v>282</v>
      </c>
    </row>
    <row r="30" spans="1:26" x14ac:dyDescent="0.35">
      <c r="W30" s="18">
        <v>3000000</v>
      </c>
      <c r="X30">
        <v>8.1200000000000005E-3</v>
      </c>
      <c r="Y30" s="31">
        <f>W30*'A_CDCL(Re)'!$C$10+'A_CDCL(Re)'!$C$11</f>
        <v>8.9499999999999996E-3</v>
      </c>
      <c r="Z30" s="31">
        <f>Y30-X30</f>
        <v>8.2999999999999914E-4</v>
      </c>
    </row>
    <row r="31" spans="1:26" x14ac:dyDescent="0.35">
      <c r="W31" s="18">
        <v>5000000</v>
      </c>
      <c r="X31">
        <v>7.45E-3</v>
      </c>
      <c r="Y31" s="31">
        <f>W31*'A_CDCL(Re)'!$C$10+'A_CDCL(Re)'!$C$11</f>
        <v>8.8500000000000002E-3</v>
      </c>
      <c r="Z31" s="31">
        <f t="shared" ref="Z31:Z35" si="0">Y31-X31</f>
        <v>1.4000000000000002E-3</v>
      </c>
    </row>
    <row r="32" spans="1:26" x14ac:dyDescent="0.35">
      <c r="W32" s="18">
        <v>10000000</v>
      </c>
      <c r="X32">
        <v>6.6600000000000001E-3</v>
      </c>
      <c r="Y32" s="31">
        <f>W32*'A_CDCL(Re)'!$C$10+'A_CDCL(Re)'!$C$11</f>
        <v>8.6E-3</v>
      </c>
      <c r="Z32" s="31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 s="31">
        <f>W33*'A_CDCL(Re)'!$C$10+'A_CDCL(Re)'!$C$11</f>
        <v>8.0999999999999996E-3</v>
      </c>
      <c r="Z33" s="31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 s="31">
        <f>W34*'A_CDCL(Re)'!$C$10+'A_CDCL(Re)'!$C$11</f>
        <v>7.1000000000000004E-3</v>
      </c>
      <c r="Z34" s="31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 s="31">
        <f>W35*'A_CDCL(Re)'!$C$10+'A_CDCL(Re)'!$C$11</f>
        <v>6.1000000000000004E-3</v>
      </c>
      <c r="Z35" s="31">
        <f t="shared" si="0"/>
        <v>1.0100000000000005E-3</v>
      </c>
    </row>
    <row r="37" spans="23:28" x14ac:dyDescent="0.35">
      <c r="W37" s="8" t="s">
        <v>35</v>
      </c>
      <c r="X37" s="7" t="s">
        <v>283</v>
      </c>
      <c r="Y37" s="8" t="s">
        <v>38</v>
      </c>
      <c r="Z37" s="7" t="s">
        <v>284</v>
      </c>
      <c r="AA37" s="8" t="s">
        <v>47</v>
      </c>
      <c r="AB37" s="8" t="s">
        <v>285</v>
      </c>
    </row>
    <row r="38" spans="23:28" x14ac:dyDescent="0.35">
      <c r="W38">
        <v>9.0699999999999999E-3</v>
      </c>
      <c r="X38" s="6">
        <f>W38+Z30</f>
        <v>9.8999999999999991E-3</v>
      </c>
      <c r="Y38">
        <v>8.1200000000000005E-3</v>
      </c>
      <c r="Z38" s="6">
        <f>Y38+Z30</f>
        <v>8.9499999999999996E-3</v>
      </c>
      <c r="AA38">
        <v>8.94E-3</v>
      </c>
      <c r="AB38">
        <f>AA38+Z30</f>
        <v>9.7699999999999992E-3</v>
      </c>
    </row>
    <row r="39" spans="23:28" x14ac:dyDescent="0.35">
      <c r="W39">
        <v>8.2299999999999995E-3</v>
      </c>
      <c r="X39" s="6">
        <f t="shared" ref="X39:X43" si="1">W39+Z31</f>
        <v>9.6299999999999997E-3</v>
      </c>
      <c r="Y39">
        <v>7.45E-3</v>
      </c>
      <c r="Z39" s="6">
        <f t="shared" ref="Z39:Z43" si="2">Y39+Z31</f>
        <v>8.8500000000000002E-3</v>
      </c>
      <c r="AA39">
        <v>8.1700000000000002E-3</v>
      </c>
      <c r="AB39">
        <f t="shared" ref="AB39:AB43" si="3">AA39+Z31</f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polar1</vt:lpstr>
      <vt:lpstr>polar2</vt:lpstr>
      <vt:lpstr>polar4</vt:lpstr>
      <vt:lpstr>polar8</vt:lpstr>
      <vt:lpstr>CDCL</vt:lpstr>
      <vt:lpstr>A_CDCL</vt:lpstr>
      <vt:lpstr>A_CDCL(Re)</vt:lpstr>
      <vt:lpstr>Study_1</vt:lpstr>
      <vt:lpstr>Study_2</vt:lpstr>
      <vt:lpstr>Study_3</vt:lpstr>
      <vt:lpstr>Study_4</vt:lpstr>
      <vt:lpstr>Variables</vt:lpstr>
      <vt:lpstr>BuildAVL</vt:lpstr>
      <vt:lpstr>CruiseCDCL</vt:lpstr>
      <vt:lpstr>CruiseST</vt:lpstr>
      <vt:lpstr>CruiseFS</vt:lpstr>
      <vt:lpstr>CDCL(Re)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2025-10-04T16:04:57Z</dcterms:modified>
</cp:coreProperties>
</file>