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4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tables/table21.xml" ContentType="application/vnd.openxmlformats-officedocument.spreadsheetml.table+xml"/>
  <Override PartName="/xl/queryTables/queryTable21.xml" ContentType="application/vnd.openxmlformats-officedocument.spreadsheetml.queryTable+xml"/>
  <Override PartName="/xl/drawings/drawing7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8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sher\OneDrive\Documents\AE481\NoThaiGrubbin-Repo\Aero\PlanformTrade1\Excel\"/>
    </mc:Choice>
  </mc:AlternateContent>
  <xr:revisionPtr revIDLastSave="0" documentId="13_ncr:1_{D365A9CA-0F29-4147-9B92-71D277037441}" xr6:coauthVersionLast="47" xr6:coauthVersionMax="47" xr10:uidLastSave="{00000000-0000-0000-0000-000000000000}"/>
  <bookViews>
    <workbookView xWindow="-110" yWindow="-110" windowWidth="19420" windowHeight="11500" tabRatio="731" firstSheet="13" activeTab="36" xr2:uid="{D7FE38CE-8B6A-4834-9BB6-A7F65CAE4A07}"/>
  </bookViews>
  <sheets>
    <sheet name="T1_Re200 000_M0 84_N5 0_XtrTop " sheetId="52" state="hidden" r:id="rId1"/>
    <sheet name="T1_Re160 000_M0 84_N5 0_XtrTop " sheetId="51" state="hidden" r:id="rId2"/>
    <sheet name="T1_Re120 000_M0 84_N5 0_XtrTop " sheetId="50" state="hidden" r:id="rId3"/>
    <sheet name="T1_Re100 000_M0 84_N5 0_XtrTop " sheetId="49" state="hidden" r:id="rId4"/>
    <sheet name="T1_Re80 000_M0 84_N5 0_XtrTop 5" sheetId="48" state="hidden" r:id="rId5"/>
    <sheet name="T1_Re60 000_M0 84_N5 0_XtrTop 5" sheetId="47" state="hidden" r:id="rId6"/>
    <sheet name="T1_Re40 000_M0 84_N5 0_XtrTop 5" sheetId="46" state="hidden" r:id="rId7"/>
    <sheet name="T1_Re20 000_M0 84_N5 0_XtrTop 5" sheetId="45" state="hidden" r:id="rId8"/>
    <sheet name="T1_Re10 000_M0 84_N5 0_XtrTop 5" sheetId="44" state="hidden" r:id="rId9"/>
    <sheet name="T1_Re5 000_M0 84_N5 0_XtrTop 5%" sheetId="43" state="hidden" r:id="rId10"/>
    <sheet name="T1_Re3 000_M0 84_N5 0_XtrTop 5%" sheetId="55" state="hidden" r:id="rId11"/>
    <sheet name="T1_Re2 000_M0 84_N5 0_XtrTop 5%" sheetId="54" state="hidden" r:id="rId12"/>
    <sheet name="T1_Re1 000_M0 84_N5 0_XtrTop 5%" sheetId="53" state="hidden" r:id="rId13"/>
    <sheet name="Study_9" sheetId="79" r:id="rId14"/>
    <sheet name="CDCL" sheetId="16" state="hidden" r:id="rId15"/>
    <sheet name="CDCL(Re)" sheetId="6" state="hidden" r:id="rId16"/>
    <sheet name="Study_1" sheetId="39" state="hidden" r:id="rId17"/>
    <sheet name="Study_2" sheetId="57" state="hidden" r:id="rId18"/>
    <sheet name="Study_3" sheetId="56" state="hidden" r:id="rId19"/>
    <sheet name="Study_4" sheetId="65" state="hidden" r:id="rId20"/>
    <sheet name="A_CDCL" sheetId="64" state="hidden" r:id="rId21"/>
    <sheet name="A_CDCL(Re)" sheetId="58" state="hidden" r:id="rId22"/>
    <sheet name="Study_5" sheetId="66" state="hidden" r:id="rId23"/>
    <sheet name="CDCL (2)" sheetId="76" state="hidden" r:id="rId24"/>
    <sheet name="CDCL(Re) XFOIL" sheetId="72" state="hidden" r:id="rId25"/>
    <sheet name="Study_6" sheetId="74" state="hidden" r:id="rId26"/>
    <sheet name="Study_7" sheetId="75" state="hidden" r:id="rId27"/>
    <sheet name="Study_8" sheetId="77" state="hidden" r:id="rId28"/>
    <sheet name="polar8" sheetId="88" state="hidden" r:id="rId29"/>
    <sheet name="polar7" sheetId="87" state="hidden" r:id="rId30"/>
    <sheet name="polar6" sheetId="86" state="hidden" r:id="rId31"/>
    <sheet name="polar5" sheetId="85" state="hidden" r:id="rId32"/>
    <sheet name="polar4" sheetId="84" state="hidden" r:id="rId33"/>
    <sheet name="polar3" sheetId="83" state="hidden" r:id="rId34"/>
    <sheet name="polar2" sheetId="82" state="hidden" r:id="rId35"/>
    <sheet name="polar1" sheetId="81" state="hidden" r:id="rId36"/>
    <sheet name="Variables" sheetId="1" r:id="rId37"/>
    <sheet name="BuildAVL" sheetId="3" r:id="rId38"/>
    <sheet name="CruiseCDCL" sheetId="27" r:id="rId39"/>
    <sheet name="CruiseST" sheetId="4" r:id="rId40"/>
    <sheet name="CruiseFS" sheetId="5" r:id="rId41"/>
    <sheet name="Tail Sizing" sheetId="67" r:id="rId42"/>
    <sheet name="BuildAVL2" sheetId="80" r:id="rId43"/>
  </sheets>
  <functionGroups builtInGroupCount="19"/>
  <definedNames>
    <definedName name="_xleta.PI" hidden="1" xlm="1">#NAME?</definedName>
    <definedName name="ExternalData_1" localSheetId="35" hidden="1">polar1!$A$1:$D$41</definedName>
    <definedName name="ExternalData_1" localSheetId="12" hidden="1">'T1_Re1 000_M0 84_N5 0_XtrTop 5%'!$A$1:$L$204</definedName>
    <definedName name="ExternalData_1" localSheetId="9" hidden="1">'T1_Re5 000_M0 84_N5 0_XtrTop 5%'!$A$1:$L$172</definedName>
    <definedName name="ExternalData_10" localSheetId="0" hidden="1">'T1_Re200 000_M0 84_N5 0_XtrTop '!$A$1:$L$57</definedName>
    <definedName name="ExternalData_2" localSheetId="34" hidden="1">polar2!$A$1:$D$41</definedName>
    <definedName name="ExternalData_2" localSheetId="8" hidden="1">'T1_Re10 000_M0 84_N5 0_XtrTop 5'!$A$1:$L$115</definedName>
    <definedName name="ExternalData_2" localSheetId="11" hidden="1">'T1_Re2 000_M0 84_N5 0_XtrTop 5%'!$A$1:$L$204</definedName>
    <definedName name="ExternalData_3" localSheetId="33" hidden="1">polar3!$A$1:$D$41</definedName>
    <definedName name="ExternalData_3" localSheetId="7" hidden="1">'T1_Re20 000_M0 84_N5 0_XtrTop 5'!$A$1:$L$107</definedName>
    <definedName name="ExternalData_3" localSheetId="10" hidden="1">'T1_Re3 000_M0 84_N5 0_XtrTop 5%'!$A$1:$L$203</definedName>
    <definedName name="ExternalData_4" localSheetId="32" hidden="1">polar4!$A$1:$D$41</definedName>
    <definedName name="ExternalData_4" localSheetId="6" hidden="1">'T1_Re40 000_M0 84_N5 0_XtrTop 5'!$A$1:$L$79</definedName>
    <definedName name="ExternalData_5" localSheetId="31" hidden="1">polar5!$A$1:$D$41</definedName>
    <definedName name="ExternalData_5" localSheetId="5" hidden="1">'T1_Re60 000_M0 84_N5 0_XtrTop 5'!$A$1:$L$69</definedName>
    <definedName name="ExternalData_6" localSheetId="30" hidden="1">polar6!$A$1:$D$41</definedName>
    <definedName name="ExternalData_6" localSheetId="4" hidden="1">'T1_Re80 000_M0 84_N5 0_XtrTop 5'!$A$1:$L$70</definedName>
    <definedName name="ExternalData_7" localSheetId="29" hidden="1">polar7!$A$1:$D$41</definedName>
    <definedName name="ExternalData_7" localSheetId="3" hidden="1">'T1_Re100 000_M0 84_N5 0_XtrTop '!$A$1:$L$69</definedName>
    <definedName name="ExternalData_8" localSheetId="28" hidden="1">polar8!$A$1:$D$41</definedName>
    <definedName name="ExternalData_8" localSheetId="2" hidden="1">'T1_Re120 000_M0 84_N5 0_XtrTop '!$A$1:$L$62</definedName>
    <definedName name="ExternalData_9" localSheetId="1" hidden="1">'T1_Re160 000_M0 84_N5 0_XtrTop '!$A$1:$L$60</definedName>
    <definedName name="solver_adj" localSheetId="20" hidden="1">A_CDCL!$G$8,A_CDCL!$G$12</definedName>
    <definedName name="solver_adj" localSheetId="14" hidden="1">CDCL!$G$8,CDCL!$G$12</definedName>
    <definedName name="solver_adj" localSheetId="23" hidden="1">'CDCL (2)'!$G$8,'CDCL (2)'!$G$12</definedName>
    <definedName name="solver_adj" localSheetId="36" hidden="1">Variables!$B$15</definedName>
    <definedName name="solver_cvg" localSheetId="20" hidden="1">0.0001</definedName>
    <definedName name="solver_cvg" localSheetId="14" hidden="1">0.0001</definedName>
    <definedName name="solver_cvg" localSheetId="23" hidden="1">0.0001</definedName>
    <definedName name="solver_cvg" localSheetId="36" hidden="1">0.00001</definedName>
    <definedName name="solver_drv" localSheetId="20" hidden="1">2</definedName>
    <definedName name="solver_drv" localSheetId="14" hidden="1">2</definedName>
    <definedName name="solver_drv" localSheetId="23" hidden="1">2</definedName>
    <definedName name="solver_drv" localSheetId="36" hidden="1">1</definedName>
    <definedName name="solver_eng" localSheetId="20" hidden="1">3</definedName>
    <definedName name="solver_eng" localSheetId="14" hidden="1">3</definedName>
    <definedName name="solver_eng" localSheetId="23" hidden="1">3</definedName>
    <definedName name="solver_eng" localSheetId="36" hidden="1">3</definedName>
    <definedName name="solver_est" localSheetId="20" hidden="1">1</definedName>
    <definedName name="solver_est" localSheetId="14" hidden="1">1</definedName>
    <definedName name="solver_est" localSheetId="23" hidden="1">1</definedName>
    <definedName name="solver_est" localSheetId="36" hidden="1">1</definedName>
    <definedName name="solver_itr" localSheetId="20" hidden="1">2147483647</definedName>
    <definedName name="solver_itr" localSheetId="14" hidden="1">2147483647</definedName>
    <definedName name="solver_itr" localSheetId="23" hidden="1">2147483647</definedName>
    <definedName name="solver_itr" localSheetId="36" hidden="1">2147483647</definedName>
    <definedName name="solver_lhs1" localSheetId="20" hidden="1">A_CDCL!$G$12</definedName>
    <definedName name="solver_lhs1" localSheetId="14" hidden="1">CDCL!$G$12</definedName>
    <definedName name="solver_lhs1" localSheetId="23" hidden="1">'CDCL (2)'!$G$12</definedName>
    <definedName name="solver_lhs1" localSheetId="36" hidden="1">Variables!$B$15</definedName>
    <definedName name="solver_lhs2" localSheetId="20" hidden="1">A_CDCL!$G$12</definedName>
    <definedName name="solver_lhs2" localSheetId="14" hidden="1">CDCL!$G$12</definedName>
    <definedName name="solver_lhs2" localSheetId="23" hidden="1">'CDCL (2)'!$G$12</definedName>
    <definedName name="solver_lhs2" localSheetId="36" hidden="1">Variables!$B$15</definedName>
    <definedName name="solver_lhs3" localSheetId="20" hidden="1">A_CDCL!$G$8</definedName>
    <definedName name="solver_lhs3" localSheetId="14" hidden="1">CDCL!$G$8</definedName>
    <definedName name="solver_lhs3" localSheetId="23" hidden="1">'CDCL (2)'!$G$8</definedName>
    <definedName name="solver_lhs4" localSheetId="20" hidden="1">A_CDCL!$G$8</definedName>
    <definedName name="solver_lhs4" localSheetId="14" hidden="1">CDCL!$G$8</definedName>
    <definedName name="solver_lhs4" localSheetId="23" hidden="1">'CDCL (2)'!$G$8</definedName>
    <definedName name="solver_lhs5" localSheetId="20" hidden="1">A_CDCL!$G$8</definedName>
    <definedName name="solver_lhs5" localSheetId="14" hidden="1">CDCL!$G$8</definedName>
    <definedName name="solver_lhs5" localSheetId="23" hidden="1">'CDCL (2)'!$G$8</definedName>
    <definedName name="solver_lhs6" localSheetId="20" hidden="1">A_CDCL!$G$8</definedName>
    <definedName name="solver_lhs6" localSheetId="14" hidden="1">CDCL!$G$8</definedName>
    <definedName name="solver_lhs6" localSheetId="23" hidden="1">'CDCL (2)'!$G$8</definedName>
    <definedName name="solver_lhs7" localSheetId="20" hidden="1">A_CDCL!$G$8</definedName>
    <definedName name="solver_lhs7" localSheetId="14" hidden="1">CDCL!$G$8</definedName>
    <definedName name="solver_lhs7" localSheetId="23" hidden="1">'CDCL (2)'!$G$8</definedName>
    <definedName name="solver_lhs8" localSheetId="20" hidden="1">A_CDCL!$G$8</definedName>
    <definedName name="solver_lhs8" localSheetId="14" hidden="1">CDCL!$G$8</definedName>
    <definedName name="solver_lhs8" localSheetId="23" hidden="1">'CDCL (2)'!$G$8</definedName>
    <definedName name="solver_lhs9" localSheetId="20" hidden="1">A_CDCL!$G$8</definedName>
    <definedName name="solver_lhs9" localSheetId="14" hidden="1">CDCL!$G$8</definedName>
    <definedName name="solver_lhs9" localSheetId="23" hidden="1">'CDCL (2)'!$G$8</definedName>
    <definedName name="solver_mip" localSheetId="20" hidden="1">2147483647</definedName>
    <definedName name="solver_mip" localSheetId="14" hidden="1">2147483647</definedName>
    <definedName name="solver_mip" localSheetId="23" hidden="1">2147483647</definedName>
    <definedName name="solver_mip" localSheetId="36" hidden="1">2147483647</definedName>
    <definedName name="solver_mni" localSheetId="20" hidden="1">30</definedName>
    <definedName name="solver_mni" localSheetId="14" hidden="1">30</definedName>
    <definedName name="solver_mni" localSheetId="23" hidden="1">30</definedName>
    <definedName name="solver_mni" localSheetId="36" hidden="1">30</definedName>
    <definedName name="solver_mrt" localSheetId="20" hidden="1">0.075</definedName>
    <definedName name="solver_mrt" localSheetId="14" hidden="1">0.075</definedName>
    <definedName name="solver_mrt" localSheetId="23" hidden="1">0.075</definedName>
    <definedName name="solver_mrt" localSheetId="36" hidden="1">0.1</definedName>
    <definedName name="solver_msl" localSheetId="20" hidden="1">2</definedName>
    <definedName name="solver_msl" localSheetId="14" hidden="1">2</definedName>
    <definedName name="solver_msl" localSheetId="23" hidden="1">2</definedName>
    <definedName name="solver_msl" localSheetId="36" hidden="1">1</definedName>
    <definedName name="solver_neg" localSheetId="20" hidden="1">1</definedName>
    <definedName name="solver_neg" localSheetId="14" hidden="1">1</definedName>
    <definedName name="solver_neg" localSheetId="23" hidden="1">1</definedName>
    <definedName name="solver_neg" localSheetId="36" hidden="1">2</definedName>
    <definedName name="solver_nod" localSheetId="20" hidden="1">2147483647</definedName>
    <definedName name="solver_nod" localSheetId="14" hidden="1">2147483647</definedName>
    <definedName name="solver_nod" localSheetId="23" hidden="1">2147483647</definedName>
    <definedName name="solver_nod" localSheetId="36" hidden="1">2147483647</definedName>
    <definedName name="solver_num" localSheetId="20" hidden="1">5</definedName>
    <definedName name="solver_num" localSheetId="14" hidden="1">5</definedName>
    <definedName name="solver_num" localSheetId="23" hidden="1">5</definedName>
    <definedName name="solver_num" localSheetId="36" hidden="1">2</definedName>
    <definedName name="solver_nwt" localSheetId="20" hidden="1">1</definedName>
    <definedName name="solver_nwt" localSheetId="14" hidden="1">1</definedName>
    <definedName name="solver_nwt" localSheetId="23" hidden="1">1</definedName>
    <definedName name="solver_nwt" localSheetId="36" hidden="1">1</definedName>
    <definedName name="solver_opt" localSheetId="20" hidden="1">A_CDCL!$G$12</definedName>
    <definedName name="solver_opt" localSheetId="14" hidden="1">CDCL!$G$12</definedName>
    <definedName name="solver_opt" localSheetId="23" hidden="1">'CDCL (2)'!$G$12</definedName>
    <definedName name="solver_opt" localSheetId="36" hidden="1">Variables!$I$23</definedName>
    <definedName name="solver_pre" localSheetId="20" hidden="1">0.000001</definedName>
    <definedName name="solver_pre" localSheetId="14" hidden="1">0.000001</definedName>
    <definedName name="solver_pre" localSheetId="23" hidden="1">0.000001</definedName>
    <definedName name="solver_pre" localSheetId="36" hidden="1">0.000001</definedName>
    <definedName name="solver_rbv" localSheetId="20" hidden="1">2</definedName>
    <definedName name="solver_rbv" localSheetId="14" hidden="1">2</definedName>
    <definedName name="solver_rbv" localSheetId="23" hidden="1">2</definedName>
    <definedName name="solver_rbv" localSheetId="36" hidden="1">1</definedName>
    <definedName name="solver_rel1" localSheetId="20" hidden="1">1</definedName>
    <definedName name="solver_rel1" localSheetId="14" hidden="1">1</definedName>
    <definedName name="solver_rel1" localSheetId="23" hidden="1">1</definedName>
    <definedName name="solver_rel1" localSheetId="36" hidden="1">1</definedName>
    <definedName name="solver_rel2" localSheetId="20" hidden="1">4</definedName>
    <definedName name="solver_rel2" localSheetId="14" hidden="1">4</definedName>
    <definedName name="solver_rel2" localSheetId="23" hidden="1">4</definedName>
    <definedName name="solver_rel2" localSheetId="36" hidden="1">3</definedName>
    <definedName name="solver_rel3" localSheetId="20" hidden="1">1</definedName>
    <definedName name="solver_rel3" localSheetId="14" hidden="1">1</definedName>
    <definedName name="solver_rel3" localSheetId="23" hidden="1">1</definedName>
    <definedName name="solver_rel4" localSheetId="20" hidden="1">4</definedName>
    <definedName name="solver_rel4" localSheetId="14" hidden="1">4</definedName>
    <definedName name="solver_rel4" localSheetId="23" hidden="1">4</definedName>
    <definedName name="solver_rel5" localSheetId="20" hidden="1">3</definedName>
    <definedName name="solver_rel5" localSheetId="14" hidden="1">3</definedName>
    <definedName name="solver_rel5" localSheetId="23" hidden="1">3</definedName>
    <definedName name="solver_rel6" localSheetId="20" hidden="1">3</definedName>
    <definedName name="solver_rel6" localSheetId="14" hidden="1">3</definedName>
    <definedName name="solver_rel6" localSheetId="23" hidden="1">3</definedName>
    <definedName name="solver_rel7" localSheetId="20" hidden="1">3</definedName>
    <definedName name="solver_rel7" localSheetId="14" hidden="1">3</definedName>
    <definedName name="solver_rel7" localSheetId="23" hidden="1">3</definedName>
    <definedName name="solver_rel8" localSheetId="20" hidden="1">3</definedName>
    <definedName name="solver_rel8" localSheetId="14" hidden="1">3</definedName>
    <definedName name="solver_rel8" localSheetId="23" hidden="1">3</definedName>
    <definedName name="solver_rel9" localSheetId="20" hidden="1">3</definedName>
    <definedName name="solver_rel9" localSheetId="14" hidden="1">3</definedName>
    <definedName name="solver_rel9" localSheetId="23" hidden="1">3</definedName>
    <definedName name="solver_rhs1" localSheetId="20" hidden="1">A_CDCL!$G$28</definedName>
    <definedName name="solver_rhs1" localSheetId="14" hidden="1">CDCL!$G$28</definedName>
    <definedName name="solver_rhs1" localSheetId="23" hidden="1">'CDCL (2)'!$G$28</definedName>
    <definedName name="solver_rhs1" localSheetId="36" hidden="1">45</definedName>
    <definedName name="solver_rhs2" localSheetId="20" hidden="1">"integer"</definedName>
    <definedName name="solver_rhs2" localSheetId="14" hidden="1">"integer"</definedName>
    <definedName name="solver_rhs2" localSheetId="23" hidden="1">"integer"</definedName>
    <definedName name="solver_rhs2" localSheetId="36" hidden="1">-45</definedName>
    <definedName name="solver_rhs3" localSheetId="20" hidden="1">A_CDCL!$G$12-1</definedName>
    <definedName name="solver_rhs3" localSheetId="14" hidden="1">CDCL!$G$12-1</definedName>
    <definedName name="solver_rhs3" localSheetId="23" hidden="1">'CDCL (2)'!$G$12-1</definedName>
    <definedName name="solver_rhs4" localSheetId="20" hidden="1">"integer"</definedName>
    <definedName name="solver_rhs4" localSheetId="14" hidden="1">"integer"</definedName>
    <definedName name="solver_rhs4" localSheetId="23" hidden="1">"integer"</definedName>
    <definedName name="solver_rhs5" localSheetId="20" hidden="1">1</definedName>
    <definedName name="solver_rhs5" localSheetId="14" hidden="1">1</definedName>
    <definedName name="solver_rhs5" localSheetId="23" hidden="1">1</definedName>
    <definedName name="solver_rhs6" localSheetId="20" hidden="1">0</definedName>
    <definedName name="solver_rhs6" localSheetId="14" hidden="1">0</definedName>
    <definedName name="solver_rhs6" localSheetId="23" hidden="1">0</definedName>
    <definedName name="solver_rhs7" localSheetId="20" hidden="1">0</definedName>
    <definedName name="solver_rhs7" localSheetId="14" hidden="1">0</definedName>
    <definedName name="solver_rhs7" localSheetId="23" hidden="1">0</definedName>
    <definedName name="solver_rhs8" localSheetId="20" hidden="1">0</definedName>
    <definedName name="solver_rhs8" localSheetId="14" hidden="1">0</definedName>
    <definedName name="solver_rhs8" localSheetId="23" hidden="1">0</definedName>
    <definedName name="solver_rhs9" localSheetId="20" hidden="1">0</definedName>
    <definedName name="solver_rhs9" localSheetId="14" hidden="1">0</definedName>
    <definedName name="solver_rhs9" localSheetId="23" hidden="1">0</definedName>
    <definedName name="solver_rlx" localSheetId="20" hidden="1">2</definedName>
    <definedName name="solver_rlx" localSheetId="14" hidden="1">2</definedName>
    <definedName name="solver_rlx" localSheetId="23" hidden="1">2</definedName>
    <definedName name="solver_rlx" localSheetId="36" hidden="1">2</definedName>
    <definedName name="solver_rsd" localSheetId="20" hidden="1">0</definedName>
    <definedName name="solver_rsd" localSheetId="14" hidden="1">0</definedName>
    <definedName name="solver_rsd" localSheetId="23" hidden="1">0</definedName>
    <definedName name="solver_rsd" localSheetId="36" hidden="1">12</definedName>
    <definedName name="solver_scl" localSheetId="20" hidden="1">2</definedName>
    <definedName name="solver_scl" localSheetId="14" hidden="1">2</definedName>
    <definedName name="solver_scl" localSheetId="23" hidden="1">2</definedName>
    <definedName name="solver_scl" localSheetId="36" hidden="1">1</definedName>
    <definedName name="solver_sho" localSheetId="20" hidden="1">2</definedName>
    <definedName name="solver_sho" localSheetId="14" hidden="1">2</definedName>
    <definedName name="solver_sho" localSheetId="23" hidden="1">2</definedName>
    <definedName name="solver_sho" localSheetId="36" hidden="1">2</definedName>
    <definedName name="solver_ssz" localSheetId="20" hidden="1">100</definedName>
    <definedName name="solver_ssz" localSheetId="14" hidden="1">100</definedName>
    <definedName name="solver_ssz" localSheetId="23" hidden="1">100</definedName>
    <definedName name="solver_ssz" localSheetId="36" hidden="1">200</definedName>
    <definedName name="solver_tim" localSheetId="20" hidden="1">2147483647</definedName>
    <definedName name="solver_tim" localSheetId="14" hidden="1">2147483647</definedName>
    <definedName name="solver_tim" localSheetId="23" hidden="1">2147483647</definedName>
    <definedName name="solver_tim" localSheetId="36" hidden="1">300</definedName>
    <definedName name="solver_tol" localSheetId="20" hidden="1">0.01</definedName>
    <definedName name="solver_tol" localSheetId="14" hidden="1">0.01</definedName>
    <definedName name="solver_tol" localSheetId="23" hidden="1">0.01</definedName>
    <definedName name="solver_tol" localSheetId="36" hidden="1">0.01</definedName>
    <definedName name="solver_typ" localSheetId="20" hidden="1">1</definedName>
    <definedName name="solver_typ" localSheetId="14" hidden="1">1</definedName>
    <definedName name="solver_typ" localSheetId="23" hidden="1">1</definedName>
    <definedName name="solver_typ" localSheetId="36" hidden="1">1</definedName>
    <definedName name="solver_val" localSheetId="20" hidden="1">0</definedName>
    <definedName name="solver_val" localSheetId="14" hidden="1">0</definedName>
    <definedName name="solver_val" localSheetId="23" hidden="1">0</definedName>
    <definedName name="solver_val" localSheetId="36" hidden="1">0</definedName>
    <definedName name="solver_ver" localSheetId="20" hidden="1">3</definedName>
    <definedName name="solver_ver" localSheetId="14" hidden="1">3</definedName>
    <definedName name="solver_ver" localSheetId="23" hidden="1">3</definedName>
    <definedName name="solver_ver" localSheetId="36" hidden="1">3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4" l="1"/>
  <c r="H9" i="27"/>
  <c r="D9" i="27"/>
  <c r="H5" i="27"/>
  <c r="D5" i="27"/>
  <c r="D20" i="6"/>
  <c r="I20" i="6"/>
  <c r="A9" i="6"/>
  <c r="A8" i="6"/>
  <c r="A7" i="6"/>
  <c r="A6" i="6"/>
  <c r="A5" i="6"/>
  <c r="A4" i="6"/>
  <c r="A3" i="6"/>
  <c r="A2" i="6"/>
  <c r="N6" i="80"/>
  <c r="B5" i="1"/>
  <c r="F16" i="80"/>
  <c r="F13" i="80"/>
  <c r="B5" i="80"/>
  <c r="B3" i="80"/>
  <c r="F7" i="67"/>
  <c r="F5" i="67"/>
  <c r="C43" i="67"/>
  <c r="B43" i="67"/>
  <c r="C49" i="67"/>
  <c r="B49" i="67"/>
  <c r="C55" i="67"/>
  <c r="B55" i="67"/>
  <c r="C61" i="67"/>
  <c r="B61" i="67"/>
  <c r="C67" i="67"/>
  <c r="B67" i="67"/>
  <c r="B56" i="67"/>
  <c r="B62" i="67" s="1"/>
  <c r="B47" i="67"/>
  <c r="B53" i="67" s="1"/>
  <c r="B44" i="67"/>
  <c r="B50" i="67" s="1"/>
  <c r="F2" i="67"/>
  <c r="B12" i="1"/>
  <c r="B4" i="3" s="1"/>
  <c r="C39" i="67"/>
  <c r="C35" i="67"/>
  <c r="B42" i="67"/>
  <c r="B38" i="67"/>
  <c r="B39" i="67"/>
  <c r="B35" i="67"/>
  <c r="I26" i="1"/>
  <c r="I27" i="1" s="1"/>
  <c r="I25" i="1"/>
  <c r="C1000" i="76"/>
  <c r="C999" i="76"/>
  <c r="C998" i="76"/>
  <c r="C997" i="76"/>
  <c r="C996" i="76"/>
  <c r="C995" i="76"/>
  <c r="C994" i="76"/>
  <c r="C993" i="76"/>
  <c r="C992" i="76"/>
  <c r="C991" i="76"/>
  <c r="C990" i="76"/>
  <c r="C989" i="76"/>
  <c r="C988" i="76"/>
  <c r="C987" i="76"/>
  <c r="C986" i="76"/>
  <c r="C985" i="76"/>
  <c r="C984" i="76"/>
  <c r="C983" i="76"/>
  <c r="C982" i="76"/>
  <c r="C981" i="76"/>
  <c r="C980" i="76"/>
  <c r="C979" i="76"/>
  <c r="C978" i="76"/>
  <c r="C977" i="76"/>
  <c r="C976" i="76"/>
  <c r="C975" i="76"/>
  <c r="C974" i="76"/>
  <c r="C973" i="76"/>
  <c r="C972" i="76"/>
  <c r="C971" i="76"/>
  <c r="C970" i="76"/>
  <c r="C969" i="76"/>
  <c r="C968" i="76"/>
  <c r="C967" i="76"/>
  <c r="C966" i="76"/>
  <c r="C965" i="76"/>
  <c r="C964" i="76"/>
  <c r="C963" i="76"/>
  <c r="C962" i="76"/>
  <c r="C961" i="76"/>
  <c r="C960" i="76"/>
  <c r="C959" i="76"/>
  <c r="C958" i="76"/>
  <c r="C957" i="76"/>
  <c r="C956" i="76"/>
  <c r="C955" i="76"/>
  <c r="C954" i="76"/>
  <c r="C953" i="76"/>
  <c r="C952" i="76"/>
  <c r="C951" i="76"/>
  <c r="C950" i="76"/>
  <c r="C949" i="76"/>
  <c r="C948" i="76"/>
  <c r="C947" i="76"/>
  <c r="C946" i="76"/>
  <c r="C945" i="76"/>
  <c r="C944" i="76"/>
  <c r="C943" i="76"/>
  <c r="C942" i="76"/>
  <c r="C941" i="76"/>
  <c r="C940" i="76"/>
  <c r="C939" i="76"/>
  <c r="C938" i="76"/>
  <c r="C937" i="76"/>
  <c r="C936" i="76"/>
  <c r="C935" i="76"/>
  <c r="C934" i="76"/>
  <c r="C933" i="76"/>
  <c r="C932" i="76"/>
  <c r="C931" i="76"/>
  <c r="C930" i="76"/>
  <c r="C929" i="76"/>
  <c r="C928" i="76"/>
  <c r="C927" i="76"/>
  <c r="C926" i="76"/>
  <c r="C925" i="76"/>
  <c r="C924" i="76"/>
  <c r="C923" i="76"/>
  <c r="C922" i="76"/>
  <c r="C921" i="76"/>
  <c r="C920" i="76"/>
  <c r="C919" i="76"/>
  <c r="C918" i="76"/>
  <c r="C917" i="76"/>
  <c r="C916" i="76"/>
  <c r="C915" i="76"/>
  <c r="C914" i="76"/>
  <c r="C913" i="76"/>
  <c r="C912" i="76"/>
  <c r="C911" i="76"/>
  <c r="C910" i="76"/>
  <c r="C909" i="76"/>
  <c r="C908" i="76"/>
  <c r="C907" i="76"/>
  <c r="C906" i="76"/>
  <c r="C905" i="76"/>
  <c r="C904" i="76"/>
  <c r="C903" i="76"/>
  <c r="C902" i="76"/>
  <c r="C901" i="76"/>
  <c r="C900" i="76"/>
  <c r="C899" i="76"/>
  <c r="C898" i="76"/>
  <c r="C897" i="76"/>
  <c r="C896" i="76"/>
  <c r="C895" i="76"/>
  <c r="C894" i="76"/>
  <c r="C893" i="76"/>
  <c r="C892" i="76"/>
  <c r="C891" i="76"/>
  <c r="C890" i="76"/>
  <c r="C889" i="76"/>
  <c r="C888" i="76"/>
  <c r="C887" i="76"/>
  <c r="C886" i="76"/>
  <c r="C885" i="76"/>
  <c r="C884" i="76"/>
  <c r="C883" i="76"/>
  <c r="C882" i="76"/>
  <c r="C881" i="76"/>
  <c r="C880" i="76"/>
  <c r="C879" i="76"/>
  <c r="C878" i="76"/>
  <c r="C877" i="76"/>
  <c r="C876" i="76"/>
  <c r="C875" i="76"/>
  <c r="C874" i="76"/>
  <c r="C873" i="76"/>
  <c r="C872" i="76"/>
  <c r="C871" i="76"/>
  <c r="C870" i="76"/>
  <c r="C869" i="76"/>
  <c r="C868" i="76"/>
  <c r="C867" i="76"/>
  <c r="C866" i="76"/>
  <c r="C865" i="76"/>
  <c r="C864" i="76"/>
  <c r="C863" i="76"/>
  <c r="C862" i="76"/>
  <c r="C861" i="76"/>
  <c r="C860" i="76"/>
  <c r="C859" i="76"/>
  <c r="C858" i="76"/>
  <c r="C857" i="76"/>
  <c r="C856" i="76"/>
  <c r="C855" i="76"/>
  <c r="C854" i="76"/>
  <c r="C853" i="76"/>
  <c r="C852" i="76"/>
  <c r="C851" i="76"/>
  <c r="C850" i="76"/>
  <c r="C849" i="76"/>
  <c r="C848" i="76"/>
  <c r="C847" i="76"/>
  <c r="C846" i="76"/>
  <c r="C845" i="76"/>
  <c r="C844" i="76"/>
  <c r="C843" i="76"/>
  <c r="C842" i="76"/>
  <c r="C841" i="76"/>
  <c r="C840" i="76"/>
  <c r="C839" i="76"/>
  <c r="C838" i="76"/>
  <c r="C837" i="76"/>
  <c r="C836" i="76"/>
  <c r="C835" i="76"/>
  <c r="C834" i="76"/>
  <c r="C833" i="76"/>
  <c r="C832" i="76"/>
  <c r="C831" i="76"/>
  <c r="C830" i="76"/>
  <c r="C829" i="76"/>
  <c r="C828" i="76"/>
  <c r="C827" i="76"/>
  <c r="C826" i="76"/>
  <c r="C825" i="76"/>
  <c r="C824" i="76"/>
  <c r="C823" i="76"/>
  <c r="C822" i="76"/>
  <c r="C821" i="76"/>
  <c r="C820" i="76"/>
  <c r="C819" i="76"/>
  <c r="C818" i="76"/>
  <c r="C817" i="76"/>
  <c r="C816" i="76"/>
  <c r="C815" i="76"/>
  <c r="C814" i="76"/>
  <c r="C813" i="76"/>
  <c r="C812" i="76"/>
  <c r="C811" i="76"/>
  <c r="C810" i="76"/>
  <c r="C809" i="76"/>
  <c r="C808" i="76"/>
  <c r="C807" i="76"/>
  <c r="C806" i="76"/>
  <c r="C805" i="76"/>
  <c r="C804" i="76"/>
  <c r="C803" i="76"/>
  <c r="C802" i="76"/>
  <c r="C801" i="76"/>
  <c r="C800" i="76"/>
  <c r="C799" i="76"/>
  <c r="C798" i="76"/>
  <c r="C797" i="76"/>
  <c r="C796" i="76"/>
  <c r="C795" i="76"/>
  <c r="C794" i="76"/>
  <c r="C793" i="76"/>
  <c r="C792" i="76"/>
  <c r="C791" i="76"/>
  <c r="C790" i="76"/>
  <c r="C789" i="76"/>
  <c r="C788" i="76"/>
  <c r="C787" i="76"/>
  <c r="C786" i="76"/>
  <c r="C785" i="76"/>
  <c r="C784" i="76"/>
  <c r="C783" i="76"/>
  <c r="C782" i="76"/>
  <c r="C781" i="76"/>
  <c r="C780" i="76"/>
  <c r="C779" i="76"/>
  <c r="C778" i="76"/>
  <c r="C777" i="76"/>
  <c r="C776" i="76"/>
  <c r="C775" i="76"/>
  <c r="C774" i="76"/>
  <c r="C773" i="76"/>
  <c r="C772" i="76"/>
  <c r="C771" i="76"/>
  <c r="C770" i="76"/>
  <c r="C769" i="76"/>
  <c r="C768" i="76"/>
  <c r="C767" i="76"/>
  <c r="C766" i="76"/>
  <c r="C765" i="76"/>
  <c r="C764" i="76"/>
  <c r="C763" i="76"/>
  <c r="C762" i="76"/>
  <c r="C761" i="76"/>
  <c r="C760" i="76"/>
  <c r="C759" i="76"/>
  <c r="C758" i="76"/>
  <c r="C757" i="76"/>
  <c r="C756" i="76"/>
  <c r="C755" i="76"/>
  <c r="C754" i="76"/>
  <c r="C753" i="76"/>
  <c r="C752" i="76"/>
  <c r="C751" i="76"/>
  <c r="C750" i="76"/>
  <c r="C749" i="76"/>
  <c r="C748" i="76"/>
  <c r="C747" i="76"/>
  <c r="C746" i="76"/>
  <c r="C745" i="76"/>
  <c r="C744" i="76"/>
  <c r="C743" i="76"/>
  <c r="C742" i="76"/>
  <c r="C741" i="76"/>
  <c r="C740" i="76"/>
  <c r="C739" i="76"/>
  <c r="C738" i="76"/>
  <c r="C737" i="76"/>
  <c r="C736" i="76"/>
  <c r="C735" i="76"/>
  <c r="C734" i="76"/>
  <c r="C733" i="76"/>
  <c r="C732" i="76"/>
  <c r="C731" i="76"/>
  <c r="C730" i="76"/>
  <c r="C729" i="76"/>
  <c r="C728" i="76"/>
  <c r="C727" i="76"/>
  <c r="C726" i="76"/>
  <c r="C725" i="76"/>
  <c r="C724" i="76"/>
  <c r="C723" i="76"/>
  <c r="C722" i="76"/>
  <c r="C721" i="76"/>
  <c r="C720" i="76"/>
  <c r="C719" i="76"/>
  <c r="C718" i="76"/>
  <c r="C717" i="76"/>
  <c r="C716" i="76"/>
  <c r="C715" i="76"/>
  <c r="C714" i="76"/>
  <c r="C713" i="76"/>
  <c r="C712" i="76"/>
  <c r="C711" i="76"/>
  <c r="C710" i="76"/>
  <c r="C709" i="76"/>
  <c r="C708" i="76"/>
  <c r="C707" i="76"/>
  <c r="C706" i="76"/>
  <c r="C705" i="76"/>
  <c r="C704" i="76"/>
  <c r="C703" i="76"/>
  <c r="C702" i="76"/>
  <c r="C701" i="76"/>
  <c r="C700" i="76"/>
  <c r="C699" i="76"/>
  <c r="C698" i="76"/>
  <c r="C697" i="76"/>
  <c r="C696" i="76"/>
  <c r="C695" i="76"/>
  <c r="C694" i="76"/>
  <c r="C693" i="76"/>
  <c r="C692" i="76"/>
  <c r="C691" i="76"/>
  <c r="C690" i="76"/>
  <c r="C689" i="76"/>
  <c r="C688" i="76"/>
  <c r="C687" i="76"/>
  <c r="C686" i="76"/>
  <c r="C685" i="76"/>
  <c r="C684" i="76"/>
  <c r="C683" i="76"/>
  <c r="C682" i="76"/>
  <c r="C681" i="76"/>
  <c r="C680" i="76"/>
  <c r="C679" i="76"/>
  <c r="C678" i="76"/>
  <c r="C677" i="76"/>
  <c r="C676" i="76"/>
  <c r="C675" i="76"/>
  <c r="C674" i="76"/>
  <c r="C673" i="76"/>
  <c r="C672" i="76"/>
  <c r="C671" i="76"/>
  <c r="C670" i="76"/>
  <c r="C669" i="76"/>
  <c r="C668" i="76"/>
  <c r="C667" i="76"/>
  <c r="C666" i="76"/>
  <c r="C665" i="76"/>
  <c r="C664" i="76"/>
  <c r="C663" i="76"/>
  <c r="C662" i="76"/>
  <c r="C661" i="76"/>
  <c r="C660" i="76"/>
  <c r="C659" i="76"/>
  <c r="C658" i="76"/>
  <c r="C657" i="76"/>
  <c r="C656" i="76"/>
  <c r="C655" i="76"/>
  <c r="C654" i="76"/>
  <c r="C653" i="76"/>
  <c r="C652" i="76"/>
  <c r="C651" i="76"/>
  <c r="C650" i="76"/>
  <c r="C649" i="76"/>
  <c r="C648" i="76"/>
  <c r="C647" i="76"/>
  <c r="C646" i="76"/>
  <c r="C645" i="76"/>
  <c r="C644" i="76"/>
  <c r="C643" i="76"/>
  <c r="C642" i="76"/>
  <c r="C641" i="76"/>
  <c r="C640" i="76"/>
  <c r="C639" i="76"/>
  <c r="C638" i="76"/>
  <c r="C637" i="76"/>
  <c r="C636" i="76"/>
  <c r="C635" i="76"/>
  <c r="C634" i="76"/>
  <c r="C633" i="76"/>
  <c r="C632" i="76"/>
  <c r="C631" i="76"/>
  <c r="C630" i="76"/>
  <c r="C629" i="76"/>
  <c r="C628" i="76"/>
  <c r="C627" i="76"/>
  <c r="C626" i="76"/>
  <c r="C625" i="76"/>
  <c r="C624" i="76"/>
  <c r="C623" i="76"/>
  <c r="C622" i="76"/>
  <c r="C621" i="76"/>
  <c r="C620" i="76"/>
  <c r="C619" i="76"/>
  <c r="C618" i="76"/>
  <c r="C617" i="76"/>
  <c r="C616" i="76"/>
  <c r="C615" i="76"/>
  <c r="C614" i="76"/>
  <c r="C613" i="76"/>
  <c r="C612" i="76"/>
  <c r="C611" i="76"/>
  <c r="C610" i="76"/>
  <c r="C609" i="76"/>
  <c r="C608" i="76"/>
  <c r="C607" i="76"/>
  <c r="C606" i="76"/>
  <c r="C605" i="76"/>
  <c r="C604" i="76"/>
  <c r="C603" i="76"/>
  <c r="C602" i="76"/>
  <c r="C601" i="76"/>
  <c r="C600" i="76"/>
  <c r="C599" i="76"/>
  <c r="C598" i="76"/>
  <c r="C597" i="76"/>
  <c r="C596" i="76"/>
  <c r="C595" i="76"/>
  <c r="C594" i="76"/>
  <c r="C593" i="76"/>
  <c r="C592" i="76"/>
  <c r="C591" i="76"/>
  <c r="C590" i="76"/>
  <c r="C589" i="76"/>
  <c r="C588" i="76"/>
  <c r="C587" i="76"/>
  <c r="C586" i="76"/>
  <c r="C585" i="76"/>
  <c r="C584" i="76"/>
  <c r="C583" i="76"/>
  <c r="C582" i="76"/>
  <c r="C581" i="76"/>
  <c r="C580" i="76"/>
  <c r="C579" i="76"/>
  <c r="C578" i="76"/>
  <c r="C577" i="76"/>
  <c r="C576" i="76"/>
  <c r="C575" i="76"/>
  <c r="C574" i="76"/>
  <c r="C573" i="76"/>
  <c r="C572" i="76"/>
  <c r="C571" i="76"/>
  <c r="C570" i="76"/>
  <c r="C569" i="76"/>
  <c r="C568" i="76"/>
  <c r="C567" i="76"/>
  <c r="C566" i="76"/>
  <c r="C565" i="76"/>
  <c r="C564" i="76"/>
  <c r="C563" i="76"/>
  <c r="C562" i="76"/>
  <c r="C561" i="76"/>
  <c r="C560" i="76"/>
  <c r="C559" i="76"/>
  <c r="C558" i="76"/>
  <c r="C557" i="76"/>
  <c r="C556" i="76"/>
  <c r="C555" i="76"/>
  <c r="C554" i="76"/>
  <c r="C553" i="76"/>
  <c r="C552" i="76"/>
  <c r="C551" i="76"/>
  <c r="C550" i="76"/>
  <c r="C549" i="76"/>
  <c r="C548" i="76"/>
  <c r="C547" i="76"/>
  <c r="C546" i="76"/>
  <c r="C545" i="76"/>
  <c r="C544" i="76"/>
  <c r="C543" i="76"/>
  <c r="C542" i="76"/>
  <c r="C541" i="76"/>
  <c r="C540" i="76"/>
  <c r="C539" i="76"/>
  <c r="C538" i="76"/>
  <c r="C537" i="76"/>
  <c r="C536" i="76"/>
  <c r="C535" i="76"/>
  <c r="C534" i="76"/>
  <c r="C533" i="76"/>
  <c r="C532" i="76"/>
  <c r="C531" i="76"/>
  <c r="C530" i="76"/>
  <c r="C529" i="76"/>
  <c r="C528" i="76"/>
  <c r="C527" i="76"/>
  <c r="C526" i="76"/>
  <c r="C525" i="76"/>
  <c r="C524" i="76"/>
  <c r="C523" i="76"/>
  <c r="C522" i="76"/>
  <c r="C521" i="76"/>
  <c r="C520" i="76"/>
  <c r="C519" i="76"/>
  <c r="C518" i="76"/>
  <c r="C517" i="76"/>
  <c r="C516" i="76"/>
  <c r="C515" i="76"/>
  <c r="C514" i="76"/>
  <c r="C513" i="76"/>
  <c r="C512" i="76"/>
  <c r="C511" i="76"/>
  <c r="C510" i="76"/>
  <c r="C509" i="76"/>
  <c r="C508" i="76"/>
  <c r="C507" i="76"/>
  <c r="C506" i="76"/>
  <c r="C505" i="76"/>
  <c r="C504" i="76"/>
  <c r="C503" i="76"/>
  <c r="C502" i="76"/>
  <c r="C501" i="76"/>
  <c r="C500" i="76"/>
  <c r="C499" i="76"/>
  <c r="C498" i="76"/>
  <c r="C497" i="76"/>
  <c r="C496" i="76"/>
  <c r="C495" i="76"/>
  <c r="C494" i="76"/>
  <c r="C493" i="76"/>
  <c r="C492" i="76"/>
  <c r="C491" i="76"/>
  <c r="C490" i="76"/>
  <c r="C489" i="76"/>
  <c r="C488" i="76"/>
  <c r="C487" i="76"/>
  <c r="C486" i="76"/>
  <c r="C485" i="76"/>
  <c r="C484" i="76"/>
  <c r="C483" i="76"/>
  <c r="C482" i="76"/>
  <c r="C481" i="76"/>
  <c r="C480" i="76"/>
  <c r="C479" i="76"/>
  <c r="C478" i="76"/>
  <c r="C477" i="76"/>
  <c r="C476" i="76"/>
  <c r="C475" i="76"/>
  <c r="C474" i="76"/>
  <c r="C473" i="76"/>
  <c r="C472" i="76"/>
  <c r="C471" i="76"/>
  <c r="C470" i="76"/>
  <c r="C469" i="76"/>
  <c r="C468" i="76"/>
  <c r="C467" i="76"/>
  <c r="C466" i="76"/>
  <c r="C465" i="76"/>
  <c r="C464" i="76"/>
  <c r="C463" i="76"/>
  <c r="C462" i="76"/>
  <c r="C461" i="76"/>
  <c r="C460" i="76"/>
  <c r="C459" i="76"/>
  <c r="C458" i="76"/>
  <c r="C457" i="76"/>
  <c r="C456" i="76"/>
  <c r="C455" i="76"/>
  <c r="C454" i="76"/>
  <c r="C453" i="76"/>
  <c r="C452" i="76"/>
  <c r="C451" i="76"/>
  <c r="C450" i="76"/>
  <c r="C449" i="76"/>
  <c r="C448" i="76"/>
  <c r="C447" i="76"/>
  <c r="C446" i="76"/>
  <c r="C445" i="76"/>
  <c r="C444" i="76"/>
  <c r="C443" i="76"/>
  <c r="C442" i="76"/>
  <c r="C441" i="76"/>
  <c r="C440" i="76"/>
  <c r="C439" i="76"/>
  <c r="C438" i="76"/>
  <c r="C437" i="76"/>
  <c r="C436" i="76"/>
  <c r="C435" i="76"/>
  <c r="C434" i="76"/>
  <c r="C433" i="76"/>
  <c r="C432" i="76"/>
  <c r="C431" i="76"/>
  <c r="C430" i="76"/>
  <c r="C429" i="76"/>
  <c r="C428" i="76"/>
  <c r="C427" i="76"/>
  <c r="C426" i="76"/>
  <c r="C425" i="76"/>
  <c r="C424" i="76"/>
  <c r="C423" i="76"/>
  <c r="C422" i="76"/>
  <c r="C421" i="76"/>
  <c r="C420" i="76"/>
  <c r="C419" i="76"/>
  <c r="C418" i="76"/>
  <c r="C417" i="76"/>
  <c r="C416" i="76"/>
  <c r="C415" i="76"/>
  <c r="C414" i="76"/>
  <c r="C413" i="76"/>
  <c r="C412" i="76"/>
  <c r="C411" i="76"/>
  <c r="C410" i="76"/>
  <c r="C409" i="76"/>
  <c r="C408" i="76"/>
  <c r="C407" i="76"/>
  <c r="C406" i="76"/>
  <c r="C405" i="76"/>
  <c r="C404" i="76"/>
  <c r="C403" i="76"/>
  <c r="C402" i="76"/>
  <c r="C401" i="76"/>
  <c r="C400" i="76"/>
  <c r="C399" i="76"/>
  <c r="C398" i="76"/>
  <c r="C397" i="76"/>
  <c r="C396" i="76"/>
  <c r="C395" i="76"/>
  <c r="C394" i="76"/>
  <c r="C393" i="76"/>
  <c r="C392" i="76"/>
  <c r="C391" i="76"/>
  <c r="C390" i="76"/>
  <c r="C389" i="76"/>
  <c r="C388" i="76"/>
  <c r="C387" i="76"/>
  <c r="C386" i="76"/>
  <c r="C385" i="76"/>
  <c r="C384" i="76"/>
  <c r="C383" i="76"/>
  <c r="C382" i="76"/>
  <c r="C381" i="76"/>
  <c r="C380" i="76"/>
  <c r="C379" i="76"/>
  <c r="C378" i="76"/>
  <c r="C377" i="76"/>
  <c r="C376" i="76"/>
  <c r="C375" i="76"/>
  <c r="C374" i="76"/>
  <c r="C373" i="76"/>
  <c r="C372" i="76"/>
  <c r="C371" i="76"/>
  <c r="C370" i="76"/>
  <c r="C369" i="76"/>
  <c r="C368" i="76"/>
  <c r="C367" i="76"/>
  <c r="C366" i="76"/>
  <c r="C365" i="76"/>
  <c r="C364" i="76"/>
  <c r="C363" i="76"/>
  <c r="C362" i="76"/>
  <c r="C361" i="76"/>
  <c r="C360" i="76"/>
  <c r="C359" i="76"/>
  <c r="C358" i="76"/>
  <c r="C357" i="76"/>
  <c r="C356" i="76"/>
  <c r="C355" i="76"/>
  <c r="C354" i="76"/>
  <c r="C353" i="76"/>
  <c r="C352" i="76"/>
  <c r="C351" i="76"/>
  <c r="C350" i="76"/>
  <c r="C349" i="76"/>
  <c r="C348" i="76"/>
  <c r="C347" i="76"/>
  <c r="C346" i="76"/>
  <c r="C345" i="76"/>
  <c r="C344" i="76"/>
  <c r="C343" i="76"/>
  <c r="C342" i="76"/>
  <c r="C341" i="76"/>
  <c r="C340" i="76"/>
  <c r="C339" i="76"/>
  <c r="C338" i="76"/>
  <c r="C337" i="76"/>
  <c r="C336" i="76"/>
  <c r="C335" i="76"/>
  <c r="C334" i="76"/>
  <c r="C333" i="76"/>
  <c r="C332" i="76"/>
  <c r="C331" i="76"/>
  <c r="C330" i="76"/>
  <c r="C329" i="76"/>
  <c r="C328" i="76"/>
  <c r="C327" i="76"/>
  <c r="C326" i="76"/>
  <c r="C325" i="76"/>
  <c r="C324" i="76"/>
  <c r="C323" i="76"/>
  <c r="C322" i="76"/>
  <c r="C321" i="76"/>
  <c r="C320" i="76"/>
  <c r="C319" i="76"/>
  <c r="C318" i="76"/>
  <c r="C317" i="76"/>
  <c r="C316" i="76"/>
  <c r="C315" i="76"/>
  <c r="C314" i="76"/>
  <c r="C313" i="76"/>
  <c r="C312" i="76"/>
  <c r="C311" i="76"/>
  <c r="C310" i="76"/>
  <c r="C309" i="76"/>
  <c r="C308" i="76"/>
  <c r="C307" i="76"/>
  <c r="C306" i="76"/>
  <c r="C305" i="76"/>
  <c r="C304" i="76"/>
  <c r="C303" i="76"/>
  <c r="C302" i="76"/>
  <c r="C301" i="76"/>
  <c r="C300" i="76"/>
  <c r="C299" i="76"/>
  <c r="C298" i="76"/>
  <c r="C297" i="76"/>
  <c r="C296" i="76"/>
  <c r="C295" i="76"/>
  <c r="C294" i="76"/>
  <c r="C293" i="76"/>
  <c r="C292" i="76"/>
  <c r="C291" i="76"/>
  <c r="C290" i="76"/>
  <c r="C289" i="76"/>
  <c r="C288" i="76"/>
  <c r="C287" i="76"/>
  <c r="C286" i="76"/>
  <c r="C285" i="76"/>
  <c r="C284" i="76"/>
  <c r="C283" i="76"/>
  <c r="C282" i="76"/>
  <c r="C281" i="76"/>
  <c r="C280" i="76"/>
  <c r="C279" i="76"/>
  <c r="C278" i="76"/>
  <c r="C277" i="76"/>
  <c r="C276" i="76"/>
  <c r="C275" i="76"/>
  <c r="C274" i="76"/>
  <c r="C273" i="76"/>
  <c r="C272" i="76"/>
  <c r="C271" i="76"/>
  <c r="C270" i="76"/>
  <c r="C269" i="76"/>
  <c r="C268" i="76"/>
  <c r="C267" i="76"/>
  <c r="C266" i="76"/>
  <c r="C265" i="76"/>
  <c r="C264" i="76"/>
  <c r="C263" i="76"/>
  <c r="C262" i="76"/>
  <c r="C261" i="76"/>
  <c r="C260" i="76"/>
  <c r="C259" i="76"/>
  <c r="C258" i="76"/>
  <c r="C257" i="76"/>
  <c r="C256" i="76"/>
  <c r="C255" i="76"/>
  <c r="C254" i="76"/>
  <c r="C253" i="76"/>
  <c r="C252" i="76"/>
  <c r="C251" i="76"/>
  <c r="C250" i="76"/>
  <c r="C249" i="76"/>
  <c r="C248" i="76"/>
  <c r="C247" i="76"/>
  <c r="C246" i="76"/>
  <c r="C245" i="76"/>
  <c r="C244" i="76"/>
  <c r="C243" i="76"/>
  <c r="C242" i="76"/>
  <c r="C241" i="76"/>
  <c r="C240" i="76"/>
  <c r="C239" i="76"/>
  <c r="C238" i="76"/>
  <c r="C237" i="76"/>
  <c r="C236" i="76"/>
  <c r="C235" i="76"/>
  <c r="C234" i="76"/>
  <c r="C233" i="76"/>
  <c r="C232" i="76"/>
  <c r="C231" i="76"/>
  <c r="C230" i="76"/>
  <c r="C229" i="76"/>
  <c r="C228" i="76"/>
  <c r="C227" i="76"/>
  <c r="C226" i="76"/>
  <c r="C225" i="76"/>
  <c r="C224" i="76"/>
  <c r="C223" i="76"/>
  <c r="C222" i="76"/>
  <c r="C221" i="76"/>
  <c r="C220" i="76"/>
  <c r="C219" i="76"/>
  <c r="C218" i="76"/>
  <c r="C217" i="76"/>
  <c r="C216" i="76"/>
  <c r="C215" i="76"/>
  <c r="C214" i="76"/>
  <c r="C213" i="76"/>
  <c r="C212" i="76"/>
  <c r="C211" i="76"/>
  <c r="C210" i="76"/>
  <c r="C209" i="76"/>
  <c r="C208" i="76"/>
  <c r="C207" i="76"/>
  <c r="C206" i="76"/>
  <c r="C205" i="76"/>
  <c r="C204" i="76"/>
  <c r="C203" i="76"/>
  <c r="C202" i="76"/>
  <c r="C201" i="76"/>
  <c r="C200" i="76"/>
  <c r="C199" i="76"/>
  <c r="C198" i="76"/>
  <c r="C197" i="76"/>
  <c r="C196" i="76"/>
  <c r="C195" i="76"/>
  <c r="C194" i="76"/>
  <c r="C193" i="76"/>
  <c r="C192" i="76"/>
  <c r="C191" i="76"/>
  <c r="C190" i="76"/>
  <c r="C189" i="76"/>
  <c r="C188" i="76"/>
  <c r="C187" i="76"/>
  <c r="C186" i="76"/>
  <c r="C185" i="76"/>
  <c r="C184" i="76"/>
  <c r="C183" i="76"/>
  <c r="C182" i="76"/>
  <c r="C181" i="76"/>
  <c r="C180" i="76"/>
  <c r="C179" i="76"/>
  <c r="C178" i="76"/>
  <c r="C177" i="76"/>
  <c r="C176" i="76"/>
  <c r="C175" i="76"/>
  <c r="C174" i="76"/>
  <c r="C173" i="76"/>
  <c r="G23" i="76"/>
  <c r="B7" i="67"/>
  <c r="E18" i="1"/>
  <c r="Y35" i="72"/>
  <c r="Z35" i="72" s="1"/>
  <c r="Y34" i="72"/>
  <c r="Z34" i="72" s="1"/>
  <c r="Y33" i="72"/>
  <c r="Z33" i="72" s="1"/>
  <c r="Y32" i="72"/>
  <c r="Z32" i="72" s="1"/>
  <c r="Y31" i="72"/>
  <c r="Z31" i="72" s="1"/>
  <c r="Y30" i="72"/>
  <c r="Z30" i="72" s="1"/>
  <c r="I18" i="72"/>
  <c r="AI16" i="65"/>
  <c r="AH16" i="65"/>
  <c r="AG16" i="65"/>
  <c r="AF16" i="65"/>
  <c r="AE16" i="65"/>
  <c r="AD16" i="65"/>
  <c r="Z16" i="65"/>
  <c r="Y16" i="65"/>
  <c r="X16" i="65"/>
  <c r="W16" i="65"/>
  <c r="V16" i="65"/>
  <c r="U16" i="65"/>
  <c r="Q16" i="65"/>
  <c r="P16" i="65"/>
  <c r="O16" i="65"/>
  <c r="N16" i="65"/>
  <c r="M16" i="65"/>
  <c r="L16" i="65"/>
  <c r="H16" i="65"/>
  <c r="G16" i="65"/>
  <c r="F16" i="65"/>
  <c r="E16" i="65"/>
  <c r="D16" i="65"/>
  <c r="C16" i="65"/>
  <c r="AI15" i="65"/>
  <c r="AH15" i="65"/>
  <c r="AG15" i="65"/>
  <c r="AF15" i="65"/>
  <c r="AE15" i="65"/>
  <c r="AD15" i="65"/>
  <c r="Z15" i="65"/>
  <c r="Y15" i="65"/>
  <c r="X15" i="65"/>
  <c r="W15" i="65"/>
  <c r="V15" i="65"/>
  <c r="U15" i="65"/>
  <c r="Q15" i="65"/>
  <c r="P15" i="65"/>
  <c r="O15" i="65"/>
  <c r="N15" i="65"/>
  <c r="M15" i="65"/>
  <c r="L15" i="65"/>
  <c r="H15" i="65"/>
  <c r="G15" i="65"/>
  <c r="F15" i="65"/>
  <c r="E15" i="65"/>
  <c r="D15" i="65"/>
  <c r="C15" i="65"/>
  <c r="AI14" i="65"/>
  <c r="AH14" i="65"/>
  <c r="AG14" i="65"/>
  <c r="AF14" i="65"/>
  <c r="AE14" i="65"/>
  <c r="AD14" i="65"/>
  <c r="Z14" i="65"/>
  <c r="Y14" i="65"/>
  <c r="X14" i="65"/>
  <c r="W14" i="65"/>
  <c r="V14" i="65"/>
  <c r="U14" i="65"/>
  <c r="Q14" i="65"/>
  <c r="P14" i="65"/>
  <c r="O14" i="65"/>
  <c r="N14" i="65"/>
  <c r="M14" i="65"/>
  <c r="L14" i="65"/>
  <c r="H14" i="65"/>
  <c r="G14" i="65"/>
  <c r="F14" i="65"/>
  <c r="E14" i="65"/>
  <c r="D14" i="65"/>
  <c r="C14" i="65"/>
  <c r="AI13" i="65"/>
  <c r="AH13" i="65"/>
  <c r="AG13" i="65"/>
  <c r="AF13" i="65"/>
  <c r="AE13" i="65"/>
  <c r="AD13" i="65"/>
  <c r="Z13" i="65"/>
  <c r="Y13" i="65"/>
  <c r="X13" i="65"/>
  <c r="W13" i="65"/>
  <c r="V13" i="65"/>
  <c r="U13" i="65"/>
  <c r="Q13" i="65"/>
  <c r="P13" i="65"/>
  <c r="O13" i="65"/>
  <c r="N13" i="65"/>
  <c r="M13" i="65"/>
  <c r="L13" i="65"/>
  <c r="H13" i="65"/>
  <c r="G13" i="65"/>
  <c r="F13" i="65"/>
  <c r="E13" i="65"/>
  <c r="D13" i="65"/>
  <c r="C13" i="65"/>
  <c r="AI12" i="65"/>
  <c r="AH12" i="65"/>
  <c r="AG12" i="65"/>
  <c r="AF12" i="65"/>
  <c r="AE12" i="65"/>
  <c r="AD12" i="65"/>
  <c r="Z12" i="65"/>
  <c r="Y12" i="65"/>
  <c r="X12" i="65"/>
  <c r="W12" i="65"/>
  <c r="V12" i="65"/>
  <c r="U12" i="65"/>
  <c r="Q12" i="65"/>
  <c r="P12" i="65"/>
  <c r="O12" i="65"/>
  <c r="N12" i="65"/>
  <c r="M12" i="65"/>
  <c r="L12" i="65"/>
  <c r="H12" i="65"/>
  <c r="G12" i="65"/>
  <c r="F12" i="65"/>
  <c r="E12" i="65"/>
  <c r="D12" i="65"/>
  <c r="C12" i="65"/>
  <c r="AI11" i="65"/>
  <c r="AH11" i="65"/>
  <c r="AG11" i="65"/>
  <c r="AF11" i="65"/>
  <c r="AE11" i="65"/>
  <c r="AD11" i="65"/>
  <c r="Z11" i="65"/>
  <c r="Y11" i="65"/>
  <c r="X11" i="65"/>
  <c r="W11" i="65"/>
  <c r="V11" i="65"/>
  <c r="U11" i="65"/>
  <c r="Q11" i="65"/>
  <c r="P11" i="65"/>
  <c r="O11" i="65"/>
  <c r="N11" i="65"/>
  <c r="M11" i="65"/>
  <c r="L11" i="65"/>
  <c r="H11" i="65"/>
  <c r="G11" i="65"/>
  <c r="F11" i="65"/>
  <c r="E11" i="65"/>
  <c r="D11" i="65"/>
  <c r="C11" i="65"/>
  <c r="AI10" i="65"/>
  <c r="AH10" i="65"/>
  <c r="AG10" i="65"/>
  <c r="AF10" i="65"/>
  <c r="AE10" i="65"/>
  <c r="AD10" i="65"/>
  <c r="Z10" i="65"/>
  <c r="Y10" i="65"/>
  <c r="X10" i="65"/>
  <c r="W10" i="65"/>
  <c r="V10" i="65"/>
  <c r="U10" i="65"/>
  <c r="Q10" i="65"/>
  <c r="P10" i="65"/>
  <c r="O10" i="65"/>
  <c r="N10" i="65"/>
  <c r="M10" i="65"/>
  <c r="L10" i="65"/>
  <c r="H10" i="65"/>
  <c r="G10" i="65"/>
  <c r="F10" i="65"/>
  <c r="E10" i="65"/>
  <c r="D10" i="65"/>
  <c r="C10" i="65"/>
  <c r="E3" i="65"/>
  <c r="E2" i="65"/>
  <c r="E4" i="65" s="1"/>
  <c r="C1000" i="64"/>
  <c r="C999" i="64"/>
  <c r="C998" i="64"/>
  <c r="C997" i="64"/>
  <c r="C996" i="64"/>
  <c r="C995" i="64"/>
  <c r="C994" i="64"/>
  <c r="C993" i="64"/>
  <c r="C992" i="64"/>
  <c r="C991" i="64"/>
  <c r="C990" i="64"/>
  <c r="C989" i="64"/>
  <c r="C988" i="64"/>
  <c r="C987" i="64"/>
  <c r="C986" i="64"/>
  <c r="C985" i="64"/>
  <c r="C984" i="64"/>
  <c r="C983" i="64"/>
  <c r="C982" i="64"/>
  <c r="C981" i="64"/>
  <c r="C980" i="64"/>
  <c r="C979" i="64"/>
  <c r="C978" i="64"/>
  <c r="C977" i="64"/>
  <c r="C976" i="64"/>
  <c r="C975" i="64"/>
  <c r="C974" i="64"/>
  <c r="C973" i="64"/>
  <c r="C972" i="64"/>
  <c r="C971" i="64"/>
  <c r="C970" i="64"/>
  <c r="C969" i="64"/>
  <c r="C968" i="64"/>
  <c r="C967" i="64"/>
  <c r="C966" i="64"/>
  <c r="C965" i="64"/>
  <c r="C964" i="64"/>
  <c r="C963" i="64"/>
  <c r="C962" i="64"/>
  <c r="C961" i="64"/>
  <c r="C960" i="64"/>
  <c r="C959" i="64"/>
  <c r="C958" i="64"/>
  <c r="C957" i="64"/>
  <c r="C956" i="64"/>
  <c r="C955" i="64"/>
  <c r="C954" i="64"/>
  <c r="C953" i="64"/>
  <c r="C952" i="64"/>
  <c r="C951" i="64"/>
  <c r="C950" i="64"/>
  <c r="C949" i="64"/>
  <c r="C948" i="64"/>
  <c r="C947" i="64"/>
  <c r="C946" i="64"/>
  <c r="C945" i="64"/>
  <c r="C944" i="64"/>
  <c r="C943" i="64"/>
  <c r="C942" i="64"/>
  <c r="C941" i="64"/>
  <c r="C940" i="64"/>
  <c r="C939" i="64"/>
  <c r="C938" i="64"/>
  <c r="C937" i="64"/>
  <c r="C936" i="64"/>
  <c r="C935" i="64"/>
  <c r="C934" i="64"/>
  <c r="C933" i="64"/>
  <c r="C932" i="64"/>
  <c r="C931" i="64"/>
  <c r="C930" i="64"/>
  <c r="C929" i="64"/>
  <c r="C928" i="64"/>
  <c r="C927" i="64"/>
  <c r="C926" i="64"/>
  <c r="C925" i="64"/>
  <c r="C924" i="64"/>
  <c r="C923" i="64"/>
  <c r="C922" i="64"/>
  <c r="C921" i="64"/>
  <c r="C920" i="64"/>
  <c r="C919" i="64"/>
  <c r="C918" i="64"/>
  <c r="C917" i="64"/>
  <c r="C916" i="64"/>
  <c r="C915" i="64"/>
  <c r="C914" i="64"/>
  <c r="C913" i="64"/>
  <c r="C912" i="64"/>
  <c r="C911" i="64"/>
  <c r="C910" i="64"/>
  <c r="C909" i="64"/>
  <c r="C908" i="64"/>
  <c r="C907" i="64"/>
  <c r="C906" i="64"/>
  <c r="C905" i="64"/>
  <c r="C904" i="64"/>
  <c r="C903" i="64"/>
  <c r="C902" i="64"/>
  <c r="C901" i="64"/>
  <c r="C900" i="64"/>
  <c r="C899" i="64"/>
  <c r="C898" i="64"/>
  <c r="C897" i="64"/>
  <c r="C896" i="64"/>
  <c r="C895" i="64"/>
  <c r="C894" i="64"/>
  <c r="C893" i="64"/>
  <c r="C892" i="64"/>
  <c r="C891" i="64"/>
  <c r="C890" i="64"/>
  <c r="C889" i="64"/>
  <c r="C888" i="64"/>
  <c r="C887" i="64"/>
  <c r="C886" i="64"/>
  <c r="C885" i="64"/>
  <c r="C884" i="64"/>
  <c r="C883" i="64"/>
  <c r="C882" i="64"/>
  <c r="C881" i="64"/>
  <c r="C880" i="64"/>
  <c r="C879" i="64"/>
  <c r="C878" i="64"/>
  <c r="C877" i="64"/>
  <c r="C876" i="64"/>
  <c r="C875" i="64"/>
  <c r="C874" i="64"/>
  <c r="C873" i="64"/>
  <c r="C872" i="64"/>
  <c r="C871" i="64"/>
  <c r="C870" i="64"/>
  <c r="C869" i="64"/>
  <c r="C868" i="64"/>
  <c r="C867" i="64"/>
  <c r="C866" i="64"/>
  <c r="C865" i="64"/>
  <c r="C864" i="64"/>
  <c r="C863" i="64"/>
  <c r="C862" i="64"/>
  <c r="C861" i="64"/>
  <c r="C860" i="64"/>
  <c r="C859" i="64"/>
  <c r="C858" i="64"/>
  <c r="C857" i="64"/>
  <c r="C856" i="64"/>
  <c r="C855" i="64"/>
  <c r="C854" i="64"/>
  <c r="C853" i="64"/>
  <c r="C852" i="64"/>
  <c r="C851" i="64"/>
  <c r="C850" i="64"/>
  <c r="C849" i="64"/>
  <c r="C848" i="64"/>
  <c r="C847" i="64"/>
  <c r="C846" i="64"/>
  <c r="C845" i="64"/>
  <c r="C844" i="64"/>
  <c r="C843" i="64"/>
  <c r="C842" i="64"/>
  <c r="C841" i="64"/>
  <c r="C840" i="64"/>
  <c r="C839" i="64"/>
  <c r="C838" i="64"/>
  <c r="C837" i="64"/>
  <c r="C836" i="64"/>
  <c r="C835" i="64"/>
  <c r="C834" i="64"/>
  <c r="C833" i="64"/>
  <c r="C832" i="64"/>
  <c r="C831" i="64"/>
  <c r="C830" i="64"/>
  <c r="C829" i="64"/>
  <c r="C828" i="64"/>
  <c r="C827" i="64"/>
  <c r="C826" i="64"/>
  <c r="C825" i="64"/>
  <c r="C824" i="64"/>
  <c r="C823" i="64"/>
  <c r="C822" i="64"/>
  <c r="C821" i="64"/>
  <c r="C820" i="64"/>
  <c r="C819" i="64"/>
  <c r="C818" i="64"/>
  <c r="C817" i="64"/>
  <c r="C816" i="64"/>
  <c r="C815" i="64"/>
  <c r="C814" i="64"/>
  <c r="C813" i="64"/>
  <c r="C812" i="64"/>
  <c r="C811" i="64"/>
  <c r="C810" i="64"/>
  <c r="C809" i="64"/>
  <c r="C808" i="64"/>
  <c r="C807" i="64"/>
  <c r="C806" i="64"/>
  <c r="C805" i="64"/>
  <c r="C804" i="64"/>
  <c r="C803" i="64"/>
  <c r="C802" i="64"/>
  <c r="C801" i="64"/>
  <c r="C800" i="64"/>
  <c r="C799" i="64"/>
  <c r="C798" i="64"/>
  <c r="C797" i="64"/>
  <c r="C796" i="64"/>
  <c r="C795" i="64"/>
  <c r="C794" i="64"/>
  <c r="C793" i="64"/>
  <c r="C792" i="64"/>
  <c r="C791" i="64"/>
  <c r="C790" i="64"/>
  <c r="C789" i="64"/>
  <c r="C788" i="64"/>
  <c r="C787" i="64"/>
  <c r="C786" i="64"/>
  <c r="C785" i="64"/>
  <c r="C784" i="64"/>
  <c r="C783" i="64"/>
  <c r="C782" i="64"/>
  <c r="C781" i="64"/>
  <c r="C780" i="64"/>
  <c r="C779" i="64"/>
  <c r="C778" i="64"/>
  <c r="C777" i="64"/>
  <c r="C776" i="64"/>
  <c r="C775" i="64"/>
  <c r="C774" i="64"/>
  <c r="C773" i="64"/>
  <c r="C772" i="64"/>
  <c r="C771" i="64"/>
  <c r="C770" i="64"/>
  <c r="C769" i="64"/>
  <c r="C768" i="64"/>
  <c r="C767" i="64"/>
  <c r="C766" i="64"/>
  <c r="C765" i="64"/>
  <c r="C764" i="64"/>
  <c r="C763" i="64"/>
  <c r="C762" i="64"/>
  <c r="C761" i="64"/>
  <c r="C760" i="64"/>
  <c r="C759" i="64"/>
  <c r="C758" i="64"/>
  <c r="C757" i="64"/>
  <c r="C756" i="64"/>
  <c r="C755" i="64"/>
  <c r="C754" i="64"/>
  <c r="C753" i="64"/>
  <c r="C752" i="64"/>
  <c r="C751" i="64"/>
  <c r="C750" i="64"/>
  <c r="C749" i="64"/>
  <c r="C748" i="64"/>
  <c r="C747" i="64"/>
  <c r="C746" i="64"/>
  <c r="C745" i="64"/>
  <c r="C744" i="64"/>
  <c r="C743" i="64"/>
  <c r="C742" i="64"/>
  <c r="C741" i="64"/>
  <c r="C740" i="64"/>
  <c r="C739" i="64"/>
  <c r="C738" i="64"/>
  <c r="C737" i="64"/>
  <c r="C736" i="64"/>
  <c r="C735" i="64"/>
  <c r="C734" i="64"/>
  <c r="C733" i="64"/>
  <c r="C732" i="64"/>
  <c r="C731" i="64"/>
  <c r="C730" i="64"/>
  <c r="C729" i="64"/>
  <c r="C728" i="64"/>
  <c r="C727" i="64"/>
  <c r="C726" i="64"/>
  <c r="C725" i="64"/>
  <c r="C724" i="64"/>
  <c r="C723" i="64"/>
  <c r="C722" i="64"/>
  <c r="C721" i="64"/>
  <c r="C720" i="64"/>
  <c r="C719" i="64"/>
  <c r="C718" i="64"/>
  <c r="C717" i="64"/>
  <c r="C716" i="64"/>
  <c r="C715" i="64"/>
  <c r="C714" i="64"/>
  <c r="C713" i="64"/>
  <c r="C712" i="64"/>
  <c r="C711" i="64"/>
  <c r="C710" i="64"/>
  <c r="C709" i="64"/>
  <c r="C708" i="64"/>
  <c r="C707" i="64"/>
  <c r="C706" i="64"/>
  <c r="C705" i="64"/>
  <c r="C704" i="64"/>
  <c r="C703" i="64"/>
  <c r="C702" i="64"/>
  <c r="C701" i="64"/>
  <c r="C700" i="64"/>
  <c r="C699" i="64"/>
  <c r="C698" i="64"/>
  <c r="C697" i="64"/>
  <c r="C696" i="64"/>
  <c r="C695" i="64"/>
  <c r="C694" i="64"/>
  <c r="C693" i="64"/>
  <c r="C692" i="64"/>
  <c r="C691" i="64"/>
  <c r="C690" i="64"/>
  <c r="C689" i="64"/>
  <c r="C688" i="64"/>
  <c r="C687" i="64"/>
  <c r="C686" i="64"/>
  <c r="C685" i="64"/>
  <c r="C684" i="64"/>
  <c r="C683" i="64"/>
  <c r="C682" i="64"/>
  <c r="C681" i="64"/>
  <c r="C680" i="64"/>
  <c r="C679" i="64"/>
  <c r="C678" i="64"/>
  <c r="C677" i="64"/>
  <c r="C676" i="64"/>
  <c r="C675" i="64"/>
  <c r="C674" i="64"/>
  <c r="C673" i="64"/>
  <c r="C672" i="64"/>
  <c r="C671" i="64"/>
  <c r="C670" i="64"/>
  <c r="C669" i="64"/>
  <c r="C668" i="64"/>
  <c r="C667" i="64"/>
  <c r="C666" i="64"/>
  <c r="C665" i="64"/>
  <c r="C664" i="64"/>
  <c r="C663" i="64"/>
  <c r="C662" i="64"/>
  <c r="C661" i="64"/>
  <c r="C660" i="64"/>
  <c r="C659" i="64"/>
  <c r="C658" i="64"/>
  <c r="C657" i="64"/>
  <c r="C656" i="64"/>
  <c r="C655" i="64"/>
  <c r="C654" i="64"/>
  <c r="C653" i="64"/>
  <c r="C652" i="64"/>
  <c r="C651" i="64"/>
  <c r="C650" i="64"/>
  <c r="C649" i="64"/>
  <c r="C648" i="64"/>
  <c r="C647" i="64"/>
  <c r="C646" i="64"/>
  <c r="C645" i="64"/>
  <c r="C644" i="64"/>
  <c r="C643" i="64"/>
  <c r="C642" i="64"/>
  <c r="C641" i="64"/>
  <c r="C640" i="64"/>
  <c r="C639" i="64"/>
  <c r="C638" i="64"/>
  <c r="C637" i="64"/>
  <c r="C636" i="64"/>
  <c r="C635" i="64"/>
  <c r="C634" i="64"/>
  <c r="C633" i="64"/>
  <c r="C632" i="64"/>
  <c r="C631" i="64"/>
  <c r="C630" i="64"/>
  <c r="C629" i="64"/>
  <c r="C628" i="64"/>
  <c r="C627" i="64"/>
  <c r="C626" i="64"/>
  <c r="C625" i="64"/>
  <c r="C624" i="64"/>
  <c r="C623" i="64"/>
  <c r="C622" i="64"/>
  <c r="C621" i="64"/>
  <c r="C620" i="64"/>
  <c r="C619" i="64"/>
  <c r="C618" i="64"/>
  <c r="C617" i="64"/>
  <c r="C616" i="64"/>
  <c r="C615" i="64"/>
  <c r="C614" i="64"/>
  <c r="C613" i="64"/>
  <c r="C612" i="64"/>
  <c r="C611" i="64"/>
  <c r="C610" i="64"/>
  <c r="C609" i="64"/>
  <c r="C608" i="64"/>
  <c r="C607" i="64"/>
  <c r="C606" i="64"/>
  <c r="C605" i="64"/>
  <c r="C604" i="64"/>
  <c r="C603" i="64"/>
  <c r="C602" i="64"/>
  <c r="C601" i="64"/>
  <c r="C600" i="64"/>
  <c r="C599" i="64"/>
  <c r="C598" i="64"/>
  <c r="C597" i="64"/>
  <c r="C596" i="64"/>
  <c r="C595" i="64"/>
  <c r="C594" i="64"/>
  <c r="C593" i="64"/>
  <c r="C592" i="64"/>
  <c r="C591" i="64"/>
  <c r="C590" i="64"/>
  <c r="C589" i="64"/>
  <c r="C588" i="64"/>
  <c r="C587" i="64"/>
  <c r="C586" i="64"/>
  <c r="C585" i="64"/>
  <c r="C584" i="64"/>
  <c r="C583" i="64"/>
  <c r="C582" i="64"/>
  <c r="C581" i="64"/>
  <c r="C580" i="64"/>
  <c r="C579" i="64"/>
  <c r="C578" i="64"/>
  <c r="C577" i="64"/>
  <c r="C576" i="64"/>
  <c r="C575" i="64"/>
  <c r="C574" i="64"/>
  <c r="C573" i="64"/>
  <c r="C572" i="64"/>
  <c r="C571" i="64"/>
  <c r="C570" i="64"/>
  <c r="C569" i="64"/>
  <c r="C568" i="64"/>
  <c r="C567" i="64"/>
  <c r="C566" i="64"/>
  <c r="C565" i="64"/>
  <c r="C564" i="64"/>
  <c r="C563" i="64"/>
  <c r="C562" i="64"/>
  <c r="C561" i="64"/>
  <c r="C560" i="64"/>
  <c r="C559" i="64"/>
  <c r="C558" i="64"/>
  <c r="C557" i="64"/>
  <c r="C556" i="64"/>
  <c r="C555" i="64"/>
  <c r="C554" i="64"/>
  <c r="C553" i="64"/>
  <c r="C552" i="64"/>
  <c r="C551" i="64"/>
  <c r="C550" i="64"/>
  <c r="C549" i="64"/>
  <c r="C548" i="64"/>
  <c r="C547" i="64"/>
  <c r="C546" i="64"/>
  <c r="C545" i="64"/>
  <c r="C544" i="64"/>
  <c r="C543" i="64"/>
  <c r="C542" i="64"/>
  <c r="C541" i="64"/>
  <c r="C540" i="64"/>
  <c r="C539" i="64"/>
  <c r="C538" i="64"/>
  <c r="C537" i="64"/>
  <c r="C536" i="64"/>
  <c r="C535" i="64"/>
  <c r="C534" i="64"/>
  <c r="C533" i="64"/>
  <c r="C532" i="64"/>
  <c r="C531" i="64"/>
  <c r="C530" i="64"/>
  <c r="C529" i="64"/>
  <c r="C528" i="64"/>
  <c r="C527" i="64"/>
  <c r="C526" i="64"/>
  <c r="C525" i="64"/>
  <c r="C524" i="64"/>
  <c r="C523" i="64"/>
  <c r="C522" i="64"/>
  <c r="C521" i="64"/>
  <c r="C520" i="64"/>
  <c r="C519" i="64"/>
  <c r="C518" i="64"/>
  <c r="C517" i="64"/>
  <c r="C516" i="64"/>
  <c r="C515" i="64"/>
  <c r="C514" i="64"/>
  <c r="C513" i="64"/>
  <c r="C512" i="64"/>
  <c r="C511" i="64"/>
  <c r="C510" i="64"/>
  <c r="C509" i="64"/>
  <c r="C508" i="64"/>
  <c r="C507" i="64"/>
  <c r="C506" i="64"/>
  <c r="C505" i="64"/>
  <c r="C504" i="64"/>
  <c r="C503" i="64"/>
  <c r="C502" i="64"/>
  <c r="C501" i="64"/>
  <c r="C500" i="64"/>
  <c r="C499" i="64"/>
  <c r="C498" i="64"/>
  <c r="C497" i="64"/>
  <c r="C496" i="64"/>
  <c r="C495" i="64"/>
  <c r="C494" i="64"/>
  <c r="C493" i="64"/>
  <c r="C492" i="64"/>
  <c r="C491" i="64"/>
  <c r="C490" i="64"/>
  <c r="C489" i="64"/>
  <c r="C488" i="64"/>
  <c r="C487" i="64"/>
  <c r="C486" i="64"/>
  <c r="C485" i="64"/>
  <c r="C484" i="64"/>
  <c r="C483" i="64"/>
  <c r="C482" i="64"/>
  <c r="C481" i="64"/>
  <c r="C480" i="64"/>
  <c r="C479" i="64"/>
  <c r="C478" i="64"/>
  <c r="C477" i="64"/>
  <c r="C476" i="64"/>
  <c r="C475" i="64"/>
  <c r="C474" i="64"/>
  <c r="C473" i="64"/>
  <c r="C472" i="64"/>
  <c r="C471" i="64"/>
  <c r="C470" i="64"/>
  <c r="C469" i="64"/>
  <c r="C468" i="64"/>
  <c r="C467" i="64"/>
  <c r="C466" i="64"/>
  <c r="C465" i="64"/>
  <c r="C464" i="64"/>
  <c r="C463" i="64"/>
  <c r="C462" i="64"/>
  <c r="C461" i="64"/>
  <c r="C460" i="64"/>
  <c r="C459" i="64"/>
  <c r="C458" i="64"/>
  <c r="C457" i="64"/>
  <c r="C456" i="64"/>
  <c r="C455" i="64"/>
  <c r="C454" i="64"/>
  <c r="C453" i="64"/>
  <c r="C452" i="64"/>
  <c r="C451" i="64"/>
  <c r="C450" i="64"/>
  <c r="C449" i="64"/>
  <c r="C448" i="64"/>
  <c r="C447" i="64"/>
  <c r="C446" i="64"/>
  <c r="C445" i="64"/>
  <c r="C444" i="64"/>
  <c r="C443" i="64"/>
  <c r="C442" i="64"/>
  <c r="C441" i="64"/>
  <c r="C440" i="64"/>
  <c r="C439" i="64"/>
  <c r="C438" i="64"/>
  <c r="C437" i="64"/>
  <c r="C436" i="64"/>
  <c r="C435" i="64"/>
  <c r="C434" i="64"/>
  <c r="C433" i="64"/>
  <c r="C432" i="64"/>
  <c r="C431" i="64"/>
  <c r="C430" i="64"/>
  <c r="C429" i="64"/>
  <c r="C428" i="64"/>
  <c r="C427" i="64"/>
  <c r="C426" i="64"/>
  <c r="C425" i="64"/>
  <c r="C424" i="64"/>
  <c r="C423" i="64"/>
  <c r="C422" i="64"/>
  <c r="C421" i="64"/>
  <c r="C420" i="64"/>
  <c r="C419" i="64"/>
  <c r="C418" i="64"/>
  <c r="C417" i="64"/>
  <c r="C416" i="64"/>
  <c r="C415" i="64"/>
  <c r="C414" i="64"/>
  <c r="C413" i="64"/>
  <c r="C412" i="64"/>
  <c r="C411" i="64"/>
  <c r="C410" i="64"/>
  <c r="C409" i="64"/>
  <c r="C408" i="64"/>
  <c r="C407" i="64"/>
  <c r="C406" i="64"/>
  <c r="C405" i="64"/>
  <c r="C404" i="64"/>
  <c r="C403" i="64"/>
  <c r="C402" i="64"/>
  <c r="C401" i="64"/>
  <c r="C400" i="64"/>
  <c r="C399" i="64"/>
  <c r="C398" i="64"/>
  <c r="C397" i="64"/>
  <c r="C396" i="64"/>
  <c r="C395" i="64"/>
  <c r="C394" i="64"/>
  <c r="C393" i="64"/>
  <c r="C392" i="64"/>
  <c r="C391" i="64"/>
  <c r="C390" i="64"/>
  <c r="C389" i="64"/>
  <c r="C388" i="64"/>
  <c r="C387" i="64"/>
  <c r="C386" i="64"/>
  <c r="C385" i="64"/>
  <c r="C384" i="64"/>
  <c r="C383" i="64"/>
  <c r="C382" i="64"/>
  <c r="C381" i="64"/>
  <c r="C380" i="64"/>
  <c r="C379" i="64"/>
  <c r="C378" i="64"/>
  <c r="C377" i="64"/>
  <c r="C376" i="64"/>
  <c r="C375" i="64"/>
  <c r="C374" i="64"/>
  <c r="C373" i="64"/>
  <c r="C372" i="64"/>
  <c r="C371" i="64"/>
  <c r="C370" i="64"/>
  <c r="C369" i="64"/>
  <c r="C368" i="64"/>
  <c r="C367" i="64"/>
  <c r="C366" i="64"/>
  <c r="C365" i="64"/>
  <c r="C364" i="64"/>
  <c r="C363" i="64"/>
  <c r="C362" i="64"/>
  <c r="C361" i="64"/>
  <c r="C360" i="64"/>
  <c r="C359" i="64"/>
  <c r="C358" i="64"/>
  <c r="C357" i="64"/>
  <c r="C356" i="64"/>
  <c r="C355" i="64"/>
  <c r="C354" i="64"/>
  <c r="C353" i="64"/>
  <c r="C352" i="64"/>
  <c r="C351" i="64"/>
  <c r="C350" i="64"/>
  <c r="C349" i="64"/>
  <c r="C348" i="64"/>
  <c r="C347" i="64"/>
  <c r="C346" i="64"/>
  <c r="C345" i="64"/>
  <c r="C344" i="64"/>
  <c r="C343" i="64"/>
  <c r="C342" i="64"/>
  <c r="C341" i="64"/>
  <c r="C340" i="64"/>
  <c r="C339" i="64"/>
  <c r="C338" i="64"/>
  <c r="C337" i="64"/>
  <c r="C336" i="64"/>
  <c r="C335" i="64"/>
  <c r="C334" i="64"/>
  <c r="C333" i="64"/>
  <c r="C332" i="64"/>
  <c r="C331" i="64"/>
  <c r="C330" i="64"/>
  <c r="C329" i="64"/>
  <c r="C328" i="64"/>
  <c r="C327" i="64"/>
  <c r="C326" i="64"/>
  <c r="C325" i="64"/>
  <c r="C324" i="64"/>
  <c r="C323" i="64"/>
  <c r="C322" i="64"/>
  <c r="C321" i="64"/>
  <c r="C320" i="64"/>
  <c r="C319" i="64"/>
  <c r="C318" i="64"/>
  <c r="C317" i="64"/>
  <c r="C316" i="64"/>
  <c r="C315" i="64"/>
  <c r="C314" i="64"/>
  <c r="C313" i="64"/>
  <c r="C312" i="64"/>
  <c r="C311" i="64"/>
  <c r="C310" i="64"/>
  <c r="C309" i="64"/>
  <c r="C308" i="64"/>
  <c r="C307" i="64"/>
  <c r="C306" i="64"/>
  <c r="C305" i="64"/>
  <c r="C304" i="64"/>
  <c r="C303" i="64"/>
  <c r="C302" i="64"/>
  <c r="C301" i="64"/>
  <c r="C300" i="64"/>
  <c r="C299" i="64"/>
  <c r="C298" i="64"/>
  <c r="C297" i="64"/>
  <c r="C296" i="64"/>
  <c r="C295" i="64"/>
  <c r="C294" i="64"/>
  <c r="C293" i="64"/>
  <c r="C292" i="64"/>
  <c r="C291" i="64"/>
  <c r="C290" i="64"/>
  <c r="C289" i="64"/>
  <c r="C288" i="64"/>
  <c r="C287" i="64"/>
  <c r="C286" i="64"/>
  <c r="C285" i="64"/>
  <c r="C284" i="64"/>
  <c r="C283" i="64"/>
  <c r="C282" i="64"/>
  <c r="C281" i="64"/>
  <c r="C280" i="64"/>
  <c r="C279" i="64"/>
  <c r="C278" i="64"/>
  <c r="C277" i="64"/>
  <c r="C276" i="64"/>
  <c r="C275" i="64"/>
  <c r="C274" i="64"/>
  <c r="C273" i="64"/>
  <c r="C272" i="64"/>
  <c r="C271" i="64"/>
  <c r="C270" i="64"/>
  <c r="C269" i="64"/>
  <c r="C268" i="64"/>
  <c r="C267" i="64"/>
  <c r="C266" i="64"/>
  <c r="C265" i="64"/>
  <c r="C264" i="64"/>
  <c r="C263" i="64"/>
  <c r="C262" i="64"/>
  <c r="C261" i="64"/>
  <c r="C260" i="64"/>
  <c r="C259" i="64"/>
  <c r="C258" i="64"/>
  <c r="C257" i="64"/>
  <c r="C256" i="64"/>
  <c r="C255" i="64"/>
  <c r="C254" i="64"/>
  <c r="C253" i="64"/>
  <c r="C252" i="64"/>
  <c r="C251" i="64"/>
  <c r="C250" i="64"/>
  <c r="C249" i="64"/>
  <c r="C248" i="64"/>
  <c r="C247" i="64"/>
  <c r="C246" i="64"/>
  <c r="C245" i="64"/>
  <c r="C244" i="64"/>
  <c r="C243" i="64"/>
  <c r="C242" i="64"/>
  <c r="C241" i="64"/>
  <c r="C240" i="64"/>
  <c r="C239" i="64"/>
  <c r="C238" i="64"/>
  <c r="C237" i="64"/>
  <c r="C236" i="64"/>
  <c r="C235" i="64"/>
  <c r="C234" i="64"/>
  <c r="C233" i="64"/>
  <c r="C232" i="64"/>
  <c r="C231" i="64"/>
  <c r="C230" i="64"/>
  <c r="C229" i="64"/>
  <c r="C228" i="64"/>
  <c r="C227" i="64"/>
  <c r="C226" i="64"/>
  <c r="C225" i="64"/>
  <c r="C224" i="64"/>
  <c r="C223" i="64"/>
  <c r="C222" i="64"/>
  <c r="C221" i="64"/>
  <c r="C220" i="64"/>
  <c r="C219" i="64"/>
  <c r="C218" i="64"/>
  <c r="C217" i="64"/>
  <c r="C216" i="64"/>
  <c r="C215" i="64"/>
  <c r="C214" i="64"/>
  <c r="C213" i="64"/>
  <c r="C212" i="64"/>
  <c r="C211" i="64"/>
  <c r="C210" i="64"/>
  <c r="C209" i="64"/>
  <c r="C208" i="64"/>
  <c r="C207" i="64"/>
  <c r="C206" i="64"/>
  <c r="C205" i="64"/>
  <c r="C204" i="64"/>
  <c r="C203" i="64"/>
  <c r="C202" i="64"/>
  <c r="C201" i="64"/>
  <c r="C200" i="64"/>
  <c r="C199" i="64"/>
  <c r="C198" i="64"/>
  <c r="C197" i="64"/>
  <c r="C196" i="64"/>
  <c r="C195" i="64"/>
  <c r="C194" i="64"/>
  <c r="C193" i="64"/>
  <c r="C192" i="64"/>
  <c r="C191" i="64"/>
  <c r="C190" i="64"/>
  <c r="C189" i="64"/>
  <c r="C188" i="64"/>
  <c r="C187" i="64"/>
  <c r="C186" i="64"/>
  <c r="C185" i="64"/>
  <c r="C184" i="64"/>
  <c r="C183" i="64"/>
  <c r="C182" i="64"/>
  <c r="C181" i="64"/>
  <c r="C180" i="64"/>
  <c r="C179" i="64"/>
  <c r="C178" i="64"/>
  <c r="C177" i="64"/>
  <c r="C176" i="64"/>
  <c r="C175" i="64"/>
  <c r="C174" i="64"/>
  <c r="C173" i="64"/>
  <c r="C172" i="64"/>
  <c r="C171" i="64"/>
  <c r="C170" i="64"/>
  <c r="C169" i="64"/>
  <c r="C168" i="64"/>
  <c r="C167" i="64"/>
  <c r="C166" i="64"/>
  <c r="C165" i="64"/>
  <c r="C164" i="64"/>
  <c r="C163" i="64"/>
  <c r="C162" i="64"/>
  <c r="C161" i="64"/>
  <c r="C160" i="64"/>
  <c r="C159" i="64"/>
  <c r="C158" i="64"/>
  <c r="C157" i="64"/>
  <c r="C156" i="64"/>
  <c r="C155" i="64"/>
  <c r="C154" i="64"/>
  <c r="C153" i="64"/>
  <c r="C152" i="64"/>
  <c r="C151" i="64"/>
  <c r="C150" i="64"/>
  <c r="C149" i="64"/>
  <c r="C148" i="64"/>
  <c r="C147" i="64"/>
  <c r="C146" i="64"/>
  <c r="C145" i="64"/>
  <c r="C144" i="64"/>
  <c r="C143" i="64"/>
  <c r="C142" i="64"/>
  <c r="C141" i="64"/>
  <c r="C140" i="64"/>
  <c r="C139" i="64"/>
  <c r="C138" i="64"/>
  <c r="C137" i="64"/>
  <c r="C136" i="64"/>
  <c r="C135" i="64"/>
  <c r="C134" i="64"/>
  <c r="C133" i="64"/>
  <c r="C132" i="64"/>
  <c r="C131" i="64"/>
  <c r="C130" i="64"/>
  <c r="C129" i="64"/>
  <c r="C128" i="64"/>
  <c r="C127" i="64"/>
  <c r="C126" i="64"/>
  <c r="C125" i="64"/>
  <c r="C124" i="64"/>
  <c r="C123" i="64"/>
  <c r="C122" i="64"/>
  <c r="C121" i="64"/>
  <c r="C120" i="64"/>
  <c r="C119" i="64"/>
  <c r="C118" i="64"/>
  <c r="C117" i="64"/>
  <c r="C116" i="64"/>
  <c r="C115" i="64"/>
  <c r="C114" i="64"/>
  <c r="C113" i="64"/>
  <c r="C112" i="64"/>
  <c r="C111" i="64"/>
  <c r="C110" i="64"/>
  <c r="C109" i="64"/>
  <c r="C108" i="64"/>
  <c r="C107" i="64"/>
  <c r="C106" i="64"/>
  <c r="C105" i="64"/>
  <c r="C104" i="64"/>
  <c r="C103" i="64"/>
  <c r="C102" i="64"/>
  <c r="C101" i="64"/>
  <c r="C100" i="64"/>
  <c r="C99" i="64"/>
  <c r="C98" i="64"/>
  <c r="C97" i="64"/>
  <c r="C96" i="64"/>
  <c r="C95" i="64"/>
  <c r="C94" i="64"/>
  <c r="C93" i="64"/>
  <c r="C92" i="64"/>
  <c r="C91" i="64"/>
  <c r="C90" i="64"/>
  <c r="C89" i="64"/>
  <c r="C88" i="64"/>
  <c r="C87" i="64"/>
  <c r="C86" i="64"/>
  <c r="C85" i="64"/>
  <c r="C84" i="64"/>
  <c r="C83" i="64"/>
  <c r="C82" i="64"/>
  <c r="C81" i="64"/>
  <c r="C80" i="64"/>
  <c r="C79" i="64"/>
  <c r="C78" i="64"/>
  <c r="C77" i="64"/>
  <c r="C76" i="64"/>
  <c r="C75" i="64"/>
  <c r="C74" i="64"/>
  <c r="C73" i="64"/>
  <c r="C72" i="64"/>
  <c r="C71" i="64"/>
  <c r="C70" i="64"/>
  <c r="C69" i="64"/>
  <c r="C68" i="64"/>
  <c r="C67" i="64"/>
  <c r="C66" i="64"/>
  <c r="C65" i="64"/>
  <c r="C64" i="64"/>
  <c r="C63" i="64"/>
  <c r="C62" i="64"/>
  <c r="C61" i="64"/>
  <c r="C60" i="64"/>
  <c r="C59" i="64"/>
  <c r="C58" i="64"/>
  <c r="C57" i="64"/>
  <c r="C56" i="64"/>
  <c r="C55" i="64"/>
  <c r="C54" i="64"/>
  <c r="C53" i="64"/>
  <c r="C52" i="64"/>
  <c r="C51" i="64"/>
  <c r="C50" i="64"/>
  <c r="C49" i="64"/>
  <c r="C48" i="64"/>
  <c r="C47" i="64"/>
  <c r="C46" i="64"/>
  <c r="C45" i="64"/>
  <c r="C44" i="64"/>
  <c r="G31" i="64"/>
  <c r="G32" i="64" s="1"/>
  <c r="AC34" i="64" s="1"/>
  <c r="G23" i="64"/>
  <c r="G14" i="64" a="1"/>
  <c r="G14" i="64" s="1"/>
  <c r="G13" i="64" a="1"/>
  <c r="G13" i="64" s="1"/>
  <c r="G10" i="64" a="1"/>
  <c r="G10" i="64" s="1"/>
  <c r="G9" i="64" a="1"/>
  <c r="G9" i="64" s="1"/>
  <c r="AE16" i="56"/>
  <c r="AF16" i="56"/>
  <c r="AG16" i="56"/>
  <c r="AH16" i="56"/>
  <c r="AI16" i="56"/>
  <c r="AE15" i="56"/>
  <c r="AF15" i="56"/>
  <c r="AG15" i="56"/>
  <c r="AH15" i="56"/>
  <c r="AI15" i="56"/>
  <c r="AE14" i="56"/>
  <c r="AF14" i="56"/>
  <c r="AG14" i="56"/>
  <c r="AH14" i="56"/>
  <c r="AI14" i="56"/>
  <c r="AE13" i="56"/>
  <c r="AF13" i="56"/>
  <c r="AG13" i="56"/>
  <c r="AH13" i="56"/>
  <c r="AI13" i="56"/>
  <c r="AE12" i="56"/>
  <c r="AF12" i="56"/>
  <c r="AG12" i="56"/>
  <c r="AH12" i="56"/>
  <c r="AI12" i="56"/>
  <c r="AE11" i="56"/>
  <c r="AF11" i="56"/>
  <c r="AG11" i="56"/>
  <c r="AH11" i="56"/>
  <c r="AI11" i="56"/>
  <c r="AE10" i="56"/>
  <c r="AF10" i="56"/>
  <c r="AG10" i="56"/>
  <c r="AH10" i="56"/>
  <c r="AI10" i="56"/>
  <c r="AD16" i="56"/>
  <c r="AD15" i="56"/>
  <c r="AD14" i="56"/>
  <c r="AD13" i="56"/>
  <c r="AD12" i="56"/>
  <c r="AD11" i="56"/>
  <c r="AD10" i="56"/>
  <c r="V16" i="56"/>
  <c r="W16" i="56"/>
  <c r="X16" i="56"/>
  <c r="Y16" i="56"/>
  <c r="Z16" i="56"/>
  <c r="V15" i="56"/>
  <c r="W15" i="56"/>
  <c r="X15" i="56"/>
  <c r="Y15" i="56"/>
  <c r="Z15" i="56"/>
  <c r="V14" i="56"/>
  <c r="W14" i="56"/>
  <c r="X14" i="56"/>
  <c r="Y14" i="56"/>
  <c r="Z14" i="56"/>
  <c r="V13" i="56"/>
  <c r="W13" i="56"/>
  <c r="X13" i="56"/>
  <c r="Y13" i="56"/>
  <c r="Z13" i="56"/>
  <c r="V12" i="56"/>
  <c r="W12" i="56"/>
  <c r="X12" i="56"/>
  <c r="Y12" i="56"/>
  <c r="Z12" i="56"/>
  <c r="V11" i="56"/>
  <c r="W11" i="56"/>
  <c r="X11" i="56"/>
  <c r="Y11" i="56"/>
  <c r="Z11" i="56"/>
  <c r="V10" i="56"/>
  <c r="W10" i="56"/>
  <c r="X10" i="56"/>
  <c r="Y10" i="56"/>
  <c r="Z10" i="56"/>
  <c r="U16" i="56"/>
  <c r="U15" i="56"/>
  <c r="U14" i="56"/>
  <c r="U13" i="56"/>
  <c r="U12" i="56"/>
  <c r="U11" i="56"/>
  <c r="U10" i="56"/>
  <c r="M16" i="56"/>
  <c r="N16" i="56"/>
  <c r="O16" i="56"/>
  <c r="P16" i="56"/>
  <c r="Q16" i="56"/>
  <c r="M15" i="56"/>
  <c r="N15" i="56"/>
  <c r="O15" i="56"/>
  <c r="P15" i="56"/>
  <c r="Q15" i="56"/>
  <c r="M14" i="56"/>
  <c r="N14" i="56"/>
  <c r="O14" i="56"/>
  <c r="P14" i="56"/>
  <c r="Q14" i="56"/>
  <c r="M13" i="56"/>
  <c r="N13" i="56"/>
  <c r="O13" i="56"/>
  <c r="P13" i="56"/>
  <c r="Q13" i="56"/>
  <c r="M12" i="56"/>
  <c r="N12" i="56"/>
  <c r="O12" i="56"/>
  <c r="P12" i="56"/>
  <c r="Q12" i="56"/>
  <c r="M11" i="56"/>
  <c r="N11" i="56"/>
  <c r="O11" i="56"/>
  <c r="P11" i="56"/>
  <c r="Q11" i="56"/>
  <c r="L16" i="56"/>
  <c r="L15" i="56"/>
  <c r="L14" i="56"/>
  <c r="L13" i="56"/>
  <c r="L12" i="56"/>
  <c r="L11" i="56"/>
  <c r="M10" i="56"/>
  <c r="N10" i="56"/>
  <c r="O10" i="56"/>
  <c r="P10" i="56"/>
  <c r="Q10" i="56"/>
  <c r="L10" i="56"/>
  <c r="C16" i="56"/>
  <c r="D16" i="56"/>
  <c r="H16" i="56"/>
  <c r="E16" i="56"/>
  <c r="F16" i="56"/>
  <c r="G16" i="56"/>
  <c r="I16" i="56"/>
  <c r="D15" i="56"/>
  <c r="E15" i="56"/>
  <c r="F15" i="56"/>
  <c r="G15" i="56"/>
  <c r="H15" i="56"/>
  <c r="I15" i="56"/>
  <c r="D14" i="56"/>
  <c r="E14" i="56"/>
  <c r="F14" i="56"/>
  <c r="G14" i="56"/>
  <c r="H14" i="56"/>
  <c r="I14" i="56"/>
  <c r="D13" i="56"/>
  <c r="E13" i="56"/>
  <c r="F13" i="56"/>
  <c r="G13" i="56"/>
  <c r="H13" i="56"/>
  <c r="I13" i="56"/>
  <c r="D12" i="56"/>
  <c r="E12" i="56"/>
  <c r="F12" i="56"/>
  <c r="G12" i="56"/>
  <c r="H12" i="56"/>
  <c r="I12" i="56"/>
  <c r="D11" i="56"/>
  <c r="E11" i="56"/>
  <c r="F11" i="56"/>
  <c r="G11" i="56"/>
  <c r="H11" i="56"/>
  <c r="I11" i="56"/>
  <c r="D10" i="56"/>
  <c r="E10" i="56"/>
  <c r="F10" i="56"/>
  <c r="G10" i="56"/>
  <c r="H10" i="56"/>
  <c r="I10" i="56"/>
  <c r="C15" i="56"/>
  <c r="C14" i="56"/>
  <c r="C13" i="56"/>
  <c r="C10" i="56"/>
  <c r="C11" i="56"/>
  <c r="C12" i="56"/>
  <c r="E3" i="56"/>
  <c r="E2" i="56"/>
  <c r="I19" i="1"/>
  <c r="I18" i="1"/>
  <c r="F16" i="3"/>
  <c r="B4" i="76" a="1"/>
  <c r="A4" i="76" a="1"/>
  <c r="D4" i="64" a="1"/>
  <c r="D4" i="76" a="1"/>
  <c r="A4" i="64" a="1"/>
  <c r="B4" i="64" a="1"/>
  <c r="A5" i="27" l="1"/>
  <c r="B5" i="27" s="1"/>
  <c r="J6" i="80"/>
  <c r="F8" i="80"/>
  <c r="B4" i="80"/>
  <c r="F3" i="67"/>
  <c r="B59" i="67"/>
  <c r="B65" i="67" s="1"/>
  <c r="B60" i="67"/>
  <c r="B66" i="67" s="1"/>
  <c r="B48" i="67"/>
  <c r="B54" i="67" s="1"/>
  <c r="G9" i="76" a="1"/>
  <c r="G9" i="76" s="1"/>
  <c r="G13" i="76" a="1"/>
  <c r="G13" i="76" s="1"/>
  <c r="G30" i="76"/>
  <c r="G31" i="76" s="1"/>
  <c r="G32" i="76" s="1"/>
  <c r="AC34" i="76" s="1"/>
  <c r="D4" i="76"/>
  <c r="A4" i="76"/>
  <c r="G10" i="76" a="1"/>
  <c r="G10" i="76" s="1"/>
  <c r="B4" i="76"/>
  <c r="G14" i="76" a="1"/>
  <c r="G14" i="76" s="1"/>
  <c r="E21" i="1"/>
  <c r="Z38" i="72"/>
  <c r="X38" i="72"/>
  <c r="AB38" i="72"/>
  <c r="AB39" i="72"/>
  <c r="Z39" i="72"/>
  <c r="X39" i="72"/>
  <c r="AB40" i="72"/>
  <c r="Z40" i="72"/>
  <c r="X40" i="72"/>
  <c r="X41" i="72"/>
  <c r="Z41" i="72"/>
  <c r="AB41" i="72"/>
  <c r="AB42" i="72"/>
  <c r="Z42" i="72"/>
  <c r="X42" i="72"/>
  <c r="AB43" i="72"/>
  <c r="Z43" i="72"/>
  <c r="X43" i="72"/>
  <c r="B4" i="64"/>
  <c r="A4" i="64"/>
  <c r="D4" i="64"/>
  <c r="AA34" i="64"/>
  <c r="AB34" i="64"/>
  <c r="W34" i="64"/>
  <c r="X34" i="64"/>
  <c r="E4" i="56"/>
  <c r="N11" i="1"/>
  <c r="N5" i="1"/>
  <c r="F13" i="3"/>
  <c r="B5" i="3"/>
  <c r="B3" i="67" s="1"/>
  <c r="F8" i="3"/>
  <c r="E5" i="27" l="1"/>
  <c r="F5" i="27"/>
  <c r="G5" i="27"/>
  <c r="C5" i="27"/>
  <c r="N9" i="1"/>
  <c r="B36" i="67"/>
  <c r="B68" i="67" s="1"/>
  <c r="X34" i="76"/>
  <c r="G26" i="76"/>
  <c r="G25" i="76"/>
  <c r="S65" i="76" s="1"/>
  <c r="W34" i="76"/>
  <c r="AB34" i="76"/>
  <c r="G5" i="76"/>
  <c r="G28" i="76"/>
  <c r="AA34" i="76"/>
  <c r="G26" i="64"/>
  <c r="G25" i="64"/>
  <c r="G28" i="64"/>
  <c r="G5" i="64"/>
  <c r="N6" i="1"/>
  <c r="B37" i="67" s="1"/>
  <c r="E22" i="1"/>
  <c r="E24" i="1" s="1"/>
  <c r="I21" i="1" s="1"/>
  <c r="I22" i="1" s="1"/>
  <c r="B2" i="67"/>
  <c r="O7" i="1"/>
  <c r="B13" i="1"/>
  <c r="F15" i="80" s="1"/>
  <c r="I24" i="1"/>
  <c r="B3" i="3"/>
  <c r="B1" i="67" s="1"/>
  <c r="B8" i="67" s="1"/>
  <c r="B11" i="67" s="1"/>
  <c r="B16" i="67" s="1"/>
  <c r="N14" i="80" s="1"/>
  <c r="N10" i="1" l="1"/>
  <c r="B41" i="67" s="1"/>
  <c r="B40" i="67"/>
  <c r="F8" i="67"/>
  <c r="F16" i="67" s="1"/>
  <c r="B19" i="67"/>
  <c r="B29" i="67"/>
  <c r="B57" i="67"/>
  <c r="N13" i="80" s="1"/>
  <c r="O11" i="1"/>
  <c r="C42" i="67" s="1"/>
  <c r="C38" i="67"/>
  <c r="F10" i="67"/>
  <c r="S23" i="76"/>
  <c r="S28" i="76"/>
  <c r="S33" i="76"/>
  <c r="S15" i="76"/>
  <c r="S25" i="76"/>
  <c r="S79" i="76"/>
  <c r="S50" i="76"/>
  <c r="S81" i="76"/>
  <c r="S20" i="76"/>
  <c r="S29" i="76"/>
  <c r="S51" i="76"/>
  <c r="S100" i="76"/>
  <c r="S12" i="76"/>
  <c r="S83" i="76"/>
  <c r="S71" i="76"/>
  <c r="S88" i="76"/>
  <c r="S10" i="76"/>
  <c r="S60" i="76"/>
  <c r="S42" i="76"/>
  <c r="S92" i="76"/>
  <c r="S45" i="76"/>
  <c r="S69" i="76"/>
  <c r="S41" i="76"/>
  <c r="S101" i="76"/>
  <c r="S57" i="76"/>
  <c r="S67" i="76"/>
  <c r="S13" i="76"/>
  <c r="S61" i="76"/>
  <c r="S24" i="76"/>
  <c r="S9" i="76"/>
  <c r="S7" i="76"/>
  <c r="S66" i="76"/>
  <c r="S30" i="76"/>
  <c r="S16" i="76"/>
  <c r="S63" i="76"/>
  <c r="S44" i="76"/>
  <c r="S35" i="76"/>
  <c r="S19" i="76"/>
  <c r="S72" i="76"/>
  <c r="S85" i="76"/>
  <c r="S11" i="76"/>
  <c r="S39" i="76"/>
  <c r="S18" i="76"/>
  <c r="S8" i="76"/>
  <c r="S5" i="76"/>
  <c r="S70" i="76"/>
  <c r="S74" i="76"/>
  <c r="S89" i="76"/>
  <c r="S97" i="76"/>
  <c r="S82" i="76"/>
  <c r="S99" i="76"/>
  <c r="S36" i="76"/>
  <c r="S77" i="76"/>
  <c r="S14" i="76"/>
  <c r="S27" i="76"/>
  <c r="S102" i="76"/>
  <c r="S53" i="76"/>
  <c r="S84" i="76"/>
  <c r="S21" i="76"/>
  <c r="S22" i="76"/>
  <c r="S80" i="76"/>
  <c r="S32" i="76"/>
  <c r="S17" i="76"/>
  <c r="S64" i="76"/>
  <c r="S54" i="76"/>
  <c r="S59" i="76"/>
  <c r="S55" i="76"/>
  <c r="S48" i="76"/>
  <c r="S95" i="76"/>
  <c r="S26" i="76"/>
  <c r="S6" i="76"/>
  <c r="S56" i="76"/>
  <c r="S37" i="76"/>
  <c r="S52" i="76"/>
  <c r="S98" i="76"/>
  <c r="S103" i="76"/>
  <c r="S94" i="76"/>
  <c r="S38" i="76"/>
  <c r="S43" i="76"/>
  <c r="S96" i="76"/>
  <c r="S78" i="76"/>
  <c r="S49" i="76"/>
  <c r="S86" i="76"/>
  <c r="S68" i="76"/>
  <c r="S91" i="76"/>
  <c r="S46" i="76"/>
  <c r="S75" i="76"/>
  <c r="S93" i="76"/>
  <c r="S58" i="76"/>
  <c r="S73" i="76"/>
  <c r="S90" i="76"/>
  <c r="S40" i="76"/>
  <c r="S76" i="76"/>
  <c r="S87" i="76"/>
  <c r="S62" i="76"/>
  <c r="S4" i="76"/>
  <c r="S31" i="76"/>
  <c r="S47" i="76"/>
  <c r="S34" i="76"/>
  <c r="G6" i="76"/>
  <c r="G17" i="76" s="1"/>
  <c r="Z34" i="76"/>
  <c r="P98" i="76"/>
  <c r="P82" i="76"/>
  <c r="P66" i="76"/>
  <c r="P50" i="76"/>
  <c r="P80" i="76"/>
  <c r="P64" i="76"/>
  <c r="P103" i="76"/>
  <c r="P101" i="76"/>
  <c r="P85" i="76"/>
  <c r="P69" i="76"/>
  <c r="P53" i="76"/>
  <c r="P37" i="76"/>
  <c r="P21" i="76"/>
  <c r="P8" i="76"/>
  <c r="P92" i="76"/>
  <c r="P76" i="76"/>
  <c r="P60" i="76"/>
  <c r="P44" i="76"/>
  <c r="P11" i="76"/>
  <c r="P14" i="76"/>
  <c r="P6" i="76"/>
  <c r="P19" i="76"/>
  <c r="P99" i="76"/>
  <c r="P83" i="76"/>
  <c r="P67" i="76"/>
  <c r="P51" i="76"/>
  <c r="P35" i="76"/>
  <c r="P90" i="76"/>
  <c r="P74" i="76"/>
  <c r="P58" i="76"/>
  <c r="P42" i="76"/>
  <c r="P34" i="76"/>
  <c r="P29" i="76"/>
  <c r="P24" i="76"/>
  <c r="P97" i="76"/>
  <c r="P81" i="76"/>
  <c r="P65" i="76"/>
  <c r="P49" i="76"/>
  <c r="P88" i="76"/>
  <c r="P72" i="76"/>
  <c r="P56" i="76"/>
  <c r="P40" i="76"/>
  <c r="P32" i="76"/>
  <c r="P17" i="76"/>
  <c r="P9" i="76"/>
  <c r="P87" i="76"/>
  <c r="P71" i="76"/>
  <c r="P62" i="76"/>
  <c r="P95" i="76"/>
  <c r="P79" i="76"/>
  <c r="P63" i="76"/>
  <c r="P47" i="76"/>
  <c r="P27" i="76"/>
  <c r="P22" i="76"/>
  <c r="P4" i="76"/>
  <c r="P86" i="76"/>
  <c r="P70" i="76"/>
  <c r="P54" i="76"/>
  <c r="P102" i="76"/>
  <c r="P39" i="76"/>
  <c r="P46" i="76"/>
  <c r="P31" i="76"/>
  <c r="P26" i="76"/>
  <c r="P16" i="76"/>
  <c r="P93" i="76"/>
  <c r="P77" i="76"/>
  <c r="P61" i="76"/>
  <c r="P45" i="76"/>
  <c r="P12" i="76"/>
  <c r="P13" i="76"/>
  <c r="P55" i="76"/>
  <c r="P94" i="76"/>
  <c r="P78" i="76"/>
  <c r="P100" i="76"/>
  <c r="P84" i="76"/>
  <c r="P68" i="76"/>
  <c r="P52" i="76"/>
  <c r="P36" i="76"/>
  <c r="P30" i="76"/>
  <c r="P25" i="76"/>
  <c r="P15" i="76"/>
  <c r="P7" i="76"/>
  <c r="P41" i="76"/>
  <c r="P28" i="76"/>
  <c r="P23" i="76"/>
  <c r="P5" i="76"/>
  <c r="P48" i="76"/>
  <c r="P91" i="76"/>
  <c r="P75" i="76"/>
  <c r="P59" i="76"/>
  <c r="P43" i="76"/>
  <c r="P20" i="76"/>
  <c r="P10" i="76"/>
  <c r="P89" i="76"/>
  <c r="P73" i="76"/>
  <c r="P57" i="76"/>
  <c r="P33" i="76"/>
  <c r="P18" i="76"/>
  <c r="P96" i="76"/>
  <c r="P38" i="76"/>
  <c r="Z34" i="64"/>
  <c r="G6" i="64"/>
  <c r="G22" i="64" s="1"/>
  <c r="S39" i="64"/>
  <c r="S8" i="64"/>
  <c r="S74" i="64"/>
  <c r="S9" i="64"/>
  <c r="S34" i="64"/>
  <c r="S26" i="64"/>
  <c r="S77" i="64"/>
  <c r="S52" i="64"/>
  <c r="S88" i="64"/>
  <c r="S58" i="64"/>
  <c r="S67" i="64"/>
  <c r="S79" i="64"/>
  <c r="S20" i="64"/>
  <c r="S37" i="64"/>
  <c r="S13" i="64"/>
  <c r="S33" i="64"/>
  <c r="S94" i="64"/>
  <c r="S101" i="64"/>
  <c r="S97" i="64"/>
  <c r="S41" i="64"/>
  <c r="S65" i="64"/>
  <c r="S16" i="64"/>
  <c r="S27" i="64"/>
  <c r="S64" i="64"/>
  <c r="S49" i="64"/>
  <c r="S12" i="64"/>
  <c r="S24" i="64"/>
  <c r="S44" i="64"/>
  <c r="S61" i="64"/>
  <c r="S36" i="64"/>
  <c r="S19" i="64"/>
  <c r="S99" i="64"/>
  <c r="S5" i="64"/>
  <c r="S98" i="64"/>
  <c r="S18" i="64"/>
  <c r="S92" i="64"/>
  <c r="S40" i="64"/>
  <c r="S43" i="64"/>
  <c r="S103" i="64"/>
  <c r="S62" i="64"/>
  <c r="S69" i="64"/>
  <c r="S15" i="64"/>
  <c r="S66" i="64"/>
  <c r="S89" i="64"/>
  <c r="S86" i="64"/>
  <c r="S35" i="64"/>
  <c r="S17" i="64"/>
  <c r="S30" i="64"/>
  <c r="S75" i="64"/>
  <c r="S54" i="64"/>
  <c r="S57" i="64"/>
  <c r="S90" i="64"/>
  <c r="S55" i="64"/>
  <c r="S14" i="64"/>
  <c r="S59" i="64"/>
  <c r="S91" i="64"/>
  <c r="S32" i="64"/>
  <c r="S81" i="64"/>
  <c r="S60" i="64"/>
  <c r="S46" i="64"/>
  <c r="S31" i="64"/>
  <c r="S70" i="64"/>
  <c r="S84" i="64"/>
  <c r="S28" i="64"/>
  <c r="S72" i="64"/>
  <c r="S42" i="64"/>
  <c r="S87" i="64"/>
  <c r="S83" i="64"/>
  <c r="S48" i="64"/>
  <c r="S71" i="64"/>
  <c r="S22" i="64"/>
  <c r="S102" i="64"/>
  <c r="S82" i="64"/>
  <c r="S11" i="64"/>
  <c r="S93" i="64"/>
  <c r="S80" i="64"/>
  <c r="S53" i="64"/>
  <c r="S47" i="64"/>
  <c r="S95" i="64"/>
  <c r="S51" i="64"/>
  <c r="S45" i="64"/>
  <c r="S7" i="64"/>
  <c r="S73" i="64"/>
  <c r="S96" i="64"/>
  <c r="S78" i="64"/>
  <c r="S25" i="64"/>
  <c r="S10" i="64"/>
  <c r="S63" i="64"/>
  <c r="S21" i="64"/>
  <c r="S76" i="64"/>
  <c r="S29" i="64"/>
  <c r="S6" i="64"/>
  <c r="S56" i="64"/>
  <c r="S38" i="64"/>
  <c r="S23" i="64"/>
  <c r="S4" i="64"/>
  <c r="S100" i="64"/>
  <c r="S50" i="64"/>
  <c r="S68" i="64"/>
  <c r="S85" i="64"/>
  <c r="P89" i="64"/>
  <c r="P73" i="64"/>
  <c r="P57" i="64"/>
  <c r="P41" i="64"/>
  <c r="P33" i="64"/>
  <c r="P13" i="64"/>
  <c r="P96" i="64"/>
  <c r="P80" i="64"/>
  <c r="P64" i="64"/>
  <c r="P48" i="64"/>
  <c r="P39" i="64"/>
  <c r="P103" i="64"/>
  <c r="P87" i="64"/>
  <c r="P71" i="64"/>
  <c r="P55" i="64"/>
  <c r="P97" i="64"/>
  <c r="P95" i="64"/>
  <c r="P79" i="64"/>
  <c r="P63" i="64"/>
  <c r="P47" i="64"/>
  <c r="P86" i="64"/>
  <c r="P70" i="64"/>
  <c r="P54" i="64"/>
  <c r="P38" i="64"/>
  <c r="P102" i="64"/>
  <c r="P94" i="64"/>
  <c r="P31" i="64"/>
  <c r="P25" i="64"/>
  <c r="P23" i="64"/>
  <c r="P91" i="64"/>
  <c r="P78" i="64"/>
  <c r="P66" i="64"/>
  <c r="P100" i="64"/>
  <c r="P81" i="64"/>
  <c r="P76" i="64"/>
  <c r="P59" i="64"/>
  <c r="P49" i="64"/>
  <c r="P44" i="64"/>
  <c r="P29" i="64"/>
  <c r="P27" i="64"/>
  <c r="P61" i="64"/>
  <c r="P46" i="64"/>
  <c r="P32" i="64"/>
  <c r="P24" i="64"/>
  <c r="P22" i="64"/>
  <c r="P20" i="64"/>
  <c r="P90" i="64"/>
  <c r="P75" i="64"/>
  <c r="P72" i="64"/>
  <c r="P65" i="64"/>
  <c r="P52" i="64"/>
  <c r="P45" i="64"/>
  <c r="P42" i="64"/>
  <c r="P35" i="64"/>
  <c r="P30" i="64"/>
  <c r="P19" i="64"/>
  <c r="P98" i="64"/>
  <c r="P82" i="64"/>
  <c r="P51" i="64"/>
  <c r="P85" i="64"/>
  <c r="P53" i="64"/>
  <c r="P40" i="64"/>
  <c r="P43" i="64"/>
  <c r="P56" i="64"/>
  <c r="P36" i="64"/>
  <c r="P9" i="64"/>
  <c r="P83" i="64"/>
  <c r="P8" i="64"/>
  <c r="P68" i="64"/>
  <c r="P58" i="64"/>
  <c r="P93" i="64"/>
  <c r="P21" i="64"/>
  <c r="P10" i="64"/>
  <c r="P5" i="64"/>
  <c r="P12" i="64"/>
  <c r="P84" i="64"/>
  <c r="P50" i="64"/>
  <c r="P17" i="64"/>
  <c r="P6" i="64"/>
  <c r="P26" i="64"/>
  <c r="P18" i="64"/>
  <c r="P15" i="64"/>
  <c r="P62" i="64"/>
  <c r="P101" i="64"/>
  <c r="P88" i="64"/>
  <c r="P74" i="64"/>
  <c r="P67" i="64"/>
  <c r="P37" i="64"/>
  <c r="P69" i="64"/>
  <c r="P99" i="64"/>
  <c r="P92" i="64"/>
  <c r="P77" i="64"/>
  <c r="P60" i="64"/>
  <c r="P7" i="64"/>
  <c r="P34" i="64"/>
  <c r="P4" i="64"/>
  <c r="P28" i="64"/>
  <c r="P14" i="64"/>
  <c r="P16" i="64"/>
  <c r="P11" i="64"/>
  <c r="B14" i="1"/>
  <c r="A9" i="27"/>
  <c r="I23" i="1"/>
  <c r="B28" i="67" l="1"/>
  <c r="N8" i="80"/>
  <c r="G9" i="27"/>
  <c r="F9" i="27"/>
  <c r="B9" i="27"/>
  <c r="E9" i="27"/>
  <c r="C9" i="27"/>
  <c r="F12" i="3"/>
  <c r="F12" i="80"/>
  <c r="B20" i="67"/>
  <c r="C56" i="67"/>
  <c r="B63" i="67"/>
  <c r="B58" i="67"/>
  <c r="B64" i="67" s="1"/>
  <c r="F17" i="67"/>
  <c r="B45" i="67" s="1"/>
  <c r="J13" i="80" s="1"/>
  <c r="F29" i="67"/>
  <c r="G22" i="76"/>
  <c r="R63" i="76" s="1"/>
  <c r="C102" i="76"/>
  <c r="C130" i="76"/>
  <c r="C122" i="76"/>
  <c r="C116" i="76"/>
  <c r="C107" i="76"/>
  <c r="C111" i="76"/>
  <c r="C118" i="76"/>
  <c r="C110" i="76"/>
  <c r="C119" i="76"/>
  <c r="C131" i="76"/>
  <c r="C115" i="76"/>
  <c r="C109" i="76"/>
  <c r="C121" i="76"/>
  <c r="C133" i="76"/>
  <c r="C117" i="76"/>
  <c r="C132" i="76"/>
  <c r="C108" i="76"/>
  <c r="C103" i="76"/>
  <c r="C124" i="76"/>
  <c r="C112" i="76"/>
  <c r="C127" i="76"/>
  <c r="C101" i="76"/>
  <c r="C123" i="76"/>
  <c r="C114" i="76"/>
  <c r="C106" i="76"/>
  <c r="C128" i="76"/>
  <c r="C113" i="76"/>
  <c r="C129" i="76"/>
  <c r="C104" i="76"/>
  <c r="C105" i="76"/>
  <c r="C125" i="76"/>
  <c r="C126" i="76"/>
  <c r="C120" i="76"/>
  <c r="Y34" i="76"/>
  <c r="J89" i="76"/>
  <c r="J39" i="76"/>
  <c r="J8" i="76"/>
  <c r="J66" i="76"/>
  <c r="J65" i="76"/>
  <c r="J52" i="76"/>
  <c r="M7" i="76"/>
  <c r="L7" i="76" s="1"/>
  <c r="M35" i="76"/>
  <c r="L35" i="76" s="1"/>
  <c r="M23" i="76"/>
  <c r="L23" i="76" s="1"/>
  <c r="M88" i="76"/>
  <c r="L88" i="76" s="1"/>
  <c r="M73" i="76"/>
  <c r="L73" i="76" s="1"/>
  <c r="M20" i="76"/>
  <c r="L20" i="76" s="1"/>
  <c r="M53" i="76"/>
  <c r="L53" i="76" s="1"/>
  <c r="M90" i="76"/>
  <c r="L90" i="76" s="1"/>
  <c r="M72" i="76"/>
  <c r="L72" i="76" s="1"/>
  <c r="M95" i="76"/>
  <c r="L95" i="76" s="1"/>
  <c r="M75" i="76"/>
  <c r="L75" i="76" s="1"/>
  <c r="J62" i="76"/>
  <c r="J82" i="76"/>
  <c r="M58" i="76"/>
  <c r="L58" i="76" s="1"/>
  <c r="J46" i="76"/>
  <c r="J4" i="76"/>
  <c r="M101" i="76"/>
  <c r="L101" i="76" s="1"/>
  <c r="M89" i="76"/>
  <c r="L89" i="76" s="1"/>
  <c r="M77" i="76"/>
  <c r="L77" i="76" s="1"/>
  <c r="J86" i="76"/>
  <c r="J29" i="76"/>
  <c r="J93" i="76"/>
  <c r="M52" i="76"/>
  <c r="L52" i="76" s="1"/>
  <c r="M42" i="76"/>
  <c r="L42" i="76" s="1"/>
  <c r="M70" i="76"/>
  <c r="L70" i="76" s="1"/>
  <c r="J73" i="76"/>
  <c r="J26" i="76"/>
  <c r="J11" i="76"/>
  <c r="J99" i="76"/>
  <c r="J49" i="76"/>
  <c r="J95" i="76"/>
  <c r="M98" i="76"/>
  <c r="L98" i="76" s="1"/>
  <c r="M16" i="76"/>
  <c r="L16" i="76" s="1"/>
  <c r="M60" i="76"/>
  <c r="L60" i="76" s="1"/>
  <c r="M39" i="76"/>
  <c r="L39" i="76" s="1"/>
  <c r="M12" i="76"/>
  <c r="L12" i="76" s="1"/>
  <c r="M10" i="76"/>
  <c r="L10" i="76" s="1"/>
  <c r="J76" i="76"/>
  <c r="M21" i="76"/>
  <c r="L21" i="76" s="1"/>
  <c r="M64" i="76"/>
  <c r="L64" i="76" s="1"/>
  <c r="M102" i="76"/>
  <c r="L102" i="76" s="1"/>
  <c r="J23" i="76"/>
  <c r="J14" i="76"/>
  <c r="J22" i="76"/>
  <c r="M68" i="76"/>
  <c r="L68" i="76" s="1"/>
  <c r="M40" i="76"/>
  <c r="L40" i="76" s="1"/>
  <c r="J44" i="76"/>
  <c r="M11" i="76"/>
  <c r="L11" i="76" s="1"/>
  <c r="J31" i="76"/>
  <c r="M99" i="76"/>
  <c r="L99" i="76" s="1"/>
  <c r="M47" i="76"/>
  <c r="L47" i="76" s="1"/>
  <c r="J96" i="76"/>
  <c r="J16" i="76"/>
  <c r="J74" i="76"/>
  <c r="J77" i="76"/>
  <c r="M85" i="76"/>
  <c r="L85" i="76" s="1"/>
  <c r="M18" i="76"/>
  <c r="L18" i="76" s="1"/>
  <c r="J54" i="76"/>
  <c r="J101" i="76"/>
  <c r="J58" i="76"/>
  <c r="J61" i="76"/>
  <c r="J57" i="76"/>
  <c r="J103" i="76"/>
  <c r="J34" i="76"/>
  <c r="J83" i="76"/>
  <c r="J25" i="76"/>
  <c r="J79" i="76"/>
  <c r="M100" i="76"/>
  <c r="L100" i="76" s="1"/>
  <c r="M82" i="76"/>
  <c r="L82" i="76" s="1"/>
  <c r="J98" i="76"/>
  <c r="M8" i="76"/>
  <c r="L8" i="76" s="1"/>
  <c r="J18" i="76"/>
  <c r="J88" i="76"/>
  <c r="M24" i="76"/>
  <c r="L24" i="76" s="1"/>
  <c r="M86" i="76"/>
  <c r="L86" i="76" s="1"/>
  <c r="J5" i="76"/>
  <c r="J90" i="76"/>
  <c r="M103" i="76"/>
  <c r="L103" i="76" s="1"/>
  <c r="M19" i="76"/>
  <c r="L19" i="76" s="1"/>
  <c r="M57" i="76"/>
  <c r="L57" i="76" s="1"/>
  <c r="J56" i="76"/>
  <c r="M46" i="76"/>
  <c r="L46" i="76" s="1"/>
  <c r="M61" i="76"/>
  <c r="L61" i="76" s="1"/>
  <c r="J80" i="76"/>
  <c r="J91" i="76"/>
  <c r="J40" i="76"/>
  <c r="J41" i="76"/>
  <c r="J71" i="76"/>
  <c r="J24" i="76"/>
  <c r="J67" i="76"/>
  <c r="J15" i="76"/>
  <c r="J63" i="76"/>
  <c r="M94" i="76"/>
  <c r="L94" i="76" s="1"/>
  <c r="M44" i="76"/>
  <c r="L44" i="76" s="1"/>
  <c r="M14" i="76"/>
  <c r="L14" i="76" s="1"/>
  <c r="M33" i="76"/>
  <c r="L33" i="76" s="1"/>
  <c r="M96" i="76"/>
  <c r="L96" i="76" s="1"/>
  <c r="M50" i="76"/>
  <c r="L50" i="76" s="1"/>
  <c r="M91" i="76"/>
  <c r="L91" i="76" s="1"/>
  <c r="J33" i="76"/>
  <c r="J92" i="76"/>
  <c r="J51" i="76"/>
  <c r="J47" i="76"/>
  <c r="M66" i="76"/>
  <c r="L66" i="76" s="1"/>
  <c r="M37" i="76"/>
  <c r="L37" i="76" s="1"/>
  <c r="M6" i="76"/>
  <c r="L6" i="76" s="1"/>
  <c r="M56" i="76"/>
  <c r="L56" i="76" s="1"/>
  <c r="M78" i="76"/>
  <c r="L78" i="76" s="1"/>
  <c r="M59" i="76"/>
  <c r="L59" i="76" s="1"/>
  <c r="M62" i="76"/>
  <c r="L62" i="76" s="1"/>
  <c r="J72" i="76"/>
  <c r="M81" i="76"/>
  <c r="L81" i="76" s="1"/>
  <c r="J70" i="76"/>
  <c r="J19" i="76"/>
  <c r="J94" i="76"/>
  <c r="J7" i="76"/>
  <c r="M84" i="76"/>
  <c r="L84" i="76" s="1"/>
  <c r="M74" i="76"/>
  <c r="L74" i="76" s="1"/>
  <c r="M79" i="76"/>
  <c r="L79" i="76" s="1"/>
  <c r="M80" i="76"/>
  <c r="L80" i="76" s="1"/>
  <c r="J28" i="76"/>
  <c r="J78" i="76"/>
  <c r="J35" i="76"/>
  <c r="J27" i="76"/>
  <c r="M93" i="76"/>
  <c r="L93" i="76" s="1"/>
  <c r="J60" i="76"/>
  <c r="M29" i="76"/>
  <c r="L29" i="76" s="1"/>
  <c r="M97" i="76"/>
  <c r="L97" i="76" s="1"/>
  <c r="M63" i="76"/>
  <c r="L63" i="76" s="1"/>
  <c r="J102" i="76"/>
  <c r="J6" i="76"/>
  <c r="J69" i="76"/>
  <c r="J9" i="76"/>
  <c r="M54" i="76"/>
  <c r="L54" i="76" s="1"/>
  <c r="J84" i="76"/>
  <c r="M15" i="76"/>
  <c r="L15" i="76" s="1"/>
  <c r="M92" i="76"/>
  <c r="L92" i="76" s="1"/>
  <c r="M87" i="76"/>
  <c r="L87" i="76" s="1"/>
  <c r="J64" i="76"/>
  <c r="M71" i="76"/>
  <c r="L71" i="76" s="1"/>
  <c r="G16" i="76"/>
  <c r="C83" i="76" s="1"/>
  <c r="M55" i="76"/>
  <c r="L55" i="76" s="1"/>
  <c r="J53" i="76"/>
  <c r="J45" i="76"/>
  <c r="M31" i="76"/>
  <c r="L31" i="76" s="1"/>
  <c r="M43" i="76"/>
  <c r="L43" i="76" s="1"/>
  <c r="J59" i="76"/>
  <c r="M41" i="76"/>
  <c r="L41" i="76" s="1"/>
  <c r="M69" i="76"/>
  <c r="L69" i="76" s="1"/>
  <c r="M48" i="76"/>
  <c r="L48" i="76" s="1"/>
  <c r="M27" i="76"/>
  <c r="L27" i="76" s="1"/>
  <c r="J50" i="76"/>
  <c r="M22" i="76"/>
  <c r="L22" i="76" s="1"/>
  <c r="J48" i="76"/>
  <c r="M9" i="76"/>
  <c r="L9" i="76" s="1"/>
  <c r="J97" i="76"/>
  <c r="J87" i="76"/>
  <c r="G21" i="76"/>
  <c r="O39" i="76" s="1"/>
  <c r="J37" i="76"/>
  <c r="J100" i="76"/>
  <c r="M17" i="76"/>
  <c r="L17" i="76" s="1"/>
  <c r="M38" i="76"/>
  <c r="L38" i="76" s="1"/>
  <c r="M76" i="76"/>
  <c r="L76" i="76" s="1"/>
  <c r="M83" i="76"/>
  <c r="L83" i="76" s="1"/>
  <c r="J13" i="76"/>
  <c r="M65" i="76"/>
  <c r="L65" i="76" s="1"/>
  <c r="J55" i="76"/>
  <c r="J17" i="76"/>
  <c r="M51" i="76"/>
  <c r="L51" i="76" s="1"/>
  <c r="J21" i="76"/>
  <c r="J12" i="76"/>
  <c r="M36" i="76"/>
  <c r="L36" i="76" s="1"/>
  <c r="M26" i="76"/>
  <c r="L26" i="76" s="1"/>
  <c r="M5" i="76"/>
  <c r="L5" i="76" s="1"/>
  <c r="J75" i="76"/>
  <c r="J38" i="76"/>
  <c r="M30" i="76"/>
  <c r="L30" i="76" s="1"/>
  <c r="J20" i="76"/>
  <c r="M32" i="76"/>
  <c r="L32" i="76" s="1"/>
  <c r="M4" i="76"/>
  <c r="L4" i="76" s="1"/>
  <c r="J32" i="76"/>
  <c r="J85" i="76"/>
  <c r="M49" i="76"/>
  <c r="L49" i="76" s="1"/>
  <c r="J43" i="76"/>
  <c r="M25" i="76"/>
  <c r="L25" i="76" s="1"/>
  <c r="M28" i="76"/>
  <c r="L28" i="76" s="1"/>
  <c r="M45" i="76"/>
  <c r="L45" i="76" s="1"/>
  <c r="J68" i="76"/>
  <c r="M34" i="76"/>
  <c r="L34" i="76" s="1"/>
  <c r="J36" i="76"/>
  <c r="J10" i="76"/>
  <c r="M13" i="76"/>
  <c r="L13" i="76" s="1"/>
  <c r="J30" i="76"/>
  <c r="J42" i="76"/>
  <c r="J81" i="76"/>
  <c r="M67" i="76"/>
  <c r="L67" i="76" s="1"/>
  <c r="C29" i="64"/>
  <c r="C43" i="64"/>
  <c r="C37" i="64"/>
  <c r="C33" i="64"/>
  <c r="C39" i="64"/>
  <c r="C36" i="64"/>
  <c r="C32" i="64"/>
  <c r="C28" i="64"/>
  <c r="C40" i="64"/>
  <c r="C38" i="64"/>
  <c r="C34" i="64"/>
  <c r="C42" i="64"/>
  <c r="C27" i="64"/>
  <c r="C41" i="64"/>
  <c r="C26" i="64"/>
  <c r="C25" i="64"/>
  <c r="C35" i="64"/>
  <c r="C30" i="64"/>
  <c r="C31" i="64"/>
  <c r="G21" i="64"/>
  <c r="O44" i="64" s="1"/>
  <c r="G16" i="64"/>
  <c r="C22" i="64"/>
  <c r="C23" i="64"/>
  <c r="C24" i="64"/>
  <c r="C20" i="64"/>
  <c r="C21" i="64"/>
  <c r="R82" i="64"/>
  <c r="R63" i="64"/>
  <c r="R52" i="64"/>
  <c r="R103" i="64"/>
  <c r="R14" i="64"/>
  <c r="R55" i="64"/>
  <c r="R85" i="64"/>
  <c r="R74" i="64"/>
  <c r="R42" i="64"/>
  <c r="R94" i="64"/>
  <c r="R4" i="64"/>
  <c r="R51" i="64"/>
  <c r="R28" i="64"/>
  <c r="R30" i="64"/>
  <c r="R99" i="64"/>
  <c r="R33" i="64"/>
  <c r="R11" i="64"/>
  <c r="R21" i="64"/>
  <c r="R91" i="64"/>
  <c r="R76" i="64"/>
  <c r="R58" i="64"/>
  <c r="R69" i="64"/>
  <c r="R102" i="64"/>
  <c r="R62" i="64"/>
  <c r="R59" i="64"/>
  <c r="R77" i="64"/>
  <c r="R71" i="64"/>
  <c r="R16" i="64"/>
  <c r="R78" i="64"/>
  <c r="R65" i="64"/>
  <c r="R83" i="64"/>
  <c r="R41" i="64"/>
  <c r="R73" i="64"/>
  <c r="R18" i="64"/>
  <c r="R50" i="64"/>
  <c r="R54" i="64"/>
  <c r="R8" i="64"/>
  <c r="R100" i="64"/>
  <c r="R75" i="64"/>
  <c r="R39" i="64"/>
  <c r="R95" i="64"/>
  <c r="R17" i="64"/>
  <c r="R13" i="64"/>
  <c r="R38" i="64"/>
  <c r="R47" i="64"/>
  <c r="R70" i="64"/>
  <c r="R35" i="64"/>
  <c r="R36" i="64"/>
  <c r="R37" i="64"/>
  <c r="G17" i="64"/>
  <c r="R12" i="64"/>
  <c r="R49" i="64"/>
  <c r="R43" i="64"/>
  <c r="R34" i="64"/>
  <c r="R90" i="64"/>
  <c r="R57" i="64"/>
  <c r="R56" i="64"/>
  <c r="R53" i="64"/>
  <c r="R31" i="64"/>
  <c r="R86" i="64"/>
  <c r="R61" i="64"/>
  <c r="R20" i="64"/>
  <c r="R15" i="64"/>
  <c r="R32" i="64"/>
  <c r="R64" i="64"/>
  <c r="R10" i="64"/>
  <c r="R27" i="64"/>
  <c r="R25" i="64"/>
  <c r="R26" i="64"/>
  <c r="R48" i="64"/>
  <c r="R40" i="64"/>
  <c r="R96" i="64"/>
  <c r="R9" i="64"/>
  <c r="R87" i="64"/>
  <c r="R98" i="64"/>
  <c r="R45" i="64"/>
  <c r="R5" i="64"/>
  <c r="R23" i="64"/>
  <c r="R84" i="64"/>
  <c r="R6" i="64"/>
  <c r="R80" i="64"/>
  <c r="R46" i="64"/>
  <c r="R89" i="64"/>
  <c r="R44" i="64"/>
  <c r="R79" i="64"/>
  <c r="Y34" i="64"/>
  <c r="J6" i="64"/>
  <c r="M81" i="64"/>
  <c r="M56" i="64"/>
  <c r="M100" i="64"/>
  <c r="M71" i="64"/>
  <c r="M62" i="64"/>
  <c r="M60" i="64"/>
  <c r="M38" i="64"/>
  <c r="J52" i="64"/>
  <c r="J29" i="64"/>
  <c r="J49" i="64"/>
  <c r="J8" i="64"/>
  <c r="J31" i="64"/>
  <c r="J57" i="64"/>
  <c r="M5" i="64"/>
  <c r="M31" i="64"/>
  <c r="M20" i="64"/>
  <c r="M35" i="64"/>
  <c r="J36" i="64"/>
  <c r="J24" i="64"/>
  <c r="J33" i="64"/>
  <c r="J88" i="64"/>
  <c r="J53" i="64"/>
  <c r="J50" i="64"/>
  <c r="J19" i="64"/>
  <c r="J64" i="64"/>
  <c r="J73" i="64"/>
  <c r="J40" i="64"/>
  <c r="M51" i="64"/>
  <c r="M101" i="64"/>
  <c r="J90" i="64"/>
  <c r="J87" i="64"/>
  <c r="M49" i="64"/>
  <c r="M103" i="64"/>
  <c r="M8" i="64"/>
  <c r="M96" i="64"/>
  <c r="M41" i="64"/>
  <c r="M65" i="64"/>
  <c r="M40" i="64"/>
  <c r="M44" i="64"/>
  <c r="M27" i="64"/>
  <c r="M87" i="64"/>
  <c r="M30" i="64"/>
  <c r="J30" i="64"/>
  <c r="J56" i="64"/>
  <c r="J20" i="64"/>
  <c r="J17" i="64"/>
  <c r="J60" i="64"/>
  <c r="J4" i="64"/>
  <c r="M93" i="64"/>
  <c r="M98" i="64"/>
  <c r="M29" i="64"/>
  <c r="M76" i="64"/>
  <c r="M46" i="64"/>
  <c r="M66" i="64"/>
  <c r="M73" i="64"/>
  <c r="M17" i="64"/>
  <c r="M52" i="64"/>
  <c r="M74" i="64"/>
  <c r="M53" i="64"/>
  <c r="J77" i="64"/>
  <c r="J75" i="64"/>
  <c r="J89" i="64"/>
  <c r="J103" i="64"/>
  <c r="J65" i="64"/>
  <c r="J21" i="64"/>
  <c r="J39" i="64"/>
  <c r="M37" i="64"/>
  <c r="M36" i="64"/>
  <c r="M32" i="64"/>
  <c r="M64" i="64"/>
  <c r="J61" i="64"/>
  <c r="J59" i="64"/>
  <c r="J79" i="64"/>
  <c r="J86" i="64"/>
  <c r="J62" i="64"/>
  <c r="J85" i="64"/>
  <c r="J14" i="64"/>
  <c r="M91" i="64"/>
  <c r="M50" i="64"/>
  <c r="M57" i="64"/>
  <c r="M9" i="64"/>
  <c r="M15" i="64"/>
  <c r="M54" i="64"/>
  <c r="M58" i="64"/>
  <c r="M12" i="64"/>
  <c r="J45" i="64"/>
  <c r="J101" i="64"/>
  <c r="M97" i="64"/>
  <c r="M39" i="64"/>
  <c r="M90" i="64"/>
  <c r="M48" i="64"/>
  <c r="J99" i="64"/>
  <c r="J23" i="64"/>
  <c r="J82" i="64"/>
  <c r="J76" i="64"/>
  <c r="M25" i="64"/>
  <c r="M45" i="64"/>
  <c r="M22" i="64"/>
  <c r="J11" i="64"/>
  <c r="J38" i="64"/>
  <c r="M82" i="64"/>
  <c r="M102" i="64"/>
  <c r="J67" i="64"/>
  <c r="J81" i="64"/>
  <c r="M86" i="64"/>
  <c r="J51" i="64"/>
  <c r="J46" i="64"/>
  <c r="M42" i="64"/>
  <c r="M78" i="64"/>
  <c r="M83" i="64"/>
  <c r="J96" i="64"/>
  <c r="J63" i="64"/>
  <c r="M28" i="64"/>
  <c r="J25" i="64"/>
  <c r="J78" i="64"/>
  <c r="M95" i="64"/>
  <c r="J15" i="64"/>
  <c r="J32" i="64"/>
  <c r="J95" i="64"/>
  <c r="M69" i="64"/>
  <c r="J68" i="64"/>
  <c r="J44" i="64"/>
  <c r="J69" i="64"/>
  <c r="J9" i="64"/>
  <c r="J66" i="64"/>
  <c r="J91" i="64"/>
  <c r="J34" i="64"/>
  <c r="J37" i="64"/>
  <c r="M43" i="64"/>
  <c r="M79" i="64"/>
  <c r="J83" i="64"/>
  <c r="M24" i="64"/>
  <c r="J102" i="64"/>
  <c r="M7" i="64"/>
  <c r="J7" i="64"/>
  <c r="J18" i="64"/>
  <c r="M18" i="64"/>
  <c r="J100" i="64"/>
  <c r="M84" i="64"/>
  <c r="J84" i="64"/>
  <c r="J28" i="64"/>
  <c r="M68" i="64"/>
  <c r="M67" i="64"/>
  <c r="J72" i="64"/>
  <c r="J10" i="64"/>
  <c r="J26" i="64"/>
  <c r="M99" i="64"/>
  <c r="M34" i="64"/>
  <c r="J43" i="64"/>
  <c r="M4" i="64"/>
  <c r="J54" i="64"/>
  <c r="M16" i="64"/>
  <c r="J92" i="64"/>
  <c r="J12" i="64"/>
  <c r="J35" i="64"/>
  <c r="J71" i="64"/>
  <c r="M61" i="64"/>
  <c r="J74" i="64"/>
  <c r="M88" i="64"/>
  <c r="J80" i="64"/>
  <c r="M19" i="64"/>
  <c r="J22" i="64"/>
  <c r="M33" i="64"/>
  <c r="J93" i="64"/>
  <c r="M21" i="64"/>
  <c r="M80" i="64"/>
  <c r="J58" i="64"/>
  <c r="M23" i="64"/>
  <c r="J47" i="64"/>
  <c r="M85" i="64"/>
  <c r="J5" i="64"/>
  <c r="J97" i="64"/>
  <c r="M11" i="64"/>
  <c r="M10" i="64"/>
  <c r="M55" i="64"/>
  <c r="J27" i="64"/>
  <c r="M75" i="64"/>
  <c r="M6" i="64"/>
  <c r="M26" i="64"/>
  <c r="J55" i="64"/>
  <c r="J48" i="64"/>
  <c r="M59" i="64"/>
  <c r="J98" i="64"/>
  <c r="M63" i="64"/>
  <c r="J41" i="64"/>
  <c r="M13" i="64"/>
  <c r="J42" i="64"/>
  <c r="M72" i="64"/>
  <c r="M92" i="64"/>
  <c r="J16" i="64"/>
  <c r="M94" i="64"/>
  <c r="M77" i="64"/>
  <c r="M47" i="64"/>
  <c r="J13" i="64"/>
  <c r="J70" i="64"/>
  <c r="M89" i="64"/>
  <c r="M14" i="64"/>
  <c r="M70" i="64"/>
  <c r="J94" i="64"/>
  <c r="R81" i="64"/>
  <c r="R88" i="64"/>
  <c r="R22" i="64"/>
  <c r="R92" i="64"/>
  <c r="R68" i="64"/>
  <c r="R97" i="64"/>
  <c r="R7" i="64"/>
  <c r="R101" i="64"/>
  <c r="R72" i="64"/>
  <c r="R19" i="64"/>
  <c r="R29" i="64"/>
  <c r="R93" i="64"/>
  <c r="R60" i="64"/>
  <c r="R66" i="64"/>
  <c r="R24" i="64"/>
  <c r="R67" i="64"/>
  <c r="O5" i="1"/>
  <c r="C1000" i="16"/>
  <c r="C999" i="16"/>
  <c r="C998" i="16"/>
  <c r="C997" i="16"/>
  <c r="C996" i="16"/>
  <c r="C995" i="16"/>
  <c r="C994" i="16"/>
  <c r="C993" i="16"/>
  <c r="C992" i="16"/>
  <c r="C991" i="16"/>
  <c r="C990" i="16"/>
  <c r="C989" i="16"/>
  <c r="C988" i="16"/>
  <c r="C987" i="16"/>
  <c r="C986" i="16"/>
  <c r="C985" i="16"/>
  <c r="C984" i="16"/>
  <c r="C983" i="16"/>
  <c r="C982" i="16"/>
  <c r="C981" i="16"/>
  <c r="C980" i="16"/>
  <c r="C979" i="16"/>
  <c r="C978" i="16"/>
  <c r="C977" i="16"/>
  <c r="C976" i="16"/>
  <c r="C975" i="16"/>
  <c r="C974" i="16"/>
  <c r="C973" i="16"/>
  <c r="C972" i="16"/>
  <c r="C971" i="16"/>
  <c r="C970" i="16"/>
  <c r="C969" i="16"/>
  <c r="C968" i="16"/>
  <c r="C967" i="16"/>
  <c r="C966" i="16"/>
  <c r="C965" i="16"/>
  <c r="C964" i="16"/>
  <c r="C963" i="16"/>
  <c r="C962" i="16"/>
  <c r="C961" i="16"/>
  <c r="C960" i="16"/>
  <c r="C959" i="16"/>
  <c r="C958" i="16"/>
  <c r="C957" i="16"/>
  <c r="C956" i="16"/>
  <c r="C955" i="16"/>
  <c r="C954" i="16"/>
  <c r="C953" i="16"/>
  <c r="C952" i="16"/>
  <c r="C951" i="16"/>
  <c r="C950" i="16"/>
  <c r="C949" i="16"/>
  <c r="C948" i="16"/>
  <c r="C947" i="16"/>
  <c r="C946" i="16"/>
  <c r="C945" i="16"/>
  <c r="C944" i="16"/>
  <c r="C943" i="16"/>
  <c r="C942" i="16"/>
  <c r="C941" i="16"/>
  <c r="C940" i="16"/>
  <c r="C939" i="16"/>
  <c r="C938" i="16"/>
  <c r="C937" i="16"/>
  <c r="C936" i="16"/>
  <c r="C935" i="16"/>
  <c r="C934" i="16"/>
  <c r="C933" i="16"/>
  <c r="C932" i="16"/>
  <c r="C931" i="16"/>
  <c r="C930" i="16"/>
  <c r="C929" i="16"/>
  <c r="C928" i="16"/>
  <c r="C927" i="16"/>
  <c r="C926" i="16"/>
  <c r="C925" i="16"/>
  <c r="C924" i="16"/>
  <c r="C923" i="16"/>
  <c r="C922" i="16"/>
  <c r="C921" i="16"/>
  <c r="C920" i="16"/>
  <c r="C919" i="16"/>
  <c r="C918" i="16"/>
  <c r="C917" i="16"/>
  <c r="C916" i="16"/>
  <c r="C915" i="16"/>
  <c r="C914" i="16"/>
  <c r="C913" i="16"/>
  <c r="C912" i="16"/>
  <c r="C911" i="16"/>
  <c r="C910" i="16"/>
  <c r="C909" i="16"/>
  <c r="C908" i="16"/>
  <c r="C907" i="16"/>
  <c r="C906" i="16"/>
  <c r="C905" i="16"/>
  <c r="C904" i="16"/>
  <c r="C903" i="16"/>
  <c r="C902" i="16"/>
  <c r="C901" i="16"/>
  <c r="C900" i="16"/>
  <c r="C899" i="16"/>
  <c r="C898" i="16"/>
  <c r="C897" i="16"/>
  <c r="C896" i="16"/>
  <c r="C895" i="16"/>
  <c r="C894" i="16"/>
  <c r="C893" i="16"/>
  <c r="C892" i="16"/>
  <c r="C891" i="16"/>
  <c r="C890" i="16"/>
  <c r="C889" i="16"/>
  <c r="C888" i="16"/>
  <c r="C887" i="16"/>
  <c r="C886" i="16"/>
  <c r="C885" i="16"/>
  <c r="C884" i="16"/>
  <c r="C883" i="16"/>
  <c r="C882" i="16"/>
  <c r="C881" i="16"/>
  <c r="C880" i="16"/>
  <c r="C879" i="16"/>
  <c r="C878" i="16"/>
  <c r="C877" i="16"/>
  <c r="C876" i="16"/>
  <c r="C875" i="16"/>
  <c r="C874" i="16"/>
  <c r="C873" i="16"/>
  <c r="C872" i="16"/>
  <c r="C871" i="16"/>
  <c r="C870" i="16"/>
  <c r="C869" i="16"/>
  <c r="C868" i="16"/>
  <c r="C867" i="16"/>
  <c r="C866" i="16"/>
  <c r="C865" i="16"/>
  <c r="C864" i="16"/>
  <c r="C863" i="16"/>
  <c r="C862" i="16"/>
  <c r="C861" i="16"/>
  <c r="C860" i="16"/>
  <c r="C859" i="16"/>
  <c r="C858" i="16"/>
  <c r="C857" i="16"/>
  <c r="C856" i="16"/>
  <c r="C855" i="16"/>
  <c r="C854" i="16"/>
  <c r="C853" i="16"/>
  <c r="C852" i="16"/>
  <c r="C851" i="16"/>
  <c r="C850" i="16"/>
  <c r="C849" i="16"/>
  <c r="C848" i="16"/>
  <c r="C847" i="16"/>
  <c r="C846" i="16"/>
  <c r="C845" i="16"/>
  <c r="C844" i="16"/>
  <c r="C843" i="16"/>
  <c r="C842" i="16"/>
  <c r="C841" i="16"/>
  <c r="C840" i="16"/>
  <c r="C839" i="16"/>
  <c r="C838" i="16"/>
  <c r="C837" i="16"/>
  <c r="C836" i="16"/>
  <c r="C835" i="16"/>
  <c r="C834" i="16"/>
  <c r="C833" i="16"/>
  <c r="C832" i="16"/>
  <c r="C831" i="16"/>
  <c r="C830" i="16"/>
  <c r="C829" i="16"/>
  <c r="C828" i="16"/>
  <c r="C827" i="16"/>
  <c r="C826" i="16"/>
  <c r="C825" i="16"/>
  <c r="C824" i="16"/>
  <c r="C823" i="16"/>
  <c r="C822" i="16"/>
  <c r="C821" i="16"/>
  <c r="C820" i="16"/>
  <c r="C819" i="16"/>
  <c r="C818" i="16"/>
  <c r="C817" i="16"/>
  <c r="C816" i="16"/>
  <c r="C815" i="16"/>
  <c r="C814" i="16"/>
  <c r="C813" i="16"/>
  <c r="C812" i="16"/>
  <c r="C811" i="16"/>
  <c r="C810" i="16"/>
  <c r="C809" i="16"/>
  <c r="C808" i="16"/>
  <c r="C807" i="16"/>
  <c r="C806" i="16"/>
  <c r="C805" i="16"/>
  <c r="C804" i="16"/>
  <c r="C803" i="16"/>
  <c r="C802" i="16"/>
  <c r="C801" i="16"/>
  <c r="C800" i="16"/>
  <c r="C799" i="16"/>
  <c r="C798" i="16"/>
  <c r="C797" i="16"/>
  <c r="C796" i="16"/>
  <c r="C795" i="16"/>
  <c r="C794" i="16"/>
  <c r="C793" i="16"/>
  <c r="C792" i="16"/>
  <c r="C791" i="16"/>
  <c r="C790" i="16"/>
  <c r="C789" i="16"/>
  <c r="C788" i="16"/>
  <c r="C787" i="16"/>
  <c r="C786" i="16"/>
  <c r="C785" i="16"/>
  <c r="C784" i="16"/>
  <c r="C783" i="16"/>
  <c r="C782" i="16"/>
  <c r="C781" i="16"/>
  <c r="C780" i="16"/>
  <c r="C779" i="16"/>
  <c r="C778" i="16"/>
  <c r="C777" i="16"/>
  <c r="C776" i="16"/>
  <c r="C775" i="16"/>
  <c r="C774" i="16"/>
  <c r="C773" i="16"/>
  <c r="C772" i="16"/>
  <c r="C771" i="16"/>
  <c r="C770" i="16"/>
  <c r="C769" i="16"/>
  <c r="C768" i="16"/>
  <c r="C767" i="16"/>
  <c r="C766" i="16"/>
  <c r="C765" i="16"/>
  <c r="C764" i="16"/>
  <c r="C763" i="16"/>
  <c r="C762" i="16"/>
  <c r="C761" i="16"/>
  <c r="C760" i="16"/>
  <c r="C759" i="16"/>
  <c r="C758" i="16"/>
  <c r="C757" i="16"/>
  <c r="C756" i="16"/>
  <c r="C755" i="16"/>
  <c r="C754" i="16"/>
  <c r="C753" i="16"/>
  <c r="C752" i="16"/>
  <c r="C751" i="16"/>
  <c r="C750" i="16"/>
  <c r="C749" i="16"/>
  <c r="C748" i="16"/>
  <c r="C747" i="16"/>
  <c r="C746" i="16"/>
  <c r="C745" i="16"/>
  <c r="C744" i="16"/>
  <c r="C743" i="16"/>
  <c r="C742" i="16"/>
  <c r="C741" i="16"/>
  <c r="C740" i="16"/>
  <c r="C739" i="16"/>
  <c r="C738" i="16"/>
  <c r="C737" i="16"/>
  <c r="C736" i="16"/>
  <c r="C735" i="16"/>
  <c r="C734" i="16"/>
  <c r="C733" i="16"/>
  <c r="C732" i="16"/>
  <c r="C731" i="16"/>
  <c r="C730" i="16"/>
  <c r="C729" i="16"/>
  <c r="C728" i="16"/>
  <c r="C727" i="16"/>
  <c r="C726" i="16"/>
  <c r="C725" i="16"/>
  <c r="C724" i="16"/>
  <c r="C723" i="16"/>
  <c r="C722" i="16"/>
  <c r="C721" i="16"/>
  <c r="C720" i="16"/>
  <c r="C719" i="16"/>
  <c r="C718" i="16"/>
  <c r="C717" i="16"/>
  <c r="C716" i="16"/>
  <c r="C715" i="16"/>
  <c r="C714" i="16"/>
  <c r="C713" i="16"/>
  <c r="C712" i="16"/>
  <c r="C711" i="16"/>
  <c r="C710" i="16"/>
  <c r="C709" i="16"/>
  <c r="C708" i="16"/>
  <c r="C707" i="16"/>
  <c r="C706" i="16"/>
  <c r="C705" i="16"/>
  <c r="C704" i="16"/>
  <c r="C703" i="16"/>
  <c r="C702" i="16"/>
  <c r="C701" i="16"/>
  <c r="C700" i="16"/>
  <c r="C699" i="16"/>
  <c r="C698" i="16"/>
  <c r="C697" i="16"/>
  <c r="C696" i="16"/>
  <c r="C695" i="16"/>
  <c r="C694" i="16"/>
  <c r="C693" i="16"/>
  <c r="C692" i="16"/>
  <c r="C691" i="16"/>
  <c r="C690" i="16"/>
  <c r="C689" i="16"/>
  <c r="C688" i="16"/>
  <c r="C687" i="16"/>
  <c r="C686" i="16"/>
  <c r="C685" i="16"/>
  <c r="C684" i="16"/>
  <c r="C683" i="16"/>
  <c r="C682" i="16"/>
  <c r="C681" i="16"/>
  <c r="C680" i="16"/>
  <c r="C679" i="16"/>
  <c r="C678" i="16"/>
  <c r="C677" i="16"/>
  <c r="C676" i="16"/>
  <c r="C675" i="16"/>
  <c r="C674" i="16"/>
  <c r="C673" i="16"/>
  <c r="C672" i="16"/>
  <c r="C671" i="16"/>
  <c r="C670" i="16"/>
  <c r="C669" i="16"/>
  <c r="C668" i="16"/>
  <c r="C667" i="16"/>
  <c r="C666" i="16"/>
  <c r="C665" i="16"/>
  <c r="C664" i="16"/>
  <c r="C663" i="16"/>
  <c r="C662" i="16"/>
  <c r="C661" i="16"/>
  <c r="C660" i="16"/>
  <c r="C659" i="16"/>
  <c r="C658" i="16"/>
  <c r="C657" i="16"/>
  <c r="C656" i="16"/>
  <c r="C655" i="16"/>
  <c r="C654" i="16"/>
  <c r="C653" i="16"/>
  <c r="C652" i="16"/>
  <c r="C651" i="16"/>
  <c r="C650" i="16"/>
  <c r="C649" i="16"/>
  <c r="C648" i="16"/>
  <c r="C647" i="16"/>
  <c r="C646" i="16"/>
  <c r="C645" i="16"/>
  <c r="C644" i="16"/>
  <c r="C643" i="16"/>
  <c r="C642" i="16"/>
  <c r="C641" i="16"/>
  <c r="C640" i="16"/>
  <c r="C639" i="16"/>
  <c r="C638" i="16"/>
  <c r="C637" i="16"/>
  <c r="C636" i="16"/>
  <c r="C635" i="16"/>
  <c r="C634" i="16"/>
  <c r="C633" i="16"/>
  <c r="C632" i="16"/>
  <c r="C631" i="16"/>
  <c r="C630" i="16"/>
  <c r="C629" i="16"/>
  <c r="C628" i="16"/>
  <c r="C627" i="16"/>
  <c r="C626" i="16"/>
  <c r="C625" i="16"/>
  <c r="C624" i="16"/>
  <c r="C623" i="16"/>
  <c r="C622" i="16"/>
  <c r="C621" i="16"/>
  <c r="C620" i="16"/>
  <c r="C619" i="16"/>
  <c r="C618" i="16"/>
  <c r="C617" i="16"/>
  <c r="C616" i="16"/>
  <c r="C615" i="16"/>
  <c r="C614" i="16"/>
  <c r="C613" i="16"/>
  <c r="C612" i="16"/>
  <c r="C611" i="16"/>
  <c r="C610" i="16"/>
  <c r="C609" i="16"/>
  <c r="C608" i="16"/>
  <c r="C607" i="16"/>
  <c r="C606" i="16"/>
  <c r="C605" i="16"/>
  <c r="C604" i="16"/>
  <c r="C603" i="16"/>
  <c r="C602" i="16"/>
  <c r="C601" i="16"/>
  <c r="C600" i="16"/>
  <c r="C599" i="16"/>
  <c r="C598" i="16"/>
  <c r="C597" i="16"/>
  <c r="C596" i="16"/>
  <c r="C595" i="16"/>
  <c r="C594" i="16"/>
  <c r="C593" i="16"/>
  <c r="C592" i="16"/>
  <c r="C591" i="16"/>
  <c r="C590" i="16"/>
  <c r="C589" i="16"/>
  <c r="C588" i="16"/>
  <c r="C587" i="16"/>
  <c r="C586" i="16"/>
  <c r="C585" i="16"/>
  <c r="C584" i="16"/>
  <c r="C583" i="16"/>
  <c r="C582" i="16"/>
  <c r="C581" i="16"/>
  <c r="C580" i="16"/>
  <c r="C579" i="16"/>
  <c r="C578" i="16"/>
  <c r="C577" i="16"/>
  <c r="C576" i="16"/>
  <c r="C575" i="16"/>
  <c r="C574" i="16"/>
  <c r="C573" i="16"/>
  <c r="C572" i="16"/>
  <c r="C571" i="16"/>
  <c r="C570" i="16"/>
  <c r="C569" i="16"/>
  <c r="C568" i="16"/>
  <c r="C567" i="16"/>
  <c r="C566" i="16"/>
  <c r="C565" i="16"/>
  <c r="C564" i="16"/>
  <c r="C563" i="16"/>
  <c r="C562" i="16"/>
  <c r="C561" i="16"/>
  <c r="C560" i="16"/>
  <c r="C559" i="16"/>
  <c r="C558" i="16"/>
  <c r="C557" i="16"/>
  <c r="C556" i="16"/>
  <c r="C555" i="16"/>
  <c r="C554" i="16"/>
  <c r="C553" i="16"/>
  <c r="C552" i="16"/>
  <c r="C551" i="16"/>
  <c r="C550" i="16"/>
  <c r="C549" i="16"/>
  <c r="C548" i="16"/>
  <c r="C547" i="16"/>
  <c r="C546" i="16"/>
  <c r="C545" i="16"/>
  <c r="C544" i="16"/>
  <c r="C543" i="16"/>
  <c r="C542" i="16"/>
  <c r="C541" i="16"/>
  <c r="C540" i="16"/>
  <c r="C539" i="16"/>
  <c r="C538" i="16"/>
  <c r="C537" i="16"/>
  <c r="C536" i="16"/>
  <c r="C535" i="16"/>
  <c r="C534" i="16"/>
  <c r="C533" i="16"/>
  <c r="C532" i="16"/>
  <c r="C531" i="16"/>
  <c r="C530" i="16"/>
  <c r="C529" i="16"/>
  <c r="C528" i="16"/>
  <c r="C527" i="16"/>
  <c r="C526" i="16"/>
  <c r="C525" i="16"/>
  <c r="C524" i="16"/>
  <c r="C523" i="16"/>
  <c r="C522" i="16"/>
  <c r="C521" i="16"/>
  <c r="C520" i="16"/>
  <c r="C519" i="16"/>
  <c r="C518" i="16"/>
  <c r="C517" i="16"/>
  <c r="C516" i="16"/>
  <c r="C515" i="16"/>
  <c r="C514" i="16"/>
  <c r="C513" i="16"/>
  <c r="C512" i="16"/>
  <c r="C511" i="16"/>
  <c r="C510" i="16"/>
  <c r="C509" i="16"/>
  <c r="C508" i="16"/>
  <c r="C507" i="16"/>
  <c r="C506" i="16"/>
  <c r="C505" i="16"/>
  <c r="C504" i="16"/>
  <c r="C503" i="16"/>
  <c r="C502" i="16"/>
  <c r="C501" i="16"/>
  <c r="C500" i="16"/>
  <c r="C499" i="16"/>
  <c r="C498" i="16"/>
  <c r="C497" i="16"/>
  <c r="C496" i="16"/>
  <c r="C495" i="16"/>
  <c r="C494" i="16"/>
  <c r="C493" i="16"/>
  <c r="C492" i="16"/>
  <c r="C491" i="16"/>
  <c r="C490" i="16"/>
  <c r="C489" i="16"/>
  <c r="C488" i="16"/>
  <c r="C487" i="16"/>
  <c r="C486" i="16"/>
  <c r="C485" i="16"/>
  <c r="C484" i="16"/>
  <c r="C483" i="16"/>
  <c r="C482" i="16"/>
  <c r="C481" i="16"/>
  <c r="C480" i="16"/>
  <c r="C479" i="16"/>
  <c r="C478" i="16"/>
  <c r="C477" i="16"/>
  <c r="C476" i="16"/>
  <c r="C475" i="16"/>
  <c r="C474" i="16"/>
  <c r="C473" i="16"/>
  <c r="C472" i="16"/>
  <c r="C471" i="16"/>
  <c r="C470" i="16"/>
  <c r="C469" i="16"/>
  <c r="C468" i="16"/>
  <c r="C467" i="16"/>
  <c r="C466" i="16"/>
  <c r="C465" i="16"/>
  <c r="C464" i="16"/>
  <c r="C463" i="16"/>
  <c r="C462" i="16"/>
  <c r="C461" i="16"/>
  <c r="C460" i="16"/>
  <c r="C459" i="16"/>
  <c r="C458" i="16"/>
  <c r="C457" i="16"/>
  <c r="C456" i="16"/>
  <c r="C455" i="16"/>
  <c r="C454" i="16"/>
  <c r="C453" i="16"/>
  <c r="C452" i="16"/>
  <c r="C451" i="16"/>
  <c r="C450" i="16"/>
  <c r="C449" i="16"/>
  <c r="C448" i="16"/>
  <c r="C447" i="16"/>
  <c r="C446" i="16"/>
  <c r="C445" i="16"/>
  <c r="C444" i="16"/>
  <c r="C443" i="16"/>
  <c r="C442" i="16"/>
  <c r="C441" i="16"/>
  <c r="C440" i="16"/>
  <c r="C439" i="16"/>
  <c r="C438" i="16"/>
  <c r="C437" i="16"/>
  <c r="C436" i="16"/>
  <c r="C435" i="16"/>
  <c r="C434" i="16"/>
  <c r="C433" i="16"/>
  <c r="C432" i="16"/>
  <c r="C431" i="16"/>
  <c r="C430" i="16"/>
  <c r="C429" i="16"/>
  <c r="C428" i="16"/>
  <c r="C427" i="16"/>
  <c r="C426" i="16"/>
  <c r="C425" i="16"/>
  <c r="C424" i="16"/>
  <c r="C423" i="16"/>
  <c r="C422" i="16"/>
  <c r="C421" i="16"/>
  <c r="C420" i="16"/>
  <c r="C419" i="16"/>
  <c r="C418" i="16"/>
  <c r="C417" i="16"/>
  <c r="C416" i="16"/>
  <c r="C415" i="16"/>
  <c r="C414" i="16"/>
  <c r="C413" i="16"/>
  <c r="C412" i="16"/>
  <c r="C411" i="16"/>
  <c r="C410" i="16"/>
  <c r="C409" i="16"/>
  <c r="C408" i="16"/>
  <c r="C407" i="16"/>
  <c r="C406" i="16"/>
  <c r="C405" i="16"/>
  <c r="C404" i="16"/>
  <c r="C403" i="16"/>
  <c r="C402" i="16"/>
  <c r="C401" i="16"/>
  <c r="C400" i="16"/>
  <c r="C399" i="16"/>
  <c r="C398" i="16"/>
  <c r="C397" i="16"/>
  <c r="C396" i="16"/>
  <c r="C395" i="16"/>
  <c r="C394" i="16"/>
  <c r="C393" i="16"/>
  <c r="C392" i="16"/>
  <c r="C391" i="16"/>
  <c r="C390" i="16"/>
  <c r="C389" i="16"/>
  <c r="C388" i="16"/>
  <c r="C387" i="16"/>
  <c r="C386" i="16"/>
  <c r="C385" i="16"/>
  <c r="C384" i="16"/>
  <c r="C383" i="16"/>
  <c r="C382" i="16"/>
  <c r="C381" i="16"/>
  <c r="C380" i="16"/>
  <c r="C379" i="16"/>
  <c r="C378" i="16"/>
  <c r="C377" i="16"/>
  <c r="C376" i="16"/>
  <c r="C375" i="16"/>
  <c r="C374" i="16"/>
  <c r="C373" i="16"/>
  <c r="C372" i="16"/>
  <c r="C371" i="16"/>
  <c r="C370" i="16"/>
  <c r="C369" i="16"/>
  <c r="C368" i="16"/>
  <c r="C367" i="16"/>
  <c r="C366" i="16"/>
  <c r="C365" i="16"/>
  <c r="C364" i="16"/>
  <c r="C363" i="16"/>
  <c r="C362" i="16"/>
  <c r="C361" i="16"/>
  <c r="C360" i="16"/>
  <c r="C359" i="16"/>
  <c r="C358" i="16"/>
  <c r="C357" i="16"/>
  <c r="C356" i="16"/>
  <c r="C355" i="16"/>
  <c r="G23" i="16"/>
  <c r="A4" i="16" a="1"/>
  <c r="D4" i="16" a="1"/>
  <c r="B4" i="16" a="1"/>
  <c r="B24" i="67" l="1"/>
  <c r="N15" i="80"/>
  <c r="C62" i="67"/>
  <c r="N5" i="80"/>
  <c r="C59" i="67"/>
  <c r="C65" i="67" s="1"/>
  <c r="C57" i="67"/>
  <c r="C60" i="67"/>
  <c r="C66" i="67" s="1"/>
  <c r="F19" i="67"/>
  <c r="B46" i="67"/>
  <c r="B52" i="67" s="1"/>
  <c r="B51" i="67"/>
  <c r="O9" i="1"/>
  <c r="C40" i="67" s="1"/>
  <c r="C36" i="67"/>
  <c r="C68" i="67" s="1"/>
  <c r="R48" i="76"/>
  <c r="R51" i="76"/>
  <c r="C172" i="76"/>
  <c r="R11" i="76"/>
  <c r="R75" i="76"/>
  <c r="R27" i="76"/>
  <c r="R53" i="76"/>
  <c r="R47" i="76"/>
  <c r="C135" i="76"/>
  <c r="C158" i="76"/>
  <c r="C170" i="76"/>
  <c r="C163" i="76"/>
  <c r="C152" i="76"/>
  <c r="R71" i="76"/>
  <c r="C165" i="76"/>
  <c r="C148" i="76"/>
  <c r="C167" i="76"/>
  <c r="R5" i="76"/>
  <c r="R76" i="76"/>
  <c r="R42" i="76"/>
  <c r="R81" i="76"/>
  <c r="R28" i="76"/>
  <c r="R18" i="76"/>
  <c r="R80" i="76"/>
  <c r="R13" i="76"/>
  <c r="R40" i="76"/>
  <c r="R16" i="76"/>
  <c r="R89" i="76"/>
  <c r="R44" i="76"/>
  <c r="C156" i="76"/>
  <c r="R102" i="76"/>
  <c r="R34" i="76"/>
  <c r="R25" i="76"/>
  <c r="R35" i="76"/>
  <c r="R64" i="76"/>
  <c r="R77" i="76"/>
  <c r="C149" i="76"/>
  <c r="C157" i="76"/>
  <c r="R72" i="76"/>
  <c r="R38" i="76"/>
  <c r="R85" i="76"/>
  <c r="R74" i="76"/>
  <c r="R57" i="76"/>
  <c r="C140" i="76"/>
  <c r="C146" i="76"/>
  <c r="R96" i="76"/>
  <c r="R4" i="76"/>
  <c r="C138" i="76"/>
  <c r="C141" i="76"/>
  <c r="R24" i="76"/>
  <c r="R92" i="76"/>
  <c r="R36" i="76"/>
  <c r="C160" i="76"/>
  <c r="R83" i="76"/>
  <c r="R68" i="76"/>
  <c r="R7" i="76"/>
  <c r="C155" i="76"/>
  <c r="R37" i="76"/>
  <c r="R100" i="76"/>
  <c r="R10" i="76"/>
  <c r="R95" i="76"/>
  <c r="C134" i="76"/>
  <c r="R58" i="76"/>
  <c r="R69" i="76"/>
  <c r="R79" i="76"/>
  <c r="R46" i="76"/>
  <c r="C145" i="76"/>
  <c r="R29" i="76"/>
  <c r="R70" i="76"/>
  <c r="R45" i="76"/>
  <c r="C169" i="76"/>
  <c r="R73" i="76"/>
  <c r="R32" i="76"/>
  <c r="R93" i="76"/>
  <c r="C144" i="76"/>
  <c r="R61" i="76"/>
  <c r="R94" i="76"/>
  <c r="R15" i="76"/>
  <c r="R6" i="76"/>
  <c r="C168" i="76"/>
  <c r="C171" i="76"/>
  <c r="R21" i="76"/>
  <c r="R87" i="76"/>
  <c r="R91" i="76"/>
  <c r="R99" i="76"/>
  <c r="C162" i="76"/>
  <c r="R9" i="76"/>
  <c r="R98" i="76"/>
  <c r="R67" i="76"/>
  <c r="R14" i="76"/>
  <c r="R55" i="76"/>
  <c r="C161" i="76"/>
  <c r="C166" i="76"/>
  <c r="R50" i="76"/>
  <c r="R101" i="76"/>
  <c r="R66" i="76"/>
  <c r="R90" i="76"/>
  <c r="R33" i="76"/>
  <c r="R26" i="76"/>
  <c r="R86" i="76"/>
  <c r="C147" i="76"/>
  <c r="R60" i="76"/>
  <c r="R82" i="76"/>
  <c r="C142" i="76"/>
  <c r="C139" i="76"/>
  <c r="R59" i="76"/>
  <c r="R20" i="76"/>
  <c r="R39" i="76"/>
  <c r="R8" i="76"/>
  <c r="R17" i="76"/>
  <c r="R41" i="76"/>
  <c r="R23" i="76"/>
  <c r="C150" i="76"/>
  <c r="R30" i="76"/>
  <c r="R84" i="76"/>
  <c r="R22" i="76"/>
  <c r="R43" i="76"/>
  <c r="R56" i="76"/>
  <c r="R88" i="76"/>
  <c r="C154" i="76"/>
  <c r="R97" i="76"/>
  <c r="R52" i="76"/>
  <c r="R103" i="76"/>
  <c r="R62" i="76"/>
  <c r="R19" i="76"/>
  <c r="R65" i="76"/>
  <c r="C143" i="76"/>
  <c r="C136" i="76"/>
  <c r="C164" i="76"/>
  <c r="R54" i="76"/>
  <c r="C151" i="76"/>
  <c r="C153" i="76"/>
  <c r="R78" i="76"/>
  <c r="C137" i="76"/>
  <c r="C159" i="76"/>
  <c r="R31" i="76"/>
  <c r="C29" i="76"/>
  <c r="R49" i="76"/>
  <c r="C31" i="76"/>
  <c r="R12" i="76"/>
  <c r="C82" i="76"/>
  <c r="C88" i="76"/>
  <c r="C80" i="76"/>
  <c r="C100" i="76"/>
  <c r="C99" i="76"/>
  <c r="C85" i="76"/>
  <c r="C95" i="76"/>
  <c r="C94" i="76"/>
  <c r="C98" i="76"/>
  <c r="C54" i="76"/>
  <c r="C42" i="76"/>
  <c r="C53" i="76"/>
  <c r="C56" i="76"/>
  <c r="C43" i="76"/>
  <c r="C78" i="76"/>
  <c r="C97" i="76"/>
  <c r="C35" i="76"/>
  <c r="C79" i="76"/>
  <c r="C90" i="76"/>
  <c r="C57" i="76"/>
  <c r="C84" i="76"/>
  <c r="C74" i="76"/>
  <c r="C73" i="76"/>
  <c r="C96" i="76"/>
  <c r="C69" i="76"/>
  <c r="C87" i="76"/>
  <c r="C48" i="76"/>
  <c r="C44" i="76"/>
  <c r="C72" i="76"/>
  <c r="C62" i="76"/>
  <c r="C93" i="76"/>
  <c r="C39" i="76"/>
  <c r="C61" i="76"/>
  <c r="C81" i="76"/>
  <c r="C89" i="76"/>
  <c r="C92" i="76"/>
  <c r="C91" i="76"/>
  <c r="C86" i="76"/>
  <c r="O80" i="76"/>
  <c r="O49" i="76"/>
  <c r="O65" i="76"/>
  <c r="O64" i="76"/>
  <c r="O93" i="76"/>
  <c r="O33" i="76"/>
  <c r="C19" i="76"/>
  <c r="O12" i="76"/>
  <c r="C38" i="76"/>
  <c r="O82" i="76"/>
  <c r="C50" i="76"/>
  <c r="C52" i="76"/>
  <c r="O94" i="76"/>
  <c r="C49" i="76"/>
  <c r="O32" i="76"/>
  <c r="C37" i="76"/>
  <c r="C41" i="76"/>
  <c r="O90" i="76"/>
  <c r="C66" i="76"/>
  <c r="O46" i="76"/>
  <c r="C47" i="76"/>
  <c r="C58" i="76"/>
  <c r="C51" i="76"/>
  <c r="O79" i="76"/>
  <c r="C71" i="76"/>
  <c r="C67" i="76"/>
  <c r="C40" i="76"/>
  <c r="C34" i="76"/>
  <c r="O40" i="76"/>
  <c r="O17" i="76"/>
  <c r="C76" i="76"/>
  <c r="O24" i="76"/>
  <c r="C32" i="76"/>
  <c r="O18" i="76"/>
  <c r="C77" i="76"/>
  <c r="C55" i="76"/>
  <c r="C63" i="76"/>
  <c r="O7" i="76"/>
  <c r="C36" i="76"/>
  <c r="O28" i="76"/>
  <c r="C46" i="76"/>
  <c r="C45" i="76"/>
  <c r="C64" i="76"/>
  <c r="O38" i="76"/>
  <c r="O59" i="76"/>
  <c r="C68" i="76"/>
  <c r="O102" i="76"/>
  <c r="C75" i="76"/>
  <c r="C59" i="76"/>
  <c r="O71" i="76"/>
  <c r="O45" i="76"/>
  <c r="C30" i="76"/>
  <c r="O29" i="76"/>
  <c r="C60" i="76"/>
  <c r="C33" i="76"/>
  <c r="O27" i="76"/>
  <c r="O95" i="76"/>
  <c r="C70" i="76"/>
  <c r="C65" i="76"/>
  <c r="C17" i="76"/>
  <c r="C21" i="76"/>
  <c r="C28" i="76"/>
  <c r="C18" i="76"/>
  <c r="O100" i="76"/>
  <c r="O19" i="76"/>
  <c r="C23" i="76"/>
  <c r="C16" i="76"/>
  <c r="C20" i="76"/>
  <c r="O53" i="76"/>
  <c r="O34" i="76"/>
  <c r="O98" i="76"/>
  <c r="O5" i="76"/>
  <c r="C22" i="76"/>
  <c r="C26" i="76"/>
  <c r="C27" i="76"/>
  <c r="C25" i="76"/>
  <c r="O60" i="76"/>
  <c r="C24" i="76"/>
  <c r="O88" i="76"/>
  <c r="O15" i="76"/>
  <c r="O11" i="76"/>
  <c r="O20" i="76"/>
  <c r="O13" i="76"/>
  <c r="O48" i="76"/>
  <c r="O97" i="76"/>
  <c r="O103" i="76"/>
  <c r="O101" i="76"/>
  <c r="O31" i="76"/>
  <c r="O51" i="76"/>
  <c r="O85" i="76"/>
  <c r="O61" i="76"/>
  <c r="O91" i="76"/>
  <c r="O74" i="76"/>
  <c r="O83" i="76"/>
  <c r="O63" i="76"/>
  <c r="O36" i="76"/>
  <c r="O70" i="76"/>
  <c r="O41" i="76"/>
  <c r="O67" i="76"/>
  <c r="O4" i="76"/>
  <c r="O89" i="76"/>
  <c r="O69" i="76"/>
  <c r="O96" i="76"/>
  <c r="O35" i="76"/>
  <c r="O92" i="76"/>
  <c r="O86" i="76"/>
  <c r="O9" i="76"/>
  <c r="O44" i="76"/>
  <c r="O75" i="76"/>
  <c r="O42" i="76"/>
  <c r="O56" i="76"/>
  <c r="O76" i="76"/>
  <c r="O77" i="76"/>
  <c r="O54" i="76"/>
  <c r="O8" i="76"/>
  <c r="O55" i="76"/>
  <c r="O30" i="76"/>
  <c r="O37" i="76"/>
  <c r="O16" i="76"/>
  <c r="O6" i="76"/>
  <c r="O14" i="76"/>
  <c r="C11" i="76"/>
  <c r="C7" i="76"/>
  <c r="C9" i="76"/>
  <c r="C15" i="76"/>
  <c r="C8" i="76"/>
  <c r="C5" i="76"/>
  <c r="C14" i="76"/>
  <c r="C4" i="76"/>
  <c r="C13" i="76"/>
  <c r="C10" i="76"/>
  <c r="C6" i="76"/>
  <c r="C12" i="76"/>
  <c r="O22" i="76"/>
  <c r="O50" i="76"/>
  <c r="I95" i="76"/>
  <c r="I79" i="76"/>
  <c r="I63" i="76"/>
  <c r="I47" i="76"/>
  <c r="I27" i="76"/>
  <c r="I22" i="76"/>
  <c r="I4" i="76"/>
  <c r="I102" i="76"/>
  <c r="I77" i="76"/>
  <c r="I61" i="76"/>
  <c r="I98" i="76"/>
  <c r="I82" i="76"/>
  <c r="I66" i="76"/>
  <c r="I50" i="76"/>
  <c r="I89" i="76"/>
  <c r="I73" i="76"/>
  <c r="I57" i="76"/>
  <c r="I41" i="76"/>
  <c r="I33" i="76"/>
  <c r="I28" i="76"/>
  <c r="I23" i="76"/>
  <c r="I18" i="76"/>
  <c r="I5" i="76"/>
  <c r="I13" i="76"/>
  <c r="I96" i="76"/>
  <c r="I80" i="76"/>
  <c r="I64" i="76"/>
  <c r="I48" i="76"/>
  <c r="I103" i="76"/>
  <c r="I87" i="76"/>
  <c r="I71" i="76"/>
  <c r="I55" i="76"/>
  <c r="I39" i="76"/>
  <c r="I94" i="76"/>
  <c r="I78" i="76"/>
  <c r="I62" i="76"/>
  <c r="I46" i="76"/>
  <c r="I31" i="76"/>
  <c r="I26" i="76"/>
  <c r="I16" i="76"/>
  <c r="I21" i="76"/>
  <c r="I8" i="76"/>
  <c r="I14" i="76"/>
  <c r="I6" i="76"/>
  <c r="I36" i="76"/>
  <c r="I101" i="76"/>
  <c r="I85" i="76"/>
  <c r="I69" i="76"/>
  <c r="I53" i="76"/>
  <c r="I37" i="76"/>
  <c r="I35" i="76"/>
  <c r="I100" i="76"/>
  <c r="I30" i="76"/>
  <c r="I25" i="76"/>
  <c r="I7" i="76"/>
  <c r="I59" i="76"/>
  <c r="I92" i="76"/>
  <c r="I76" i="76"/>
  <c r="I60" i="76"/>
  <c r="I44" i="76"/>
  <c r="I11" i="76"/>
  <c r="I99" i="76"/>
  <c r="I83" i="76"/>
  <c r="I67" i="76"/>
  <c r="I51" i="76"/>
  <c r="I84" i="76"/>
  <c r="I43" i="76"/>
  <c r="I20" i="76"/>
  <c r="I10" i="76"/>
  <c r="I90" i="76"/>
  <c r="I74" i="76"/>
  <c r="I58" i="76"/>
  <c r="I42" i="76"/>
  <c r="I34" i="76"/>
  <c r="I29" i="76"/>
  <c r="I24" i="76"/>
  <c r="I19" i="76"/>
  <c r="I12" i="76"/>
  <c r="I68" i="76"/>
  <c r="I52" i="76"/>
  <c r="I91" i="76"/>
  <c r="I97" i="76"/>
  <c r="I81" i="76"/>
  <c r="I65" i="76"/>
  <c r="I49" i="76"/>
  <c r="I86" i="76"/>
  <c r="I38" i="76"/>
  <c r="I93" i="76"/>
  <c r="I45" i="76"/>
  <c r="I88" i="76"/>
  <c r="I72" i="76"/>
  <c r="I56" i="76"/>
  <c r="I40" i="76"/>
  <c r="I32" i="76"/>
  <c r="I17" i="76"/>
  <c r="I9" i="76"/>
  <c r="I70" i="76"/>
  <c r="I54" i="76"/>
  <c r="I15" i="76"/>
  <c r="I75" i="76"/>
  <c r="O58" i="76"/>
  <c r="O72" i="76"/>
  <c r="O73" i="76"/>
  <c r="O68" i="76"/>
  <c r="O25" i="76"/>
  <c r="O23" i="76"/>
  <c r="O81" i="76"/>
  <c r="O21" i="76"/>
  <c r="O26" i="76"/>
  <c r="O84" i="76"/>
  <c r="O62" i="76"/>
  <c r="O43" i="76"/>
  <c r="O87" i="76"/>
  <c r="O78" i="76"/>
  <c r="O52" i="76"/>
  <c r="O57" i="76"/>
  <c r="O99" i="76"/>
  <c r="O66" i="76"/>
  <c r="O47" i="76"/>
  <c r="O10" i="76"/>
  <c r="C19" i="64"/>
  <c r="C10" i="64"/>
  <c r="G30" i="16"/>
  <c r="G31" i="16" s="1"/>
  <c r="G32" i="16" s="1"/>
  <c r="AC34" i="16" s="1"/>
  <c r="C15" i="64"/>
  <c r="C18" i="64"/>
  <c r="C9" i="64"/>
  <c r="C12" i="64"/>
  <c r="C17" i="64"/>
  <c r="C11" i="64"/>
  <c r="C16" i="64"/>
  <c r="C13" i="64"/>
  <c r="C14" i="64"/>
  <c r="I11" i="64"/>
  <c r="I10" i="64"/>
  <c r="I72" i="64"/>
  <c r="I4" i="64"/>
  <c r="I83" i="64"/>
  <c r="I21" i="64"/>
  <c r="I27" i="64"/>
  <c r="I37" i="64"/>
  <c r="I65" i="64"/>
  <c r="I70" i="64"/>
  <c r="I78" i="64"/>
  <c r="I24" i="64"/>
  <c r="I36" i="64"/>
  <c r="I80" i="64"/>
  <c r="I63" i="64"/>
  <c r="I6" i="64"/>
  <c r="I16" i="64"/>
  <c r="I90" i="64"/>
  <c r="I74" i="64"/>
  <c r="I82" i="64"/>
  <c r="I17" i="64"/>
  <c r="I91" i="64"/>
  <c r="I89" i="64"/>
  <c r="I66" i="64"/>
  <c r="I23" i="64"/>
  <c r="I75" i="64"/>
  <c r="I14" i="64"/>
  <c r="I20" i="64"/>
  <c r="I57" i="64"/>
  <c r="I97" i="64"/>
  <c r="I71" i="64"/>
  <c r="I84" i="64"/>
  <c r="I9" i="64"/>
  <c r="I99" i="64"/>
  <c r="I77" i="64"/>
  <c r="I56" i="64"/>
  <c r="I31" i="64"/>
  <c r="I42" i="64"/>
  <c r="I5" i="64"/>
  <c r="I35" i="64"/>
  <c r="I69" i="64"/>
  <c r="I46" i="64"/>
  <c r="I62" i="64"/>
  <c r="I30" i="64"/>
  <c r="I40" i="64"/>
  <c r="I8" i="64"/>
  <c r="I12" i="64"/>
  <c r="I100" i="64"/>
  <c r="I44" i="64"/>
  <c r="I51" i="64"/>
  <c r="I86" i="64"/>
  <c r="I73" i="64"/>
  <c r="I49" i="64"/>
  <c r="O98" i="64"/>
  <c r="I34" i="64"/>
  <c r="I96" i="64"/>
  <c r="I76" i="64"/>
  <c r="I103" i="64"/>
  <c r="I60" i="64"/>
  <c r="I87" i="64"/>
  <c r="I92" i="64"/>
  <c r="I18" i="64"/>
  <c r="I81" i="64"/>
  <c r="I59" i="64"/>
  <c r="I19" i="64"/>
  <c r="I52" i="64"/>
  <c r="O10" i="64"/>
  <c r="I41" i="64"/>
  <c r="I64" i="64"/>
  <c r="O80" i="64"/>
  <c r="I47" i="64"/>
  <c r="I68" i="64"/>
  <c r="I79" i="64"/>
  <c r="O48" i="64"/>
  <c r="I39" i="64"/>
  <c r="I94" i="64"/>
  <c r="I7" i="64"/>
  <c r="I95" i="64"/>
  <c r="I67" i="64"/>
  <c r="I101" i="64"/>
  <c r="I61" i="64"/>
  <c r="I50" i="64"/>
  <c r="I54" i="64"/>
  <c r="I32" i="64"/>
  <c r="I45" i="64"/>
  <c r="I53" i="64"/>
  <c r="I98" i="64"/>
  <c r="I48" i="64"/>
  <c r="I43" i="64"/>
  <c r="I102" i="64"/>
  <c r="I15" i="64"/>
  <c r="I88" i="64"/>
  <c r="I58" i="64"/>
  <c r="I93" i="64"/>
  <c r="I38" i="64"/>
  <c r="I33" i="64"/>
  <c r="I13" i="64"/>
  <c r="I22" i="64"/>
  <c r="I26" i="64"/>
  <c r="I25" i="64"/>
  <c r="I28" i="64"/>
  <c r="I85" i="64"/>
  <c r="O31" i="64"/>
  <c r="I29" i="64"/>
  <c r="O21" i="64"/>
  <c r="I55" i="64"/>
  <c r="O38" i="64"/>
  <c r="O91" i="64"/>
  <c r="O82" i="64"/>
  <c r="O5" i="64"/>
  <c r="O60" i="64"/>
  <c r="O55" i="64"/>
  <c r="O85" i="64"/>
  <c r="O84" i="64"/>
  <c r="O78" i="64"/>
  <c r="O100" i="64"/>
  <c r="O29" i="64"/>
  <c r="O34" i="64"/>
  <c r="O66" i="64"/>
  <c r="O77" i="64"/>
  <c r="O17" i="64"/>
  <c r="O4" i="64"/>
  <c r="O9" i="64"/>
  <c r="O87" i="64"/>
  <c r="O40" i="64"/>
  <c r="O96" i="64"/>
  <c r="O24" i="64"/>
  <c r="O54" i="64"/>
  <c r="O90" i="64"/>
  <c r="O97" i="64"/>
  <c r="O76" i="64"/>
  <c r="C5" i="64"/>
  <c r="O14" i="64"/>
  <c r="O101" i="64"/>
  <c r="O75" i="64"/>
  <c r="O79" i="64"/>
  <c r="O59" i="64"/>
  <c r="O70" i="64"/>
  <c r="O23" i="64"/>
  <c r="O46" i="64"/>
  <c r="O50" i="64"/>
  <c r="O89" i="64"/>
  <c r="C7" i="64"/>
  <c r="O43" i="64"/>
  <c r="C6" i="64"/>
  <c r="O57" i="64"/>
  <c r="O88" i="64"/>
  <c r="O28" i="64"/>
  <c r="O62" i="64"/>
  <c r="O42" i="64"/>
  <c r="O30" i="64"/>
  <c r="O20" i="64"/>
  <c r="O94" i="64"/>
  <c r="O6" i="64"/>
  <c r="O53" i="64"/>
  <c r="O63" i="64"/>
  <c r="O15" i="64"/>
  <c r="O33" i="64"/>
  <c r="C8" i="64"/>
  <c r="O16" i="64"/>
  <c r="O13" i="64"/>
  <c r="O81" i="64"/>
  <c r="O45" i="64"/>
  <c r="O74" i="64"/>
  <c r="O27" i="64"/>
  <c r="O32" i="64"/>
  <c r="O103" i="64"/>
  <c r="O25" i="64"/>
  <c r="O92" i="64"/>
  <c r="O26" i="64"/>
  <c r="O7" i="64"/>
  <c r="O52" i="64"/>
  <c r="O64" i="64"/>
  <c r="O41" i="64"/>
  <c r="O19" i="64"/>
  <c r="O83" i="64"/>
  <c r="O68" i="64"/>
  <c r="O67" i="64"/>
  <c r="O36" i="64"/>
  <c r="O69" i="64"/>
  <c r="O22" i="64"/>
  <c r="O56" i="64"/>
  <c r="O72" i="64"/>
  <c r="C4" i="64"/>
  <c r="O47" i="64"/>
  <c r="O95" i="64"/>
  <c r="O102" i="64"/>
  <c r="O49" i="64"/>
  <c r="O8" i="64"/>
  <c r="O35" i="64"/>
  <c r="O37" i="64"/>
  <c r="O11" i="64"/>
  <c r="O51" i="64"/>
  <c r="O12" i="64"/>
  <c r="O99" i="64"/>
  <c r="O18" i="64"/>
  <c r="O65" i="64"/>
  <c r="O73" i="64"/>
  <c r="O61" i="64"/>
  <c r="O58" i="64"/>
  <c r="O39" i="64"/>
  <c r="O86" i="64"/>
  <c r="O93" i="64"/>
  <c r="O71" i="64"/>
  <c r="L100" i="64"/>
  <c r="L84" i="64"/>
  <c r="L68" i="64"/>
  <c r="L52" i="64"/>
  <c r="L36" i="64"/>
  <c r="L30" i="64"/>
  <c r="L20" i="64"/>
  <c r="L10" i="64"/>
  <c r="L91" i="64"/>
  <c r="L75" i="64"/>
  <c r="L59" i="64"/>
  <c r="L43" i="64"/>
  <c r="L98" i="64"/>
  <c r="L82" i="64"/>
  <c r="L66" i="64"/>
  <c r="L50" i="64"/>
  <c r="L92" i="64"/>
  <c r="L99" i="64"/>
  <c r="L90" i="64"/>
  <c r="L74" i="64"/>
  <c r="L58" i="64"/>
  <c r="L42" i="64"/>
  <c r="L34" i="64"/>
  <c r="L97" i="64"/>
  <c r="L81" i="64"/>
  <c r="L65" i="64"/>
  <c r="L49" i="64"/>
  <c r="L64" i="64"/>
  <c r="L17" i="64"/>
  <c r="L13" i="64"/>
  <c r="L5" i="64"/>
  <c r="L9" i="64"/>
  <c r="L103" i="64"/>
  <c r="L86" i="64"/>
  <c r="L21" i="64"/>
  <c r="L71" i="64"/>
  <c r="L39" i="64"/>
  <c r="L31" i="64"/>
  <c r="L69" i="64"/>
  <c r="L37" i="64"/>
  <c r="L23" i="64"/>
  <c r="L15" i="64"/>
  <c r="L11" i="64"/>
  <c r="L54" i="64"/>
  <c r="L33" i="64"/>
  <c r="L19" i="64"/>
  <c r="L7" i="64"/>
  <c r="L94" i="64"/>
  <c r="L80" i="64"/>
  <c r="L48" i="64"/>
  <c r="L18" i="64"/>
  <c r="L16" i="64"/>
  <c r="L14" i="64"/>
  <c r="L93" i="64"/>
  <c r="L85" i="64"/>
  <c r="L83" i="64"/>
  <c r="L55" i="64"/>
  <c r="L45" i="64"/>
  <c r="L38" i="64"/>
  <c r="L102" i="64"/>
  <c r="L41" i="64"/>
  <c r="L24" i="64"/>
  <c r="L44" i="64"/>
  <c r="L29" i="64"/>
  <c r="L26" i="64"/>
  <c r="L12" i="64"/>
  <c r="L76" i="64"/>
  <c r="L79" i="64"/>
  <c r="L72" i="64"/>
  <c r="L62" i="64"/>
  <c r="L27" i="64"/>
  <c r="L35" i="64"/>
  <c r="L8" i="64"/>
  <c r="L96" i="64"/>
  <c r="L40" i="64"/>
  <c r="L73" i="64"/>
  <c r="L63" i="64"/>
  <c r="L53" i="64"/>
  <c r="L89" i="64"/>
  <c r="L78" i="64"/>
  <c r="L61" i="64"/>
  <c r="L32" i="64"/>
  <c r="L51" i="64"/>
  <c r="L101" i="64"/>
  <c r="L67" i="64"/>
  <c r="L56" i="64"/>
  <c r="L46" i="64"/>
  <c r="L87" i="64"/>
  <c r="L25" i="64"/>
  <c r="L88" i="64"/>
  <c r="L57" i="64"/>
  <c r="L47" i="64"/>
  <c r="L70" i="64"/>
  <c r="L4" i="64"/>
  <c r="L77" i="64"/>
  <c r="L60" i="64"/>
  <c r="L28" i="64"/>
  <c r="L95" i="64"/>
  <c r="L6" i="64"/>
  <c r="L22" i="64"/>
  <c r="O6" i="1"/>
  <c r="A4" i="16"/>
  <c r="B4" i="16"/>
  <c r="D4" i="16"/>
  <c r="C58" i="67" l="1"/>
  <c r="C64" i="67" s="1"/>
  <c r="N12" i="80"/>
  <c r="F20" i="67"/>
  <c r="J8" i="80"/>
  <c r="F28" i="67"/>
  <c r="C63" i="67"/>
  <c r="C44" i="67"/>
  <c r="O10" i="1"/>
  <c r="C41" i="67" s="1"/>
  <c r="C37" i="67"/>
  <c r="U34" i="76"/>
  <c r="U34" i="64"/>
  <c r="F15" i="3"/>
  <c r="G5" i="16"/>
  <c r="Z34" i="16" s="1"/>
  <c r="G26" i="16"/>
  <c r="G25" i="16"/>
  <c r="C45" i="67" l="1"/>
  <c r="C51" i="67" s="1"/>
  <c r="J5" i="80"/>
  <c r="J15" i="80"/>
  <c r="F24" i="67"/>
  <c r="C48" i="67"/>
  <c r="C54" i="67" s="1"/>
  <c r="C50" i="67"/>
  <c r="C47" i="67"/>
  <c r="C53" i="67" s="1"/>
  <c r="G6" i="16"/>
  <c r="Y34" i="16" s="1"/>
  <c r="C46" i="67" l="1"/>
  <c r="C52" i="67" s="1"/>
  <c r="J12" i="80"/>
  <c r="C354" i="16"/>
  <c r="C353" i="16"/>
  <c r="C352" i="16"/>
  <c r="C351" i="16"/>
  <c r="G28" i="16" l="1"/>
  <c r="G13" i="16" a="1"/>
  <c r="G13" i="16" s="1"/>
  <c r="G9" i="16" a="1"/>
  <c r="G9" i="16" s="1"/>
  <c r="W34" i="16" l="1"/>
  <c r="P82" i="16"/>
  <c r="P73" i="16"/>
  <c r="P102" i="16"/>
  <c r="P101" i="16"/>
  <c r="P92" i="16"/>
  <c r="P6" i="16"/>
  <c r="P19" i="16"/>
  <c r="P5" i="16"/>
  <c r="P59" i="16"/>
  <c r="P35" i="16"/>
  <c r="P56" i="16"/>
  <c r="P83" i="16"/>
  <c r="P16" i="16"/>
  <c r="P74" i="16"/>
  <c r="P96" i="16"/>
  <c r="P94" i="16"/>
  <c r="P93" i="16"/>
  <c r="P64" i="16"/>
  <c r="P99" i="16"/>
  <c r="P75" i="16"/>
  <c r="P91" i="16"/>
  <c r="P49" i="16"/>
  <c r="P9" i="16"/>
  <c r="P11" i="16"/>
  <c r="P66" i="16"/>
  <c r="P88" i="16"/>
  <c r="P86" i="16"/>
  <c r="P85" i="16"/>
  <c r="P47" i="16"/>
  <c r="P80" i="16"/>
  <c r="P65" i="16"/>
  <c r="P84" i="16"/>
  <c r="P36" i="16"/>
  <c r="P21" i="16"/>
  <c r="P15" i="16"/>
  <c r="P67" i="16"/>
  <c r="P58" i="16"/>
  <c r="P103" i="16"/>
  <c r="P78" i="16"/>
  <c r="P77" i="16"/>
  <c r="P44" i="16"/>
  <c r="P68" i="16"/>
  <c r="P48" i="16"/>
  <c r="P55" i="16"/>
  <c r="P27" i="16"/>
  <c r="P72" i="16"/>
  <c r="P41" i="16"/>
  <c r="P63" i="16"/>
  <c r="P50" i="16"/>
  <c r="P95" i="16"/>
  <c r="P70" i="16"/>
  <c r="P69" i="16"/>
  <c r="P40" i="16"/>
  <c r="P51" i="16"/>
  <c r="P38" i="16"/>
  <c r="P52" i="16"/>
  <c r="P22" i="16"/>
  <c r="P57" i="16"/>
  <c r="P34" i="16"/>
  <c r="P30" i="16"/>
  <c r="P71" i="16"/>
  <c r="P10" i="16"/>
  <c r="P28" i="16"/>
  <c r="P8" i="16"/>
  <c r="P97" i="16"/>
  <c r="P87" i="16"/>
  <c r="P62" i="16"/>
  <c r="P61" i="16"/>
  <c r="P20" i="16"/>
  <c r="P39" i="16"/>
  <c r="P29" i="16"/>
  <c r="P37" i="16"/>
  <c r="P4" i="16"/>
  <c r="P42" i="16"/>
  <c r="P17" i="16"/>
  <c r="P13" i="16"/>
  <c r="P7" i="16"/>
  <c r="P90" i="16"/>
  <c r="P46" i="16"/>
  <c r="P18" i="16"/>
  <c r="P60" i="16"/>
  <c r="P76" i="16"/>
  <c r="P98" i="16"/>
  <c r="P89" i="16"/>
  <c r="P79" i="16"/>
  <c r="P54" i="16"/>
  <c r="P53" i="16"/>
  <c r="P14" i="16"/>
  <c r="P33" i="16"/>
  <c r="P23" i="16"/>
  <c r="P32" i="16"/>
  <c r="P43" i="16"/>
  <c r="P26" i="16"/>
  <c r="P25" i="16"/>
  <c r="P81" i="16"/>
  <c r="P45" i="16"/>
  <c r="P24" i="16"/>
  <c r="P31" i="16"/>
  <c r="P100" i="16"/>
  <c r="P12" i="16"/>
  <c r="J94" i="16"/>
  <c r="J68" i="16"/>
  <c r="J86" i="16"/>
  <c r="J39" i="16"/>
  <c r="J72" i="16"/>
  <c r="J43" i="16"/>
  <c r="J65" i="16"/>
  <c r="J34" i="16"/>
  <c r="J12" i="16"/>
  <c r="J91" i="16"/>
  <c r="J53" i="16"/>
  <c r="J25" i="16"/>
  <c r="J26" i="16"/>
  <c r="J20" i="16"/>
  <c r="J93" i="16"/>
  <c r="J87" i="16"/>
  <c r="J85" i="16"/>
  <c r="J5" i="16"/>
  <c r="J44" i="16"/>
  <c r="J54" i="16"/>
  <c r="J14" i="16"/>
  <c r="J30" i="16"/>
  <c r="J88" i="16"/>
  <c r="J8" i="16"/>
  <c r="J102" i="16"/>
  <c r="J38" i="16"/>
  <c r="J28" i="16"/>
  <c r="J48" i="16"/>
  <c r="J47" i="16"/>
  <c r="J37" i="16"/>
  <c r="J42" i="16"/>
  <c r="J52" i="16"/>
  <c r="J100" i="16"/>
  <c r="J19" i="16"/>
  <c r="J75" i="16"/>
  <c r="J84" i="16"/>
  <c r="J89" i="16"/>
  <c r="J70" i="16"/>
  <c r="J40" i="16"/>
  <c r="J99" i="16"/>
  <c r="J33" i="16"/>
  <c r="J10" i="16"/>
  <c r="J29" i="16"/>
  <c r="J79" i="16"/>
  <c r="J56" i="16"/>
  <c r="J6" i="16"/>
  <c r="J97" i="16"/>
  <c r="J63" i="16"/>
  <c r="J11" i="16"/>
  <c r="J66" i="16"/>
  <c r="J9" i="16"/>
  <c r="J23" i="16"/>
  <c r="J101" i="16"/>
  <c r="J77" i="16"/>
  <c r="J76" i="16"/>
  <c r="J17" i="16"/>
  <c r="J60" i="16"/>
  <c r="J82" i="16"/>
  <c r="J24" i="16"/>
  <c r="J57" i="16"/>
  <c r="J32" i="16"/>
  <c r="J46" i="16"/>
  <c r="J27" i="16"/>
  <c r="J15" i="16"/>
  <c r="J81" i="16"/>
  <c r="J95" i="16"/>
  <c r="J69" i="16"/>
  <c r="J31" i="16"/>
  <c r="J74" i="16"/>
  <c r="J78" i="16"/>
  <c r="J13" i="16"/>
  <c r="J90" i="16"/>
  <c r="J96" i="16"/>
  <c r="J103" i="16"/>
  <c r="J71" i="16"/>
  <c r="J73" i="16"/>
  <c r="J7" i="16"/>
  <c r="J62" i="16"/>
  <c r="J22" i="16"/>
  <c r="J58" i="16"/>
  <c r="J61" i="16"/>
  <c r="J41" i="16"/>
  <c r="J21" i="16"/>
  <c r="J4" i="16"/>
  <c r="J35" i="16"/>
  <c r="J80" i="16"/>
  <c r="J67" i="16"/>
  <c r="J51" i="16"/>
  <c r="J98" i="16"/>
  <c r="J36" i="16"/>
  <c r="J55" i="16"/>
  <c r="J92" i="16"/>
  <c r="J16" i="16"/>
  <c r="J49" i="16"/>
  <c r="J18" i="16"/>
  <c r="J45" i="16"/>
  <c r="J83" i="16"/>
  <c r="J50" i="16"/>
  <c r="J59" i="16"/>
  <c r="J64" i="16"/>
  <c r="AA34" i="16"/>
  <c r="S85" i="16"/>
  <c r="S12" i="16"/>
  <c r="S83" i="16"/>
  <c r="S73" i="16"/>
  <c r="S63" i="16"/>
  <c r="S16" i="16"/>
  <c r="S18" i="16"/>
  <c r="S38" i="16"/>
  <c r="S8" i="16"/>
  <c r="S94" i="16"/>
  <c r="S35" i="16"/>
  <c r="S60" i="16"/>
  <c r="S93" i="16"/>
  <c r="S89" i="16"/>
  <c r="S61" i="16"/>
  <c r="S66" i="16"/>
  <c r="S52" i="16"/>
  <c r="S62" i="16"/>
  <c r="S43" i="16"/>
  <c r="S51" i="16"/>
  <c r="S75" i="16"/>
  <c r="S5" i="16"/>
  <c r="S92" i="16"/>
  <c r="S17" i="16"/>
  <c r="S54" i="16"/>
  <c r="S47" i="16"/>
  <c r="S15" i="16"/>
  <c r="S102" i="16"/>
  <c r="S29" i="16"/>
  <c r="S68" i="16"/>
  <c r="S76" i="16"/>
  <c r="S100" i="16"/>
  <c r="S86" i="16"/>
  <c r="S24" i="16"/>
  <c r="S64" i="16"/>
  <c r="S9" i="16"/>
  <c r="S44" i="16"/>
  <c r="S58" i="16"/>
  <c r="S31" i="16"/>
  <c r="S25" i="16"/>
  <c r="S7" i="16"/>
  <c r="S67" i="16"/>
  <c r="S79" i="16"/>
  <c r="S103" i="16"/>
  <c r="S72" i="16"/>
  <c r="S87" i="16"/>
  <c r="S26" i="16"/>
  <c r="S96" i="16"/>
  <c r="S32" i="16"/>
  <c r="S28" i="16"/>
  <c r="S101" i="16"/>
  <c r="S71" i="16"/>
  <c r="S78" i="16"/>
  <c r="S36" i="16"/>
  <c r="S84" i="16"/>
  <c r="S34" i="16"/>
  <c r="S14" i="16"/>
  <c r="S50" i="16"/>
  <c r="S56" i="16"/>
  <c r="S69" i="16"/>
  <c r="S82" i="16"/>
  <c r="S42" i="16"/>
  <c r="S91" i="16"/>
  <c r="S77" i="16"/>
  <c r="S80" i="16"/>
  <c r="S99" i="16"/>
  <c r="S21" i="16"/>
  <c r="S81" i="16"/>
  <c r="S48" i="16"/>
  <c r="S20" i="16"/>
  <c r="S11" i="16"/>
  <c r="S19" i="16"/>
  <c r="S88" i="16"/>
  <c r="S22" i="16"/>
  <c r="S6" i="16"/>
  <c r="S23" i="16"/>
  <c r="S98" i="16"/>
  <c r="S59" i="16"/>
  <c r="S37" i="16"/>
  <c r="S13" i="16"/>
  <c r="S74" i="16"/>
  <c r="S4" i="16"/>
  <c r="S40" i="16"/>
  <c r="S30" i="16"/>
  <c r="S10" i="16"/>
  <c r="S27" i="16"/>
  <c r="S41" i="16"/>
  <c r="S70" i="16"/>
  <c r="S46" i="16"/>
  <c r="S90" i="16"/>
  <c r="S39" i="16"/>
  <c r="S33" i="16"/>
  <c r="S97" i="16"/>
  <c r="S49" i="16"/>
  <c r="S65" i="16"/>
  <c r="S53" i="16"/>
  <c r="S45" i="16"/>
  <c r="S57" i="16"/>
  <c r="S55" i="16"/>
  <c r="S95" i="16"/>
  <c r="M67" i="16"/>
  <c r="M80" i="16"/>
  <c r="M18" i="16"/>
  <c r="M71" i="16"/>
  <c r="M94" i="16"/>
  <c r="M57" i="16"/>
  <c r="M60" i="16"/>
  <c r="M100" i="16"/>
  <c r="M85" i="16"/>
  <c r="M91" i="16"/>
  <c r="M33" i="16"/>
  <c r="M40" i="16"/>
  <c r="M87" i="16"/>
  <c r="M48" i="16"/>
  <c r="M35" i="16"/>
  <c r="M78" i="16"/>
  <c r="M45" i="16"/>
  <c r="M11" i="16"/>
  <c r="M99" i="16"/>
  <c r="M21" i="16"/>
  <c r="M32" i="16"/>
  <c r="M22" i="16"/>
  <c r="M52" i="16"/>
  <c r="M24" i="16"/>
  <c r="M7" i="16"/>
  <c r="M65" i="16"/>
  <c r="M29" i="16"/>
  <c r="M89" i="16"/>
  <c r="M79" i="16"/>
  <c r="M93" i="16"/>
  <c r="M42" i="16"/>
  <c r="M9" i="16"/>
  <c r="M6" i="16"/>
  <c r="M49" i="16"/>
  <c r="M54" i="16"/>
  <c r="M43" i="16"/>
  <c r="M102" i="16"/>
  <c r="M34" i="16"/>
  <c r="M68" i="16"/>
  <c r="M38" i="16"/>
  <c r="M69" i="16"/>
  <c r="M88" i="16"/>
  <c r="M47" i="16"/>
  <c r="M41" i="16"/>
  <c r="M98" i="16"/>
  <c r="M53" i="16"/>
  <c r="M56" i="16"/>
  <c r="M50" i="16"/>
  <c r="M70" i="16"/>
  <c r="M15" i="16"/>
  <c r="M84" i="16"/>
  <c r="M10" i="16"/>
  <c r="M23" i="16"/>
  <c r="M19" i="16"/>
  <c r="M59" i="16"/>
  <c r="M74" i="16"/>
  <c r="M95" i="16"/>
  <c r="M86" i="16"/>
  <c r="M39" i="16"/>
  <c r="M83" i="16"/>
  <c r="M37" i="16"/>
  <c r="M27" i="16"/>
  <c r="M90" i="16"/>
  <c r="M8" i="16"/>
  <c r="M58" i="16"/>
  <c r="M92" i="16"/>
  <c r="M76" i="16"/>
  <c r="M4" i="16"/>
  <c r="M55" i="16"/>
  <c r="M12" i="16"/>
  <c r="M73" i="16"/>
  <c r="M61" i="16"/>
  <c r="M5" i="16"/>
  <c r="M97" i="16"/>
  <c r="M31" i="16"/>
  <c r="M66" i="16"/>
  <c r="M75" i="16"/>
  <c r="M81" i="16"/>
  <c r="M46" i="16"/>
  <c r="M96" i="16"/>
  <c r="M44" i="16"/>
  <c r="M26" i="16"/>
  <c r="M25" i="16"/>
  <c r="M72" i="16"/>
  <c r="M14" i="16"/>
  <c r="M51" i="16"/>
  <c r="M17" i="16"/>
  <c r="M64" i="16"/>
  <c r="M28" i="16"/>
  <c r="M77" i="16"/>
  <c r="M20" i="16"/>
  <c r="M30" i="16"/>
  <c r="M13" i="16"/>
  <c r="M62" i="16"/>
  <c r="M103" i="16"/>
  <c r="M36" i="16"/>
  <c r="M63" i="16"/>
  <c r="M101" i="16"/>
  <c r="M16" i="16"/>
  <c r="M82" i="16"/>
  <c r="G14" i="16" a="1"/>
  <c r="G14" i="16" s="1"/>
  <c r="G10" i="16" a="1"/>
  <c r="G10" i="16" s="1"/>
  <c r="G16" i="16" l="1"/>
  <c r="G21" i="16"/>
  <c r="O17" i="16" s="1"/>
  <c r="X34" i="16"/>
  <c r="G22" i="16"/>
  <c r="AB34" i="16"/>
  <c r="G17" i="16"/>
  <c r="R71" i="16" l="1"/>
  <c r="C323" i="16"/>
  <c r="C335" i="16"/>
  <c r="C278" i="16"/>
  <c r="C273" i="16"/>
  <c r="C300" i="16"/>
  <c r="C311" i="16"/>
  <c r="C304" i="16"/>
  <c r="C320" i="16"/>
  <c r="C292" i="16"/>
  <c r="C318" i="16"/>
  <c r="C348" i="16"/>
  <c r="C285" i="16"/>
  <c r="C333" i="16"/>
  <c r="C288" i="16"/>
  <c r="C340" i="16"/>
  <c r="C345" i="16"/>
  <c r="C331" i="16"/>
  <c r="C286" i="16"/>
  <c r="C350" i="16"/>
  <c r="C283" i="16"/>
  <c r="C344" i="16"/>
  <c r="C271" i="16"/>
  <c r="C275" i="16"/>
  <c r="C341" i="16"/>
  <c r="C314" i="16"/>
  <c r="C279" i="16"/>
  <c r="C303" i="16"/>
  <c r="C330" i="16"/>
  <c r="C336" i="16"/>
  <c r="C287" i="16"/>
  <c r="C338" i="16"/>
  <c r="C305" i="16"/>
  <c r="C327" i="16"/>
  <c r="C342" i="16"/>
  <c r="C272" i="16"/>
  <c r="C343" i="16"/>
  <c r="C293" i="16"/>
  <c r="C326" i="16"/>
  <c r="C306" i="16"/>
  <c r="C282" i="16"/>
  <c r="C313" i="16"/>
  <c r="C289" i="16"/>
  <c r="C301" i="16"/>
  <c r="C316" i="16"/>
  <c r="C312" i="16"/>
  <c r="C334" i="16"/>
  <c r="C280" i="16"/>
  <c r="C297" i="16"/>
  <c r="C349" i="16"/>
  <c r="C281" i="16"/>
  <c r="C302" i="16"/>
  <c r="C321" i="16"/>
  <c r="C276" i="16"/>
  <c r="C332" i="16"/>
  <c r="C308" i="16"/>
  <c r="C298" i="16"/>
  <c r="C274" i="16"/>
  <c r="C347" i="16"/>
  <c r="C346" i="16"/>
  <c r="C299" i="16"/>
  <c r="C324" i="16"/>
  <c r="C296" i="16"/>
  <c r="C325" i="16"/>
  <c r="C322" i="16"/>
  <c r="C315" i="16"/>
  <c r="C294" i="16"/>
  <c r="C337" i="16"/>
  <c r="C339" i="16"/>
  <c r="C317" i="16"/>
  <c r="C329" i="16"/>
  <c r="C295" i="16"/>
  <c r="C309" i="16"/>
  <c r="C277" i="16"/>
  <c r="C284" i="16"/>
  <c r="C307" i="16"/>
  <c r="C328" i="16"/>
  <c r="C291" i="16"/>
  <c r="C310" i="16"/>
  <c r="C290" i="16"/>
  <c r="C319" i="16"/>
  <c r="C175" i="16"/>
  <c r="R49" i="16"/>
  <c r="R53" i="16"/>
  <c r="C261" i="16"/>
  <c r="C239" i="16"/>
  <c r="C226" i="16"/>
  <c r="C236" i="16"/>
  <c r="R95" i="16"/>
  <c r="C178" i="16"/>
  <c r="R103" i="16"/>
  <c r="C211" i="16"/>
  <c r="C222" i="16"/>
  <c r="R38" i="16"/>
  <c r="R81" i="16"/>
  <c r="R14" i="16"/>
  <c r="C246" i="16"/>
  <c r="R31" i="16"/>
  <c r="C251" i="16"/>
  <c r="C179" i="16"/>
  <c r="C191" i="16"/>
  <c r="R96" i="16"/>
  <c r="C193" i="16"/>
  <c r="R36" i="16"/>
  <c r="C267" i="16"/>
  <c r="R77" i="16"/>
  <c r="R12" i="16"/>
  <c r="R101" i="16"/>
  <c r="C232" i="16"/>
  <c r="R89" i="16"/>
  <c r="R84" i="16"/>
  <c r="C210" i="16"/>
  <c r="C188" i="16"/>
  <c r="R41" i="16"/>
  <c r="R56" i="16"/>
  <c r="C199" i="16"/>
  <c r="C209" i="16"/>
  <c r="C189" i="16"/>
  <c r="R34" i="16"/>
  <c r="R86" i="16"/>
  <c r="C195" i="16"/>
  <c r="C190" i="16"/>
  <c r="C204" i="16"/>
  <c r="R88" i="16"/>
  <c r="R58" i="16"/>
  <c r="O53" i="16"/>
  <c r="O56" i="16"/>
  <c r="O71" i="16"/>
  <c r="O95" i="16"/>
  <c r="O50" i="16"/>
  <c r="C182" i="16"/>
  <c r="C180" i="16"/>
  <c r="R7" i="16"/>
  <c r="C201" i="16"/>
  <c r="C207" i="16"/>
  <c r="R45" i="16"/>
  <c r="C172" i="16"/>
  <c r="C245" i="16"/>
  <c r="R90" i="16"/>
  <c r="R66" i="16"/>
  <c r="C249" i="16"/>
  <c r="R102" i="16"/>
  <c r="R75" i="16"/>
  <c r="C212" i="16"/>
  <c r="C265" i="16"/>
  <c r="R44" i="16"/>
  <c r="C266" i="16"/>
  <c r="C260" i="16"/>
  <c r="R91" i="16"/>
  <c r="C219" i="16"/>
  <c r="R72" i="16"/>
  <c r="R15" i="16"/>
  <c r="C258" i="16"/>
  <c r="R67" i="16"/>
  <c r="R97" i="16"/>
  <c r="C270" i="16"/>
  <c r="C237" i="16"/>
  <c r="R73" i="16"/>
  <c r="C231" i="16"/>
  <c r="C263" i="16"/>
  <c r="R23" i="16"/>
  <c r="C253" i="16"/>
  <c r="C173" i="16"/>
  <c r="R27" i="16"/>
  <c r="R40" i="16"/>
  <c r="C215" i="16"/>
  <c r="R6" i="16"/>
  <c r="R69" i="16"/>
  <c r="C234" i="16"/>
  <c r="C213" i="16"/>
  <c r="R11" i="16"/>
  <c r="C248" i="16"/>
  <c r="C184" i="16"/>
  <c r="R94" i="16"/>
  <c r="C225" i="16"/>
  <c r="R65" i="16"/>
  <c r="R39" i="16"/>
  <c r="C170" i="16"/>
  <c r="C205" i="16"/>
  <c r="R25" i="16"/>
  <c r="C192" i="16"/>
  <c r="C196" i="16"/>
  <c r="R85" i="16"/>
  <c r="C166" i="16"/>
  <c r="C233" i="16"/>
  <c r="R47" i="16"/>
  <c r="R61" i="16"/>
  <c r="C202" i="16"/>
  <c r="R18" i="16"/>
  <c r="R80" i="16"/>
  <c r="C171" i="16"/>
  <c r="C181" i="16"/>
  <c r="R22" i="16"/>
  <c r="C185" i="16"/>
  <c r="C174" i="16"/>
  <c r="R70" i="16"/>
  <c r="C244" i="16"/>
  <c r="C214" i="16"/>
  <c r="R52" i="16"/>
  <c r="R92" i="16"/>
  <c r="C242" i="16"/>
  <c r="R54" i="16"/>
  <c r="R29" i="16"/>
  <c r="C238" i="16"/>
  <c r="C256" i="16"/>
  <c r="R35" i="16"/>
  <c r="C221" i="16"/>
  <c r="C268" i="16"/>
  <c r="R60" i="16"/>
  <c r="C252" i="16"/>
  <c r="R64" i="16"/>
  <c r="R50" i="16"/>
  <c r="C227" i="16"/>
  <c r="R79" i="16"/>
  <c r="R55" i="16"/>
  <c r="C247" i="16"/>
  <c r="C255" i="16"/>
  <c r="R93" i="16"/>
  <c r="C250" i="16"/>
  <c r="C257" i="16"/>
  <c r="R20" i="16"/>
  <c r="C241" i="16"/>
  <c r="C168" i="16"/>
  <c r="R46" i="16"/>
  <c r="R37" i="16"/>
  <c r="C216" i="16"/>
  <c r="R19" i="16"/>
  <c r="R99" i="16"/>
  <c r="C235" i="16"/>
  <c r="C228" i="16"/>
  <c r="R26" i="16"/>
  <c r="C177" i="16"/>
  <c r="C229" i="16"/>
  <c r="R8" i="16"/>
  <c r="R76" i="16"/>
  <c r="C223" i="16"/>
  <c r="R82" i="16"/>
  <c r="R32" i="16"/>
  <c r="C203" i="16"/>
  <c r="R57" i="16"/>
  <c r="C206" i="16"/>
  <c r="C183" i="16"/>
  <c r="C164" i="16"/>
  <c r="R62" i="16"/>
  <c r="C194" i="16"/>
  <c r="C269" i="16"/>
  <c r="R78" i="16"/>
  <c r="R13" i="16"/>
  <c r="C224" i="16"/>
  <c r="R33" i="16"/>
  <c r="R10" i="16"/>
  <c r="C169" i="16"/>
  <c r="R9" i="16"/>
  <c r="R42" i="16"/>
  <c r="C240" i="16"/>
  <c r="C243" i="16"/>
  <c r="R43" i="16"/>
  <c r="C264" i="16"/>
  <c r="C200" i="16"/>
  <c r="R30" i="16"/>
  <c r="R98" i="16"/>
  <c r="C217" i="16"/>
  <c r="R51" i="16"/>
  <c r="C220" i="16"/>
  <c r="C167" i="16"/>
  <c r="R59" i="16"/>
  <c r="C262" i="16"/>
  <c r="R4" i="16"/>
  <c r="C259" i="16"/>
  <c r="R87" i="16"/>
  <c r="R16" i="16"/>
  <c r="C198" i="16"/>
  <c r="C186" i="16"/>
  <c r="R83" i="16"/>
  <c r="C165" i="16"/>
  <c r="C254" i="16"/>
  <c r="R17" i="16"/>
  <c r="R48" i="16"/>
  <c r="R21" i="16"/>
  <c r="C187" i="16"/>
  <c r="R63" i="16"/>
  <c r="R28" i="16"/>
  <c r="C208" i="16"/>
  <c r="R68" i="16"/>
  <c r="R100" i="16"/>
  <c r="C218" i="16"/>
  <c r="R24" i="16"/>
  <c r="O49" i="16"/>
  <c r="O37" i="16"/>
  <c r="O5" i="16"/>
  <c r="I12" i="16"/>
  <c r="I56" i="16"/>
  <c r="I45" i="16"/>
  <c r="I83" i="16"/>
  <c r="I92" i="16"/>
  <c r="I22" i="16"/>
  <c r="I103" i="16"/>
  <c r="I25" i="16"/>
  <c r="I5" i="16"/>
  <c r="I62" i="16"/>
  <c r="I39" i="16"/>
  <c r="I9" i="16"/>
  <c r="C64" i="16"/>
  <c r="C44" i="16"/>
  <c r="C95" i="16"/>
  <c r="C43" i="16"/>
  <c r="C36" i="16"/>
  <c r="C57" i="16"/>
  <c r="C45" i="16"/>
  <c r="C33" i="16"/>
  <c r="C87" i="16"/>
  <c r="C52" i="16"/>
  <c r="I89" i="16"/>
  <c r="I7" i="16"/>
  <c r="I66" i="16"/>
  <c r="I70" i="16"/>
  <c r="I48" i="16"/>
  <c r="I69" i="16"/>
  <c r="I17" i="16"/>
  <c r="I59" i="16"/>
  <c r="I37" i="16"/>
  <c r="I86" i="16"/>
  <c r="I76" i="16"/>
  <c r="I40" i="16"/>
  <c r="C55" i="16"/>
  <c r="C66" i="16"/>
  <c r="C76" i="16"/>
  <c r="C4" i="16"/>
  <c r="C58" i="16"/>
  <c r="C65" i="16"/>
  <c r="C59" i="16"/>
  <c r="C99" i="16"/>
  <c r="C69" i="16"/>
  <c r="I38" i="16"/>
  <c r="I11" i="16"/>
  <c r="I73" i="16"/>
  <c r="I30" i="16"/>
  <c r="I14" i="16"/>
  <c r="I47" i="16"/>
  <c r="I93" i="16"/>
  <c r="I15" i="16"/>
  <c r="I68" i="16"/>
  <c r="I36" i="16"/>
  <c r="I85" i="16"/>
  <c r="I8" i="16"/>
  <c r="I100" i="16"/>
  <c r="C60" i="16"/>
  <c r="C93" i="16"/>
  <c r="C48" i="16"/>
  <c r="C75" i="16"/>
  <c r="C81" i="16"/>
  <c r="C41" i="16"/>
  <c r="C40" i="16"/>
  <c r="C96" i="16"/>
  <c r="C83" i="16"/>
  <c r="I16" i="16"/>
  <c r="I55" i="16"/>
  <c r="I96" i="16"/>
  <c r="I79" i="16"/>
  <c r="I84" i="16"/>
  <c r="I41" i="16"/>
  <c r="I57" i="16"/>
  <c r="I63" i="16"/>
  <c r="I99" i="16"/>
  <c r="I43" i="16"/>
  <c r="I18" i="16"/>
  <c r="I94" i="16"/>
  <c r="I27" i="16"/>
  <c r="C71" i="16"/>
  <c r="C88" i="16"/>
  <c r="C73" i="16"/>
  <c r="C31" i="16"/>
  <c r="C61" i="16"/>
  <c r="C67" i="16"/>
  <c r="C86" i="16"/>
  <c r="C28" i="16"/>
  <c r="C51" i="16"/>
  <c r="I49" i="16"/>
  <c r="I28" i="16"/>
  <c r="I60" i="16"/>
  <c r="I32" i="16"/>
  <c r="I26" i="16"/>
  <c r="I23" i="16"/>
  <c r="I81" i="16"/>
  <c r="I53" i="16"/>
  <c r="I88" i="16"/>
  <c r="I19" i="16"/>
  <c r="I67" i="16"/>
  <c r="I98" i="16"/>
  <c r="I33" i="16"/>
  <c r="C46" i="16"/>
  <c r="C80" i="16"/>
  <c r="C97" i="16"/>
  <c r="C62" i="16"/>
  <c r="C70" i="16"/>
  <c r="C91" i="16"/>
  <c r="C92" i="16"/>
  <c r="C50" i="16"/>
  <c r="C32" i="16"/>
  <c r="I71" i="16"/>
  <c r="I65" i="16"/>
  <c r="I52" i="16"/>
  <c r="I101" i="16"/>
  <c r="I20" i="16"/>
  <c r="I46" i="16"/>
  <c r="I77" i="16"/>
  <c r="I6" i="16"/>
  <c r="I24" i="16"/>
  <c r="I50" i="16"/>
  <c r="I31" i="16"/>
  <c r="I29" i="16"/>
  <c r="I91" i="16"/>
  <c r="C37" i="16"/>
  <c r="C94" i="16"/>
  <c r="C100" i="16"/>
  <c r="C68" i="16"/>
  <c r="C54" i="16"/>
  <c r="C72" i="16"/>
  <c r="C39" i="16"/>
  <c r="C56" i="16"/>
  <c r="C49" i="16"/>
  <c r="I61" i="16"/>
  <c r="I78" i="16"/>
  <c r="I51" i="16"/>
  <c r="I74" i="16"/>
  <c r="I75" i="16"/>
  <c r="I97" i="16"/>
  <c r="I90" i="16"/>
  <c r="I13" i="16"/>
  <c r="I58" i="16"/>
  <c r="I4" i="16"/>
  <c r="I72" i="16"/>
  <c r="I34" i="16"/>
  <c r="C35" i="16"/>
  <c r="C34" i="16"/>
  <c r="C53" i="16"/>
  <c r="C47" i="16"/>
  <c r="C90" i="16"/>
  <c r="C78" i="16"/>
  <c r="C74" i="16"/>
  <c r="C77" i="16"/>
  <c r="C84" i="16"/>
  <c r="C42" i="16"/>
  <c r="I64" i="16"/>
  <c r="I80" i="16"/>
  <c r="I21" i="16"/>
  <c r="I10" i="16"/>
  <c r="I54" i="16"/>
  <c r="I102" i="16"/>
  <c r="I44" i="16"/>
  <c r="I35" i="16"/>
  <c r="I42" i="16"/>
  <c r="I95" i="16"/>
  <c r="I82" i="16"/>
  <c r="I87" i="16"/>
  <c r="C98" i="16"/>
  <c r="C38" i="16"/>
  <c r="C82" i="16"/>
  <c r="C29" i="16"/>
  <c r="C79" i="16"/>
  <c r="C89" i="16"/>
  <c r="C63" i="16"/>
  <c r="C30" i="16"/>
  <c r="C101" i="16"/>
  <c r="C85" i="16"/>
  <c r="C21" i="16"/>
  <c r="O77" i="16"/>
  <c r="O94" i="16"/>
  <c r="O40" i="16"/>
  <c r="O46" i="16"/>
  <c r="C25" i="16"/>
  <c r="O30" i="16"/>
  <c r="C18" i="16"/>
  <c r="O48" i="16"/>
  <c r="C26" i="16"/>
  <c r="O76" i="16"/>
  <c r="C12" i="16"/>
  <c r="O64" i="16"/>
  <c r="C20" i="16"/>
  <c r="O82" i="16"/>
  <c r="O101" i="16"/>
  <c r="C11" i="16"/>
  <c r="C14" i="16"/>
  <c r="C10" i="16"/>
  <c r="O39" i="16"/>
  <c r="C15" i="16"/>
  <c r="C9" i="16"/>
  <c r="O19" i="16"/>
  <c r="C23" i="16"/>
  <c r="C13" i="16"/>
  <c r="O42" i="16"/>
  <c r="O103" i="16"/>
  <c r="O35" i="16"/>
  <c r="O7" i="16"/>
  <c r="O4" i="16"/>
  <c r="O16" i="16"/>
  <c r="O59" i="16"/>
  <c r="O78" i="16"/>
  <c r="O97" i="16"/>
  <c r="O89" i="16"/>
  <c r="O11" i="16"/>
  <c r="O75" i="16"/>
  <c r="O10" i="16"/>
  <c r="O62" i="16"/>
  <c r="O58" i="16"/>
  <c r="O9" i="16"/>
  <c r="O61" i="16"/>
  <c r="O23" i="16"/>
  <c r="O33" i="16"/>
  <c r="C7" i="16"/>
  <c r="C22" i="16"/>
  <c r="C16" i="16"/>
  <c r="C24" i="16"/>
  <c r="O6" i="16"/>
  <c r="O27" i="16"/>
  <c r="O29" i="16"/>
  <c r="C19" i="16"/>
  <c r="O69" i="16"/>
  <c r="O100" i="16"/>
  <c r="O15" i="16"/>
  <c r="C197" i="16"/>
  <c r="C176" i="16"/>
  <c r="R74" i="16"/>
  <c r="O102" i="16"/>
  <c r="O28" i="16"/>
  <c r="O68" i="16"/>
  <c r="O55" i="16"/>
  <c r="O44" i="16"/>
  <c r="O32" i="16"/>
  <c r="O8" i="16"/>
  <c r="O86" i="16"/>
  <c r="O25" i="16"/>
  <c r="O87" i="16"/>
  <c r="O80" i="16"/>
  <c r="O73" i="16"/>
  <c r="O20" i="16"/>
  <c r="O14" i="16"/>
  <c r="O92" i="16"/>
  <c r="O51" i="16"/>
  <c r="L69" i="16"/>
  <c r="L23" i="16"/>
  <c r="L4" i="16"/>
  <c r="L79" i="16"/>
  <c r="L6" i="16"/>
  <c r="L81" i="16"/>
  <c r="L90" i="16"/>
  <c r="L67" i="16"/>
  <c r="L9" i="16"/>
  <c r="L97" i="16"/>
  <c r="L96" i="16"/>
  <c r="L85" i="16"/>
  <c r="L56" i="16"/>
  <c r="C152" i="16"/>
  <c r="C142" i="16"/>
  <c r="C110" i="16"/>
  <c r="C145" i="16"/>
  <c r="C150" i="16"/>
  <c r="C146" i="16"/>
  <c r="C115" i="16"/>
  <c r="L46" i="16"/>
  <c r="L65" i="16"/>
  <c r="L80" i="16"/>
  <c r="L71" i="16"/>
  <c r="L103" i="16"/>
  <c r="L31" i="16"/>
  <c r="L13" i="16"/>
  <c r="L14" i="16"/>
  <c r="L73" i="16"/>
  <c r="L44" i="16"/>
  <c r="L40" i="16"/>
  <c r="L39" i="16"/>
  <c r="C131" i="16"/>
  <c r="C148" i="16"/>
  <c r="C141" i="16"/>
  <c r="C149" i="16"/>
  <c r="C106" i="16"/>
  <c r="C156" i="16"/>
  <c r="C125" i="16"/>
  <c r="C140" i="16"/>
  <c r="L75" i="16"/>
  <c r="L18" i="16"/>
  <c r="L20" i="16"/>
  <c r="L45" i="16"/>
  <c r="L33" i="16"/>
  <c r="L36" i="16"/>
  <c r="L22" i="16"/>
  <c r="L82" i="16"/>
  <c r="L7" i="16"/>
  <c r="L12" i="16"/>
  <c r="L101" i="16"/>
  <c r="L61" i="16"/>
  <c r="C102" i="16"/>
  <c r="C105" i="16"/>
  <c r="C126" i="16"/>
  <c r="C117" i="16"/>
  <c r="C155" i="16"/>
  <c r="C103" i="16"/>
  <c r="C135" i="16"/>
  <c r="C161" i="16"/>
  <c r="L5" i="16"/>
  <c r="L99" i="16"/>
  <c r="L93" i="16"/>
  <c r="L50" i="16"/>
  <c r="L53" i="16"/>
  <c r="L76" i="16"/>
  <c r="L87" i="16"/>
  <c r="L34" i="16"/>
  <c r="L32" i="16"/>
  <c r="L57" i="16"/>
  <c r="L26" i="16"/>
  <c r="L47" i="16"/>
  <c r="C108" i="16"/>
  <c r="C120" i="16"/>
  <c r="C132" i="16"/>
  <c r="C144" i="16"/>
  <c r="C136" i="16"/>
  <c r="C118" i="16"/>
  <c r="C151" i="16"/>
  <c r="C124" i="16"/>
  <c r="L60" i="16"/>
  <c r="L28" i="16"/>
  <c r="L78" i="16"/>
  <c r="L42" i="16"/>
  <c r="L35" i="16"/>
  <c r="L95" i="16"/>
  <c r="L10" i="16"/>
  <c r="L102" i="16"/>
  <c r="L83" i="16"/>
  <c r="L29" i="16"/>
  <c r="L94" i="16"/>
  <c r="L59" i="16"/>
  <c r="C130" i="16"/>
  <c r="C112" i="16"/>
  <c r="C154" i="16"/>
  <c r="C159" i="16"/>
  <c r="C127" i="16"/>
  <c r="C116" i="16"/>
  <c r="C133" i="16"/>
  <c r="C162" i="16"/>
  <c r="L16" i="16"/>
  <c r="L66" i="16"/>
  <c r="L24" i="16"/>
  <c r="L27" i="16"/>
  <c r="L86" i="16"/>
  <c r="L70" i="16"/>
  <c r="L52" i="16"/>
  <c r="L64" i="16"/>
  <c r="L38" i="16"/>
  <c r="L19" i="16"/>
  <c r="L91" i="16"/>
  <c r="L17" i="16"/>
  <c r="L74" i="16"/>
  <c r="C153" i="16"/>
  <c r="C111" i="16"/>
  <c r="C143" i="16"/>
  <c r="C121" i="16"/>
  <c r="C109" i="16"/>
  <c r="C158" i="16"/>
  <c r="C147" i="16"/>
  <c r="C128" i="16"/>
  <c r="L30" i="16"/>
  <c r="L92" i="16"/>
  <c r="L51" i="16"/>
  <c r="L98" i="16"/>
  <c r="L89" i="16"/>
  <c r="L72" i="16"/>
  <c r="L49" i="16"/>
  <c r="L58" i="16"/>
  <c r="L55" i="16"/>
  <c r="L100" i="16"/>
  <c r="L54" i="16"/>
  <c r="L48" i="16"/>
  <c r="L25" i="16"/>
  <c r="C157" i="16"/>
  <c r="C107" i="16"/>
  <c r="C129" i="16"/>
  <c r="C113" i="16"/>
  <c r="C123" i="16"/>
  <c r="C160" i="16"/>
  <c r="C138" i="16"/>
  <c r="C119" i="16"/>
  <c r="L84" i="16"/>
  <c r="L8" i="16"/>
  <c r="L41" i="16"/>
  <c r="L11" i="16"/>
  <c r="L15" i="16"/>
  <c r="L63" i="16"/>
  <c r="L68" i="16"/>
  <c r="L77" i="16"/>
  <c r="L43" i="16"/>
  <c r="L21" i="16"/>
  <c r="L37" i="16"/>
  <c r="L88" i="16"/>
  <c r="L62" i="16"/>
  <c r="C163" i="16"/>
  <c r="C134" i="16"/>
  <c r="C122" i="16"/>
  <c r="C139" i="16"/>
  <c r="C104" i="16"/>
  <c r="C114" i="16"/>
  <c r="C137" i="16"/>
  <c r="O70" i="16"/>
  <c r="C17" i="16"/>
  <c r="O90" i="16"/>
  <c r="C27" i="16"/>
  <c r="C6" i="16"/>
  <c r="O81" i="16"/>
  <c r="O26" i="16"/>
  <c r="O65" i="16"/>
  <c r="O47" i="16"/>
  <c r="O13" i="16"/>
  <c r="O38" i="16"/>
  <c r="O83" i="16"/>
  <c r="O12" i="16"/>
  <c r="O34" i="16"/>
  <c r="O67" i="16"/>
  <c r="O31" i="16"/>
  <c r="O98" i="16"/>
  <c r="O21" i="16"/>
  <c r="O99" i="16"/>
  <c r="O24" i="16"/>
  <c r="O57" i="16"/>
  <c r="O88" i="16"/>
  <c r="O60" i="16"/>
  <c r="O45" i="16"/>
  <c r="O74" i="16"/>
  <c r="O96" i="16"/>
  <c r="C8" i="16"/>
  <c r="C5" i="16"/>
  <c r="C230" i="16"/>
  <c r="R5" i="16"/>
  <c r="O36" i="16"/>
  <c r="O22" i="16"/>
  <c r="O52" i="16"/>
  <c r="O72" i="16"/>
  <c r="O66" i="16"/>
  <c r="O79" i="16"/>
  <c r="O63" i="16"/>
  <c r="O91" i="16"/>
  <c r="O93" i="16"/>
  <c r="O41" i="16"/>
  <c r="O84" i="16"/>
  <c r="O43" i="16"/>
  <c r="O18" i="16"/>
  <c r="O85" i="16"/>
  <c r="O54" i="16"/>
  <c r="U34" i="1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tc={02C1A877-2FC5-4DAB-9FE1-C0965CFE203E}</author>
    <author>tc={170C91B2-D880-4D03-8787-559C82B60C33}</author>
  </authors>
  <commentList>
    <comment ref="G19" authorId="0" shapeId="0" xr:uid="{02C1A877-2FC5-4DAB-9FE1-C0965CFE203E}">
      <text>
        <t>[Threaded comment]
Your version of Excel allows you to read this threaded comment; however, any edits to it will get removed if the file is opened in a newer version of Excel. Learn more: https://go.microsoft.com/fwlink/?linkid=870924
Comment:
    Default 0.05</t>
      </text>
    </comment>
    <comment ref="G20" authorId="1" shapeId="0" xr:uid="{170C91B2-D880-4D03-8787-559C82B60C33}">
      <text>
        <t>[Threaded comment]
Your version of Excel allows you to read this threaded comment; however, any edits to it will get removed if the file is opened in a newer version of Excel. Learn more: https://go.microsoft.com/fwlink/?linkid=870924
Comment:
    Default 0.2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tc={F21D8311-FE19-409F-95BA-82A21FC5EEDE}</author>
    <author>tc={AB873CAA-763D-43CF-A1A4-28B028F20BDE}</author>
  </authors>
  <commentList>
    <comment ref="G19" authorId="0" shapeId="0" xr:uid="{F21D8311-FE19-409F-95BA-82A21FC5EEDE}">
      <text>
        <t>[Threaded comment]
Your version of Excel allows you to read this threaded comment; however, any edits to it will get removed if the file is opened in a newer version of Excel. Learn more: https://go.microsoft.com/fwlink/?linkid=870924
Comment:
    Default 0.05</t>
      </text>
    </comment>
    <comment ref="G20" authorId="1" shapeId="0" xr:uid="{AB873CAA-763D-43CF-A1A4-28B028F20BDE}">
      <text>
        <t>[Threaded comment]
Your version of Excel allows you to read this threaded comment; however, any edits to it will get removed if the file is opened in a newer version of Excel. Learn more: https://go.microsoft.com/fwlink/?linkid=870924
Comment:
    Default 0.2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tc={63AEECDB-C046-4516-974E-533411165E55}</author>
    <author>tc={7B5CB482-35CC-4D2D-9A25-BD7B294630E5}</author>
  </authors>
  <commentList>
    <comment ref="G19" authorId="0" shapeId="0" xr:uid="{63AEECDB-C046-4516-974E-533411165E55}">
      <text>
        <t>[Threaded comment]
Your version of Excel allows you to read this threaded comment; however, any edits to it will get removed if the file is opened in a newer version of Excel. Learn more: https://go.microsoft.com/fwlink/?linkid=870924
Comment:
    Default 0.05</t>
      </text>
    </comment>
    <comment ref="G20" authorId="1" shapeId="0" xr:uid="{7B5CB482-35CC-4D2D-9A25-BD7B294630E5}">
      <text>
        <t>[Threaded comment]
Your version of Excel allows you to read this threaded comment; however, any edits to it will get removed if the file is opened in a newer version of Excel. Learn more: https://go.microsoft.com/fwlink/?linkid=870924
Comment:
    Default 0.2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C5E3C92-398C-4AAB-A6E7-1F3B287948E1}" keepAlive="1" name="Query - polar1" description="Connection to the 'polar1' query in the workbook." type="5" refreshedVersion="0" background="1">
    <dbPr connection="Provider=Microsoft.Mashup.OleDb.1;Data Source=$Workbook$;Location=polar1;Extended Properties=&quot;&quot;" command="SELECT * FROM [polar1]"/>
  </connection>
  <connection id="2" xr16:uid="{9E5A1FB6-A777-468C-892E-1F3F27DC182F}" keepAlive="1" name="Query - polar1 (2)" description="Connection to the 'polar1 (2)' query in the workbook." type="5" refreshedVersion="8" background="1" saveData="1">
    <dbPr connection="Provider=Microsoft.Mashup.OleDb.1;Data Source=$Workbook$;Location=&quot;polar1 (2)&quot;;Extended Properties=&quot;&quot;" command="SELECT * FROM [polar1 (2)]"/>
  </connection>
  <connection id="3" xr16:uid="{C8CD1BA6-E5FB-4821-8495-4B6928E4EE02}" keepAlive="1" name="Query - polar1 (3)" description="Connection to the 'polar1 (3)' query in the workbook." type="5" refreshedVersion="8" background="1" saveData="1">
    <dbPr connection="Provider=Microsoft.Mashup.OleDb.1;Data Source=$Workbook$;Location=&quot;polar1 (3)&quot;;Extended Properties=&quot;&quot;" command="SELECT * FROM [polar1 (3)]"/>
  </connection>
  <connection id="4" xr16:uid="{A472F2AE-CB8F-401E-853A-80A6064250C5}" keepAlive="1" name="Query - polar2" description="Connection to the 'polar2' query in the workbook." type="5" refreshedVersion="0" background="1">
    <dbPr connection="Provider=Microsoft.Mashup.OleDb.1;Data Source=$Workbook$;Location=polar2;Extended Properties=&quot;&quot;" command="SELECT * FROM [polar2]"/>
  </connection>
  <connection id="5" xr16:uid="{10DF458A-AD70-4FEF-8F30-910393736949}" keepAlive="1" name="Query - polar2 (2)" description="Connection to the 'polar2 (2)' query in the workbook." type="5" refreshedVersion="8" background="1" saveData="1">
    <dbPr connection="Provider=Microsoft.Mashup.OleDb.1;Data Source=$Workbook$;Location=&quot;polar2 (2)&quot;;Extended Properties=&quot;&quot;" command="SELECT * FROM [polar2 (2)]"/>
  </connection>
  <connection id="6" xr16:uid="{FD472BE8-7A84-4CDC-B9DE-1D506748D0D4}" keepAlive="1" name="Query - polar2 (3)" description="Connection to the 'polar2 (3)' query in the workbook." type="5" refreshedVersion="8" background="1" saveData="1">
    <dbPr connection="Provider=Microsoft.Mashup.OleDb.1;Data Source=$Workbook$;Location=&quot;polar2 (3)&quot;;Extended Properties=&quot;&quot;" command="SELECT * FROM [polar2 (3)]"/>
  </connection>
  <connection id="7" xr16:uid="{9B301BED-B2F3-44C8-92F3-D12B90E4EDFF}" keepAlive="1" name="Query - polar3" description="Connection to the 'polar3' query in the workbook." type="5" refreshedVersion="8" background="1" saveData="1">
    <dbPr connection="Provider=Microsoft.Mashup.OleDb.1;Data Source=$Workbook$;Location=polar3;Extended Properties=&quot;&quot;" command="SELECT * FROM [polar3]"/>
  </connection>
  <connection id="8" xr16:uid="{C250AF62-6947-4FCF-8094-2D05B2DE4ECB}" keepAlive="1" name="Query - polar4" description="Connection to the 'polar4' query in the workbook." type="5" refreshedVersion="0" background="1">
    <dbPr connection="Provider=Microsoft.Mashup.OleDb.1;Data Source=$Workbook$;Location=polar4;Extended Properties=&quot;&quot;" command="SELECT * FROM [polar4]"/>
  </connection>
  <connection id="9" xr16:uid="{4F3F48E2-C544-48BF-9FA4-8F2AF80E763A}" keepAlive="1" name="Query - polar4 (2)" description="Connection to the 'polar4 (2)' query in the workbook." type="5" refreshedVersion="8" background="1" saveData="1">
    <dbPr connection="Provider=Microsoft.Mashup.OleDb.1;Data Source=$Workbook$;Location=&quot;polar4 (2)&quot;;Extended Properties=&quot;&quot;" command="SELECT * FROM [polar4 (2)]"/>
  </connection>
  <connection id="10" xr16:uid="{99EB155E-4409-4FC5-B9C2-8E1763CF11FC}" keepAlive="1" name="Query - polar4 (3)" description="Connection to the 'polar4 (3)' query in the workbook." type="5" refreshedVersion="8" background="1" saveData="1">
    <dbPr connection="Provider=Microsoft.Mashup.OleDb.1;Data Source=$Workbook$;Location=&quot;polar4 (3)&quot;;Extended Properties=&quot;&quot;" command="SELECT * FROM [polar4 (3)]"/>
  </connection>
  <connection id="11" xr16:uid="{9F8B97A9-DDB6-4DFA-AD38-A55FECD7C655}" keepAlive="1" name="Query - polar5" description="Connection to the 'polar5' query in the workbook." type="5" refreshedVersion="8" background="1" saveData="1">
    <dbPr connection="Provider=Microsoft.Mashup.OleDb.1;Data Source=$Workbook$;Location=polar5;Extended Properties=&quot;&quot;" command="SELECT * FROM [polar5]"/>
  </connection>
  <connection id="12" xr16:uid="{15736E8B-E36B-4835-A67E-7224D7BCCC39}" keepAlive="1" name="Query - polar6" description="Connection to the 'polar6' query in the workbook." type="5" refreshedVersion="8" background="1" saveData="1">
    <dbPr connection="Provider=Microsoft.Mashup.OleDb.1;Data Source=$Workbook$;Location=polar6;Extended Properties=&quot;&quot;" command="SELECT * FROM [polar6]"/>
  </connection>
  <connection id="13" xr16:uid="{2DF1FE9C-CAD9-4D90-8ED8-283686B88C77}" keepAlive="1" name="Query - polar7" description="Connection to the 'polar7' query in the workbook." type="5" refreshedVersion="8" background="1" saveData="1">
    <dbPr connection="Provider=Microsoft.Mashup.OleDb.1;Data Source=$Workbook$;Location=polar7;Extended Properties=&quot;&quot;" command="SELECT * FROM [polar7]"/>
  </connection>
  <connection id="14" xr16:uid="{656B54B5-00E5-4943-B1FA-0FF36544001A}" keepAlive="1" name="Query - polar8" description="Connection to the 'polar8' query in the workbook." type="5" refreshedVersion="0" background="1">
    <dbPr connection="Provider=Microsoft.Mashup.OleDb.1;Data Source=$Workbook$;Location=polar8;Extended Properties=&quot;&quot;" command="SELECT * FROM [polar8]"/>
  </connection>
  <connection id="15" xr16:uid="{AA8CF9C6-8EB7-42E3-8247-FBE65957050B}" keepAlive="1" name="Query - polar8 (2)" description="Connection to the 'polar8 (2)' query in the workbook." type="5" refreshedVersion="8" background="1" saveData="1">
    <dbPr connection="Provider=Microsoft.Mashup.OleDb.1;Data Source=$Workbook$;Location=&quot;polar8 (2)&quot;;Extended Properties=&quot;&quot;" command="SELECT * FROM [polar8 (2)]"/>
  </connection>
  <connection id="16" xr16:uid="{B6B93A7C-7995-4577-AEB1-57E700C9196C}" keepAlive="1" name="Query - polar8 (3)" description="Connection to the 'polar8 (3)' query in the workbook." type="5" refreshedVersion="8" background="1" saveData="1">
    <dbPr connection="Provider=Microsoft.Mashup.OleDb.1;Data Source=$Workbook$;Location=&quot;polar8 (3)&quot;;Extended Properties=&quot;&quot;" command="SELECT * FROM [polar8 (3)]"/>
  </connection>
  <connection id="17" xr16:uid="{7FF76113-36E3-4F95-8E84-5068422B01BE}" keepAlive="1" name="Query - T1_Re1 000_M0 84_N5 0_XtrTop 5%_XtrBot 5%" description="Connection to the 'T1_Re1 000_M0 84_N5 0_XtrTop 5%_XtrBot 5%' query in the workbook." type="5" refreshedVersion="8" background="1" saveData="1">
    <dbPr connection="Provider=Microsoft.Mashup.OleDb.1;Data Source=$Workbook$;Location=&quot;T1_Re1 000_M0 84_N5 0_XtrTop 5%_XtrBot 5%&quot;;Extended Properties=&quot;&quot;" command="SELECT * FROM [T1_Re1 000_M0 84_N5 0_XtrTop 5%_XtrBot 5%]"/>
  </connection>
  <connection id="18" xr16:uid="{3A4A6657-B876-4721-8B72-DDCA811EECBB}" keepAlive="1" name="Query - T1_Re10 000_M0 84_N5 0_XtrTop 5%_XtrBot 5%" description="Connection to the 'T1_Re10 000_M0 84_N5 0_XtrTop 5%_XtrBot 5%' query in the workbook." type="5" refreshedVersion="8" background="1" saveData="1">
    <dbPr connection="Provider=Microsoft.Mashup.OleDb.1;Data Source=$Workbook$;Location=&quot;T1_Re10 000_M0 84_N5 0_XtrTop 5%_XtrBot 5%&quot;;Extended Properties=&quot;&quot;" command="SELECT * FROM [T1_Re10 000_M0 84_N5 0_XtrTop 5%_XtrBot 5%]"/>
  </connection>
  <connection id="19" xr16:uid="{4901DA0D-FFE9-4B2A-8154-527332BAAF23}" keepAlive="1" name="Query - T1_Re100 000_M0 84_N5 0_XtrTop 5%_XtrBot 5%" description="Connection to the 'T1_Re100 000_M0 84_N5 0_XtrTop 5%_XtrBot 5%' query in the workbook." type="5" refreshedVersion="8" background="1" saveData="1">
    <dbPr connection="Provider=Microsoft.Mashup.OleDb.1;Data Source=$Workbook$;Location=&quot;T1_Re100 000_M0 84_N5 0_XtrTop 5%_XtrBot 5%&quot;;Extended Properties=&quot;&quot;" command="SELECT * FROM [T1_Re100 000_M0 84_N5 0_XtrTop 5%_XtrBot 5%]"/>
  </connection>
  <connection id="20" xr16:uid="{929D20B8-6AD5-47C2-BDC0-E9A9D14C67DA}" keepAlive="1" name="Query - T1_Re120 000_M0 84_N5 0_XtrTop 5%_XtrBot 5%" description="Connection to the 'T1_Re120 000_M0 84_N5 0_XtrTop 5%_XtrBot 5%' query in the workbook." type="5" refreshedVersion="8" background="1" saveData="1">
    <dbPr connection="Provider=Microsoft.Mashup.OleDb.1;Data Source=$Workbook$;Location=&quot;T1_Re120 000_M0 84_N5 0_XtrTop 5%_XtrBot 5%&quot;;Extended Properties=&quot;&quot;" command="SELECT * FROM [T1_Re120 000_M0 84_N5 0_XtrTop 5%_XtrBot 5%]"/>
  </connection>
  <connection id="21" xr16:uid="{00CA6ED8-B30F-4094-915E-2647C2BACB65}" keepAlive="1" name="Query - T1_Re160 000_M0 84_N5 0_XtrTop 5%_XtrBot 5%" description="Connection to the 'T1_Re160 000_M0 84_N5 0_XtrTop 5%_XtrBot 5%' query in the workbook." type="5" refreshedVersion="8" background="1" saveData="1">
    <dbPr connection="Provider=Microsoft.Mashup.OleDb.1;Data Source=$Workbook$;Location=&quot;T1_Re160 000_M0 84_N5 0_XtrTop 5%_XtrBot 5%&quot;;Extended Properties=&quot;&quot;" command="SELECT * FROM [T1_Re160 000_M0 84_N5 0_XtrTop 5%_XtrBot 5%]"/>
  </connection>
  <connection id="22" xr16:uid="{BB0B73FD-A325-4163-9DE3-55B6DD3C8EBA}" keepAlive="1" name="Query - T1_Re2 000_M0 84_N5 0_XtrTop 5%_XtrBot 5%" description="Connection to the 'T1_Re2 000_M0 84_N5 0_XtrTop 5%_XtrBot 5%' query in the workbook." type="5" refreshedVersion="8" background="1" saveData="1">
    <dbPr connection="Provider=Microsoft.Mashup.OleDb.1;Data Source=$Workbook$;Location=&quot;T1_Re2 000_M0 84_N5 0_XtrTop 5%_XtrBot 5%&quot;;Extended Properties=&quot;&quot;" command="SELECT * FROM [T1_Re2 000_M0 84_N5 0_XtrTop 5%_XtrBot 5%]"/>
  </connection>
  <connection id="23" xr16:uid="{8C7BB580-6A51-448C-846A-DAB6DC3BBD13}" keepAlive="1" name="Query - T1_Re20 000_M0 84_N5 0_XtrTop 5%_XtrBot 5%" description="Connection to the 'T1_Re20 000_M0 84_N5 0_XtrTop 5%_XtrBot 5%' query in the workbook." type="5" refreshedVersion="8" background="1" saveData="1">
    <dbPr connection="Provider=Microsoft.Mashup.OleDb.1;Data Source=$Workbook$;Location=&quot;T1_Re20 000_M0 84_N5 0_XtrTop 5%_XtrBot 5%&quot;;Extended Properties=&quot;&quot;" command="SELECT * FROM [T1_Re20 000_M0 84_N5 0_XtrTop 5%_XtrBot 5%]"/>
  </connection>
  <connection id="24" xr16:uid="{2A2FEF2A-CDAB-4651-9D14-7E1AB0ACC9AB}" keepAlive="1" name="Query - T1_Re200 000_M0 84_N5 0_XtrTop 5%_XtrBot 5%" description="Connection to the 'T1_Re200 000_M0 84_N5 0_XtrTop 5%_XtrBot 5%' query in the workbook." type="5" refreshedVersion="8" background="1" saveData="1">
    <dbPr connection="Provider=Microsoft.Mashup.OleDb.1;Data Source=$Workbook$;Location=&quot;T1_Re200 000_M0 84_N5 0_XtrTop 5%_XtrBot 5%&quot;;Extended Properties=&quot;&quot;" command="SELECT * FROM [T1_Re200 000_M0 84_N5 0_XtrTop 5%_XtrBot 5%]"/>
  </connection>
  <connection id="25" xr16:uid="{D72AE403-B6A2-4B2E-B3C2-9422E116EF2F}" keepAlive="1" name="Query - T1_Re3 000_M0 84_N5 0_XtrTop 5%_XtrBot 5%" description="Connection to the 'T1_Re3 000_M0 84_N5 0_XtrTop 5%_XtrBot 5%' query in the workbook." type="5" refreshedVersion="8" background="1" saveData="1">
    <dbPr connection="Provider=Microsoft.Mashup.OleDb.1;Data Source=$Workbook$;Location=&quot;T1_Re3 000_M0 84_N5 0_XtrTop 5%_XtrBot 5%&quot;;Extended Properties=&quot;&quot;" command="SELECT * FROM [T1_Re3 000_M0 84_N5 0_XtrTop 5%_XtrBot 5%]"/>
  </connection>
  <connection id="26" xr16:uid="{F540F914-236B-4ED9-9A0B-52F9CE8829FB}" keepAlive="1" name="Query - T1_Re40 000_M0 84_N5 0_XtrTop 5%_XtrBot 5%" description="Connection to the 'T1_Re40 000_M0 84_N5 0_XtrTop 5%_XtrBot 5%' query in the workbook." type="5" refreshedVersion="8" background="1" saveData="1">
    <dbPr connection="Provider=Microsoft.Mashup.OleDb.1;Data Source=$Workbook$;Location=&quot;T1_Re40 000_M0 84_N5 0_XtrTop 5%_XtrBot 5%&quot;;Extended Properties=&quot;&quot;" command="SELECT * FROM [T1_Re40 000_M0 84_N5 0_XtrTop 5%_XtrBot 5%]"/>
  </connection>
  <connection id="27" xr16:uid="{A8219EBB-B5AE-45F9-A61F-99EB0ACEBD1E}" keepAlive="1" name="Query - T1_Re5 000_M0 84_N5 0_XtrTop 5%_XtrBot 5%" description="Connection to the 'T1_Re5 000_M0 84_N5 0_XtrTop 5%_XtrBot 5%' query in the workbook." type="5" refreshedVersion="8" background="1" saveData="1">
    <dbPr connection="Provider=Microsoft.Mashup.OleDb.1;Data Source=$Workbook$;Location=&quot;T1_Re5 000_M0 84_N5 0_XtrTop 5%_XtrBot 5%&quot;;Extended Properties=&quot;&quot;" command="SELECT * FROM [T1_Re5 000_M0 84_N5 0_XtrTop 5%_XtrBot 5%]"/>
  </connection>
  <connection id="28" xr16:uid="{6649800A-C1A3-4710-A7CC-1CBF00A13511}" keepAlive="1" name="Query - T1_Re5 000_M0 84_N5 0_XtrTop 5%_XtrBot 5% (2)" description="Connection to the 'T1_Re5 000_M0 84_N5 0_XtrTop 5%_XtrBot 5% (2)' query in the workbook." type="5" refreshedVersion="8" background="1" saveData="1">
    <dbPr connection="Provider=Microsoft.Mashup.OleDb.1;Data Source=$Workbook$;Location=&quot;T1_Re5 000_M0 84_N5 0_XtrTop 5%_XtrBot 5% (2)&quot;;Extended Properties=&quot;&quot;" command="SELECT * FROM [T1_Re5 000_M0 84_N5 0_XtrTop 5%_XtrBot 5% (2)]"/>
  </connection>
  <connection id="29" xr16:uid="{4196E9B2-87A3-4541-AB37-C066A5202AF3}" keepAlive="1" name="Query - T1_Re60 000_M0 84_N5 0_XtrTop 5%_XtrBot 5%" description="Connection to the 'T1_Re60 000_M0 84_N5 0_XtrTop 5%_XtrBot 5%' query in the workbook." type="5" refreshedVersion="8" background="1" saveData="1">
    <dbPr connection="Provider=Microsoft.Mashup.OleDb.1;Data Source=$Workbook$;Location=&quot;T1_Re60 000_M0 84_N5 0_XtrTop 5%_XtrBot 5%&quot;;Extended Properties=&quot;&quot;" command="SELECT * FROM [T1_Re60 000_M0 84_N5 0_XtrTop 5%_XtrBot 5%]"/>
  </connection>
  <connection id="30" xr16:uid="{F26E6A9C-8816-4E19-9CE4-5BC57AC51D23}" keepAlive="1" name="Query - T1_Re80 000_M0 84_N5 0_XtrTop 5%_XtrBot 5%" description="Connection to the 'T1_Re80 000_M0 84_N5 0_XtrTop 5%_XtrBot 5%' query in the workbook." type="5" refreshedVersion="8" background="1" saveData="1">
    <dbPr connection="Provider=Microsoft.Mashup.OleDb.1;Data Source=$Workbook$;Location=&quot;T1_Re80 000_M0 84_N5 0_XtrTop 5%_XtrBot 5%&quot;;Extended Properties=&quot;&quot;" command="SELECT * FROM [T1_Re80 000_M0 84_N5 0_XtrTop 5%_XtrBot 5%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<sst xmlns="http://schemas.openxmlformats.org/spreadsheetml/2006/main" count="1300" uniqueCount="347">
  <si>
    <t>alpha</t>
  </si>
  <si>
    <t>CL</t>
  </si>
  <si>
    <t>CD</t>
  </si>
  <si>
    <t>CDp</t>
  </si>
  <si>
    <t>Cm</t>
  </si>
  <si>
    <t>Cpmin</t>
  </si>
  <si>
    <t>Chinge</t>
  </si>
  <si>
    <t>XCp</t>
  </si>
  <si>
    <t>Top Xtr</t>
  </si>
  <si>
    <t>Bot Xtr</t>
  </si>
  <si>
    <t>Column11</t>
  </si>
  <si>
    <t>Column12</t>
  </si>
  <si>
    <t>Name:</t>
  </si>
  <si>
    <t>Cdmin</t>
  </si>
  <si>
    <t>Clmin</t>
  </si>
  <si>
    <t>k1</t>
  </si>
  <si>
    <t>k3</t>
  </si>
  <si>
    <t>Cl1</t>
  </si>
  <si>
    <t>Cd1</t>
  </si>
  <si>
    <t>Cl3</t>
  </si>
  <si>
    <t>Cd3</t>
  </si>
  <si>
    <t>a1</t>
  </si>
  <si>
    <t>a3</t>
  </si>
  <si>
    <t>Cdcutoff</t>
  </si>
  <si>
    <t>Region 1-2</t>
  </si>
  <si>
    <t>Region 2-3</t>
  </si>
  <si>
    <t>Cdinc</t>
  </si>
  <si>
    <t>Clinc</t>
  </si>
  <si>
    <t>Cdx1</t>
  </si>
  <si>
    <t>Cdx3</t>
  </si>
  <si>
    <t>ClFac</t>
  </si>
  <si>
    <t>Region 1 stall</t>
  </si>
  <si>
    <t>Region 3 stall</t>
  </si>
  <si>
    <t>Clmax</t>
  </si>
  <si>
    <t>CL1</t>
  </si>
  <si>
    <t>CD1</t>
  </si>
  <si>
    <t>CL2</t>
  </si>
  <si>
    <t>CL3</t>
  </si>
  <si>
    <t>CD2</t>
  </si>
  <si>
    <t>CL4</t>
  </si>
  <si>
    <t>Cdfit</t>
  </si>
  <si>
    <t>Cd</t>
  </si>
  <si>
    <t>Cl</t>
  </si>
  <si>
    <t>R^2</t>
  </si>
  <si>
    <t>Num</t>
  </si>
  <si>
    <t>Re</t>
  </si>
  <si>
    <t>CLAF</t>
  </si>
  <si>
    <t>CD3</t>
  </si>
  <si>
    <t>Variable</t>
  </si>
  <si>
    <t>Quantity</t>
  </si>
  <si>
    <t>Unit</t>
  </si>
  <si>
    <t>Lower</t>
  </si>
  <si>
    <t>Equality</t>
  </si>
  <si>
    <t>Upper</t>
  </si>
  <si>
    <t>Wing Area</t>
  </si>
  <si>
    <t>m^2</t>
  </si>
  <si>
    <t>Taper Ratio</t>
  </si>
  <si>
    <t>Wingspan</t>
  </si>
  <si>
    <t>m</t>
  </si>
  <si>
    <t>Root Chord</t>
  </si>
  <si>
    <t>Tip Chord</t>
  </si>
  <si>
    <t>Wing Variables</t>
  </si>
  <si>
    <t>Design Variables</t>
  </si>
  <si>
    <t>Geometry Visualization</t>
  </si>
  <si>
    <t>Point</t>
  </si>
  <si>
    <t>X</t>
  </si>
  <si>
    <t>Y</t>
  </si>
  <si>
    <t>Constants</t>
  </si>
  <si>
    <t>Mass</t>
  </si>
  <si>
    <t>kg</t>
  </si>
  <si>
    <t>Density</t>
  </si>
  <si>
    <t>kg/m^3</t>
  </si>
  <si>
    <t>Gravity</t>
  </si>
  <si>
    <t>m/s^2</t>
  </si>
  <si>
    <t>m/s</t>
  </si>
  <si>
    <t>Header</t>
  </si>
  <si>
    <t>Wing</t>
  </si>
  <si>
    <t>Section 1</t>
  </si>
  <si>
    <t>Section 2</t>
  </si>
  <si>
    <t>Sref</t>
  </si>
  <si>
    <t>Cref</t>
  </si>
  <si>
    <t>Bref</t>
  </si>
  <si>
    <t>Xle</t>
  </si>
  <si>
    <t>Yle</t>
  </si>
  <si>
    <t>Zle</t>
  </si>
  <si>
    <t>chord</t>
  </si>
  <si>
    <t>Chord</t>
  </si>
  <si>
    <t>Angle</t>
  </si>
  <si>
    <t>deg</t>
  </si>
  <si>
    <t>Pa*s</t>
  </si>
  <si>
    <t>x^2</t>
  </si>
  <si>
    <t>x^1</t>
  </si>
  <si>
    <t>x^0</t>
  </si>
  <si>
    <t>---------------------------------------------------------------</t>
  </si>
  <si>
    <t>Vortex</t>
  </si>
  <si>
    <t>Lattice</t>
  </si>
  <si>
    <t>Output</t>
  </si>
  <si>
    <t>--</t>
  </si>
  <si>
    <t>Total</t>
  </si>
  <si>
    <t>Forces</t>
  </si>
  <si>
    <t>Configuration:</t>
  </si>
  <si>
    <t>#</t>
  </si>
  <si>
    <t>Surfaces</t>
  </si>
  <si>
    <t>=</t>
  </si>
  <si>
    <t>Strips</t>
  </si>
  <si>
    <t>Vortices</t>
  </si>
  <si>
    <t>Xref</t>
  </si>
  <si>
    <t>Yref</t>
  </si>
  <si>
    <t>Zref</t>
  </si>
  <si>
    <t>Standard</t>
  </si>
  <si>
    <t>axis</t>
  </si>
  <si>
    <t>orientation,</t>
  </si>
  <si>
    <t>fwd,</t>
  </si>
  <si>
    <t>Z</t>
  </si>
  <si>
    <t>down</t>
  </si>
  <si>
    <t>Run</t>
  </si>
  <si>
    <t>case:</t>
  </si>
  <si>
    <t>-unnamed-</t>
  </si>
  <si>
    <t>Alpha</t>
  </si>
  <si>
    <t>pb/2V</t>
  </si>
  <si>
    <t>p'b/2V</t>
  </si>
  <si>
    <t>Beta</t>
  </si>
  <si>
    <t>qc/2V</t>
  </si>
  <si>
    <t>Mach</t>
  </si>
  <si>
    <t>rb/2V</t>
  </si>
  <si>
    <t>r'b/2V</t>
  </si>
  <si>
    <t>CXtot</t>
  </si>
  <si>
    <t>Cltot</t>
  </si>
  <si>
    <t>Cl'tot</t>
  </si>
  <si>
    <t>CYtot</t>
  </si>
  <si>
    <t>Cmtot</t>
  </si>
  <si>
    <t>CZtot</t>
  </si>
  <si>
    <t>Cntot</t>
  </si>
  <si>
    <t>Cn'tot</t>
  </si>
  <si>
    <t>CLtot</t>
  </si>
  <si>
    <t>CDtot</t>
  </si>
  <si>
    <t>CDvis</t>
  </si>
  <si>
    <t>CDind</t>
  </si>
  <si>
    <t>CLff</t>
  </si>
  <si>
    <t>CDff</t>
  </si>
  <si>
    <t>|</t>
  </si>
  <si>
    <t>Trefftz</t>
  </si>
  <si>
    <t>CYff</t>
  </si>
  <si>
    <t>e</t>
  </si>
  <si>
    <t>Plane</t>
  </si>
  <si>
    <t>Stability-axis</t>
  </si>
  <si>
    <t>derivatives...</t>
  </si>
  <si>
    <t>beta</t>
  </si>
  <si>
    <t>----------------</t>
  </si>
  <si>
    <t>z'</t>
  </si>
  <si>
    <t>force</t>
  </si>
  <si>
    <t>CLa</t>
  </si>
  <si>
    <t>CLb</t>
  </si>
  <si>
    <t>y</t>
  </si>
  <si>
    <t>CY</t>
  </si>
  <si>
    <t>CYa</t>
  </si>
  <si>
    <t>CYb</t>
  </si>
  <si>
    <t>x'</t>
  </si>
  <si>
    <t>mom.</t>
  </si>
  <si>
    <t>Cl'|</t>
  </si>
  <si>
    <t>Cla</t>
  </si>
  <si>
    <t>Clb</t>
  </si>
  <si>
    <t>Cma</t>
  </si>
  <si>
    <t>Cmb</t>
  </si>
  <si>
    <t>Cn'|</t>
  </si>
  <si>
    <t>Cna</t>
  </si>
  <si>
    <t>Cnb</t>
  </si>
  <si>
    <t>roll</t>
  </si>
  <si>
    <t>rate</t>
  </si>
  <si>
    <t>p'</t>
  </si>
  <si>
    <t>pitch</t>
  </si>
  <si>
    <t>q'</t>
  </si>
  <si>
    <t>yaw</t>
  </si>
  <si>
    <t>r'</t>
  </si>
  <si>
    <t>CLp</t>
  </si>
  <si>
    <t>CLq</t>
  </si>
  <si>
    <t>CLr</t>
  </si>
  <si>
    <t>CYp</t>
  </si>
  <si>
    <t>CYq</t>
  </si>
  <si>
    <t>CYr</t>
  </si>
  <si>
    <t>Clp</t>
  </si>
  <si>
    <t>Clq</t>
  </si>
  <si>
    <t>Clr</t>
  </si>
  <si>
    <t>Cmp</t>
  </si>
  <si>
    <t>Cmq</t>
  </si>
  <si>
    <t>Cmr</t>
  </si>
  <si>
    <t>Cnp</t>
  </si>
  <si>
    <t>Cnq</t>
  </si>
  <si>
    <t>Cnr</t>
  </si>
  <si>
    <t>Neutral</t>
  </si>
  <si>
    <t>point</t>
  </si>
  <si>
    <t>Xnp</t>
  </si>
  <si>
    <t>Surface</t>
  </si>
  <si>
    <t>and</t>
  </si>
  <si>
    <t>Strip</t>
  </si>
  <si>
    <t>by</t>
  </si>
  <si>
    <t>surface</t>
  </si>
  <si>
    <t>referred</t>
  </si>
  <si>
    <t>to</t>
  </si>
  <si>
    <t>Sref,</t>
  </si>
  <si>
    <t>Cref,</t>
  </si>
  <si>
    <t>about</t>
  </si>
  <si>
    <t>Xref,</t>
  </si>
  <si>
    <t>Yref,</t>
  </si>
  <si>
    <t>Chordwise</t>
  </si>
  <si>
    <t>Spanwise</t>
  </si>
  <si>
    <t>First</t>
  </si>
  <si>
    <t>strip</t>
  </si>
  <si>
    <t>area</t>
  </si>
  <si>
    <t>Ave.</t>
  </si>
  <si>
    <t>CLsurf</t>
  </si>
  <si>
    <t>Clsurf</t>
  </si>
  <si>
    <t>CYsurf</t>
  </si>
  <si>
    <t>Cmsurf</t>
  </si>
  <si>
    <t>CDsurf</t>
  </si>
  <si>
    <t>Cnsurf</t>
  </si>
  <si>
    <t>CDisurf</t>
  </si>
  <si>
    <t>CDvsurf</t>
  </si>
  <si>
    <t>Ssurf,</t>
  </si>
  <si>
    <t>Cave</t>
  </si>
  <si>
    <t>Area,</t>
  </si>
  <si>
    <t>j</t>
  </si>
  <si>
    <t>Area</t>
  </si>
  <si>
    <t>cl</t>
  </si>
  <si>
    <t>ai</t>
  </si>
  <si>
    <t>cl_norm</t>
  </si>
  <si>
    <t>cd</t>
  </si>
  <si>
    <t>cdv</t>
  </si>
  <si>
    <t>cm_c/4</t>
  </si>
  <si>
    <t>cm_LE</t>
  </si>
  <si>
    <t>C.P.x/c</t>
  </si>
  <si>
    <t>(YDUP)</t>
  </si>
  <si>
    <t>Cdtot</t>
  </si>
  <si>
    <t>Taper</t>
  </si>
  <si>
    <t>Slope (deg)</t>
  </si>
  <si>
    <t>Slope (rad)</t>
  </si>
  <si>
    <t>Sweep</t>
  </si>
  <si>
    <t>Delta</t>
  </si>
  <si>
    <t>CLAF Average</t>
  </si>
  <si>
    <t>Tip Setback</t>
  </si>
  <si>
    <t>Condition</t>
  </si>
  <si>
    <t>Viscosity</t>
  </si>
  <si>
    <t>Velocity</t>
  </si>
  <si>
    <t>F-67A</t>
  </si>
  <si>
    <t>/</t>
  </si>
  <si>
    <t>(</t>
  </si>
  <si>
    <t>&gt;</t>
  </si>
  <si>
    <t>if</t>
  </si>
  <si>
    <t>spirally</t>
  </si>
  <si>
    <t>stable</t>
  </si>
  <si>
    <t>)</t>
  </si>
  <si>
    <t>L/D</t>
  </si>
  <si>
    <t>CDmisc</t>
  </si>
  <si>
    <t>Outputs</t>
  </si>
  <si>
    <t>M_DD</t>
  </si>
  <si>
    <t>K</t>
  </si>
  <si>
    <t>t/c</t>
  </si>
  <si>
    <t>M_crit</t>
  </si>
  <si>
    <t>CDwave</t>
  </si>
  <si>
    <t>M_cruise</t>
  </si>
  <si>
    <t>Above?</t>
  </si>
  <si>
    <t>Transonic Drag</t>
  </si>
  <si>
    <t>Objective: Maximize L/D</t>
  </si>
  <si>
    <t>Twist</t>
  </si>
  <si>
    <t>N</t>
  </si>
  <si>
    <t>0 twist</t>
  </si>
  <si>
    <t>XFOIL parasitic polars</t>
  </si>
  <si>
    <t>CDvisc</t>
  </si>
  <si>
    <t>Korn Supercritical CDwave</t>
  </si>
  <si>
    <t>s</t>
  </si>
  <si>
    <t>polar8</t>
  </si>
  <si>
    <t>^1</t>
  </si>
  <si>
    <t>^0</t>
  </si>
  <si>
    <t>CD_AF</t>
  </si>
  <si>
    <t>CD_XF</t>
  </si>
  <si>
    <t>CD_Adj</t>
  </si>
  <si>
    <t>CD1_Adj</t>
  </si>
  <si>
    <t>CD2_Adj</t>
  </si>
  <si>
    <t>CD3_Adj</t>
  </si>
  <si>
    <t>Korn Supercritical Cwave</t>
  </si>
  <si>
    <t>XFOIL parasitic polars, adjusted using Adflow</t>
  </si>
  <si>
    <t>Objective: Maximize L/D, avoid tip stall</t>
  </si>
  <si>
    <t>Cruise</t>
  </si>
  <si>
    <t>Stall</t>
  </si>
  <si>
    <t>Results:</t>
  </si>
  <si>
    <t>Raymer</t>
  </si>
  <si>
    <t>Smallest with no CDw</t>
  </si>
  <si>
    <t>Raymer plot</t>
  </si>
  <si>
    <t>CDw_0</t>
  </si>
  <si>
    <t>c_HT</t>
  </si>
  <si>
    <t>c_VT</t>
  </si>
  <si>
    <t>L_HT</t>
  </si>
  <si>
    <t>L_VT</t>
  </si>
  <si>
    <t>S_HT</t>
  </si>
  <si>
    <t>c_ref</t>
  </si>
  <si>
    <t>b_ref</t>
  </si>
  <si>
    <t>S_ref</t>
  </si>
  <si>
    <t>S_VT</t>
  </si>
  <si>
    <t>fus_l</t>
  </si>
  <si>
    <t>per_l_VT</t>
  </si>
  <si>
    <t>per_l_HT</t>
  </si>
  <si>
    <t>angle_VT</t>
  </si>
  <si>
    <t>S_VT_each</t>
  </si>
  <si>
    <t>S_HT_each</t>
  </si>
  <si>
    <t>taper_VT</t>
  </si>
  <si>
    <t>taper_HT</t>
  </si>
  <si>
    <t>AR_VT</t>
  </si>
  <si>
    <t>AR_HT</t>
  </si>
  <si>
    <t>b_VT</t>
  </si>
  <si>
    <t>b_HT</t>
  </si>
  <si>
    <t>b_HT_each</t>
  </si>
  <si>
    <t>c_root_HT</t>
  </si>
  <si>
    <t>c_tip_HT</t>
  </si>
  <si>
    <t>c_root_VT</t>
  </si>
  <si>
    <t>c_tip_VT</t>
  </si>
  <si>
    <t>sweep_VT</t>
  </si>
  <si>
    <t>sweep_HT</t>
  </si>
  <si>
    <t>x</t>
  </si>
  <si>
    <t>CDa</t>
  </si>
  <si>
    <t>CDb</t>
  </si>
  <si>
    <t>CDq</t>
  </si>
  <si>
    <t>CDr</t>
  </si>
  <si>
    <t>Ssurf</t>
  </si>
  <si>
    <t>c_cl</t>
  </si>
  <si>
    <t>T1_Re5 000_M0 84_N5 0_XtrTop 5%</t>
  </si>
  <si>
    <t>y_Clmax</t>
  </si>
  <si>
    <t>%yClmax</t>
  </si>
  <si>
    <t>setback_VT</t>
  </si>
  <si>
    <t>setback_HT</t>
  </si>
  <si>
    <t>Plotting</t>
  </si>
  <si>
    <t>offset_HT</t>
  </si>
  <si>
    <t>Y_MAC</t>
  </si>
  <si>
    <t>x_c4_w</t>
  </si>
  <si>
    <t>c_bar_HT</t>
  </si>
  <si>
    <t>Y_cbar_HT</t>
  </si>
  <si>
    <t>offset_VT</t>
  </si>
  <si>
    <t>c_bar_VT</t>
  </si>
  <si>
    <t>Y_cbar_VT</t>
  </si>
  <si>
    <t>Horizontal Tail</t>
  </si>
  <si>
    <t>Section 3</t>
  </si>
  <si>
    <t>Section 4</t>
  </si>
  <si>
    <t>Vertical Tail</t>
  </si>
  <si>
    <t>CM</t>
  </si>
  <si>
    <t>x^1 / ln(x)</t>
  </si>
  <si>
    <t>ln</t>
  </si>
  <si>
    <t>poly</t>
  </si>
  <si>
    <t>Dash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</si>
</sst>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" x14ac:knownFonts="1">
    <font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49992370372631"/>
        <bgColor indexed="64"/>
      </patternFill>
    </fill>
  </fills>
  <borders count="1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49" fontId="0" fillId="0" borderId="0" xfId="0" applyNumberFormat="1"/>
    <xf numFmtId="0" fontId="1" fillId="0" borderId="0" xfId="0" applyFont="1"/>
    <xf numFmtId="0" fontId="0" fillId="2" borderId="0" xfId="0" applyFill="1"/>
    <xf numFmtId="0" fontId="0" fillId="3" borderId="0" xfId="0" applyFill="1"/>
    <xf numFmtId="1" fontId="0" fillId="2" borderId="0" xfId="0" applyNumberFormat="1" applyFill="1"/>
    <xf numFmtId="0" fontId="0" fillId="0" borderId="1" xfId="0" applyBorder="1"/>
    <xf numFmtId="0" fontId="0" fillId="0" borderId="3" xfId="0" applyBorder="1"/>
    <xf numFmtId="0" fontId="0" fillId="0" borderId="2" xfId="0" applyBorder="1"/>
    <xf numFmtId="0" fontId="1" fillId="0" borderId="1" xfId="0" applyFont="1" applyBorder="1"/>
    <xf numFmtId="0" fontId="0" fillId="0" borderId="4" xfId="0" applyBorder="1"/>
    <xf numFmtId="0" fontId="0" fillId="0" borderId="7" xfId="0" applyBorder="1"/>
    <xf numFmtId="0" fontId="0" fillId="0" borderId="6" xfId="0" applyBorder="1"/>
    <xf numFmtId="0" fontId="0" fillId="4" borderId="0" xfId="0" applyFill="1"/>
    <xf numFmtId="0" fontId="0" fillId="0" borderId="10" xfId="0" applyBorder="1"/>
    <xf numFmtId="0" fontId="0" fillId="0" borderId="9" xfId="0" applyBorder="1"/>
    <xf numFmtId="0" fontId="1" fillId="0" borderId="4" xfId="0" applyFont="1" applyBorder="1"/>
    <xf numFmtId="0" fontId="0" fillId="0" borderId="11" xfId="0" applyBorder="1"/>
    <xf numFmtId="11" fontId="0" fillId="0" borderId="0" xfId="0" applyNumberFormat="1"/>
    <xf numFmtId="11" fontId="0" fillId="4" borderId="0" xfId="0" applyNumberFormat="1" applyFill="1"/>
    <xf numFmtId="0" fontId="0" fillId="0" borderId="5" xfId="0" applyBorder="1"/>
    <xf numFmtId="11" fontId="0" fillId="0" borderId="7" xfId="0" applyNumberFormat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" xfId="0" quotePrefix="1" applyBorder="1"/>
    <xf numFmtId="11" fontId="0" fillId="0" borderId="1" xfId="0" applyNumberFormat="1" applyBorder="1"/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12" xfId="0" applyBorder="1" applyAlignment="1">
      <alignment horizontal="center" vertical="center" textRotation="90"/>
    </xf>
    <xf numFmtId="0" fontId="0" fillId="0" borderId="0" xfId="0" applyAlignment="1">
      <alignment horizontal="center" vertical="center" textRotation="90"/>
    </xf>
    <xf numFmtId="0" fontId="0" fillId="0" borderId="7" xfId="0" applyBorder="1" applyAlignment="1">
      <alignment horizontal="center"/>
    </xf>
    <xf numFmtId="0" fontId="0" fillId="0" borderId="12" xfId="0" applyBorder="1" applyAlignment="1">
      <alignment horizontal="right" vertical="center" textRotation="90"/>
    </xf>
    <xf numFmtId="0" fontId="0" fillId="0" borderId="0" xfId="0" applyAlignment="1">
      <alignment horizontal="right" vertical="center" textRotation="90"/>
    </xf>
    <xf numFmtId="0" fontId="0" fillId="0" borderId="2" xfId="0" applyBorder="1" applyAlignment="1">
      <alignment horizontal="right" vertical="center" textRotation="90"/>
    </xf>
    <xf numFmtId="0" fontId="0" fillId="0" borderId="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Font="1"/>
    <xf numFmtId="0" fontId="0" fillId="0" borderId="0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haredStrings" Target="sharedString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CDCL!$B$4:$B$247</c:f>
              <c:numCache>
                <c:formatCode>General</c:formatCode>
                <c:ptCount val="244"/>
                <c:pt idx="0">
                  <c:v>2.0762626491451074E-2</c:v>
                </c:pt>
                <c:pt idx="1">
                  <c:v>2.6731069783210458E-2</c:v>
                </c:pt>
                <c:pt idx="2">
                  <c:v>2.3260958694217227E-2</c:v>
                </c:pt>
                <c:pt idx="3">
                  <c:v>1.905273924792774E-2</c:v>
                </c:pt>
                <c:pt idx="4">
                  <c:v>1.5102744564496237E-2</c:v>
                </c:pt>
                <c:pt idx="5">
                  <c:v>1.1359388654780304E-2</c:v>
                </c:pt>
                <c:pt idx="6">
                  <c:v>1.0442078186554869E-2</c:v>
                </c:pt>
                <c:pt idx="7">
                  <c:v>9.0081445615526196E-3</c:v>
                </c:pt>
                <c:pt idx="8">
                  <c:v>9.9585825554046915E-3</c:v>
                </c:pt>
                <c:pt idx="9">
                  <c:v>8.8252393976860789E-3</c:v>
                </c:pt>
                <c:pt idx="10">
                  <c:v>7.972605116331067E-3</c:v>
                </c:pt>
                <c:pt idx="11">
                  <c:v>7.3836390638719494E-3</c:v>
                </c:pt>
                <c:pt idx="12">
                  <c:v>6.9281899313163274E-3</c:v>
                </c:pt>
                <c:pt idx="13">
                  <c:v>6.6701551426987908E-3</c:v>
                </c:pt>
                <c:pt idx="14">
                  <c:v>6.5268971731127015E-3</c:v>
                </c:pt>
                <c:pt idx="15">
                  <c:v>6.5555805851805924E-3</c:v>
                </c:pt>
                <c:pt idx="16">
                  <c:v>6.5829098600688864E-3</c:v>
                </c:pt>
                <c:pt idx="17">
                  <c:v>6.6509869745660158E-3</c:v>
                </c:pt>
                <c:pt idx="18">
                  <c:v>6.7426710283406046E-3</c:v>
                </c:pt>
                <c:pt idx="19">
                  <c:v>6.8536416321900639E-3</c:v>
                </c:pt>
                <c:pt idx="20">
                  <c:v>6.9801697013243307E-3</c:v>
                </c:pt>
                <c:pt idx="21">
                  <c:v>7.117210584767792E-3</c:v>
                </c:pt>
                <c:pt idx="22">
                  <c:v>7.2659379060358055E-3</c:v>
                </c:pt>
                <c:pt idx="23">
                  <c:v>7.4310495748494583E-3</c:v>
                </c:pt>
                <c:pt idx="24">
                  <c:v>7.6180228072061981E-3</c:v>
                </c:pt>
                <c:pt idx="25">
                  <c:v>7.8517765427252376E-3</c:v>
                </c:pt>
                <c:pt idx="26">
                  <c:v>8.5795287022982607E-3</c:v>
                </c:pt>
                <c:pt idx="27">
                  <c:v>9.4588273047107093E-3</c:v>
                </c:pt>
                <c:pt idx="28">
                  <c:v>8.2857099344917431E-3</c:v>
                </c:pt>
                <c:pt idx="29">
                  <c:v>1.0000916953434979E-2</c:v>
                </c:pt>
                <c:pt idx="30">
                  <c:v>1.4480852393229483E-2</c:v>
                </c:pt>
                <c:pt idx="31">
                  <c:v>1.7956901088619311E-2</c:v>
                </c:pt>
                <c:pt idx="32">
                  <c:v>2.1171446457157524E-2</c:v>
                </c:pt>
                <c:pt idx="33">
                  <c:v>2.4252323296670767E-2</c:v>
                </c:pt>
                <c:pt idx="34">
                  <c:v>2.7286932193483639E-2</c:v>
                </c:pt>
                <c:pt idx="35">
                  <c:v>3.0321477107374342E-2</c:v>
                </c:pt>
                <c:pt idx="36">
                  <c:v>3.3376865509442653E-2</c:v>
                </c:pt>
                <c:pt idx="37">
                  <c:v>3.6465741113041482E-2</c:v>
                </c:pt>
                <c:pt idx="38">
                  <c:v>3.9597974905372917E-2</c:v>
                </c:pt>
                <c:pt idx="39">
                  <c:v>4.2779487482111266E-2</c:v>
                </c:pt>
              </c:numCache>
            </c:numRef>
          </c:xVal>
          <c:yVal>
            <c:numRef>
              <c:f>CDCL!$D$4:$D$247</c:f>
              <c:numCache>
                <c:formatCode>General</c:formatCode>
                <c:ptCount val="244"/>
                <c:pt idx="0">
                  <c:v>-0.43144226308594874</c:v>
                </c:pt>
                <c:pt idx="1">
                  <c:v>-0.58922300842456532</c:v>
                </c:pt>
                <c:pt idx="2">
                  <c:v>-0.56427096362307461</c:v>
                </c:pt>
                <c:pt idx="3">
                  <c:v>-0.52433190992430678</c:v>
                </c:pt>
                <c:pt idx="4">
                  <c:v>-0.47928438417741526</c:v>
                </c:pt>
                <c:pt idx="5">
                  <c:v>-0.40969719286116341</c:v>
                </c:pt>
                <c:pt idx="6">
                  <c:v>-0.35267298820868725</c:v>
                </c:pt>
                <c:pt idx="7">
                  <c:v>-0.33917479943798506</c:v>
                </c:pt>
                <c:pt idx="8">
                  <c:v>-0.25730083567386902</c:v>
                </c:pt>
                <c:pt idx="9">
                  <c:v>-0.21565355359848665</c:v>
                </c:pt>
                <c:pt idx="10">
                  <c:v>-0.17526853132933995</c:v>
                </c:pt>
                <c:pt idx="11">
                  <c:v>-0.13551084580648445</c:v>
                </c:pt>
                <c:pt idx="12">
                  <c:v>-9.7860912382717866E-2</c:v>
                </c:pt>
                <c:pt idx="13">
                  <c:v>-7.1653994179530445E-2</c:v>
                </c:pt>
                <c:pt idx="14">
                  <c:v>-4.3341748871891642E-2</c:v>
                </c:pt>
                <c:pt idx="15">
                  <c:v>1.9754028165769075E-2</c:v>
                </c:pt>
                <c:pt idx="16">
                  <c:v>5.7143342476516784E-2</c:v>
                </c:pt>
                <c:pt idx="17">
                  <c:v>9.4095583116752798E-2</c:v>
                </c:pt>
                <c:pt idx="18">
                  <c:v>0.13073787698698214</c:v>
                </c:pt>
                <c:pt idx="19">
                  <c:v>0.16706677485444543</c:v>
                </c:pt>
                <c:pt idx="20">
                  <c:v>0.20307424174172303</c:v>
                </c:pt>
                <c:pt idx="21">
                  <c:v>0.23880998984116422</c:v>
                </c:pt>
                <c:pt idx="22">
                  <c:v>0.27429806298704251</c:v>
                </c:pt>
                <c:pt idx="23">
                  <c:v>0.30972468750384707</c:v>
                </c:pt>
                <c:pt idx="24">
                  <c:v>0.34578666477345982</c:v>
                </c:pt>
                <c:pt idx="25">
                  <c:v>0.38397319471285918</c:v>
                </c:pt>
                <c:pt idx="26">
                  <c:v>0.4055028801290273</c:v>
                </c:pt>
                <c:pt idx="27">
                  <c:v>0.42140448753238241</c:v>
                </c:pt>
                <c:pt idx="28">
                  <c:v>0.52887392418128387</c:v>
                </c:pt>
                <c:pt idx="29">
                  <c:v>0.55832389508419411</c:v>
                </c:pt>
                <c:pt idx="30">
                  <c:v>0.66970132936809146</c:v>
                </c:pt>
                <c:pt idx="31">
                  <c:v>0.70104329287290401</c:v>
                </c:pt>
                <c:pt idx="32">
                  <c:v>0.72406825465833302</c:v>
                </c:pt>
                <c:pt idx="33">
                  <c:v>0.74296026523397884</c:v>
                </c:pt>
                <c:pt idx="34">
                  <c:v>0.75955406545833382</c:v>
                </c:pt>
                <c:pt idx="35">
                  <c:v>0.77474184081758102</c:v>
                </c:pt>
                <c:pt idx="36">
                  <c:v>0.78904098182580407</c:v>
                </c:pt>
                <c:pt idx="37">
                  <c:v>0.80267343866219987</c:v>
                </c:pt>
                <c:pt idx="38">
                  <c:v>0.81584453603978579</c:v>
                </c:pt>
                <c:pt idx="39">
                  <c:v>0.82869219788493276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BD-4886-BD54-0C0C54271E09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CDCL!$I$4:$I$101</c:f>
              <c:numCache>
                <c:formatCode>General</c:formatCode>
                <c:ptCount val="98"/>
                <c:pt idx="0">
                  <c:v>9.9585825554046915E-3</c:v>
                </c:pt>
                <c:pt idx="1">
                  <c:v>9.8896057142342474E-3</c:v>
                </c:pt>
                <c:pt idx="2">
                  <c:v>9.8213291455629959E-3</c:v>
                </c:pt>
                <c:pt idx="3">
                  <c:v>9.7537528493909353E-3</c:v>
                </c:pt>
                <c:pt idx="4">
                  <c:v>9.6868768257180691E-3</c:v>
                </c:pt>
                <c:pt idx="5">
                  <c:v>9.6207010745443938E-3</c:v>
                </c:pt>
                <c:pt idx="6">
                  <c:v>9.555225595869913E-3</c:v>
                </c:pt>
                <c:pt idx="7">
                  <c:v>9.4904503896946213E-3</c:v>
                </c:pt>
                <c:pt idx="8">
                  <c:v>9.426375456018524E-3</c:v>
                </c:pt>
                <c:pt idx="9">
                  <c:v>9.3630007948416194E-3</c:v>
                </c:pt>
                <c:pt idx="10">
                  <c:v>9.3003264061639057E-3</c:v>
                </c:pt>
                <c:pt idx="11">
                  <c:v>9.2383522899853847E-3</c:v>
                </c:pt>
                <c:pt idx="12">
                  <c:v>9.1770784463060563E-3</c:v>
                </c:pt>
                <c:pt idx="13">
                  <c:v>9.1165048751259206E-3</c:v>
                </c:pt>
                <c:pt idx="14">
                  <c:v>9.0566315764449776E-3</c:v>
                </c:pt>
                <c:pt idx="15">
                  <c:v>8.9974585502632255E-3</c:v>
                </c:pt>
                <c:pt idx="16">
                  <c:v>8.938985796580666E-3</c:v>
                </c:pt>
                <c:pt idx="17">
                  <c:v>8.8812133153972992E-3</c:v>
                </c:pt>
                <c:pt idx="18">
                  <c:v>8.8241411067131233E-3</c:v>
                </c:pt>
                <c:pt idx="19">
                  <c:v>8.7677691705281419E-3</c:v>
                </c:pt>
                <c:pt idx="20">
                  <c:v>8.7120975068423513E-3</c:v>
                </c:pt>
                <c:pt idx="21">
                  <c:v>8.6571261156557552E-3</c:v>
                </c:pt>
                <c:pt idx="22">
                  <c:v>8.6028549969683499E-3</c:v>
                </c:pt>
                <c:pt idx="23">
                  <c:v>8.5492841507801374E-3</c:v>
                </c:pt>
                <c:pt idx="24">
                  <c:v>8.4964135770911157E-3</c:v>
                </c:pt>
                <c:pt idx="25">
                  <c:v>8.4442432759012885E-3</c:v>
                </c:pt>
                <c:pt idx="26">
                  <c:v>8.3927732472106522E-3</c:v>
                </c:pt>
                <c:pt idx="27">
                  <c:v>8.3420034910192085E-3</c:v>
                </c:pt>
                <c:pt idx="28">
                  <c:v>8.2919340073269558E-3</c:v>
                </c:pt>
                <c:pt idx="29">
                  <c:v>8.2425647961338992E-3</c:v>
                </c:pt>
                <c:pt idx="30">
                  <c:v>8.1938958574400318E-3</c:v>
                </c:pt>
                <c:pt idx="31">
                  <c:v>8.1459271912453571E-3</c:v>
                </c:pt>
                <c:pt idx="32">
                  <c:v>8.098658797549875E-3</c:v>
                </c:pt>
                <c:pt idx="33">
                  <c:v>8.0520906763535856E-3</c:v>
                </c:pt>
                <c:pt idx="34">
                  <c:v>8.0062228276564888E-3</c:v>
                </c:pt>
                <c:pt idx="35">
                  <c:v>7.961055251458583E-3</c:v>
                </c:pt>
                <c:pt idx="36">
                  <c:v>7.9165879477598716E-3</c:v>
                </c:pt>
                <c:pt idx="37">
                  <c:v>7.872820916560351E-3</c:v>
                </c:pt>
                <c:pt idx="38">
                  <c:v>7.8297541578600232E-3</c:v>
                </c:pt>
                <c:pt idx="39">
                  <c:v>7.7873876716588863E-3</c:v>
                </c:pt>
                <c:pt idx="40">
                  <c:v>7.7457214579569438E-3</c:v>
                </c:pt>
                <c:pt idx="41">
                  <c:v>7.7047555167541922E-3</c:v>
                </c:pt>
                <c:pt idx="42">
                  <c:v>7.6644898480506332E-3</c:v>
                </c:pt>
                <c:pt idx="43">
                  <c:v>7.6249244518462669E-3</c:v>
                </c:pt>
                <c:pt idx="44">
                  <c:v>7.5860593281410933E-3</c:v>
                </c:pt>
                <c:pt idx="45">
                  <c:v>7.5478944769351115E-3</c:v>
                </c:pt>
                <c:pt idx="46">
                  <c:v>7.5104298982283223E-3</c:v>
                </c:pt>
                <c:pt idx="47">
                  <c:v>7.473665592020725E-3</c:v>
                </c:pt>
                <c:pt idx="48">
                  <c:v>7.4376015583123203E-3</c:v>
                </c:pt>
                <c:pt idx="49">
                  <c:v>7.4022377971031074E-3</c:v>
                </c:pt>
                <c:pt idx="50">
                  <c:v>7.367574308393088E-3</c:v>
                </c:pt>
                <c:pt idx="51">
                  <c:v>7.3336110921822604E-3</c:v>
                </c:pt>
                <c:pt idx="52">
                  <c:v>7.3003481484706246E-3</c:v>
                </c:pt>
                <c:pt idx="53">
                  <c:v>7.2677854772581815E-3</c:v>
                </c:pt>
                <c:pt idx="54">
                  <c:v>7.235923078544931E-3</c:v>
                </c:pt>
                <c:pt idx="55">
                  <c:v>7.2047609523308723E-3</c:v>
                </c:pt>
                <c:pt idx="56">
                  <c:v>7.1742990986160054E-3</c:v>
                </c:pt>
                <c:pt idx="57">
                  <c:v>7.1445375174003321E-3</c:v>
                </c:pt>
                <c:pt idx="58">
                  <c:v>7.1154762086838505E-3</c:v>
                </c:pt>
                <c:pt idx="59">
                  <c:v>7.0871151724665616E-3</c:v>
                </c:pt>
                <c:pt idx="60">
                  <c:v>7.0594544087484645E-3</c:v>
                </c:pt>
                <c:pt idx="61">
                  <c:v>7.03249391752956E-3</c:v>
                </c:pt>
                <c:pt idx="62">
                  <c:v>7.0062336988098483E-3</c:v>
                </c:pt>
                <c:pt idx="63">
                  <c:v>6.9806737525893283E-3</c:v>
                </c:pt>
                <c:pt idx="64">
                  <c:v>6.9558140788680009E-3</c:v>
                </c:pt>
                <c:pt idx="65">
                  <c:v>6.9316546776458654E-3</c:v>
                </c:pt>
                <c:pt idx="66">
                  <c:v>6.9081955489229225E-3</c:v>
                </c:pt>
                <c:pt idx="67">
                  <c:v>6.8854366926991723E-3</c:v>
                </c:pt>
                <c:pt idx="68">
                  <c:v>6.8633781089746139E-3</c:v>
                </c:pt>
                <c:pt idx="69">
                  <c:v>6.8420197977492481E-3</c:v>
                </c:pt>
                <c:pt idx="70">
                  <c:v>6.8213617590230742E-3</c:v>
                </c:pt>
                <c:pt idx="71">
                  <c:v>6.8014039927960929E-3</c:v>
                </c:pt>
                <c:pt idx="72">
                  <c:v>6.7821464990683042E-3</c:v>
                </c:pt>
                <c:pt idx="73">
                  <c:v>6.7635892778397074E-3</c:v>
                </c:pt>
                <c:pt idx="74">
                  <c:v>6.7457323291103032E-3</c:v>
                </c:pt>
                <c:pt idx="75">
                  <c:v>6.7285756528800908E-3</c:v>
                </c:pt>
                <c:pt idx="76">
                  <c:v>6.7121192491490711E-3</c:v>
                </c:pt>
                <c:pt idx="77">
                  <c:v>6.696363117917244E-3</c:v>
                </c:pt>
                <c:pt idx="78">
                  <c:v>6.6813072591846096E-3</c:v>
                </c:pt>
                <c:pt idx="79">
                  <c:v>6.6669516729511661E-3</c:v>
                </c:pt>
                <c:pt idx="80">
                  <c:v>6.6532963592169161E-3</c:v>
                </c:pt>
                <c:pt idx="81">
                  <c:v>6.640341317981858E-3</c:v>
                </c:pt>
                <c:pt idx="82">
                  <c:v>6.6280865492459925E-3</c:v>
                </c:pt>
                <c:pt idx="83">
                  <c:v>6.6165320530093188E-3</c:v>
                </c:pt>
                <c:pt idx="84">
                  <c:v>6.6056778292718377E-3</c:v>
                </c:pt>
                <c:pt idx="85">
                  <c:v>6.5955238780335494E-3</c:v>
                </c:pt>
                <c:pt idx="86">
                  <c:v>6.5860701992944528E-3</c:v>
                </c:pt>
                <c:pt idx="87">
                  <c:v>6.5773167930545488E-3</c:v>
                </c:pt>
                <c:pt idx="88">
                  <c:v>6.5692636593138367E-3</c:v>
                </c:pt>
                <c:pt idx="89">
                  <c:v>6.5619107980723181E-3</c:v>
                </c:pt>
                <c:pt idx="90">
                  <c:v>6.5552582093299904E-3</c:v>
                </c:pt>
                <c:pt idx="91">
                  <c:v>6.5493058930868563E-3</c:v>
                </c:pt>
                <c:pt idx="92">
                  <c:v>6.544053849342913E-3</c:v>
                </c:pt>
                <c:pt idx="93">
                  <c:v>6.5395020780981633E-3</c:v>
                </c:pt>
                <c:pt idx="94">
                  <c:v>6.5356505793526054E-3</c:v>
                </c:pt>
                <c:pt idx="95">
                  <c:v>6.5324993531062402E-3</c:v>
                </c:pt>
                <c:pt idx="96">
                  <c:v>6.5300483993590668E-3</c:v>
                </c:pt>
                <c:pt idx="97">
                  <c:v>6.528297718111086E-3</c:v>
                </c:pt>
              </c:numCache>
            </c:numRef>
          </c:xVal>
          <c:yVal>
            <c:numRef>
              <c:f>CDCL!$J$4:$J$103</c:f>
              <c:numCache>
                <c:formatCode>General</c:formatCode>
                <c:ptCount val="100"/>
                <c:pt idx="0">
                  <c:v>-0.25730083567386902</c:v>
                </c:pt>
                <c:pt idx="1">
                  <c:v>-0.25513963277687934</c:v>
                </c:pt>
                <c:pt idx="2">
                  <c:v>-0.25297842987988967</c:v>
                </c:pt>
                <c:pt idx="3">
                  <c:v>-0.25081722698289999</c:v>
                </c:pt>
                <c:pt idx="4">
                  <c:v>-0.24865602408591034</c:v>
                </c:pt>
                <c:pt idx="5">
                  <c:v>-0.24649482118892066</c:v>
                </c:pt>
                <c:pt idx="6">
                  <c:v>-0.24433361829193101</c:v>
                </c:pt>
                <c:pt idx="7">
                  <c:v>-0.24217241539494133</c:v>
                </c:pt>
                <c:pt idx="8">
                  <c:v>-0.24001121249795165</c:v>
                </c:pt>
                <c:pt idx="9">
                  <c:v>-0.23785000960096198</c:v>
                </c:pt>
                <c:pt idx="10">
                  <c:v>-0.23568880670397233</c:v>
                </c:pt>
                <c:pt idx="11">
                  <c:v>-0.23352760380698265</c:v>
                </c:pt>
                <c:pt idx="12">
                  <c:v>-0.23136640090999297</c:v>
                </c:pt>
                <c:pt idx="13">
                  <c:v>-0.22920519801300332</c:v>
                </c:pt>
                <c:pt idx="14">
                  <c:v>-0.22704399511601364</c:v>
                </c:pt>
                <c:pt idx="15">
                  <c:v>-0.22488279221902396</c:v>
                </c:pt>
                <c:pt idx="16">
                  <c:v>-0.22272158932203429</c:v>
                </c:pt>
                <c:pt idx="17">
                  <c:v>-0.22056038642504461</c:v>
                </c:pt>
                <c:pt idx="18">
                  <c:v>-0.21839918352805496</c:v>
                </c:pt>
                <c:pt idx="19">
                  <c:v>-0.21623798063106528</c:v>
                </c:pt>
                <c:pt idx="20">
                  <c:v>-0.2140767777340756</c:v>
                </c:pt>
                <c:pt idx="21">
                  <c:v>-0.21191557483708595</c:v>
                </c:pt>
                <c:pt idx="22">
                  <c:v>-0.20975437194009627</c:v>
                </c:pt>
                <c:pt idx="23">
                  <c:v>-0.2075931690431066</c:v>
                </c:pt>
                <c:pt idx="24">
                  <c:v>-0.20543196614611692</c:v>
                </c:pt>
                <c:pt idx="25">
                  <c:v>-0.20327076324912727</c:v>
                </c:pt>
                <c:pt idx="26">
                  <c:v>-0.20110956035213759</c:v>
                </c:pt>
                <c:pt idx="27">
                  <c:v>-0.19894835745514791</c:v>
                </c:pt>
                <c:pt idx="28">
                  <c:v>-0.19678715455815823</c:v>
                </c:pt>
                <c:pt idx="29">
                  <c:v>-0.19462595166116858</c:v>
                </c:pt>
                <c:pt idx="30">
                  <c:v>-0.19246474876417891</c:v>
                </c:pt>
                <c:pt idx="31">
                  <c:v>-0.19030354586718923</c:v>
                </c:pt>
                <c:pt idx="32">
                  <c:v>-0.18814234297019955</c:v>
                </c:pt>
                <c:pt idx="33">
                  <c:v>-0.18598114007320987</c:v>
                </c:pt>
                <c:pt idx="34">
                  <c:v>-0.18381993717622022</c:v>
                </c:pt>
                <c:pt idx="35">
                  <c:v>-0.18165873427923054</c:v>
                </c:pt>
                <c:pt idx="36">
                  <c:v>-0.17949753138224089</c:v>
                </c:pt>
                <c:pt idx="37">
                  <c:v>-0.17733632848525122</c:v>
                </c:pt>
                <c:pt idx="38">
                  <c:v>-0.17517512558826154</c:v>
                </c:pt>
                <c:pt idx="39">
                  <c:v>-0.17301392269127186</c:v>
                </c:pt>
                <c:pt idx="40">
                  <c:v>-0.17085271979428218</c:v>
                </c:pt>
                <c:pt idx="41">
                  <c:v>-0.1686915168972925</c:v>
                </c:pt>
                <c:pt idx="42">
                  <c:v>-0.16653031400030285</c:v>
                </c:pt>
                <c:pt idx="43">
                  <c:v>-0.16436911110331318</c:v>
                </c:pt>
                <c:pt idx="44">
                  <c:v>-0.1622079082063235</c:v>
                </c:pt>
                <c:pt idx="45">
                  <c:v>-0.16004670530933385</c:v>
                </c:pt>
                <c:pt idx="46">
                  <c:v>-0.15788550241234417</c:v>
                </c:pt>
                <c:pt idx="47">
                  <c:v>-0.15572429951535449</c:v>
                </c:pt>
                <c:pt idx="48">
                  <c:v>-0.15356309661836481</c:v>
                </c:pt>
                <c:pt idx="49">
                  <c:v>-0.15140189372137514</c:v>
                </c:pt>
                <c:pt idx="50">
                  <c:v>-0.14924069082438551</c:v>
                </c:pt>
                <c:pt idx="51">
                  <c:v>-0.14707948792739584</c:v>
                </c:pt>
                <c:pt idx="52">
                  <c:v>-0.14491828503040616</c:v>
                </c:pt>
                <c:pt idx="53">
                  <c:v>-0.14275708213341648</c:v>
                </c:pt>
                <c:pt idx="54">
                  <c:v>-0.1405958792364268</c:v>
                </c:pt>
                <c:pt idx="55">
                  <c:v>-0.13843467633943712</c:v>
                </c:pt>
                <c:pt idx="56">
                  <c:v>-0.13627347344244745</c:v>
                </c:pt>
                <c:pt idx="57">
                  <c:v>-0.13411227054545777</c:v>
                </c:pt>
                <c:pt idx="58">
                  <c:v>-0.13195106764846812</c:v>
                </c:pt>
                <c:pt idx="59">
                  <c:v>-0.12978986475147844</c:v>
                </c:pt>
                <c:pt idx="60">
                  <c:v>-0.12762866185448876</c:v>
                </c:pt>
                <c:pt idx="61">
                  <c:v>-0.12546745895749911</c:v>
                </c:pt>
                <c:pt idx="62">
                  <c:v>-0.12330625606050943</c:v>
                </c:pt>
                <c:pt idx="63">
                  <c:v>-0.12114505316351978</c:v>
                </c:pt>
                <c:pt idx="64">
                  <c:v>-0.11898385026653011</c:v>
                </c:pt>
                <c:pt idx="65">
                  <c:v>-0.11682264736954043</c:v>
                </c:pt>
                <c:pt idx="66">
                  <c:v>-0.11466144447255075</c:v>
                </c:pt>
                <c:pt idx="67">
                  <c:v>-0.1125002415755611</c:v>
                </c:pt>
                <c:pt idx="68">
                  <c:v>-0.11033903867857142</c:v>
                </c:pt>
                <c:pt idx="69">
                  <c:v>-0.10817783578158174</c:v>
                </c:pt>
                <c:pt idx="70">
                  <c:v>-0.10601663288459207</c:v>
                </c:pt>
                <c:pt idx="71">
                  <c:v>-0.10385542998760242</c:v>
                </c:pt>
                <c:pt idx="72">
                  <c:v>-0.10169422709061274</c:v>
                </c:pt>
                <c:pt idx="73">
                  <c:v>-9.953302419362306E-2</c:v>
                </c:pt>
                <c:pt idx="74">
                  <c:v>-9.737182129663341E-2</c:v>
                </c:pt>
                <c:pt idx="75">
                  <c:v>-9.5210618399643732E-2</c:v>
                </c:pt>
                <c:pt idx="76">
                  <c:v>-9.3049415502654054E-2</c:v>
                </c:pt>
                <c:pt idx="77">
                  <c:v>-9.0888212605664376E-2</c:v>
                </c:pt>
                <c:pt idx="78">
                  <c:v>-8.8727009708674726E-2</c:v>
                </c:pt>
                <c:pt idx="79">
                  <c:v>-8.6565806811685048E-2</c:v>
                </c:pt>
                <c:pt idx="80">
                  <c:v>-8.440460391469537E-2</c:v>
                </c:pt>
                <c:pt idx="81">
                  <c:v>-8.2243401017705692E-2</c:v>
                </c:pt>
                <c:pt idx="82">
                  <c:v>-8.0082198120716014E-2</c:v>
                </c:pt>
                <c:pt idx="83">
                  <c:v>-7.7920995223726364E-2</c:v>
                </c:pt>
                <c:pt idx="84">
                  <c:v>-7.5759792326736686E-2</c:v>
                </c:pt>
                <c:pt idx="85">
                  <c:v>-7.3598589429747008E-2</c:v>
                </c:pt>
                <c:pt idx="86">
                  <c:v>-7.143738653275733E-2</c:v>
                </c:pt>
                <c:pt idx="87">
                  <c:v>-6.9276183635767652E-2</c:v>
                </c:pt>
                <c:pt idx="88">
                  <c:v>-6.7114980738777974E-2</c:v>
                </c:pt>
                <c:pt idx="89">
                  <c:v>-6.4953777841788352E-2</c:v>
                </c:pt>
                <c:pt idx="90">
                  <c:v>-6.2792574944798674E-2</c:v>
                </c:pt>
                <c:pt idx="91">
                  <c:v>-6.0631372047808996E-2</c:v>
                </c:pt>
                <c:pt idx="92">
                  <c:v>-5.8470169150819318E-2</c:v>
                </c:pt>
                <c:pt idx="93">
                  <c:v>-5.630896625382964E-2</c:v>
                </c:pt>
                <c:pt idx="94">
                  <c:v>-5.414776335683999E-2</c:v>
                </c:pt>
                <c:pt idx="95">
                  <c:v>-5.1986560459850312E-2</c:v>
                </c:pt>
                <c:pt idx="96">
                  <c:v>-4.9825357562860634E-2</c:v>
                </c:pt>
                <c:pt idx="97">
                  <c:v>-4.7664154665870956E-2</c:v>
                </c:pt>
                <c:pt idx="98">
                  <c:v>-4.5502951768881278E-2</c:v>
                </c:pt>
                <c:pt idx="99">
                  <c:v>-4.3341748871891655E-2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BD-4886-BD54-0C0C54271E09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CDCL!$L$4:$L$103</c:f>
              <c:numCache>
                <c:formatCode>General</c:formatCode>
                <c:ptCount val="100"/>
                <c:pt idx="0">
                  <c:v>1.4480852393229483E-2</c:v>
                </c:pt>
                <c:pt idx="1">
                  <c:v>1.4320977974459664E-2</c:v>
                </c:pt>
                <c:pt idx="2">
                  <c:v>1.4162726646235729E-2</c:v>
                </c:pt>
                <c:pt idx="3">
                  <c:v>1.4006098408557682E-2</c:v>
                </c:pt>
                <c:pt idx="4">
                  <c:v>1.385109326142552E-2</c:v>
                </c:pt>
                <c:pt idx="5">
                  <c:v>1.3697711204839248E-2</c:v>
                </c:pt>
                <c:pt idx="6">
                  <c:v>1.3545952238798859E-2</c:v>
                </c:pt>
                <c:pt idx="7">
                  <c:v>1.3395816363304358E-2</c:v>
                </c:pt>
                <c:pt idx="8">
                  <c:v>1.3247303578355744E-2</c:v>
                </c:pt>
                <c:pt idx="9">
                  <c:v>1.3100413883953017E-2</c:v>
                </c:pt>
                <c:pt idx="10">
                  <c:v>1.2955147280096176E-2</c:v>
                </c:pt>
                <c:pt idx="11">
                  <c:v>1.2811503766785221E-2</c:v>
                </c:pt>
                <c:pt idx="12">
                  <c:v>1.2669483344020151E-2</c:v>
                </c:pt>
                <c:pt idx="13">
                  <c:v>1.2529086011800968E-2</c:v>
                </c:pt>
                <c:pt idx="14">
                  <c:v>1.2390311770127675E-2</c:v>
                </c:pt>
                <c:pt idx="15">
                  <c:v>1.2253160619000263E-2</c:v>
                </c:pt>
                <c:pt idx="16">
                  <c:v>1.2117632558418742E-2</c:v>
                </c:pt>
                <c:pt idx="17">
                  <c:v>1.1983727588383107E-2</c:v>
                </c:pt>
                <c:pt idx="18">
                  <c:v>1.1851445708893356E-2</c:v>
                </c:pt>
                <c:pt idx="19">
                  <c:v>1.1720786919949494E-2</c:v>
                </c:pt>
                <c:pt idx="20">
                  <c:v>1.1591751221551518E-2</c:v>
                </c:pt>
                <c:pt idx="21">
                  <c:v>1.1464338613699427E-2</c:v>
                </c:pt>
                <c:pt idx="22">
                  <c:v>1.1338549096393223E-2</c:v>
                </c:pt>
                <c:pt idx="23">
                  <c:v>1.1214382669632907E-2</c:v>
                </c:pt>
                <c:pt idx="24">
                  <c:v>1.1091839333418476E-2</c:v>
                </c:pt>
                <c:pt idx="25">
                  <c:v>1.0970919087749931E-2</c:v>
                </c:pt>
                <c:pt idx="26">
                  <c:v>1.0851621932627273E-2</c:v>
                </c:pt>
                <c:pt idx="27">
                  <c:v>1.0733947868050504E-2</c:v>
                </c:pt>
                <c:pt idx="28">
                  <c:v>1.0617896894019617E-2</c:v>
                </c:pt>
                <c:pt idx="29">
                  <c:v>1.050346901053462E-2</c:v>
                </c:pt>
                <c:pt idx="30">
                  <c:v>1.0390664217595507E-2</c:v>
                </c:pt>
                <c:pt idx="31">
                  <c:v>1.0279482515202283E-2</c:v>
                </c:pt>
                <c:pt idx="32">
                  <c:v>1.0169923903354944E-2</c:v>
                </c:pt>
                <c:pt idx="33">
                  <c:v>1.0061988382053492E-2</c:v>
                </c:pt>
                <c:pt idx="34">
                  <c:v>9.9556759512979265E-3</c:v>
                </c:pt>
                <c:pt idx="35">
                  <c:v>9.8509866110882485E-3</c:v>
                </c:pt>
                <c:pt idx="36">
                  <c:v>9.7479203614244548E-3</c:v>
                </c:pt>
                <c:pt idx="37">
                  <c:v>9.6464772023065488E-3</c:v>
                </c:pt>
                <c:pt idx="38">
                  <c:v>9.5466571337345287E-3</c:v>
                </c:pt>
                <c:pt idx="39">
                  <c:v>9.4484601557083964E-3</c:v>
                </c:pt>
                <c:pt idx="40">
                  <c:v>9.35188626822815E-3</c:v>
                </c:pt>
                <c:pt idx="41">
                  <c:v>9.2569354712937896E-3</c:v>
                </c:pt>
                <c:pt idx="42">
                  <c:v>9.1636077649053169E-3</c:v>
                </c:pt>
                <c:pt idx="43">
                  <c:v>9.0719031490627284E-3</c:v>
                </c:pt>
                <c:pt idx="44">
                  <c:v>8.9818216237660276E-3</c:v>
                </c:pt>
                <c:pt idx="45">
                  <c:v>8.8933631890152146E-3</c:v>
                </c:pt>
                <c:pt idx="46">
                  <c:v>8.8065278448102857E-3</c:v>
                </c:pt>
                <c:pt idx="47">
                  <c:v>8.7213155911512463E-3</c:v>
                </c:pt>
                <c:pt idx="48">
                  <c:v>8.6377264280380912E-3</c:v>
                </c:pt>
                <c:pt idx="49">
                  <c:v>8.555760355470822E-3</c:v>
                </c:pt>
                <c:pt idx="50">
                  <c:v>8.4754173734494405E-3</c:v>
                </c:pt>
                <c:pt idx="51">
                  <c:v>8.3966974819739467E-3</c:v>
                </c:pt>
                <c:pt idx="52">
                  <c:v>8.3196006810443372E-3</c:v>
                </c:pt>
                <c:pt idx="53">
                  <c:v>8.2441269706606153E-3</c:v>
                </c:pt>
                <c:pt idx="54">
                  <c:v>8.1702763508227794E-3</c:v>
                </c:pt>
                <c:pt idx="55">
                  <c:v>8.0980488215308313E-3</c:v>
                </c:pt>
                <c:pt idx="56">
                  <c:v>8.0274443827847673E-3</c:v>
                </c:pt>
                <c:pt idx="57">
                  <c:v>7.9584630345845911E-3</c:v>
                </c:pt>
                <c:pt idx="58">
                  <c:v>7.8911047769303026E-3</c:v>
                </c:pt>
                <c:pt idx="59">
                  <c:v>7.8253696098218983E-3</c:v>
                </c:pt>
                <c:pt idx="60">
                  <c:v>7.7612575332593817E-3</c:v>
                </c:pt>
                <c:pt idx="61">
                  <c:v>7.6987685472427528E-3</c:v>
                </c:pt>
                <c:pt idx="62">
                  <c:v>7.637902651772009E-3</c:v>
                </c:pt>
                <c:pt idx="63">
                  <c:v>7.5786598468471512E-3</c:v>
                </c:pt>
                <c:pt idx="64">
                  <c:v>7.5210401324681811E-3</c:v>
                </c:pt>
                <c:pt idx="65">
                  <c:v>7.4650435086350969E-3</c:v>
                </c:pt>
                <c:pt idx="66">
                  <c:v>7.4106699753478987E-3</c:v>
                </c:pt>
                <c:pt idx="67">
                  <c:v>7.3579195326065874E-3</c:v>
                </c:pt>
                <c:pt idx="68">
                  <c:v>7.3067921804111629E-3</c:v>
                </c:pt>
                <c:pt idx="69">
                  <c:v>7.2572879187616252E-3</c:v>
                </c:pt>
                <c:pt idx="70">
                  <c:v>7.2094067476579735E-3</c:v>
                </c:pt>
                <c:pt idx="71">
                  <c:v>7.1631486671002087E-3</c:v>
                </c:pt>
                <c:pt idx="72">
                  <c:v>7.1185136770883289E-3</c:v>
                </c:pt>
                <c:pt idx="73">
                  <c:v>7.0755017776223377E-3</c:v>
                </c:pt>
                <c:pt idx="74">
                  <c:v>7.0341129687022316E-3</c:v>
                </c:pt>
                <c:pt idx="75">
                  <c:v>6.9943472503280132E-3</c:v>
                </c:pt>
                <c:pt idx="76">
                  <c:v>6.95620462249968E-3</c:v>
                </c:pt>
                <c:pt idx="77">
                  <c:v>6.9196850852172344E-3</c:v>
                </c:pt>
                <c:pt idx="78">
                  <c:v>6.8847886384806739E-3</c:v>
                </c:pt>
                <c:pt idx="79">
                  <c:v>6.8515152822900011E-3</c:v>
                </c:pt>
                <c:pt idx="80">
                  <c:v>6.8198650166452143E-3</c:v>
                </c:pt>
                <c:pt idx="81">
                  <c:v>6.7898378415463135E-3</c:v>
                </c:pt>
                <c:pt idx="82">
                  <c:v>6.7614337569933004E-3</c:v>
                </c:pt>
                <c:pt idx="83">
                  <c:v>6.7346527629861732E-3</c:v>
                </c:pt>
                <c:pt idx="84">
                  <c:v>6.709494859524932E-3</c:v>
                </c:pt>
                <c:pt idx="85">
                  <c:v>6.6859600466095776E-3</c:v>
                </c:pt>
                <c:pt idx="86">
                  <c:v>6.6640483242401101E-3</c:v>
                </c:pt>
                <c:pt idx="87">
                  <c:v>6.6437596924165294E-3</c:v>
                </c:pt>
                <c:pt idx="88">
                  <c:v>6.6250941511388347E-3</c:v>
                </c:pt>
                <c:pt idx="89">
                  <c:v>6.608051700407026E-3</c:v>
                </c:pt>
                <c:pt idx="90">
                  <c:v>6.5926323402211041E-3</c:v>
                </c:pt>
                <c:pt idx="91">
                  <c:v>6.578836070581069E-3</c:v>
                </c:pt>
                <c:pt idx="92">
                  <c:v>6.5666628914869208E-3</c:v>
                </c:pt>
                <c:pt idx="93">
                  <c:v>6.5561128029386585E-3</c:v>
                </c:pt>
                <c:pt idx="94">
                  <c:v>6.5471858049362831E-3</c:v>
                </c:pt>
                <c:pt idx="95">
                  <c:v>6.5398818974797936E-3</c:v>
                </c:pt>
                <c:pt idx="96">
                  <c:v>6.534201080569191E-3</c:v>
                </c:pt>
                <c:pt idx="97">
                  <c:v>6.5301433542044743E-3</c:v>
                </c:pt>
                <c:pt idx="98">
                  <c:v>6.5277087183856445E-3</c:v>
                </c:pt>
                <c:pt idx="99">
                  <c:v>6.5268971731127015E-3</c:v>
                </c:pt>
              </c:numCache>
            </c:numRef>
          </c:xVal>
          <c:yVal>
            <c:numRef>
              <c:f>CDCL!$M$4:$M$103</c:f>
              <c:numCache>
                <c:formatCode>General</c:formatCode>
                <c:ptCount val="100"/>
                <c:pt idx="0">
                  <c:v>0.66970132936809146</c:v>
                </c:pt>
                <c:pt idx="1">
                  <c:v>0.6624988740323341</c:v>
                </c:pt>
                <c:pt idx="2">
                  <c:v>0.65529641869657662</c:v>
                </c:pt>
                <c:pt idx="3">
                  <c:v>0.64809396336081926</c:v>
                </c:pt>
                <c:pt idx="4">
                  <c:v>0.64089150802506178</c:v>
                </c:pt>
                <c:pt idx="5">
                  <c:v>0.63368905268930442</c:v>
                </c:pt>
                <c:pt idx="6">
                  <c:v>0.62648659735354706</c:v>
                </c:pt>
                <c:pt idx="7">
                  <c:v>0.61928414201778959</c:v>
                </c:pt>
                <c:pt idx="8">
                  <c:v>0.61208168668203222</c:v>
                </c:pt>
                <c:pt idx="9">
                  <c:v>0.60487923134627475</c:v>
                </c:pt>
                <c:pt idx="10">
                  <c:v>0.59767677601051739</c:v>
                </c:pt>
                <c:pt idx="11">
                  <c:v>0.59047432067476002</c:v>
                </c:pt>
                <c:pt idx="12">
                  <c:v>0.58327186533900255</c:v>
                </c:pt>
                <c:pt idx="13">
                  <c:v>0.57606941000324519</c:v>
                </c:pt>
                <c:pt idx="14">
                  <c:v>0.56886695466748782</c:v>
                </c:pt>
                <c:pt idx="15">
                  <c:v>0.56166449933173035</c:v>
                </c:pt>
                <c:pt idx="16">
                  <c:v>0.55446204399597299</c:v>
                </c:pt>
                <c:pt idx="17">
                  <c:v>0.54725958866021562</c:v>
                </c:pt>
                <c:pt idx="18">
                  <c:v>0.54005713332445815</c:v>
                </c:pt>
                <c:pt idx="19">
                  <c:v>0.53285467798870079</c:v>
                </c:pt>
                <c:pt idx="20">
                  <c:v>0.52565222265294331</c:v>
                </c:pt>
                <c:pt idx="21">
                  <c:v>0.51844976731718595</c:v>
                </c:pt>
                <c:pt idx="22">
                  <c:v>0.51124731198142848</c:v>
                </c:pt>
                <c:pt idx="23">
                  <c:v>0.50404485664567111</c:v>
                </c:pt>
                <c:pt idx="24">
                  <c:v>0.49684240130991375</c:v>
                </c:pt>
                <c:pt idx="25">
                  <c:v>0.48963994597415633</c:v>
                </c:pt>
                <c:pt idx="26">
                  <c:v>0.48243749063839891</c:v>
                </c:pt>
                <c:pt idx="27">
                  <c:v>0.47523503530264155</c:v>
                </c:pt>
                <c:pt idx="28">
                  <c:v>0.46803257996688408</c:v>
                </c:pt>
                <c:pt idx="29">
                  <c:v>0.46083012463112671</c:v>
                </c:pt>
                <c:pt idx="30">
                  <c:v>0.45362766929536924</c:v>
                </c:pt>
                <c:pt idx="31">
                  <c:v>0.44642521395961188</c:v>
                </c:pt>
                <c:pt idx="32">
                  <c:v>0.43922275862385451</c:v>
                </c:pt>
                <c:pt idx="33">
                  <c:v>0.43202030328809704</c:v>
                </c:pt>
                <c:pt idx="34">
                  <c:v>0.42481784795233968</c:v>
                </c:pt>
                <c:pt idx="35">
                  <c:v>0.41761539261658226</c:v>
                </c:pt>
                <c:pt idx="36">
                  <c:v>0.41041293728082484</c:v>
                </c:pt>
                <c:pt idx="37">
                  <c:v>0.40321048194506742</c:v>
                </c:pt>
                <c:pt idx="38">
                  <c:v>0.39600802660931006</c:v>
                </c:pt>
                <c:pt idx="39">
                  <c:v>0.38880557127355264</c:v>
                </c:pt>
                <c:pt idx="40">
                  <c:v>0.38160311593779522</c:v>
                </c:pt>
                <c:pt idx="41">
                  <c:v>0.37440066060203786</c:v>
                </c:pt>
                <c:pt idx="42">
                  <c:v>0.36719820526628044</c:v>
                </c:pt>
                <c:pt idx="43">
                  <c:v>0.35999574993052302</c:v>
                </c:pt>
                <c:pt idx="44">
                  <c:v>0.35279329459476561</c:v>
                </c:pt>
                <c:pt idx="45">
                  <c:v>0.34559083925900819</c:v>
                </c:pt>
                <c:pt idx="46">
                  <c:v>0.33838838392325077</c:v>
                </c:pt>
                <c:pt idx="47">
                  <c:v>0.33118592858749341</c:v>
                </c:pt>
                <c:pt idx="48">
                  <c:v>0.32398347325173599</c:v>
                </c:pt>
                <c:pt idx="49">
                  <c:v>0.31678101791597862</c:v>
                </c:pt>
                <c:pt idx="50">
                  <c:v>0.30957856258022121</c:v>
                </c:pt>
                <c:pt idx="51">
                  <c:v>0.30237610724446379</c:v>
                </c:pt>
                <c:pt idx="52">
                  <c:v>0.29517365190870637</c:v>
                </c:pt>
                <c:pt idx="53">
                  <c:v>0.28797119657294895</c:v>
                </c:pt>
                <c:pt idx="54">
                  <c:v>0.28076874123719159</c:v>
                </c:pt>
                <c:pt idx="55">
                  <c:v>0.27356628590143417</c:v>
                </c:pt>
                <c:pt idx="56">
                  <c:v>0.26636383056567675</c:v>
                </c:pt>
                <c:pt idx="57">
                  <c:v>0.25916137522991933</c:v>
                </c:pt>
                <c:pt idx="58">
                  <c:v>0.25195891989416191</c:v>
                </c:pt>
                <c:pt idx="59">
                  <c:v>0.2447564645584045</c:v>
                </c:pt>
                <c:pt idx="60">
                  <c:v>0.23755400922264708</c:v>
                </c:pt>
                <c:pt idx="61">
                  <c:v>0.23035155388688977</c:v>
                </c:pt>
                <c:pt idx="62">
                  <c:v>0.22314909855113235</c:v>
                </c:pt>
                <c:pt idx="63">
                  <c:v>0.21594664321537493</c:v>
                </c:pt>
                <c:pt idx="64">
                  <c:v>0.20874418787961752</c:v>
                </c:pt>
                <c:pt idx="65">
                  <c:v>0.2015417325438601</c:v>
                </c:pt>
                <c:pt idx="66">
                  <c:v>0.19433927720810268</c:v>
                </c:pt>
                <c:pt idx="67">
                  <c:v>0.18713682187234526</c:v>
                </c:pt>
                <c:pt idx="68">
                  <c:v>0.1799343665365879</c:v>
                </c:pt>
                <c:pt idx="69">
                  <c:v>0.17273191120083048</c:v>
                </c:pt>
                <c:pt idx="70">
                  <c:v>0.16552945586507306</c:v>
                </c:pt>
                <c:pt idx="71">
                  <c:v>0.1583270005293157</c:v>
                </c:pt>
                <c:pt idx="72">
                  <c:v>0.15112454519355822</c:v>
                </c:pt>
                <c:pt idx="73">
                  <c:v>0.14392208985780086</c:v>
                </c:pt>
                <c:pt idx="74">
                  <c:v>0.13671963452204339</c:v>
                </c:pt>
                <c:pt idx="75">
                  <c:v>0.12951717918628614</c:v>
                </c:pt>
                <c:pt idx="76">
                  <c:v>0.12231472385052866</c:v>
                </c:pt>
                <c:pt idx="77">
                  <c:v>0.1151122685147713</c:v>
                </c:pt>
                <c:pt idx="78">
                  <c:v>0.10790981317901382</c:v>
                </c:pt>
                <c:pt idx="79">
                  <c:v>0.10070735784325646</c:v>
                </c:pt>
                <c:pt idx="80">
                  <c:v>9.3504902507498988E-2</c:v>
                </c:pt>
                <c:pt idx="81">
                  <c:v>8.6302447171741625E-2</c:v>
                </c:pt>
                <c:pt idx="82">
                  <c:v>7.9099991835984262E-2</c:v>
                </c:pt>
                <c:pt idx="83">
                  <c:v>7.1897536500226789E-2</c:v>
                </c:pt>
                <c:pt idx="84">
                  <c:v>6.4695081164469426E-2</c:v>
                </c:pt>
                <c:pt idx="85">
                  <c:v>5.7492625828711952E-2</c:v>
                </c:pt>
                <c:pt idx="86">
                  <c:v>5.0290170492954589E-2</c:v>
                </c:pt>
                <c:pt idx="87">
                  <c:v>4.3087715157197115E-2</c:v>
                </c:pt>
                <c:pt idx="88">
                  <c:v>3.5885259821439752E-2</c:v>
                </c:pt>
                <c:pt idx="89">
                  <c:v>2.8682804485682389E-2</c:v>
                </c:pt>
                <c:pt idx="90">
                  <c:v>2.1480349149924916E-2</c:v>
                </c:pt>
                <c:pt idx="91">
                  <c:v>1.4277893814167553E-2</c:v>
                </c:pt>
                <c:pt idx="92">
                  <c:v>7.0754384784100788E-3</c:v>
                </c:pt>
                <c:pt idx="93">
                  <c:v>-1.2701685734728407E-4</c:v>
                </c:pt>
                <c:pt idx="94">
                  <c:v>-7.3294721931046469E-3</c:v>
                </c:pt>
                <c:pt idx="95">
                  <c:v>-1.4531927528862121E-2</c:v>
                </c:pt>
                <c:pt idx="96">
                  <c:v>-2.1734382864619484E-2</c:v>
                </c:pt>
                <c:pt idx="97">
                  <c:v>-2.8936838200376958E-2</c:v>
                </c:pt>
                <c:pt idx="98">
                  <c:v>-3.6139293536134209E-2</c:v>
                </c:pt>
                <c:pt idx="99">
                  <c:v>-4.3341748871891794E-2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7BD-4886-BD54-0C0C54271E09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CDCL!$O$4:$O$103</c:f>
              <c:numCache>
                <c:formatCode>General</c:formatCode>
                <c:ptCount val="100"/>
                <c:pt idx="0">
                  <c:v>0.19743764660351432</c:v>
                </c:pt>
                <c:pt idx="1">
                  <c:v>0.19416690508588386</c:v>
                </c:pt>
                <c:pt idx="2">
                  <c:v>0.19092426588657879</c:v>
                </c:pt>
                <c:pt idx="3">
                  <c:v>0.18770972900559943</c:v>
                </c:pt>
                <c:pt idx="4">
                  <c:v>0.1845232944429456</c:v>
                </c:pt>
                <c:pt idx="5">
                  <c:v>0.18136496219861728</c:v>
                </c:pt>
                <c:pt idx="6">
                  <c:v>0.1782347322726146</c:v>
                </c:pt>
                <c:pt idx="7">
                  <c:v>0.17513260466493752</c:v>
                </c:pt>
                <c:pt idx="8">
                  <c:v>0.17205857937558583</c:v>
                </c:pt>
                <c:pt idx="9">
                  <c:v>0.16901265640455984</c:v>
                </c:pt>
                <c:pt idx="10">
                  <c:v>0.16599483575185944</c:v>
                </c:pt>
                <c:pt idx="11">
                  <c:v>0.16300511741748447</c:v>
                </c:pt>
                <c:pt idx="12">
                  <c:v>0.16004350140143514</c:v>
                </c:pt>
                <c:pt idx="13">
                  <c:v>0.15710998770371146</c:v>
                </c:pt>
                <c:pt idx="14">
                  <c:v>0.1542045763243132</c:v>
                </c:pt>
                <c:pt idx="15">
                  <c:v>0.15132726726324058</c:v>
                </c:pt>
                <c:pt idx="16">
                  <c:v>0.14847806052049356</c:v>
                </c:pt>
                <c:pt idx="17">
                  <c:v>0.14565695609607199</c:v>
                </c:pt>
                <c:pt idx="18">
                  <c:v>0.14286395398997606</c:v>
                </c:pt>
                <c:pt idx="19">
                  <c:v>0.14009905420220575</c:v>
                </c:pt>
                <c:pt idx="20">
                  <c:v>0.13736225673276087</c:v>
                </c:pt>
                <c:pt idx="21">
                  <c:v>0.13465356158164163</c:v>
                </c:pt>
                <c:pt idx="22">
                  <c:v>0.1319729687488479</c:v>
                </c:pt>
                <c:pt idx="23">
                  <c:v>0.12932047823437984</c:v>
                </c:pt>
                <c:pt idx="24">
                  <c:v>0.12669609003823729</c:v>
                </c:pt>
                <c:pt idx="25">
                  <c:v>0.12409980416042024</c:v>
                </c:pt>
                <c:pt idx="26">
                  <c:v>0.12153162060092886</c:v>
                </c:pt>
                <c:pt idx="27">
                  <c:v>0.11899153935976302</c:v>
                </c:pt>
                <c:pt idx="28">
                  <c:v>0.1164795604369227</c:v>
                </c:pt>
                <c:pt idx="29">
                  <c:v>0.11399568383240799</c:v>
                </c:pt>
                <c:pt idx="30">
                  <c:v>0.11153990954621884</c:v>
                </c:pt>
                <c:pt idx="31">
                  <c:v>0.10911223757835523</c:v>
                </c:pt>
                <c:pt idx="32">
                  <c:v>0.10671266792881717</c:v>
                </c:pt>
                <c:pt idx="33">
                  <c:v>0.10434120059760472</c:v>
                </c:pt>
                <c:pt idx="34">
                  <c:v>0.1019978355847178</c:v>
                </c:pt>
                <c:pt idx="35">
                  <c:v>9.9682572890156473E-2</c:v>
                </c:pt>
                <c:pt idx="36">
                  <c:v>9.7395412513920698E-2</c:v>
                </c:pt>
                <c:pt idx="37">
                  <c:v>9.5136354456010486E-2</c:v>
                </c:pt>
                <c:pt idx="38">
                  <c:v>9.2905398716425808E-2</c:v>
                </c:pt>
                <c:pt idx="39">
                  <c:v>9.0702545295166748E-2</c:v>
                </c:pt>
                <c:pt idx="40">
                  <c:v>8.8527794192233222E-2</c:v>
                </c:pt>
                <c:pt idx="41">
                  <c:v>8.6381145407625259E-2</c:v>
                </c:pt>
                <c:pt idx="42">
                  <c:v>8.4262598941342887E-2</c:v>
                </c:pt>
                <c:pt idx="43">
                  <c:v>8.2172154793386049E-2</c:v>
                </c:pt>
                <c:pt idx="44">
                  <c:v>8.0109812963754787E-2</c:v>
                </c:pt>
                <c:pt idx="45">
                  <c:v>7.8075573452449087E-2</c:v>
                </c:pt>
                <c:pt idx="46">
                  <c:v>7.6069436259468964E-2</c:v>
                </c:pt>
                <c:pt idx="47">
                  <c:v>7.409140138481439E-2</c:v>
                </c:pt>
                <c:pt idx="48">
                  <c:v>7.2141468828485392E-2</c:v>
                </c:pt>
                <c:pt idx="49">
                  <c:v>7.0219638590481942E-2</c:v>
                </c:pt>
                <c:pt idx="50">
                  <c:v>6.8325910670804069E-2</c:v>
                </c:pt>
                <c:pt idx="51">
                  <c:v>6.6460285069451758E-2</c:v>
                </c:pt>
                <c:pt idx="52">
                  <c:v>6.4622761786425009E-2</c:v>
                </c:pt>
                <c:pt idx="53">
                  <c:v>6.2813340821723837E-2</c:v>
                </c:pt>
                <c:pt idx="54">
                  <c:v>6.1032022175348213E-2</c:v>
                </c:pt>
                <c:pt idx="55">
                  <c:v>5.9278805847298124E-2</c:v>
                </c:pt>
                <c:pt idx="56">
                  <c:v>5.7553691837573667E-2</c:v>
                </c:pt>
                <c:pt idx="57">
                  <c:v>5.5856680146174759E-2</c:v>
                </c:pt>
                <c:pt idx="58">
                  <c:v>5.4187770773101364E-2</c:v>
                </c:pt>
                <c:pt idx="59">
                  <c:v>5.2546963718353587E-2</c:v>
                </c:pt>
                <c:pt idx="60">
                  <c:v>5.0934258981931352E-2</c:v>
                </c:pt>
                <c:pt idx="61">
                  <c:v>4.93496565638347E-2</c:v>
                </c:pt>
                <c:pt idx="62">
                  <c:v>4.7793156464063596E-2</c:v>
                </c:pt>
                <c:pt idx="63">
                  <c:v>4.6264758682618069E-2</c:v>
                </c:pt>
                <c:pt idx="64">
                  <c:v>4.4764463219498063E-2</c:v>
                </c:pt>
                <c:pt idx="65">
                  <c:v>4.3292270074703681E-2</c:v>
                </c:pt>
                <c:pt idx="66">
                  <c:v>4.1848179248234849E-2</c:v>
                </c:pt>
                <c:pt idx="67">
                  <c:v>4.0432190740091536E-2</c:v>
                </c:pt>
                <c:pt idx="68">
                  <c:v>3.9044304550273842E-2</c:v>
                </c:pt>
                <c:pt idx="69">
                  <c:v>3.7684520678781683E-2</c:v>
                </c:pt>
                <c:pt idx="70">
                  <c:v>3.6352839125615113E-2</c:v>
                </c:pt>
                <c:pt idx="71">
                  <c:v>3.5049259890774086E-2</c:v>
                </c:pt>
                <c:pt idx="72">
                  <c:v>3.377378297425862E-2</c:v>
                </c:pt>
                <c:pt idx="73">
                  <c:v>3.2526408376068724E-2</c:v>
                </c:pt>
                <c:pt idx="74">
                  <c:v>3.1307136096204405E-2</c:v>
                </c:pt>
                <c:pt idx="75">
                  <c:v>3.0115966134665641E-2</c:v>
                </c:pt>
                <c:pt idx="76">
                  <c:v>2.8952898491452453E-2</c:v>
                </c:pt>
                <c:pt idx="77">
                  <c:v>2.7817933166564817E-2</c:v>
                </c:pt>
                <c:pt idx="78">
                  <c:v>2.6711070160002737E-2</c:v>
                </c:pt>
                <c:pt idx="79">
                  <c:v>2.5632309471766236E-2</c:v>
                </c:pt>
                <c:pt idx="80">
                  <c:v>2.4581651101855301E-2</c:v>
                </c:pt>
                <c:pt idx="81">
                  <c:v>2.3559095050269926E-2</c:v>
                </c:pt>
                <c:pt idx="82">
                  <c:v>2.2564641317010123E-2</c:v>
                </c:pt>
                <c:pt idx="83">
                  <c:v>2.1598289902075872E-2</c:v>
                </c:pt>
                <c:pt idx="84">
                  <c:v>2.066004080546718E-2</c:v>
                </c:pt>
                <c:pt idx="85">
                  <c:v>1.9749894027184078E-2</c:v>
                </c:pt>
                <c:pt idx="86">
                  <c:v>1.8867849567226515E-2</c:v>
                </c:pt>
                <c:pt idx="87">
                  <c:v>1.8013907425594521E-2</c:v>
                </c:pt>
                <c:pt idx="88">
                  <c:v>1.7188067602288096E-2</c:v>
                </c:pt>
                <c:pt idx="89">
                  <c:v>1.639033009730724E-2</c:v>
                </c:pt>
                <c:pt idx="90">
                  <c:v>1.5620694910651945E-2</c:v>
                </c:pt>
                <c:pt idx="91">
                  <c:v>1.4879162042322208E-2</c:v>
                </c:pt>
                <c:pt idx="92">
                  <c:v>1.4165731492318053E-2</c:v>
                </c:pt>
                <c:pt idx="93">
                  <c:v>1.3480403260639444E-2</c:v>
                </c:pt>
                <c:pt idx="94">
                  <c:v>1.2823177347286418E-2</c:v>
                </c:pt>
                <c:pt idx="95">
                  <c:v>1.2194053752258939E-2</c:v>
                </c:pt>
                <c:pt idx="96">
                  <c:v>1.1593032475557031E-2</c:v>
                </c:pt>
                <c:pt idx="97">
                  <c:v>1.1020113517180682E-2</c:v>
                </c:pt>
                <c:pt idx="98">
                  <c:v>1.0475296877129912E-2</c:v>
                </c:pt>
                <c:pt idx="99">
                  <c:v>9.9585825554046915E-3</c:v>
                </c:pt>
              </c:numCache>
            </c:numRef>
          </c:xVal>
          <c:yVal>
            <c:numRef>
              <c:f>CDCL!$P$4:$P$103</c:f>
              <c:numCache>
                <c:formatCode>General</c:formatCode>
                <c:ptCount val="100"/>
                <c:pt idx="0">
                  <c:v>-0.58922300842456532</c:v>
                </c:pt>
                <c:pt idx="1">
                  <c:v>-0.58587025920486135</c:v>
                </c:pt>
                <c:pt idx="2">
                  <c:v>-0.58251750998515728</c:v>
                </c:pt>
                <c:pt idx="3">
                  <c:v>-0.57916476076545331</c:v>
                </c:pt>
                <c:pt idx="4">
                  <c:v>-0.57581201154574935</c:v>
                </c:pt>
                <c:pt idx="5">
                  <c:v>-0.57245926232604527</c:v>
                </c:pt>
                <c:pt idx="6">
                  <c:v>-0.56910651310634131</c:v>
                </c:pt>
                <c:pt idx="7">
                  <c:v>-0.56575376388663734</c:v>
                </c:pt>
                <c:pt idx="8">
                  <c:v>-0.56240101466693326</c:v>
                </c:pt>
                <c:pt idx="9">
                  <c:v>-0.5590482654472293</c:v>
                </c:pt>
                <c:pt idx="10">
                  <c:v>-0.55569551622752533</c:v>
                </c:pt>
                <c:pt idx="11">
                  <c:v>-0.55234276700782126</c:v>
                </c:pt>
                <c:pt idx="12">
                  <c:v>-0.54899001778811729</c:v>
                </c:pt>
                <c:pt idx="13">
                  <c:v>-0.54563726856841333</c:v>
                </c:pt>
                <c:pt idx="14">
                  <c:v>-0.54228451934870925</c:v>
                </c:pt>
                <c:pt idx="15">
                  <c:v>-0.53893177012900528</c:v>
                </c:pt>
                <c:pt idx="16">
                  <c:v>-0.53557902090930132</c:v>
                </c:pt>
                <c:pt idx="17">
                  <c:v>-0.53222627168959724</c:v>
                </c:pt>
                <c:pt idx="18">
                  <c:v>-0.52887352246989328</c:v>
                </c:pt>
                <c:pt idx="19">
                  <c:v>-0.52552077325018931</c:v>
                </c:pt>
                <c:pt idx="20">
                  <c:v>-0.52216802403048523</c:v>
                </c:pt>
                <c:pt idx="21">
                  <c:v>-0.51881527481078127</c:v>
                </c:pt>
                <c:pt idx="22">
                  <c:v>-0.51546252559107719</c:v>
                </c:pt>
                <c:pt idx="23">
                  <c:v>-0.51210977637137323</c:v>
                </c:pt>
                <c:pt idx="24">
                  <c:v>-0.50875702715166926</c:v>
                </c:pt>
                <c:pt idx="25">
                  <c:v>-0.50540427793196518</c:v>
                </c:pt>
                <c:pt idx="26">
                  <c:v>-0.50205152871226122</c:v>
                </c:pt>
                <c:pt idx="27">
                  <c:v>-0.49869877949255725</c:v>
                </c:pt>
                <c:pt idx="28">
                  <c:v>-0.49534603027285323</c:v>
                </c:pt>
                <c:pt idx="29">
                  <c:v>-0.49199328105314921</c:v>
                </c:pt>
                <c:pt idx="30">
                  <c:v>-0.48864053183344525</c:v>
                </c:pt>
                <c:pt idx="31">
                  <c:v>-0.48528778261374123</c:v>
                </c:pt>
                <c:pt idx="32">
                  <c:v>-0.4819350333940372</c:v>
                </c:pt>
                <c:pt idx="33">
                  <c:v>-0.47858228417433324</c:v>
                </c:pt>
                <c:pt idx="34">
                  <c:v>-0.47522953495462922</c:v>
                </c:pt>
                <c:pt idx="35">
                  <c:v>-0.4718767857349252</c:v>
                </c:pt>
                <c:pt idx="36">
                  <c:v>-0.46852403651522123</c:v>
                </c:pt>
                <c:pt idx="37">
                  <c:v>-0.46517128729551721</c:v>
                </c:pt>
                <c:pt idx="38">
                  <c:v>-0.46181853807581319</c:v>
                </c:pt>
                <c:pt idx="39">
                  <c:v>-0.45846578885610922</c:v>
                </c:pt>
                <c:pt idx="40">
                  <c:v>-0.4551130396364052</c:v>
                </c:pt>
                <c:pt idx="41">
                  <c:v>-0.45176029041670118</c:v>
                </c:pt>
                <c:pt idx="42">
                  <c:v>-0.44840754119699722</c:v>
                </c:pt>
                <c:pt idx="43">
                  <c:v>-0.4450547919772932</c:v>
                </c:pt>
                <c:pt idx="44">
                  <c:v>-0.44170204275758918</c:v>
                </c:pt>
                <c:pt idx="45">
                  <c:v>-0.43834929353788521</c:v>
                </c:pt>
                <c:pt idx="46">
                  <c:v>-0.43499654431818119</c:v>
                </c:pt>
                <c:pt idx="47">
                  <c:v>-0.43164379509847717</c:v>
                </c:pt>
                <c:pt idx="48">
                  <c:v>-0.4282910458787732</c:v>
                </c:pt>
                <c:pt idx="49">
                  <c:v>-0.42493829665906918</c:v>
                </c:pt>
                <c:pt idx="50">
                  <c:v>-0.42158554743936516</c:v>
                </c:pt>
                <c:pt idx="51">
                  <c:v>-0.41823279821966119</c:v>
                </c:pt>
                <c:pt idx="52">
                  <c:v>-0.41488004899995717</c:v>
                </c:pt>
                <c:pt idx="53">
                  <c:v>-0.41152729978025315</c:v>
                </c:pt>
                <c:pt idx="54">
                  <c:v>-0.40817455056054919</c:v>
                </c:pt>
                <c:pt idx="55">
                  <c:v>-0.40482180134084511</c:v>
                </c:pt>
                <c:pt idx="56">
                  <c:v>-0.40146905212114115</c:v>
                </c:pt>
                <c:pt idx="57">
                  <c:v>-0.39811630290143718</c:v>
                </c:pt>
                <c:pt idx="58">
                  <c:v>-0.3947635536817331</c:v>
                </c:pt>
                <c:pt idx="59">
                  <c:v>-0.39141080446202914</c:v>
                </c:pt>
                <c:pt idx="60">
                  <c:v>-0.38805805524232512</c:v>
                </c:pt>
                <c:pt idx="61">
                  <c:v>-0.38470530602262115</c:v>
                </c:pt>
                <c:pt idx="62">
                  <c:v>-0.38135255680291713</c:v>
                </c:pt>
                <c:pt idx="63">
                  <c:v>-0.37799980758321317</c:v>
                </c:pt>
                <c:pt idx="64">
                  <c:v>-0.37464705836350909</c:v>
                </c:pt>
                <c:pt idx="65">
                  <c:v>-0.37129430914380512</c:v>
                </c:pt>
                <c:pt idx="66">
                  <c:v>-0.36794155992410116</c:v>
                </c:pt>
                <c:pt idx="67">
                  <c:v>-0.36458881070439708</c:v>
                </c:pt>
                <c:pt idx="68">
                  <c:v>-0.36123606148469312</c:v>
                </c:pt>
                <c:pt idx="69">
                  <c:v>-0.3578833122649891</c:v>
                </c:pt>
                <c:pt idx="70">
                  <c:v>-0.35453056304528513</c:v>
                </c:pt>
                <c:pt idx="71">
                  <c:v>-0.35117781382558111</c:v>
                </c:pt>
                <c:pt idx="72">
                  <c:v>-0.34782506460587709</c:v>
                </c:pt>
                <c:pt idx="73">
                  <c:v>-0.34447231538617307</c:v>
                </c:pt>
                <c:pt idx="74">
                  <c:v>-0.3411195661664691</c:v>
                </c:pt>
                <c:pt idx="75">
                  <c:v>-0.33776681694676508</c:v>
                </c:pt>
                <c:pt idx="76">
                  <c:v>-0.33441406772706112</c:v>
                </c:pt>
                <c:pt idx="77">
                  <c:v>-0.33106131850735709</c:v>
                </c:pt>
                <c:pt idx="78">
                  <c:v>-0.32770856928765307</c:v>
                </c:pt>
                <c:pt idx="79">
                  <c:v>-0.32435582006794905</c:v>
                </c:pt>
                <c:pt idx="80">
                  <c:v>-0.32100307084824509</c:v>
                </c:pt>
                <c:pt idx="81">
                  <c:v>-0.31765032162854107</c:v>
                </c:pt>
                <c:pt idx="82">
                  <c:v>-0.3142975724088371</c:v>
                </c:pt>
                <c:pt idx="83">
                  <c:v>-0.31094482318913308</c:v>
                </c:pt>
                <c:pt idx="84">
                  <c:v>-0.30759207396942906</c:v>
                </c:pt>
                <c:pt idx="85">
                  <c:v>-0.30423932474972509</c:v>
                </c:pt>
                <c:pt idx="86">
                  <c:v>-0.30088657553002107</c:v>
                </c:pt>
                <c:pt idx="87">
                  <c:v>-0.29753382631031705</c:v>
                </c:pt>
                <c:pt idx="88">
                  <c:v>-0.29418107709061303</c:v>
                </c:pt>
                <c:pt idx="89">
                  <c:v>-0.29082832787090906</c:v>
                </c:pt>
                <c:pt idx="90">
                  <c:v>-0.28747557865120504</c:v>
                </c:pt>
                <c:pt idx="91">
                  <c:v>-0.28412282943150102</c:v>
                </c:pt>
                <c:pt idx="92">
                  <c:v>-0.28077008021179706</c:v>
                </c:pt>
                <c:pt idx="93">
                  <c:v>-0.27741733099209304</c:v>
                </c:pt>
                <c:pt idx="94">
                  <c:v>-0.27406458177238907</c:v>
                </c:pt>
                <c:pt idx="95">
                  <c:v>-0.27071183255268505</c:v>
                </c:pt>
                <c:pt idx="96">
                  <c:v>-0.26735908333298103</c:v>
                </c:pt>
                <c:pt idx="97">
                  <c:v>-0.26400633411327701</c:v>
                </c:pt>
                <c:pt idx="98">
                  <c:v>-0.26065358489357304</c:v>
                </c:pt>
                <c:pt idx="99">
                  <c:v>-0.25730083567386902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7BD-4886-BD54-0C0C54271E09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CDCL!$R$4:$R$103</c:f>
              <c:numCache>
                <c:formatCode>General</c:formatCode>
                <c:ptCount val="100"/>
                <c:pt idx="0">
                  <c:v>1.4480852393229483E-2</c:v>
                </c:pt>
                <c:pt idx="1">
                  <c:v>1.4534324288934313E-2</c:v>
                </c:pt>
                <c:pt idx="2">
                  <c:v>1.4594244020643566E-2</c:v>
                </c:pt>
                <c:pt idx="3">
                  <c:v>1.4660611588357249E-2</c:v>
                </c:pt>
                <c:pt idx="4">
                  <c:v>1.4733426992075348E-2</c:v>
                </c:pt>
                <c:pt idx="5">
                  <c:v>1.4812690231797869E-2</c:v>
                </c:pt>
                <c:pt idx="6">
                  <c:v>1.4898401307524813E-2</c:v>
                </c:pt>
                <c:pt idx="7">
                  <c:v>1.499056021925619E-2</c:v>
                </c:pt>
                <c:pt idx="8">
                  <c:v>1.5089166966991981E-2</c:v>
                </c:pt>
                <c:pt idx="9">
                  <c:v>1.5194221550732192E-2</c:v>
                </c:pt>
                <c:pt idx="10">
                  <c:v>1.5305723970476829E-2</c:v>
                </c:pt>
                <c:pt idx="11">
                  <c:v>1.5423674226225885E-2</c:v>
                </c:pt>
                <c:pt idx="12">
                  <c:v>1.5548072317979379E-2</c:v>
                </c:pt>
                <c:pt idx="13">
                  <c:v>1.5678918245737281E-2</c:v>
                </c:pt>
                <c:pt idx="14">
                  <c:v>1.5816212009499609E-2</c:v>
                </c:pt>
                <c:pt idx="15">
                  <c:v>1.5959953609266365E-2</c:v>
                </c:pt>
                <c:pt idx="16">
                  <c:v>1.6110143045037544E-2</c:v>
                </c:pt>
                <c:pt idx="17">
                  <c:v>1.626678031681314E-2</c:v>
                </c:pt>
                <c:pt idx="18">
                  <c:v>1.6429865424593158E-2</c:v>
                </c:pt>
                <c:pt idx="19">
                  <c:v>1.6599398368377604E-2</c:v>
                </c:pt>
                <c:pt idx="20">
                  <c:v>1.6775379148166465E-2</c:v>
                </c:pt>
                <c:pt idx="21">
                  <c:v>1.6957807763959762E-2</c:v>
                </c:pt>
                <c:pt idx="22">
                  <c:v>1.7146684215757477E-2</c:v>
                </c:pt>
                <c:pt idx="23">
                  <c:v>1.734200850355961E-2</c:v>
                </c:pt>
                <c:pt idx="24">
                  <c:v>1.7543780627366164E-2</c:v>
                </c:pt>
                <c:pt idx="25">
                  <c:v>1.7752000587177158E-2</c:v>
                </c:pt>
                <c:pt idx="26">
                  <c:v>1.7966668382992559E-2</c:v>
                </c:pt>
                <c:pt idx="27">
                  <c:v>1.8187784014812379E-2</c:v>
                </c:pt>
                <c:pt idx="28">
                  <c:v>1.8415347482636627E-2</c:v>
                </c:pt>
                <c:pt idx="29">
                  <c:v>1.8649358786465311E-2</c:v>
                </c:pt>
                <c:pt idx="30">
                  <c:v>1.8889817926298406E-2</c:v>
                </c:pt>
                <c:pt idx="31">
                  <c:v>1.9136724902135919E-2</c:v>
                </c:pt>
                <c:pt idx="32">
                  <c:v>1.9390079713977861E-2</c:v>
                </c:pt>
                <c:pt idx="33">
                  <c:v>1.9649882361824217E-2</c:v>
                </c:pt>
                <c:pt idx="34">
                  <c:v>1.9916132845675023E-2</c:v>
                </c:pt>
                <c:pt idx="35">
                  <c:v>2.0188831165530226E-2</c:v>
                </c:pt>
                <c:pt idx="36">
                  <c:v>2.0467977321389854E-2</c:v>
                </c:pt>
                <c:pt idx="37">
                  <c:v>2.0753571313253907E-2</c:v>
                </c:pt>
                <c:pt idx="38">
                  <c:v>2.1045613141122382E-2</c:v>
                </c:pt>
                <c:pt idx="39">
                  <c:v>2.13441028049953E-2</c:v>
                </c:pt>
                <c:pt idx="40">
                  <c:v>2.1649040304872618E-2</c:v>
                </c:pt>
                <c:pt idx="41">
                  <c:v>2.1960425640754361E-2</c:v>
                </c:pt>
                <c:pt idx="42">
                  <c:v>2.2278258812640526E-2</c:v>
                </c:pt>
                <c:pt idx="43">
                  <c:v>2.2602539820531117E-2</c:v>
                </c:pt>
                <c:pt idx="44">
                  <c:v>2.2933268664426149E-2</c:v>
                </c:pt>
                <c:pt idx="45">
                  <c:v>2.3270445344325583E-2</c:v>
                </c:pt>
                <c:pt idx="46">
                  <c:v>2.3614069860229441E-2</c:v>
                </c:pt>
                <c:pt idx="47">
                  <c:v>2.3964142212137718E-2</c:v>
                </c:pt>
                <c:pt idx="48">
                  <c:v>2.4320662400050444E-2</c:v>
                </c:pt>
                <c:pt idx="49">
                  <c:v>2.4683630423967571E-2</c:v>
                </c:pt>
                <c:pt idx="50">
                  <c:v>2.5053046283889119E-2</c:v>
                </c:pt>
                <c:pt idx="51">
                  <c:v>2.542890997981509E-2</c:v>
                </c:pt>
                <c:pt idx="52">
                  <c:v>2.5811221511745489E-2</c:v>
                </c:pt>
                <c:pt idx="53">
                  <c:v>2.619998087968033E-2</c:v>
                </c:pt>
                <c:pt idx="54">
                  <c:v>2.6595188083619568E-2</c:v>
                </c:pt>
                <c:pt idx="55">
                  <c:v>2.6996843123563232E-2</c:v>
                </c:pt>
                <c:pt idx="56">
                  <c:v>2.7404945999511342E-2</c:v>
                </c:pt>
                <c:pt idx="57">
                  <c:v>2.7819496711463849E-2</c:v>
                </c:pt>
                <c:pt idx="58">
                  <c:v>2.8240495259420784E-2</c:v>
                </c:pt>
                <c:pt idx="59">
                  <c:v>2.8667941643382135E-2</c:v>
                </c:pt>
                <c:pt idx="60">
                  <c:v>2.9101835863347914E-2</c:v>
                </c:pt>
                <c:pt idx="61">
                  <c:v>2.9542177919318142E-2</c:v>
                </c:pt>
                <c:pt idx="62">
                  <c:v>2.9988967811292764E-2</c:v>
                </c:pt>
                <c:pt idx="63">
                  <c:v>3.0442205539271808E-2</c:v>
                </c:pt>
                <c:pt idx="64">
                  <c:v>3.0901891103255273E-2</c:v>
                </c:pt>
                <c:pt idx="65">
                  <c:v>3.1368024503243198E-2</c:v>
                </c:pt>
                <c:pt idx="66">
                  <c:v>3.1840605739235507E-2</c:v>
                </c:pt>
                <c:pt idx="67">
                  <c:v>3.2319634811232248E-2</c:v>
                </c:pt>
                <c:pt idx="68">
                  <c:v>3.2805111719233407E-2</c:v>
                </c:pt>
                <c:pt idx="69">
                  <c:v>3.3297036463238984E-2</c:v>
                </c:pt>
                <c:pt idx="70">
                  <c:v>3.3795409043248986E-2</c:v>
                </c:pt>
                <c:pt idx="71">
                  <c:v>3.4300229459263448E-2</c:v>
                </c:pt>
                <c:pt idx="72">
                  <c:v>3.4811497711282301E-2</c:v>
                </c:pt>
                <c:pt idx="73">
                  <c:v>3.5329213799305571E-2</c:v>
                </c:pt>
                <c:pt idx="74">
                  <c:v>3.5853377723333302E-2</c:v>
                </c:pt>
                <c:pt idx="75">
                  <c:v>3.6383989483365423E-2</c:v>
                </c:pt>
                <c:pt idx="76">
                  <c:v>3.6921049079401955E-2</c:v>
                </c:pt>
                <c:pt idx="77">
                  <c:v>3.7464556511442926E-2</c:v>
                </c:pt>
                <c:pt idx="78">
                  <c:v>3.8014511779488315E-2</c:v>
                </c:pt>
                <c:pt idx="79">
                  <c:v>3.8570914883538115E-2</c:v>
                </c:pt>
                <c:pt idx="80">
                  <c:v>3.9133765823592397E-2</c:v>
                </c:pt>
                <c:pt idx="81">
                  <c:v>3.970306459965104E-2</c:v>
                </c:pt>
                <c:pt idx="82">
                  <c:v>4.0278811211714123E-2</c:v>
                </c:pt>
                <c:pt idx="83">
                  <c:v>4.0861005659781666E-2</c:v>
                </c:pt>
                <c:pt idx="84">
                  <c:v>4.1449647943853592E-2</c:v>
                </c:pt>
                <c:pt idx="85">
                  <c:v>4.2044738063929936E-2</c:v>
                </c:pt>
                <c:pt idx="86">
                  <c:v>4.2646276020010698E-2</c:v>
                </c:pt>
                <c:pt idx="87">
                  <c:v>4.3254261812095893E-2</c:v>
                </c:pt>
                <c:pt idx="88">
                  <c:v>4.3868695440185505E-2</c:v>
                </c:pt>
                <c:pt idx="89">
                  <c:v>4.4489576904279585E-2</c:v>
                </c:pt>
                <c:pt idx="90">
                  <c:v>4.5116906204378047E-2</c:v>
                </c:pt>
                <c:pt idx="91">
                  <c:v>4.5750683340480935E-2</c:v>
                </c:pt>
                <c:pt idx="92">
                  <c:v>4.6390908312588276E-2</c:v>
                </c:pt>
                <c:pt idx="93">
                  <c:v>4.7037581120700007E-2</c:v>
                </c:pt>
                <c:pt idx="94">
                  <c:v>4.7690701764816164E-2</c:v>
                </c:pt>
                <c:pt idx="95">
                  <c:v>4.8350270244936731E-2</c:v>
                </c:pt>
                <c:pt idx="96">
                  <c:v>4.9016286561061731E-2</c:v>
                </c:pt>
                <c:pt idx="97">
                  <c:v>4.9688750713191149E-2</c:v>
                </c:pt>
                <c:pt idx="98">
                  <c:v>5.036766270132504E-2</c:v>
                </c:pt>
                <c:pt idx="99">
                  <c:v>5.1053022525463308E-2</c:v>
                </c:pt>
              </c:numCache>
            </c:numRef>
          </c:xVal>
          <c:yVal>
            <c:numRef>
              <c:f>CDCL!$S$4:$S$103</c:f>
              <c:numCache>
                <c:formatCode>General</c:formatCode>
                <c:ptCount val="100"/>
                <c:pt idx="0">
                  <c:v>0.66970132936809146</c:v>
                </c:pt>
                <c:pt idx="1">
                  <c:v>0.67130729773694842</c:v>
                </c:pt>
                <c:pt idx="2">
                  <c:v>0.67291326610580537</c:v>
                </c:pt>
                <c:pt idx="3">
                  <c:v>0.67451923447466244</c:v>
                </c:pt>
                <c:pt idx="4">
                  <c:v>0.6761252028435194</c:v>
                </c:pt>
                <c:pt idx="5">
                  <c:v>0.67773117121237636</c:v>
                </c:pt>
                <c:pt idx="6">
                  <c:v>0.67933713958123332</c:v>
                </c:pt>
                <c:pt idx="7">
                  <c:v>0.68094310795009039</c:v>
                </c:pt>
                <c:pt idx="8">
                  <c:v>0.68254907631894735</c:v>
                </c:pt>
                <c:pt idx="9">
                  <c:v>0.6841550446878043</c:v>
                </c:pt>
                <c:pt idx="10">
                  <c:v>0.68576101305666126</c:v>
                </c:pt>
                <c:pt idx="11">
                  <c:v>0.68736698142551822</c:v>
                </c:pt>
                <c:pt idx="12">
                  <c:v>0.68897294979437529</c:v>
                </c:pt>
                <c:pt idx="13">
                  <c:v>0.69057891816323225</c:v>
                </c:pt>
                <c:pt idx="14">
                  <c:v>0.69218488653208921</c:v>
                </c:pt>
                <c:pt idx="15">
                  <c:v>0.69379085490094616</c:v>
                </c:pt>
                <c:pt idx="16">
                  <c:v>0.69539682326980323</c:v>
                </c:pt>
                <c:pt idx="17">
                  <c:v>0.69700279163866019</c:v>
                </c:pt>
                <c:pt idx="18">
                  <c:v>0.69860876000751715</c:v>
                </c:pt>
                <c:pt idx="19">
                  <c:v>0.70021472837637411</c:v>
                </c:pt>
                <c:pt idx="20">
                  <c:v>0.70182069674523107</c:v>
                </c:pt>
                <c:pt idx="21">
                  <c:v>0.70342666511408813</c:v>
                </c:pt>
                <c:pt idx="22">
                  <c:v>0.70503263348294509</c:v>
                </c:pt>
                <c:pt idx="23">
                  <c:v>0.70663860185180205</c:v>
                </c:pt>
                <c:pt idx="24">
                  <c:v>0.70824457022065901</c:v>
                </c:pt>
                <c:pt idx="25">
                  <c:v>0.70985053858951608</c:v>
                </c:pt>
                <c:pt idx="26">
                  <c:v>0.71145650695837304</c:v>
                </c:pt>
                <c:pt idx="27">
                  <c:v>0.71306247532722999</c:v>
                </c:pt>
                <c:pt idx="28">
                  <c:v>0.71466844369608695</c:v>
                </c:pt>
                <c:pt idx="29">
                  <c:v>0.71627441206494402</c:v>
                </c:pt>
                <c:pt idx="30">
                  <c:v>0.71788038043380098</c:v>
                </c:pt>
                <c:pt idx="31">
                  <c:v>0.71948634880265794</c:v>
                </c:pt>
                <c:pt idx="32">
                  <c:v>0.7210923171715149</c:v>
                </c:pt>
                <c:pt idx="33">
                  <c:v>0.72269828554037185</c:v>
                </c:pt>
                <c:pt idx="34">
                  <c:v>0.72430425390922892</c:v>
                </c:pt>
                <c:pt idx="35">
                  <c:v>0.72591022227808588</c:v>
                </c:pt>
                <c:pt idx="36">
                  <c:v>0.72751619064694284</c:v>
                </c:pt>
                <c:pt idx="37">
                  <c:v>0.7291221590157998</c:v>
                </c:pt>
                <c:pt idx="38">
                  <c:v>0.73072812738465676</c:v>
                </c:pt>
                <c:pt idx="39">
                  <c:v>0.73233409575351383</c:v>
                </c:pt>
                <c:pt idx="40">
                  <c:v>0.73394006412237078</c:v>
                </c:pt>
                <c:pt idx="41">
                  <c:v>0.73554603249122774</c:v>
                </c:pt>
                <c:pt idx="42">
                  <c:v>0.7371520008600847</c:v>
                </c:pt>
                <c:pt idx="43">
                  <c:v>0.73875796922894166</c:v>
                </c:pt>
                <c:pt idx="44">
                  <c:v>0.74036393759779873</c:v>
                </c:pt>
                <c:pt idx="45">
                  <c:v>0.74196990596665569</c:v>
                </c:pt>
                <c:pt idx="46">
                  <c:v>0.74357587433551264</c:v>
                </c:pt>
                <c:pt idx="47">
                  <c:v>0.7451818427043696</c:v>
                </c:pt>
                <c:pt idx="48">
                  <c:v>0.74678781107322667</c:v>
                </c:pt>
                <c:pt idx="49">
                  <c:v>0.74839377944208363</c:v>
                </c:pt>
                <c:pt idx="50">
                  <c:v>0.74999974781094059</c:v>
                </c:pt>
                <c:pt idx="51">
                  <c:v>0.75160571617979754</c:v>
                </c:pt>
                <c:pt idx="52">
                  <c:v>0.7532116845486545</c:v>
                </c:pt>
                <c:pt idx="53">
                  <c:v>0.75481765291751157</c:v>
                </c:pt>
                <c:pt idx="54">
                  <c:v>0.75642362128636853</c:v>
                </c:pt>
                <c:pt idx="55">
                  <c:v>0.75802958965522549</c:v>
                </c:pt>
                <c:pt idx="56">
                  <c:v>0.75963555802408256</c:v>
                </c:pt>
                <c:pt idx="57">
                  <c:v>0.76124152639293952</c:v>
                </c:pt>
                <c:pt idx="58">
                  <c:v>0.76284749476179647</c:v>
                </c:pt>
                <c:pt idx="59">
                  <c:v>0.76445346313065343</c:v>
                </c:pt>
                <c:pt idx="60">
                  <c:v>0.76605943149951039</c:v>
                </c:pt>
                <c:pt idx="61">
                  <c:v>0.76766539986836746</c:v>
                </c:pt>
                <c:pt idx="62">
                  <c:v>0.76927136823722442</c:v>
                </c:pt>
                <c:pt idx="63">
                  <c:v>0.77087733660608138</c:v>
                </c:pt>
                <c:pt idx="64">
                  <c:v>0.77248330497493833</c:v>
                </c:pt>
                <c:pt idx="65">
                  <c:v>0.7740892733437954</c:v>
                </c:pt>
                <c:pt idx="66">
                  <c:v>0.77569524171265236</c:v>
                </c:pt>
                <c:pt idx="67">
                  <c:v>0.77730121008150932</c:v>
                </c:pt>
                <c:pt idx="68">
                  <c:v>0.77890717845036628</c:v>
                </c:pt>
                <c:pt idx="69">
                  <c:v>0.78051314681922324</c:v>
                </c:pt>
                <c:pt idx="70">
                  <c:v>0.78211911518808019</c:v>
                </c:pt>
                <c:pt idx="71">
                  <c:v>0.78372508355693726</c:v>
                </c:pt>
                <c:pt idx="72">
                  <c:v>0.78533105192579422</c:v>
                </c:pt>
                <c:pt idx="73">
                  <c:v>0.78693702029465118</c:v>
                </c:pt>
                <c:pt idx="74">
                  <c:v>0.78854298866350825</c:v>
                </c:pt>
                <c:pt idx="75">
                  <c:v>0.79014895703236521</c:v>
                </c:pt>
                <c:pt idx="76">
                  <c:v>0.79175492540122216</c:v>
                </c:pt>
                <c:pt idx="77">
                  <c:v>0.79336089377007912</c:v>
                </c:pt>
                <c:pt idx="78">
                  <c:v>0.79496686213893608</c:v>
                </c:pt>
                <c:pt idx="79">
                  <c:v>0.79657283050779304</c:v>
                </c:pt>
                <c:pt idx="80">
                  <c:v>0.79817879887665011</c:v>
                </c:pt>
                <c:pt idx="81">
                  <c:v>0.79978476724550707</c:v>
                </c:pt>
                <c:pt idx="82">
                  <c:v>0.80139073561436402</c:v>
                </c:pt>
                <c:pt idx="83">
                  <c:v>0.80299670398322109</c:v>
                </c:pt>
                <c:pt idx="84">
                  <c:v>0.80460267235207805</c:v>
                </c:pt>
                <c:pt idx="85">
                  <c:v>0.80620864072093501</c:v>
                </c:pt>
                <c:pt idx="86">
                  <c:v>0.80781460908979197</c:v>
                </c:pt>
                <c:pt idx="87">
                  <c:v>0.80942057745864893</c:v>
                </c:pt>
                <c:pt idx="88">
                  <c:v>0.81102654582750588</c:v>
                </c:pt>
                <c:pt idx="89">
                  <c:v>0.81263251419636295</c:v>
                </c:pt>
                <c:pt idx="90">
                  <c:v>0.81423848256521991</c:v>
                </c:pt>
                <c:pt idx="91">
                  <c:v>0.81584445093407687</c:v>
                </c:pt>
                <c:pt idx="92">
                  <c:v>0.81745041930293394</c:v>
                </c:pt>
                <c:pt idx="93">
                  <c:v>0.8190563876717909</c:v>
                </c:pt>
                <c:pt idx="94">
                  <c:v>0.82066235604064786</c:v>
                </c:pt>
                <c:pt idx="95">
                  <c:v>0.82226832440950481</c:v>
                </c:pt>
                <c:pt idx="96">
                  <c:v>0.82387429277836177</c:v>
                </c:pt>
                <c:pt idx="97">
                  <c:v>0.82548026114721873</c:v>
                </c:pt>
                <c:pt idx="98">
                  <c:v>0.8270862295160758</c:v>
                </c:pt>
                <c:pt idx="99">
                  <c:v>0.82869219788493276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7BD-4886-BD54-0C0C54271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871039"/>
        <c:axId val="474868639"/>
      </c:scatterChart>
      <c:valAx>
        <c:axId val="474871039"/>
        <c:scaling>
          <c:orientation val="minMax"/>
          <c:max val="7.5000000000000011E-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868639"/>
        <c:crosses val="autoZero"/>
        <c:crossBetween val="midCat"/>
      </c:valAx>
      <c:valAx>
        <c:axId val="474868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8710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CDCL!$D$3</c:f>
              <c:strCache>
                <c:ptCount val="1"/>
                <c:pt idx="0">
                  <c:v>Cl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CDCL!$A$4:$A$1000</c:f>
              <c:numCache>
                <c:formatCode>General</c:formatCode>
                <c:ptCount val="997"/>
                <c:pt idx="0">
                  <c:v>-3</c:v>
                </c:pt>
                <c:pt idx="1">
                  <c:v>-2.8461538461538463</c:v>
                </c:pt>
                <c:pt idx="2">
                  <c:v>-2.6923076923076925</c:v>
                </c:pt>
                <c:pt idx="3">
                  <c:v>-2.5384615384615383</c:v>
                </c:pt>
                <c:pt idx="4">
                  <c:v>-2.3846153846153846</c:v>
                </c:pt>
                <c:pt idx="5">
                  <c:v>-2.2307692307692308</c:v>
                </c:pt>
                <c:pt idx="6">
                  <c:v>-2.0769230769230766</c:v>
                </c:pt>
                <c:pt idx="7">
                  <c:v>-1.9230769230769229</c:v>
                </c:pt>
                <c:pt idx="8">
                  <c:v>-1.7692307692307692</c:v>
                </c:pt>
                <c:pt idx="9">
                  <c:v>-1.6153846153846154</c:v>
                </c:pt>
                <c:pt idx="10">
                  <c:v>-1.4615384615384615</c:v>
                </c:pt>
                <c:pt idx="11">
                  <c:v>-1.3076923076923075</c:v>
                </c:pt>
                <c:pt idx="12">
                  <c:v>-1.1538461538461537</c:v>
                </c:pt>
                <c:pt idx="13">
                  <c:v>-1</c:v>
                </c:pt>
                <c:pt idx="14">
                  <c:v>-0.84615384615384581</c:v>
                </c:pt>
                <c:pt idx="15">
                  <c:v>-0.69230769230769207</c:v>
                </c:pt>
                <c:pt idx="16">
                  <c:v>-0.53846153846153832</c:v>
                </c:pt>
                <c:pt idx="17">
                  <c:v>-0.38461538461538458</c:v>
                </c:pt>
                <c:pt idx="18">
                  <c:v>-0.23076923076923084</c:v>
                </c:pt>
                <c:pt idx="19">
                  <c:v>-7.692307692307665E-2</c:v>
                </c:pt>
                <c:pt idx="20">
                  <c:v>7.6923076923077094E-2</c:v>
                </c:pt>
                <c:pt idx="21">
                  <c:v>0.23076923076923084</c:v>
                </c:pt>
                <c:pt idx="22">
                  <c:v>0.38461538461538503</c:v>
                </c:pt>
                <c:pt idx="23">
                  <c:v>0.53846153846153877</c:v>
                </c:pt>
                <c:pt idx="24">
                  <c:v>0.69230769230769251</c:v>
                </c:pt>
                <c:pt idx="25">
                  <c:v>0.84615384615384626</c:v>
                </c:pt>
                <c:pt idx="26">
                  <c:v>1</c:v>
                </c:pt>
                <c:pt idx="27">
                  <c:v>1.1538461538461542</c:v>
                </c:pt>
                <c:pt idx="28">
                  <c:v>1.3076923076923084</c:v>
                </c:pt>
                <c:pt idx="29">
                  <c:v>1.4615384615384617</c:v>
                </c:pt>
                <c:pt idx="30">
                  <c:v>1.6153846153846159</c:v>
                </c:pt>
                <c:pt idx="31">
                  <c:v>1.7692307692307692</c:v>
                </c:pt>
                <c:pt idx="32">
                  <c:v>1.9230769230769234</c:v>
                </c:pt>
                <c:pt idx="33">
                  <c:v>2.0769230769230775</c:v>
                </c:pt>
                <c:pt idx="34">
                  <c:v>2.2307692307692308</c:v>
                </c:pt>
                <c:pt idx="35">
                  <c:v>2.384615384615385</c:v>
                </c:pt>
                <c:pt idx="36">
                  <c:v>2.5384615384615383</c:v>
                </c:pt>
                <c:pt idx="37">
                  <c:v>2.6923076923076925</c:v>
                </c:pt>
                <c:pt idx="38">
                  <c:v>2.8461538461538467</c:v>
                </c:pt>
                <c:pt idx="39">
                  <c:v>3</c:v>
                </c:pt>
              </c:numCache>
            </c:numRef>
          </c:xVal>
          <c:yVal>
            <c:numRef>
              <c:f>CDCL!$D$4:$D$1000</c:f>
              <c:numCache>
                <c:formatCode>General</c:formatCode>
                <c:ptCount val="997"/>
                <c:pt idx="0">
                  <c:v>-0.43144226308594874</c:v>
                </c:pt>
                <c:pt idx="1">
                  <c:v>-0.58922300842456532</c:v>
                </c:pt>
                <c:pt idx="2">
                  <c:v>-0.56427096362307461</c:v>
                </c:pt>
                <c:pt idx="3">
                  <c:v>-0.52433190992430678</c:v>
                </c:pt>
                <c:pt idx="4">
                  <c:v>-0.47928438417741526</c:v>
                </c:pt>
                <c:pt idx="5">
                  <c:v>-0.40969719286116341</c:v>
                </c:pt>
                <c:pt idx="6">
                  <c:v>-0.35267298820868725</c:v>
                </c:pt>
                <c:pt idx="7">
                  <c:v>-0.33917479943798506</c:v>
                </c:pt>
                <c:pt idx="8">
                  <c:v>-0.25730083567386902</c:v>
                </c:pt>
                <c:pt idx="9">
                  <c:v>-0.21565355359848665</c:v>
                </c:pt>
                <c:pt idx="10">
                  <c:v>-0.17526853132933995</c:v>
                </c:pt>
                <c:pt idx="11">
                  <c:v>-0.13551084580648445</c:v>
                </c:pt>
                <c:pt idx="12">
                  <c:v>-9.7860912382717866E-2</c:v>
                </c:pt>
                <c:pt idx="13">
                  <c:v>-7.1653994179530445E-2</c:v>
                </c:pt>
                <c:pt idx="14">
                  <c:v>-4.3341748871891642E-2</c:v>
                </c:pt>
                <c:pt idx="15">
                  <c:v>1.9754028165769075E-2</c:v>
                </c:pt>
                <c:pt idx="16">
                  <c:v>5.7143342476516784E-2</c:v>
                </c:pt>
                <c:pt idx="17">
                  <c:v>9.4095583116752798E-2</c:v>
                </c:pt>
                <c:pt idx="18">
                  <c:v>0.13073787698698214</c:v>
                </c:pt>
                <c:pt idx="19">
                  <c:v>0.16706677485444543</c:v>
                </c:pt>
                <c:pt idx="20">
                  <c:v>0.20307424174172303</c:v>
                </c:pt>
                <c:pt idx="21">
                  <c:v>0.23880998984116422</c:v>
                </c:pt>
                <c:pt idx="22">
                  <c:v>0.27429806298704251</c:v>
                </c:pt>
                <c:pt idx="23">
                  <c:v>0.30972468750384707</c:v>
                </c:pt>
                <c:pt idx="24">
                  <c:v>0.34578666477345982</c:v>
                </c:pt>
                <c:pt idx="25">
                  <c:v>0.38397319471285918</c:v>
                </c:pt>
                <c:pt idx="26">
                  <c:v>0.4055028801290273</c:v>
                </c:pt>
                <c:pt idx="27">
                  <c:v>0.42140448753238241</c:v>
                </c:pt>
                <c:pt idx="28">
                  <c:v>0.52887392418128387</c:v>
                </c:pt>
                <c:pt idx="29">
                  <c:v>0.55832389508419411</c:v>
                </c:pt>
                <c:pt idx="30">
                  <c:v>0.66970132936809146</c:v>
                </c:pt>
                <c:pt idx="31">
                  <c:v>0.70104329287290401</c:v>
                </c:pt>
                <c:pt idx="32">
                  <c:v>0.72406825465833302</c:v>
                </c:pt>
                <c:pt idx="33">
                  <c:v>0.74296026523397884</c:v>
                </c:pt>
                <c:pt idx="34">
                  <c:v>0.75955406545833382</c:v>
                </c:pt>
                <c:pt idx="35">
                  <c:v>0.77474184081758102</c:v>
                </c:pt>
                <c:pt idx="36">
                  <c:v>0.78904098182580407</c:v>
                </c:pt>
                <c:pt idx="37">
                  <c:v>0.80267343866219987</c:v>
                </c:pt>
                <c:pt idx="38">
                  <c:v>0.81584453603978579</c:v>
                </c:pt>
                <c:pt idx="39">
                  <c:v>0.82869219788493276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0C-4D18-BE9B-AD0DD3015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8813760"/>
        <c:axId val="1467257952"/>
      </c:scatterChart>
      <c:valAx>
        <c:axId val="1468813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257952"/>
        <c:crosses val="autoZero"/>
        <c:crossBetween val="midCat"/>
      </c:valAx>
      <c:valAx>
        <c:axId val="146725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8813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'CDCL(Re)'!$B$1</c:f>
              <c:strCache>
                <c:ptCount val="1"/>
                <c:pt idx="0">
                  <c:v>CL1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1"/>
            <c:trendlineLbl>
              <c:layout>
                <c:manualLayout>
                  <c:x val="0.20246768526974881"/>
                  <c:y val="0.3985687382297551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'CDCL(Re)'!$A$2:$A$13</c:f>
              <c:numCache>
                <c:formatCode>0.00E+00</c:formatCode>
                <c:ptCount val="12"/>
                <c:pt idx="0">
                  <c:v>5218609.182</c:v>
                </c:pt>
                <c:pt idx="1">
                  <c:v>10437218.364</c:v>
                </c:pt>
                <c:pt idx="2">
                  <c:v>15655827.546</c:v>
                </c:pt>
                <c:pt idx="3">
                  <c:v>20874436.728</c:v>
                </c:pt>
                <c:pt idx="4">
                  <c:v>26093045.91</c:v>
                </c:pt>
                <c:pt idx="5">
                  <c:v>31311655.092</c:v>
                </c:pt>
                <c:pt idx="6">
                  <c:v>36530264.274000004</c:v>
                </c:pt>
                <c:pt idx="7">
                  <c:v>41748873.456</c:v>
                </c:pt>
              </c:numCache>
            </c:numRef>
          </c:xVal>
          <c:yVal>
            <c:numRef>
              <c:f>'CDCL(Re)'!$B$2:$B$12</c:f>
              <c:numCache>
                <c:formatCode>General</c:formatCode>
                <c:ptCount val="11"/>
                <c:pt idx="0">
                  <c:v>-0.27316095761037984</c:v>
                </c:pt>
                <c:pt idx="1">
                  <c:v>-0.26731546656431887</c:v>
                </c:pt>
                <c:pt idx="2">
                  <c:v>-0.26408446441156019</c:v>
                </c:pt>
                <c:pt idx="3">
                  <c:v>-0.26195487276713375</c:v>
                </c:pt>
                <c:pt idx="4">
                  <c:v>-0.26037085868792936</c:v>
                </c:pt>
                <c:pt idx="5">
                  <c:v>-0.25910885354550439</c:v>
                </c:pt>
                <c:pt idx="6">
                  <c:v>-0.25811757228139848</c:v>
                </c:pt>
                <c:pt idx="7">
                  <c:v>-0.25730083567386902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45-4955-9E61-AD090DF4A9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0082911"/>
        <c:axId val="1600096351"/>
      </c:scatterChart>
      <c:valAx>
        <c:axId val="1600082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96351"/>
        <c:crosses val="autoZero"/>
        <c:crossBetween val="midCat"/>
      </c:valAx>
      <c:valAx>
        <c:axId val="1600096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82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'CDCL(Re)'!$C$1</c:f>
              <c:strCache>
                <c:ptCount val="1"/>
                <c:pt idx="0">
                  <c:v>CD1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1"/>
            <c:trendlineLbl>
              <c:layout>
                <c:manualLayout>
                  <c:x val="1.943776320564431E-3"/>
                  <c:y val="0.1939986434279984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'CDCL(Re)'!$A$2:$A$13</c:f>
              <c:numCache>
                <c:formatCode>0.00E+00</c:formatCode>
                <c:ptCount val="12"/>
                <c:pt idx="0">
                  <c:v>5218609.182</c:v>
                </c:pt>
                <c:pt idx="1">
                  <c:v>10437218.364</c:v>
                </c:pt>
                <c:pt idx="2">
                  <c:v>15655827.546</c:v>
                </c:pt>
                <c:pt idx="3">
                  <c:v>20874436.728</c:v>
                </c:pt>
                <c:pt idx="4">
                  <c:v>26093045.91</c:v>
                </c:pt>
                <c:pt idx="5">
                  <c:v>31311655.092</c:v>
                </c:pt>
                <c:pt idx="6">
                  <c:v>36530264.274000004</c:v>
                </c:pt>
                <c:pt idx="7">
                  <c:v>41748873.456</c:v>
                </c:pt>
              </c:numCache>
            </c:numRef>
          </c:xVal>
          <c:yVal>
            <c:numRef>
              <c:f>'CDCL(Re)'!$C$2:$C$12</c:f>
              <c:numCache>
                <c:formatCode>General</c:formatCode>
                <c:ptCount val="11"/>
                <c:pt idx="0">
                  <c:v>1.229358784789474E-2</c:v>
                </c:pt>
                <c:pt idx="1">
                  <c:v>1.1382842682857918E-2</c:v>
                </c:pt>
                <c:pt idx="2">
                  <c:v>1.0910816834273208E-2</c:v>
                </c:pt>
                <c:pt idx="3">
                  <c:v>1.0601005913947635E-2</c:v>
                </c:pt>
                <c:pt idx="4">
                  <c:v>1.0377015544754687E-2</c:v>
                </c:pt>
                <c:pt idx="5">
                  <c:v>1.020639785129018E-2</c:v>
                </c:pt>
                <c:pt idx="6">
                  <c:v>1.0069947877170683E-2</c:v>
                </c:pt>
                <c:pt idx="7">
                  <c:v>9.9585825554046915E-3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6-43A2-808C-ECA4CD2D5E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1331551"/>
        <c:axId val="1609938751"/>
      </c:scatterChart>
      <c:valAx>
        <c:axId val="1691331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938751"/>
        <c:crosses val="autoZero"/>
        <c:crossBetween val="midCat"/>
      </c:valAx>
      <c:valAx>
        <c:axId val="1609938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1331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'CDCL(Re)'!$D$1</c:f>
              <c:strCache>
                <c:ptCount val="1"/>
                <c:pt idx="0">
                  <c:v>CL2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19977946152957296"/>
                  <c:y val="0.397779489563364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'CDCL(Re)'!$A$2:$A$13</c:f>
              <c:numCache>
                <c:formatCode>0.00E+00</c:formatCode>
                <c:ptCount val="12"/>
                <c:pt idx="0">
                  <c:v>5218609.182</c:v>
                </c:pt>
                <c:pt idx="1">
                  <c:v>10437218.364</c:v>
                </c:pt>
                <c:pt idx="2">
                  <c:v>15655827.546</c:v>
                </c:pt>
                <c:pt idx="3">
                  <c:v>20874436.728</c:v>
                </c:pt>
                <c:pt idx="4">
                  <c:v>26093045.91</c:v>
                </c:pt>
                <c:pt idx="5">
                  <c:v>31311655.092</c:v>
                </c:pt>
                <c:pt idx="6">
                  <c:v>36530264.274000004</c:v>
                </c:pt>
                <c:pt idx="7">
                  <c:v>41748873.456</c:v>
                </c:pt>
              </c:numCache>
            </c:numRef>
          </c:xVal>
          <c:yVal>
            <c:numRef>
              <c:f>'CDCL(Re)'!$D$2:$D$12</c:f>
              <c:numCache>
                <c:formatCode>General</c:formatCode>
                <c:ptCount val="11"/>
                <c:pt idx="0">
                  <c:v>-6.3901200982504819E-2</c:v>
                </c:pt>
                <c:pt idx="1">
                  <c:v>4.0830645056508505E-2</c:v>
                </c:pt>
                <c:pt idx="2">
                  <c:v>9.2097607205136548E-3</c:v>
                </c:pt>
                <c:pt idx="3">
                  <c:v>-5.021048722689786E-2</c:v>
                </c:pt>
                <c:pt idx="4">
                  <c:v>1.5059629668972089E-2</c:v>
                </c:pt>
                <c:pt idx="5">
                  <c:v>1.306807311787204E-2</c:v>
                </c:pt>
                <c:pt idx="6">
                  <c:v>-2.5382394564130453E-2</c:v>
                </c:pt>
                <c:pt idx="7">
                  <c:v>-4.3341748871891642E-2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7E-4460-A295-0D4D4B3F3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8372479"/>
        <c:axId val="1598362879"/>
      </c:scatterChart>
      <c:valAx>
        <c:axId val="15983724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8362879"/>
        <c:crosses val="autoZero"/>
        <c:crossBetween val="midCat"/>
      </c:valAx>
      <c:valAx>
        <c:axId val="1598362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83724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'CDCL(Re)'!$E$1</c:f>
              <c:strCache>
                <c:ptCount val="1"/>
                <c:pt idx="0">
                  <c:v>CD2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1"/>
            <c:trendlineLbl>
              <c:layout>
                <c:manualLayout>
                  <c:x val="9.2895660769676522E-2"/>
                  <c:y val="0.2716964927502231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'CDCL(Re)'!$A$2:$A$13</c:f>
              <c:numCache>
                <c:formatCode>0.00E+00</c:formatCode>
                <c:ptCount val="12"/>
                <c:pt idx="0">
                  <c:v>5218609.182</c:v>
                </c:pt>
                <c:pt idx="1">
                  <c:v>10437218.364</c:v>
                </c:pt>
                <c:pt idx="2">
                  <c:v>15655827.546</c:v>
                </c:pt>
                <c:pt idx="3">
                  <c:v>20874436.728</c:v>
                </c:pt>
                <c:pt idx="4">
                  <c:v>26093045.91</c:v>
                </c:pt>
                <c:pt idx="5">
                  <c:v>31311655.092</c:v>
                </c:pt>
                <c:pt idx="6">
                  <c:v>36530264.274000004</c:v>
                </c:pt>
                <c:pt idx="7">
                  <c:v>41748873.456</c:v>
                </c:pt>
              </c:numCache>
            </c:numRef>
          </c:xVal>
          <c:yVal>
            <c:numRef>
              <c:f>'CDCL(Re)'!$E$2:$E$12</c:f>
              <c:numCache>
                <c:formatCode>General</c:formatCode>
                <c:ptCount val="11"/>
                <c:pt idx="0">
                  <c:v>8.3336935849526485E-3</c:v>
                </c:pt>
                <c:pt idx="1">
                  <c:v>7.6754239657528377E-3</c:v>
                </c:pt>
                <c:pt idx="2">
                  <c:v>7.3011236148181682E-3</c:v>
                </c:pt>
                <c:pt idx="3">
                  <c:v>7.0450117723259448E-3</c:v>
                </c:pt>
                <c:pt idx="4">
                  <c:v>6.8815761413528447E-3</c:v>
                </c:pt>
                <c:pt idx="5">
                  <c:v>6.7116146605929903E-3</c:v>
                </c:pt>
                <c:pt idx="6">
                  <c:v>6.5975984812294032E-3</c:v>
                </c:pt>
                <c:pt idx="7">
                  <c:v>6.5268971731127015E-3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13-4EF3-AE9A-867AD51842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9374671"/>
        <c:axId val="1609381391"/>
      </c:scatterChart>
      <c:valAx>
        <c:axId val="1609374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381391"/>
        <c:crosses val="autoZero"/>
        <c:crossBetween val="midCat"/>
      </c:valAx>
      <c:valAx>
        <c:axId val="160938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374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'CDCL(Re)'!$G$1</c:f>
              <c:strCache>
                <c:ptCount val="1"/>
                <c:pt idx="0">
                  <c:v>CD3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5.1077830957404834E-2"/>
                  <c:y val="0.2224574722019560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'CDCL(Re)'!$A$2:$A$13</c:f>
              <c:numCache>
                <c:formatCode>0.00E+00</c:formatCode>
                <c:ptCount val="12"/>
                <c:pt idx="0">
                  <c:v>5218609.182</c:v>
                </c:pt>
                <c:pt idx="1">
                  <c:v>10437218.364</c:v>
                </c:pt>
                <c:pt idx="2">
                  <c:v>15655827.546</c:v>
                </c:pt>
                <c:pt idx="3">
                  <c:v>20874436.728</c:v>
                </c:pt>
                <c:pt idx="4">
                  <c:v>26093045.91</c:v>
                </c:pt>
                <c:pt idx="5">
                  <c:v>31311655.092</c:v>
                </c:pt>
                <c:pt idx="6">
                  <c:v>36530264.274000004</c:v>
                </c:pt>
                <c:pt idx="7">
                  <c:v>41748873.456</c:v>
                </c:pt>
              </c:numCache>
            </c:numRef>
          </c:xVal>
          <c:yVal>
            <c:numRef>
              <c:f>'CDCL(Re)'!$G$2:$G$12</c:f>
              <c:numCache>
                <c:formatCode>General</c:formatCode>
                <c:ptCount val="11"/>
                <c:pt idx="0">
                  <c:v>1.3480507215681841E-2</c:v>
                </c:pt>
                <c:pt idx="1">
                  <c:v>1.2924299740149863E-2</c:v>
                </c:pt>
                <c:pt idx="2">
                  <c:v>1.3630656554943927E-2</c:v>
                </c:pt>
                <c:pt idx="3">
                  <c:v>1.3925451850662417E-2</c:v>
                </c:pt>
                <c:pt idx="4">
                  <c:v>1.0442712625313372E-2</c:v>
                </c:pt>
                <c:pt idx="5">
                  <c:v>1.4338062517158433E-2</c:v>
                </c:pt>
                <c:pt idx="6">
                  <c:v>1.441600807355848E-2</c:v>
                </c:pt>
                <c:pt idx="7">
                  <c:v>1.4480852393229483E-2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45-4563-A182-3902B263A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8685215"/>
        <c:axId val="1698674655"/>
      </c:scatterChart>
      <c:valAx>
        <c:axId val="16986852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8674655"/>
        <c:crosses val="autoZero"/>
        <c:crossBetween val="midCat"/>
      </c:valAx>
      <c:valAx>
        <c:axId val="169867465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86852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'CDCL(Re)'!$F$1</c:f>
              <c:strCache>
                <c:ptCount val="1"/>
                <c:pt idx="0">
                  <c:v>CL3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2443642687078976"/>
                  <c:y val="0.3461047274796474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'CDCL(Re)'!$A$2:$A$13</c:f>
              <c:numCache>
                <c:formatCode>0.00E+00</c:formatCode>
                <c:ptCount val="12"/>
                <c:pt idx="0">
                  <c:v>5218609.182</c:v>
                </c:pt>
                <c:pt idx="1">
                  <c:v>10437218.364</c:v>
                </c:pt>
                <c:pt idx="2">
                  <c:v>15655827.546</c:v>
                </c:pt>
                <c:pt idx="3">
                  <c:v>20874436.728</c:v>
                </c:pt>
                <c:pt idx="4">
                  <c:v>26093045.91</c:v>
                </c:pt>
                <c:pt idx="5">
                  <c:v>31311655.092</c:v>
                </c:pt>
                <c:pt idx="6">
                  <c:v>36530264.274000004</c:v>
                </c:pt>
                <c:pt idx="7">
                  <c:v>41748873.456</c:v>
                </c:pt>
              </c:numCache>
            </c:numRef>
          </c:xVal>
          <c:yVal>
            <c:numRef>
              <c:f>'CDCL(Re)'!$F$2:$F$12</c:f>
              <c:numCache>
                <c:formatCode>General</c:formatCode>
                <c:ptCount val="11"/>
                <c:pt idx="0">
                  <c:v>0.59999606012828255</c:v>
                </c:pt>
                <c:pt idx="1">
                  <c:v>0.60103348843064308</c:v>
                </c:pt>
                <c:pt idx="2">
                  <c:v>0.63672226953443556</c:v>
                </c:pt>
                <c:pt idx="3">
                  <c:v>0.64934060673797034</c:v>
                </c:pt>
                <c:pt idx="4">
                  <c:v>0.58919756521223721</c:v>
                </c:pt>
                <c:pt idx="5">
                  <c:v>0.66375786387608893</c:v>
                </c:pt>
                <c:pt idx="6">
                  <c:v>0.66706362239774963</c:v>
                </c:pt>
                <c:pt idx="7">
                  <c:v>0.66970132936809146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98-412C-A75F-C0DB7B076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0896975"/>
        <c:axId val="1609385231"/>
      </c:scatterChart>
      <c:valAx>
        <c:axId val="1600896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385231"/>
        <c:crosses val="autoZero"/>
        <c:crossBetween val="midCat"/>
      </c:valAx>
      <c:valAx>
        <c:axId val="160938523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896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'CDCL(Re)'!$I$1</c:f>
              <c:strCache>
                <c:ptCount val="1"/>
                <c:pt idx="0">
                  <c:v>CLAF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'CDCL(Re)'!$A$2:$A$9</c:f>
              <c:numCache>
                <c:formatCode>0.00E+00</c:formatCode>
                <c:ptCount val="8"/>
                <c:pt idx="0">
                  <c:v>5218609.182</c:v>
                </c:pt>
                <c:pt idx="1">
                  <c:v>10437218.364</c:v>
                </c:pt>
                <c:pt idx="2">
                  <c:v>15655827.546</c:v>
                </c:pt>
                <c:pt idx="3">
                  <c:v>20874436.728</c:v>
                </c:pt>
                <c:pt idx="4">
                  <c:v>26093045.91</c:v>
                </c:pt>
                <c:pt idx="5">
                  <c:v>31311655.092</c:v>
                </c:pt>
                <c:pt idx="6">
                  <c:v>36530264.274000004</c:v>
                </c:pt>
                <c:pt idx="7">
                  <c:v>41748873.456</c:v>
                </c:pt>
              </c:numCache>
            </c:numRef>
          </c:xVal>
          <c:yVal>
            <c:numRef>
              <c:f>'CDCL(Re)'!$I$2:$I$9</c:f>
              <c:numCache>
                <c:formatCode>General</c:formatCode>
                <c:ptCount val="8"/>
                <c:pt idx="0">
                  <c:v>2.1113425136423256</c:v>
                </c:pt>
                <c:pt idx="1">
                  <c:v>2.1250430465467844</c:v>
                </c:pt>
                <c:pt idx="2">
                  <c:v>2.0889916822942989</c:v>
                </c:pt>
                <c:pt idx="3">
                  <c:v>1.9760978826137154</c:v>
                </c:pt>
                <c:pt idx="4">
                  <c:v>1.9334725123160659</c:v>
                </c:pt>
                <c:pt idx="5">
                  <c:v>2.1149696559288351</c:v>
                </c:pt>
                <c:pt idx="6">
                  <c:v>2.1055242590773231</c:v>
                </c:pt>
                <c:pt idx="7">
                  <c:v>1.9997551513395733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C2-4AF5-9FB2-BEB624FF4F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5867951"/>
        <c:axId val="1615854991"/>
      </c:scatterChart>
      <c:valAx>
        <c:axId val="16158679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854991"/>
        <c:crosses val="autoZero"/>
        <c:crossBetween val="midCat"/>
      </c:valAx>
      <c:valAx>
        <c:axId val="1615854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8679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A_CDCL!$B$4:$B$247</c:f>
              <c:numCache>
                <c:formatCode>General</c:formatCode>
                <c:ptCount val="244"/>
                <c:pt idx="0">
                  <c:v>2.0762626491451074E-2</c:v>
                </c:pt>
                <c:pt idx="1">
                  <c:v>2.6731069783210458E-2</c:v>
                </c:pt>
                <c:pt idx="2">
                  <c:v>2.3260958694217227E-2</c:v>
                </c:pt>
                <c:pt idx="3">
                  <c:v>1.905273924792774E-2</c:v>
                </c:pt>
                <c:pt idx="4">
                  <c:v>1.5102744564496237E-2</c:v>
                </c:pt>
                <c:pt idx="5">
                  <c:v>1.1359388654780304E-2</c:v>
                </c:pt>
                <c:pt idx="6">
                  <c:v>1.0442078186554869E-2</c:v>
                </c:pt>
                <c:pt idx="7">
                  <c:v>9.0081445615526196E-3</c:v>
                </c:pt>
                <c:pt idx="8">
                  <c:v>9.9585825554046915E-3</c:v>
                </c:pt>
                <c:pt idx="9">
                  <c:v>8.8252393976860789E-3</c:v>
                </c:pt>
                <c:pt idx="10">
                  <c:v>7.972605116331067E-3</c:v>
                </c:pt>
                <c:pt idx="11">
                  <c:v>7.3836390638719494E-3</c:v>
                </c:pt>
                <c:pt idx="12">
                  <c:v>6.9281899313163274E-3</c:v>
                </c:pt>
                <c:pt idx="13">
                  <c:v>6.6701551426987908E-3</c:v>
                </c:pt>
                <c:pt idx="14">
                  <c:v>6.5268971731127015E-3</c:v>
                </c:pt>
                <c:pt idx="15">
                  <c:v>6.5555805851805924E-3</c:v>
                </c:pt>
                <c:pt idx="16">
                  <c:v>6.5829098600688864E-3</c:v>
                </c:pt>
                <c:pt idx="17">
                  <c:v>6.6509869745660158E-3</c:v>
                </c:pt>
                <c:pt idx="18">
                  <c:v>6.7426710283406046E-3</c:v>
                </c:pt>
                <c:pt idx="19">
                  <c:v>6.8536416321900639E-3</c:v>
                </c:pt>
                <c:pt idx="20">
                  <c:v>6.9801697013243307E-3</c:v>
                </c:pt>
                <c:pt idx="21">
                  <c:v>7.117210584767792E-3</c:v>
                </c:pt>
                <c:pt idx="22">
                  <c:v>7.2659379060358055E-3</c:v>
                </c:pt>
                <c:pt idx="23">
                  <c:v>7.4310495748494583E-3</c:v>
                </c:pt>
                <c:pt idx="24">
                  <c:v>7.6180228072061981E-3</c:v>
                </c:pt>
                <c:pt idx="25">
                  <c:v>7.8517765427252376E-3</c:v>
                </c:pt>
                <c:pt idx="26">
                  <c:v>8.5795287022982607E-3</c:v>
                </c:pt>
                <c:pt idx="27">
                  <c:v>9.4588273047107093E-3</c:v>
                </c:pt>
                <c:pt idx="28">
                  <c:v>8.2857099344917431E-3</c:v>
                </c:pt>
                <c:pt idx="29">
                  <c:v>1.0000916953434979E-2</c:v>
                </c:pt>
                <c:pt idx="30">
                  <c:v>1.4480852393229483E-2</c:v>
                </c:pt>
                <c:pt idx="31">
                  <c:v>1.7956901088619311E-2</c:v>
                </c:pt>
                <c:pt idx="32">
                  <c:v>2.1171446457157524E-2</c:v>
                </c:pt>
                <c:pt idx="33">
                  <c:v>2.4252323296670767E-2</c:v>
                </c:pt>
                <c:pt idx="34">
                  <c:v>2.7286932193483639E-2</c:v>
                </c:pt>
                <c:pt idx="35">
                  <c:v>3.0321477107374342E-2</c:v>
                </c:pt>
                <c:pt idx="36">
                  <c:v>3.3376865509442653E-2</c:v>
                </c:pt>
                <c:pt idx="37">
                  <c:v>3.6465741113041482E-2</c:v>
                </c:pt>
                <c:pt idx="38">
                  <c:v>3.9597974905372917E-2</c:v>
                </c:pt>
                <c:pt idx="39">
                  <c:v>4.2779487482111266E-2</c:v>
                </c:pt>
              </c:numCache>
            </c:numRef>
          </c:xVal>
          <c:yVal>
            <c:numRef>
              <c:f>A_CDCL!$D$4:$D$247</c:f>
              <c:numCache>
                <c:formatCode>General</c:formatCode>
                <c:ptCount val="244"/>
                <c:pt idx="0">
                  <c:v>-0.43144226308594874</c:v>
                </c:pt>
                <c:pt idx="1">
                  <c:v>-0.58922300842456532</c:v>
                </c:pt>
                <c:pt idx="2">
                  <c:v>-0.56427096362307461</c:v>
                </c:pt>
                <c:pt idx="3">
                  <c:v>-0.52433190992430678</c:v>
                </c:pt>
                <c:pt idx="4">
                  <c:v>-0.47928438417741526</c:v>
                </c:pt>
                <c:pt idx="5">
                  <c:v>-0.40969719286116341</c:v>
                </c:pt>
                <c:pt idx="6">
                  <c:v>-0.35267298820868725</c:v>
                </c:pt>
                <c:pt idx="7">
                  <c:v>-0.33917479943798506</c:v>
                </c:pt>
                <c:pt idx="8">
                  <c:v>-0.25730083567386902</c:v>
                </c:pt>
                <c:pt idx="9">
                  <c:v>-0.21565355359848665</c:v>
                </c:pt>
                <c:pt idx="10">
                  <c:v>-0.17526853132933995</c:v>
                </c:pt>
                <c:pt idx="11">
                  <c:v>-0.13551084580648445</c:v>
                </c:pt>
                <c:pt idx="12">
                  <c:v>-9.7860912382717866E-2</c:v>
                </c:pt>
                <c:pt idx="13">
                  <c:v>-7.1653994179530445E-2</c:v>
                </c:pt>
                <c:pt idx="14">
                  <c:v>-4.3341748871891642E-2</c:v>
                </c:pt>
                <c:pt idx="15">
                  <c:v>1.9754028165769075E-2</c:v>
                </c:pt>
                <c:pt idx="16">
                  <c:v>5.7143342476516784E-2</c:v>
                </c:pt>
                <c:pt idx="17">
                  <c:v>9.4095583116752798E-2</c:v>
                </c:pt>
                <c:pt idx="18">
                  <c:v>0.13073787698698214</c:v>
                </c:pt>
                <c:pt idx="19">
                  <c:v>0.16706677485444543</c:v>
                </c:pt>
                <c:pt idx="20">
                  <c:v>0.20307424174172303</c:v>
                </c:pt>
                <c:pt idx="21">
                  <c:v>0.23880998984116422</c:v>
                </c:pt>
                <c:pt idx="22">
                  <c:v>0.27429806298704251</c:v>
                </c:pt>
                <c:pt idx="23">
                  <c:v>0.30972468750384707</c:v>
                </c:pt>
                <c:pt idx="24">
                  <c:v>0.34578666477345982</c:v>
                </c:pt>
                <c:pt idx="25">
                  <c:v>0.38397319471285918</c:v>
                </c:pt>
                <c:pt idx="26">
                  <c:v>0.4055028801290273</c:v>
                </c:pt>
                <c:pt idx="27">
                  <c:v>0.42140448753238241</c:v>
                </c:pt>
                <c:pt idx="28">
                  <c:v>0.52887392418128387</c:v>
                </c:pt>
                <c:pt idx="29">
                  <c:v>0.55832389508419411</c:v>
                </c:pt>
                <c:pt idx="30">
                  <c:v>0.66970132936809146</c:v>
                </c:pt>
                <c:pt idx="31">
                  <c:v>0.70104329287290401</c:v>
                </c:pt>
                <c:pt idx="32">
                  <c:v>0.72406825465833302</c:v>
                </c:pt>
                <c:pt idx="33">
                  <c:v>0.74296026523397884</c:v>
                </c:pt>
                <c:pt idx="34">
                  <c:v>0.75955406545833382</c:v>
                </c:pt>
                <c:pt idx="35">
                  <c:v>0.77474184081758102</c:v>
                </c:pt>
                <c:pt idx="36">
                  <c:v>0.78904098182580407</c:v>
                </c:pt>
                <c:pt idx="37">
                  <c:v>0.80267343866219987</c:v>
                </c:pt>
                <c:pt idx="38">
                  <c:v>0.81584453603978579</c:v>
                </c:pt>
                <c:pt idx="39">
                  <c:v>0.82869219788493276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A-4C5E-A8E5-910A09CB1503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A_CDCL!$I$4:$I$101</c:f>
              <c:numCache>
                <c:formatCode>General</c:formatCode>
                <c:ptCount val="98"/>
                <c:pt idx="0">
                  <c:v>0</c:v>
                </c:pt>
                <c:pt idx="1">
                  <c:v>1.3119056658537041E-4</c:v>
                </c:pt>
                <c:pt idx="2">
                  <c:v>2.6104924924601289E-4</c:v>
                </c:pt>
                <c:pt idx="3">
                  <c:v>3.8957604798193438E-4</c:v>
                </c:pt>
                <c:pt idx="4">
                  <c:v>5.1677096279312794E-4</c:v>
                </c:pt>
                <c:pt idx="5">
                  <c:v>6.426339936796005E-4</c:v>
                </c:pt>
                <c:pt idx="6">
                  <c:v>7.6716514064134513E-4</c:v>
                </c:pt>
                <c:pt idx="7">
                  <c:v>8.903644036783679E-4</c:v>
                </c:pt>
                <c:pt idx="8">
                  <c:v>1.0122317827906645E-3</c:v>
                </c:pt>
                <c:pt idx="9">
                  <c:v>1.1327672779782375E-3</c:v>
                </c:pt>
                <c:pt idx="10">
                  <c:v>1.2519708892410842E-3</c:v>
                </c:pt>
                <c:pt idx="11">
                  <c:v>1.3698426165792092E-3</c:v>
                </c:pt>
                <c:pt idx="12">
                  <c:v>1.486382459992607E-3</c:v>
                </c:pt>
                <c:pt idx="13">
                  <c:v>1.601590419481283E-3</c:v>
                </c:pt>
                <c:pt idx="14">
                  <c:v>1.7154664950452328E-3</c:v>
                </c:pt>
                <c:pt idx="15">
                  <c:v>1.8280106866844573E-3</c:v>
                </c:pt>
                <c:pt idx="16">
                  <c:v>1.939222994398959E-3</c:v>
                </c:pt>
                <c:pt idx="17">
                  <c:v>2.0491034181887337E-3</c:v>
                </c:pt>
                <c:pt idx="18">
                  <c:v>2.1576519580537865E-3</c:v>
                </c:pt>
                <c:pt idx="19">
                  <c:v>2.2648686139941122E-3</c:v>
                </c:pt>
                <c:pt idx="20">
                  <c:v>2.3707533860097153E-3</c:v>
                </c:pt>
                <c:pt idx="21">
                  <c:v>2.475306274100593E-3</c:v>
                </c:pt>
                <c:pt idx="22">
                  <c:v>2.5785272782667462E-3</c:v>
                </c:pt>
                <c:pt idx="23">
                  <c:v>2.6804163985081741E-3</c:v>
                </c:pt>
                <c:pt idx="24">
                  <c:v>2.7809736348248797E-3</c:v>
                </c:pt>
                <c:pt idx="25">
                  <c:v>2.8801989872168587E-3</c:v>
                </c:pt>
                <c:pt idx="26">
                  <c:v>2.9780924556841145E-3</c:v>
                </c:pt>
                <c:pt idx="27">
                  <c:v>3.0746540402266454E-3</c:v>
                </c:pt>
                <c:pt idx="28">
                  <c:v>3.1698837408444505E-3</c:v>
                </c:pt>
                <c:pt idx="29">
                  <c:v>3.2637815575375325E-3</c:v>
                </c:pt>
                <c:pt idx="30">
                  <c:v>3.3563474903058887E-3</c:v>
                </c:pt>
                <c:pt idx="31">
                  <c:v>3.4475815391495209E-3</c:v>
                </c:pt>
                <c:pt idx="32">
                  <c:v>3.5374837040684287E-3</c:v>
                </c:pt>
                <c:pt idx="33">
                  <c:v>3.6260539850626124E-3</c:v>
                </c:pt>
                <c:pt idx="34">
                  <c:v>3.7132923821320699E-3</c:v>
                </c:pt>
                <c:pt idx="35">
                  <c:v>3.7991988952768042E-3</c:v>
                </c:pt>
                <c:pt idx="36">
                  <c:v>3.8837735244968137E-3</c:v>
                </c:pt>
                <c:pt idx="37">
                  <c:v>3.9670162697920987E-3</c:v>
                </c:pt>
                <c:pt idx="38">
                  <c:v>4.0489271311626596E-3</c:v>
                </c:pt>
                <c:pt idx="39">
                  <c:v>4.1295061086084953E-3</c:v>
                </c:pt>
                <c:pt idx="40">
                  <c:v>4.2087532021296064E-3</c:v>
                </c:pt>
                <c:pt idx="41">
                  <c:v>4.286668411725994E-3</c:v>
                </c:pt>
                <c:pt idx="42">
                  <c:v>4.3632517373976554E-3</c:v>
                </c:pt>
                <c:pt idx="43">
                  <c:v>4.4385031791445931E-3</c:v>
                </c:pt>
                <c:pt idx="44">
                  <c:v>4.5124227369668056E-3</c:v>
                </c:pt>
                <c:pt idx="45">
                  <c:v>4.5850104108642945E-3</c:v>
                </c:pt>
                <c:pt idx="46">
                  <c:v>4.656266200837058E-3</c:v>
                </c:pt>
                <c:pt idx="47">
                  <c:v>4.7261901068850979E-3</c:v>
                </c:pt>
                <c:pt idx="48">
                  <c:v>4.7947821290084125E-3</c:v>
                </c:pt>
                <c:pt idx="49">
                  <c:v>4.8620422672070035E-3</c:v>
                </c:pt>
                <c:pt idx="50">
                  <c:v>4.9279705214808683E-3</c:v>
                </c:pt>
                <c:pt idx="51">
                  <c:v>4.9925668918300095E-3</c:v>
                </c:pt>
                <c:pt idx="52">
                  <c:v>5.0558313782544263E-3</c:v>
                </c:pt>
                <c:pt idx="53">
                  <c:v>5.1177639807541177E-3</c:v>
                </c:pt>
                <c:pt idx="54">
                  <c:v>5.1783646993290855E-3</c:v>
                </c:pt>
                <c:pt idx="55">
                  <c:v>5.237633533979328E-3</c:v>
                </c:pt>
                <c:pt idx="56">
                  <c:v>5.2955704847048469E-3</c:v>
                </c:pt>
                <c:pt idx="57">
                  <c:v>5.3521755515056404E-3</c:v>
                </c:pt>
                <c:pt idx="58">
                  <c:v>5.4074487343817104E-3</c:v>
                </c:pt>
                <c:pt idx="59">
                  <c:v>5.4613900333330542E-3</c:v>
                </c:pt>
                <c:pt idx="60">
                  <c:v>5.5139994483596744E-3</c:v>
                </c:pt>
                <c:pt idx="61">
                  <c:v>5.5652769794615701E-3</c:v>
                </c:pt>
                <c:pt idx="62">
                  <c:v>5.6152226266387405E-3</c:v>
                </c:pt>
                <c:pt idx="63">
                  <c:v>5.6638363898911873E-3</c:v>
                </c:pt>
                <c:pt idx="64">
                  <c:v>5.7111182692189096E-3</c:v>
                </c:pt>
                <c:pt idx="65">
                  <c:v>5.7570682646219066E-3</c:v>
                </c:pt>
                <c:pt idx="66">
                  <c:v>5.8016863761001791E-3</c:v>
                </c:pt>
                <c:pt idx="67">
                  <c:v>5.8449726036537272E-3</c:v>
                </c:pt>
                <c:pt idx="68">
                  <c:v>5.8869269472825508E-3</c:v>
                </c:pt>
                <c:pt idx="69">
                  <c:v>5.9275494069866499E-3</c:v>
                </c:pt>
                <c:pt idx="70">
                  <c:v>5.9668399827660238E-3</c:v>
                </c:pt>
                <c:pt idx="71">
                  <c:v>6.004798674620674E-3</c:v>
                </c:pt>
                <c:pt idx="72">
                  <c:v>6.0414254825505997E-3</c:v>
                </c:pt>
                <c:pt idx="73">
                  <c:v>6.0767204065558002E-3</c:v>
                </c:pt>
                <c:pt idx="74">
                  <c:v>6.110683446636277E-3</c:v>
                </c:pt>
                <c:pt idx="75">
                  <c:v>6.1433146027920285E-3</c:v>
                </c:pt>
                <c:pt idx="76">
                  <c:v>6.1746138750230556E-3</c:v>
                </c:pt>
                <c:pt idx="77">
                  <c:v>6.2045812633293581E-3</c:v>
                </c:pt>
                <c:pt idx="78">
                  <c:v>6.2332167677109362E-3</c:v>
                </c:pt>
                <c:pt idx="79">
                  <c:v>6.2605203881677899E-3</c:v>
                </c:pt>
                <c:pt idx="80">
                  <c:v>6.2864921246999182E-3</c:v>
                </c:pt>
                <c:pt idx="81">
                  <c:v>6.3111319773073229E-3</c:v>
                </c:pt>
                <c:pt idx="82">
                  <c:v>6.3344399459900023E-3</c:v>
                </c:pt>
                <c:pt idx="83">
                  <c:v>6.3564160307479581E-3</c:v>
                </c:pt>
                <c:pt idx="84">
                  <c:v>6.3770602315811886E-3</c:v>
                </c:pt>
                <c:pt idx="85">
                  <c:v>6.3963725484896946E-3</c:v>
                </c:pt>
                <c:pt idx="86">
                  <c:v>6.4143529814734762E-3</c:v>
                </c:pt>
                <c:pt idx="87">
                  <c:v>6.4310015305325333E-3</c:v>
                </c:pt>
                <c:pt idx="88">
                  <c:v>6.4463181956668659E-3</c:v>
                </c:pt>
                <c:pt idx="89">
                  <c:v>6.460302976876474E-3</c:v>
                </c:pt>
                <c:pt idx="90">
                  <c:v>6.4729558741613569E-3</c:v>
                </c:pt>
                <c:pt idx="91">
                  <c:v>6.4842768875215152E-3</c:v>
                </c:pt>
                <c:pt idx="92">
                  <c:v>6.49426601695695E-3</c:v>
                </c:pt>
                <c:pt idx="93">
                  <c:v>6.5029232624676594E-3</c:v>
                </c:pt>
                <c:pt idx="94">
                  <c:v>6.5102486240536444E-3</c:v>
                </c:pt>
                <c:pt idx="95">
                  <c:v>6.5162421017149049E-3</c:v>
                </c:pt>
                <c:pt idx="96">
                  <c:v>6.520903695451441E-3</c:v>
                </c:pt>
                <c:pt idx="97">
                  <c:v>6.5242334052632526E-3</c:v>
                </c:pt>
              </c:numCache>
            </c:numRef>
          </c:xVal>
          <c:yVal>
            <c:numRef>
              <c:f>A_CDCL!$J$4:$J$103</c:f>
              <c:numCache>
                <c:formatCode>General</c:formatCode>
                <c:ptCount val="100"/>
                <c:pt idx="0">
                  <c:v>0</c:v>
                </c:pt>
                <c:pt idx="1">
                  <c:v>-4.3779544315042065E-4</c:v>
                </c:pt>
                <c:pt idx="2">
                  <c:v>-8.755908863008413E-4</c:v>
                </c:pt>
                <c:pt idx="3">
                  <c:v>-1.313386329451262E-3</c:v>
                </c:pt>
                <c:pt idx="4">
                  <c:v>-1.7511817726016826E-3</c:v>
                </c:pt>
                <c:pt idx="5">
                  <c:v>-2.1889772157521032E-3</c:v>
                </c:pt>
                <c:pt idx="6">
                  <c:v>-2.626772658902524E-3</c:v>
                </c:pt>
                <c:pt idx="7">
                  <c:v>-3.0645681020529444E-3</c:v>
                </c:pt>
                <c:pt idx="8">
                  <c:v>-3.5023635452033652E-3</c:v>
                </c:pt>
                <c:pt idx="9">
                  <c:v>-3.9401589883537851E-3</c:v>
                </c:pt>
                <c:pt idx="10">
                  <c:v>-4.3779544315042064E-3</c:v>
                </c:pt>
                <c:pt idx="11">
                  <c:v>-4.8157498746546267E-3</c:v>
                </c:pt>
                <c:pt idx="12">
                  <c:v>-5.253545317805048E-3</c:v>
                </c:pt>
                <c:pt idx="13">
                  <c:v>-5.6913407609554684E-3</c:v>
                </c:pt>
                <c:pt idx="14">
                  <c:v>-6.1291362041058887E-3</c:v>
                </c:pt>
                <c:pt idx="15">
                  <c:v>-6.5669316472563091E-3</c:v>
                </c:pt>
                <c:pt idx="16">
                  <c:v>-7.0047270904067304E-3</c:v>
                </c:pt>
                <c:pt idx="17">
                  <c:v>-7.4425225335571507E-3</c:v>
                </c:pt>
                <c:pt idx="18">
                  <c:v>-7.8803179767075703E-3</c:v>
                </c:pt>
                <c:pt idx="19">
                  <c:v>-8.3181134198579924E-3</c:v>
                </c:pt>
                <c:pt idx="20">
                  <c:v>-8.7559088630084127E-3</c:v>
                </c:pt>
                <c:pt idx="21">
                  <c:v>-9.1937043061588331E-3</c:v>
                </c:pt>
                <c:pt idx="22">
                  <c:v>-9.6314997493092535E-3</c:v>
                </c:pt>
                <c:pt idx="23">
                  <c:v>-1.0069295192459674E-2</c:v>
                </c:pt>
                <c:pt idx="24">
                  <c:v>-1.0507090635610096E-2</c:v>
                </c:pt>
                <c:pt idx="25">
                  <c:v>-1.0944886078760515E-2</c:v>
                </c:pt>
                <c:pt idx="26">
                  <c:v>-1.1382681521910937E-2</c:v>
                </c:pt>
                <c:pt idx="27">
                  <c:v>-1.1820476965061357E-2</c:v>
                </c:pt>
                <c:pt idx="28">
                  <c:v>-1.2258272408211777E-2</c:v>
                </c:pt>
                <c:pt idx="29">
                  <c:v>-1.26960678513622E-2</c:v>
                </c:pt>
                <c:pt idx="30">
                  <c:v>-1.3133863294512618E-2</c:v>
                </c:pt>
                <c:pt idx="31">
                  <c:v>-1.3571658737663039E-2</c:v>
                </c:pt>
                <c:pt idx="32">
                  <c:v>-1.4009454180813461E-2</c:v>
                </c:pt>
                <c:pt idx="33">
                  <c:v>-1.4447249623963881E-2</c:v>
                </c:pt>
                <c:pt idx="34">
                  <c:v>-1.4885045067114301E-2</c:v>
                </c:pt>
                <c:pt idx="35">
                  <c:v>-1.532284051026472E-2</c:v>
                </c:pt>
                <c:pt idx="36">
                  <c:v>-1.5760635953415141E-2</c:v>
                </c:pt>
                <c:pt idx="37">
                  <c:v>-1.6198431396565564E-2</c:v>
                </c:pt>
                <c:pt idx="38">
                  <c:v>-1.6636226839715985E-2</c:v>
                </c:pt>
                <c:pt idx="39">
                  <c:v>-1.7074022282866405E-2</c:v>
                </c:pt>
                <c:pt idx="40">
                  <c:v>-1.7511817726016825E-2</c:v>
                </c:pt>
                <c:pt idx="41">
                  <c:v>-1.7949613169167246E-2</c:v>
                </c:pt>
                <c:pt idx="42">
                  <c:v>-1.8387408612317666E-2</c:v>
                </c:pt>
                <c:pt idx="43">
                  <c:v>-1.8825204055468087E-2</c:v>
                </c:pt>
                <c:pt idx="44">
                  <c:v>-1.9262999498618507E-2</c:v>
                </c:pt>
                <c:pt idx="45">
                  <c:v>-1.9700794941768927E-2</c:v>
                </c:pt>
                <c:pt idx="46">
                  <c:v>-2.0138590384919348E-2</c:v>
                </c:pt>
                <c:pt idx="47">
                  <c:v>-2.0576385828069768E-2</c:v>
                </c:pt>
                <c:pt idx="48">
                  <c:v>-2.1014181271220192E-2</c:v>
                </c:pt>
                <c:pt idx="49">
                  <c:v>-2.1451976714370612E-2</c:v>
                </c:pt>
                <c:pt idx="50">
                  <c:v>-2.1889772157521029E-2</c:v>
                </c:pt>
                <c:pt idx="51">
                  <c:v>-2.2327567600671453E-2</c:v>
                </c:pt>
                <c:pt idx="52">
                  <c:v>-2.2765363043821873E-2</c:v>
                </c:pt>
                <c:pt idx="53">
                  <c:v>-2.3203158486972294E-2</c:v>
                </c:pt>
                <c:pt idx="54">
                  <c:v>-2.3640953930122714E-2</c:v>
                </c:pt>
                <c:pt idx="55">
                  <c:v>-2.4078749373273131E-2</c:v>
                </c:pt>
                <c:pt idx="56">
                  <c:v>-2.4516544816423555E-2</c:v>
                </c:pt>
                <c:pt idx="57">
                  <c:v>-2.4954340259573975E-2</c:v>
                </c:pt>
                <c:pt idx="58">
                  <c:v>-2.5392135702724399E-2</c:v>
                </c:pt>
                <c:pt idx="59">
                  <c:v>-2.5829931145874816E-2</c:v>
                </c:pt>
                <c:pt idx="60">
                  <c:v>-2.6267726589025236E-2</c:v>
                </c:pt>
                <c:pt idx="61">
                  <c:v>-2.670552203217566E-2</c:v>
                </c:pt>
                <c:pt idx="62">
                  <c:v>-2.7143317475326077E-2</c:v>
                </c:pt>
                <c:pt idx="63">
                  <c:v>-2.7581112918476501E-2</c:v>
                </c:pt>
                <c:pt idx="64">
                  <c:v>-2.8018908361626921E-2</c:v>
                </c:pt>
                <c:pt idx="65">
                  <c:v>-2.8456703804777338E-2</c:v>
                </c:pt>
                <c:pt idx="66">
                  <c:v>-2.8894499247927762E-2</c:v>
                </c:pt>
                <c:pt idx="67">
                  <c:v>-2.9332294691078179E-2</c:v>
                </c:pt>
                <c:pt idx="68">
                  <c:v>-2.9770090134228603E-2</c:v>
                </c:pt>
                <c:pt idx="69">
                  <c:v>-3.0207885577379023E-2</c:v>
                </c:pt>
                <c:pt idx="70">
                  <c:v>-3.064568102052944E-2</c:v>
                </c:pt>
                <c:pt idx="71">
                  <c:v>-3.1083476463679864E-2</c:v>
                </c:pt>
                <c:pt idx="72">
                  <c:v>-3.1521271906830281E-2</c:v>
                </c:pt>
                <c:pt idx="73">
                  <c:v>-3.1959067349980705E-2</c:v>
                </c:pt>
                <c:pt idx="74">
                  <c:v>-3.2396862793131129E-2</c:v>
                </c:pt>
                <c:pt idx="75">
                  <c:v>-3.2834658236281546E-2</c:v>
                </c:pt>
                <c:pt idx="76">
                  <c:v>-3.3272453679431969E-2</c:v>
                </c:pt>
                <c:pt idx="77">
                  <c:v>-3.3710249122582386E-2</c:v>
                </c:pt>
                <c:pt idx="78">
                  <c:v>-3.414804456573281E-2</c:v>
                </c:pt>
                <c:pt idx="79">
                  <c:v>-3.4585840008883227E-2</c:v>
                </c:pt>
                <c:pt idx="80">
                  <c:v>-3.5023635452033651E-2</c:v>
                </c:pt>
                <c:pt idx="81">
                  <c:v>-3.5461430895184068E-2</c:v>
                </c:pt>
                <c:pt idx="82">
                  <c:v>-3.5899226338334492E-2</c:v>
                </c:pt>
                <c:pt idx="83">
                  <c:v>-3.6337021781484916E-2</c:v>
                </c:pt>
                <c:pt idx="84">
                  <c:v>-3.6774817224635332E-2</c:v>
                </c:pt>
                <c:pt idx="85">
                  <c:v>-3.7212612667785756E-2</c:v>
                </c:pt>
                <c:pt idx="86">
                  <c:v>-3.7650408110936173E-2</c:v>
                </c:pt>
                <c:pt idx="87">
                  <c:v>-3.808820355408659E-2</c:v>
                </c:pt>
                <c:pt idx="88">
                  <c:v>-3.8525998997237014E-2</c:v>
                </c:pt>
                <c:pt idx="89">
                  <c:v>-3.8963794440387438E-2</c:v>
                </c:pt>
                <c:pt idx="90">
                  <c:v>-3.9401589883537855E-2</c:v>
                </c:pt>
                <c:pt idx="91">
                  <c:v>-3.9839385326688279E-2</c:v>
                </c:pt>
                <c:pt idx="92">
                  <c:v>-4.0277180769838695E-2</c:v>
                </c:pt>
                <c:pt idx="93">
                  <c:v>-4.0714976212989119E-2</c:v>
                </c:pt>
                <c:pt idx="94">
                  <c:v>-4.1152771656139536E-2</c:v>
                </c:pt>
                <c:pt idx="95">
                  <c:v>-4.1590567099289953E-2</c:v>
                </c:pt>
                <c:pt idx="96">
                  <c:v>-4.2028362542440384E-2</c:v>
                </c:pt>
                <c:pt idx="97">
                  <c:v>-4.2466157985590801E-2</c:v>
                </c:pt>
                <c:pt idx="98">
                  <c:v>-4.2903953428741225E-2</c:v>
                </c:pt>
                <c:pt idx="99">
                  <c:v>-4.3341748871891642E-2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8A-4C5E-A8E5-910A09CB1503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A_CDCL!$L$4:$L$103</c:f>
              <c:numCache>
                <c:formatCode>General</c:formatCode>
                <c:ptCount val="100"/>
                <c:pt idx="0">
                  <c:v>0</c:v>
                </c:pt>
                <c:pt idx="1">
                  <c:v>1.3119056658537041E-4</c:v>
                </c:pt>
                <c:pt idx="2">
                  <c:v>2.6104924924601289E-4</c:v>
                </c:pt>
                <c:pt idx="3">
                  <c:v>3.8957604798193438E-4</c:v>
                </c:pt>
                <c:pt idx="4">
                  <c:v>5.1677096279312794E-4</c:v>
                </c:pt>
                <c:pt idx="5">
                  <c:v>6.426339936796005E-4</c:v>
                </c:pt>
                <c:pt idx="6">
                  <c:v>7.6716514064134513E-4</c:v>
                </c:pt>
                <c:pt idx="7">
                  <c:v>8.903644036783679E-4</c:v>
                </c:pt>
                <c:pt idx="8">
                  <c:v>1.0122317827906645E-3</c:v>
                </c:pt>
                <c:pt idx="9">
                  <c:v>1.1327672779782375E-3</c:v>
                </c:pt>
                <c:pt idx="10">
                  <c:v>1.2519708892410842E-3</c:v>
                </c:pt>
                <c:pt idx="11">
                  <c:v>1.3698426165792092E-3</c:v>
                </c:pt>
                <c:pt idx="12">
                  <c:v>1.486382459992607E-3</c:v>
                </c:pt>
                <c:pt idx="13">
                  <c:v>1.601590419481283E-3</c:v>
                </c:pt>
                <c:pt idx="14">
                  <c:v>1.7154664950452328E-3</c:v>
                </c:pt>
                <c:pt idx="15">
                  <c:v>1.8280106866844573E-3</c:v>
                </c:pt>
                <c:pt idx="16">
                  <c:v>1.939222994398959E-3</c:v>
                </c:pt>
                <c:pt idx="17">
                  <c:v>2.0491034181887337E-3</c:v>
                </c:pt>
                <c:pt idx="18">
                  <c:v>2.1576519580537865E-3</c:v>
                </c:pt>
                <c:pt idx="19">
                  <c:v>2.2648686139941122E-3</c:v>
                </c:pt>
                <c:pt idx="20">
                  <c:v>2.3707533860097153E-3</c:v>
                </c:pt>
                <c:pt idx="21">
                  <c:v>2.475306274100593E-3</c:v>
                </c:pt>
                <c:pt idx="22">
                  <c:v>2.5785272782667462E-3</c:v>
                </c:pt>
                <c:pt idx="23">
                  <c:v>2.6804163985081741E-3</c:v>
                </c:pt>
                <c:pt idx="24">
                  <c:v>2.7809736348248797E-3</c:v>
                </c:pt>
                <c:pt idx="25">
                  <c:v>2.8801989872168587E-3</c:v>
                </c:pt>
                <c:pt idx="26">
                  <c:v>2.9780924556841145E-3</c:v>
                </c:pt>
                <c:pt idx="27">
                  <c:v>3.0746540402266454E-3</c:v>
                </c:pt>
                <c:pt idx="28">
                  <c:v>3.1698837408444505E-3</c:v>
                </c:pt>
                <c:pt idx="29">
                  <c:v>3.2637815575375325E-3</c:v>
                </c:pt>
                <c:pt idx="30">
                  <c:v>3.3563474903058887E-3</c:v>
                </c:pt>
                <c:pt idx="31">
                  <c:v>3.4475815391495209E-3</c:v>
                </c:pt>
                <c:pt idx="32">
                  <c:v>3.5374837040684287E-3</c:v>
                </c:pt>
                <c:pt idx="33">
                  <c:v>3.6260539850626124E-3</c:v>
                </c:pt>
                <c:pt idx="34">
                  <c:v>3.7132923821320699E-3</c:v>
                </c:pt>
                <c:pt idx="35">
                  <c:v>3.7991988952768042E-3</c:v>
                </c:pt>
                <c:pt idx="36">
                  <c:v>3.8837735244968137E-3</c:v>
                </c:pt>
                <c:pt idx="37">
                  <c:v>3.9670162697920987E-3</c:v>
                </c:pt>
                <c:pt idx="38">
                  <c:v>4.0489271311626596E-3</c:v>
                </c:pt>
                <c:pt idx="39">
                  <c:v>4.1295061086084953E-3</c:v>
                </c:pt>
                <c:pt idx="40">
                  <c:v>4.2087532021296064E-3</c:v>
                </c:pt>
                <c:pt idx="41">
                  <c:v>4.286668411725994E-3</c:v>
                </c:pt>
                <c:pt idx="42">
                  <c:v>4.3632517373976554E-3</c:v>
                </c:pt>
                <c:pt idx="43">
                  <c:v>4.4385031791445931E-3</c:v>
                </c:pt>
                <c:pt idx="44">
                  <c:v>4.5124227369668056E-3</c:v>
                </c:pt>
                <c:pt idx="45">
                  <c:v>4.5850104108642945E-3</c:v>
                </c:pt>
                <c:pt idx="46">
                  <c:v>4.656266200837058E-3</c:v>
                </c:pt>
                <c:pt idx="47">
                  <c:v>4.7261901068850979E-3</c:v>
                </c:pt>
                <c:pt idx="48">
                  <c:v>4.7947821290084125E-3</c:v>
                </c:pt>
                <c:pt idx="49">
                  <c:v>4.8620422672070035E-3</c:v>
                </c:pt>
                <c:pt idx="50">
                  <c:v>4.9279705214808683E-3</c:v>
                </c:pt>
                <c:pt idx="51">
                  <c:v>4.9925668918300095E-3</c:v>
                </c:pt>
                <c:pt idx="52">
                  <c:v>5.0558313782544263E-3</c:v>
                </c:pt>
                <c:pt idx="53">
                  <c:v>5.1177639807541177E-3</c:v>
                </c:pt>
                <c:pt idx="54">
                  <c:v>5.1783646993290855E-3</c:v>
                </c:pt>
                <c:pt idx="55">
                  <c:v>5.237633533979328E-3</c:v>
                </c:pt>
                <c:pt idx="56">
                  <c:v>5.2955704847048469E-3</c:v>
                </c:pt>
                <c:pt idx="57">
                  <c:v>5.3521755515056404E-3</c:v>
                </c:pt>
                <c:pt idx="58">
                  <c:v>5.4074487343817104E-3</c:v>
                </c:pt>
                <c:pt idx="59">
                  <c:v>5.4613900333330542E-3</c:v>
                </c:pt>
                <c:pt idx="60">
                  <c:v>5.5139994483596744E-3</c:v>
                </c:pt>
                <c:pt idx="61">
                  <c:v>5.5652769794615701E-3</c:v>
                </c:pt>
                <c:pt idx="62">
                  <c:v>5.6152226266387405E-3</c:v>
                </c:pt>
                <c:pt idx="63">
                  <c:v>5.6638363898911873E-3</c:v>
                </c:pt>
                <c:pt idx="64">
                  <c:v>5.7111182692189096E-3</c:v>
                </c:pt>
                <c:pt idx="65">
                  <c:v>5.7570682646219066E-3</c:v>
                </c:pt>
                <c:pt idx="66">
                  <c:v>5.8016863761001791E-3</c:v>
                </c:pt>
                <c:pt idx="67">
                  <c:v>5.8449726036537272E-3</c:v>
                </c:pt>
                <c:pt idx="68">
                  <c:v>5.8869269472825508E-3</c:v>
                </c:pt>
                <c:pt idx="69">
                  <c:v>5.9275494069866499E-3</c:v>
                </c:pt>
                <c:pt idx="70">
                  <c:v>5.9668399827660238E-3</c:v>
                </c:pt>
                <c:pt idx="71">
                  <c:v>6.004798674620674E-3</c:v>
                </c:pt>
                <c:pt idx="72">
                  <c:v>6.0414254825505997E-3</c:v>
                </c:pt>
                <c:pt idx="73">
                  <c:v>6.0767204065558002E-3</c:v>
                </c:pt>
                <c:pt idx="74">
                  <c:v>6.110683446636277E-3</c:v>
                </c:pt>
                <c:pt idx="75">
                  <c:v>6.1433146027920285E-3</c:v>
                </c:pt>
                <c:pt idx="76">
                  <c:v>6.1746138750230556E-3</c:v>
                </c:pt>
                <c:pt idx="77">
                  <c:v>6.2045812633293581E-3</c:v>
                </c:pt>
                <c:pt idx="78">
                  <c:v>6.2332167677109362E-3</c:v>
                </c:pt>
                <c:pt idx="79">
                  <c:v>6.2605203881677899E-3</c:v>
                </c:pt>
                <c:pt idx="80">
                  <c:v>6.2864921246999182E-3</c:v>
                </c:pt>
                <c:pt idx="81">
                  <c:v>6.3111319773073229E-3</c:v>
                </c:pt>
                <c:pt idx="82">
                  <c:v>6.3344399459900023E-3</c:v>
                </c:pt>
                <c:pt idx="83">
                  <c:v>6.3564160307479581E-3</c:v>
                </c:pt>
                <c:pt idx="84">
                  <c:v>6.3770602315811886E-3</c:v>
                </c:pt>
                <c:pt idx="85">
                  <c:v>6.3963725484896946E-3</c:v>
                </c:pt>
                <c:pt idx="86">
                  <c:v>6.4143529814734762E-3</c:v>
                </c:pt>
                <c:pt idx="87">
                  <c:v>6.4310015305325333E-3</c:v>
                </c:pt>
                <c:pt idx="88">
                  <c:v>6.4463181956668659E-3</c:v>
                </c:pt>
                <c:pt idx="89">
                  <c:v>6.460302976876474E-3</c:v>
                </c:pt>
                <c:pt idx="90">
                  <c:v>6.4729558741613569E-3</c:v>
                </c:pt>
                <c:pt idx="91">
                  <c:v>6.4842768875215152E-3</c:v>
                </c:pt>
                <c:pt idx="92">
                  <c:v>6.49426601695695E-3</c:v>
                </c:pt>
                <c:pt idx="93">
                  <c:v>6.5029232624676594E-3</c:v>
                </c:pt>
                <c:pt idx="94">
                  <c:v>6.5102486240536444E-3</c:v>
                </c:pt>
                <c:pt idx="95">
                  <c:v>6.5162421017149049E-3</c:v>
                </c:pt>
                <c:pt idx="96">
                  <c:v>6.520903695451441E-3</c:v>
                </c:pt>
                <c:pt idx="97">
                  <c:v>6.5242334052632526E-3</c:v>
                </c:pt>
                <c:pt idx="98">
                  <c:v>6.5262312311503388E-3</c:v>
                </c:pt>
                <c:pt idx="99">
                  <c:v>6.5268971731127015E-3</c:v>
                </c:pt>
              </c:numCache>
            </c:numRef>
          </c:xVal>
          <c:yVal>
            <c:numRef>
              <c:f>A_CDCL!$M$4:$M$103</c:f>
              <c:numCache>
                <c:formatCode>General</c:formatCode>
                <c:ptCount val="100"/>
                <c:pt idx="0">
                  <c:v>0</c:v>
                </c:pt>
                <c:pt idx="1">
                  <c:v>-4.3779544315042065E-4</c:v>
                </c:pt>
                <c:pt idx="2">
                  <c:v>-8.755908863008413E-4</c:v>
                </c:pt>
                <c:pt idx="3">
                  <c:v>-1.313386329451262E-3</c:v>
                </c:pt>
                <c:pt idx="4">
                  <c:v>-1.7511817726016826E-3</c:v>
                </c:pt>
                <c:pt idx="5">
                  <c:v>-2.1889772157521032E-3</c:v>
                </c:pt>
                <c:pt idx="6">
                  <c:v>-2.626772658902524E-3</c:v>
                </c:pt>
                <c:pt idx="7">
                  <c:v>-3.0645681020529444E-3</c:v>
                </c:pt>
                <c:pt idx="8">
                  <c:v>-3.5023635452033652E-3</c:v>
                </c:pt>
                <c:pt idx="9">
                  <c:v>-3.9401589883537851E-3</c:v>
                </c:pt>
                <c:pt idx="10">
                  <c:v>-4.3779544315042064E-3</c:v>
                </c:pt>
                <c:pt idx="11">
                  <c:v>-4.8157498746546267E-3</c:v>
                </c:pt>
                <c:pt idx="12">
                  <c:v>-5.253545317805048E-3</c:v>
                </c:pt>
                <c:pt idx="13">
                  <c:v>-5.6913407609554684E-3</c:v>
                </c:pt>
                <c:pt idx="14">
                  <c:v>-6.1291362041058887E-3</c:v>
                </c:pt>
                <c:pt idx="15">
                  <c:v>-6.5669316472563091E-3</c:v>
                </c:pt>
                <c:pt idx="16">
                  <c:v>-7.0047270904067304E-3</c:v>
                </c:pt>
                <c:pt idx="17">
                  <c:v>-7.4425225335571507E-3</c:v>
                </c:pt>
                <c:pt idx="18">
                  <c:v>-7.8803179767075703E-3</c:v>
                </c:pt>
                <c:pt idx="19">
                  <c:v>-8.3181134198579924E-3</c:v>
                </c:pt>
                <c:pt idx="20">
                  <c:v>-8.7559088630084127E-3</c:v>
                </c:pt>
                <c:pt idx="21">
                  <c:v>-9.1937043061588331E-3</c:v>
                </c:pt>
                <c:pt idx="22">
                  <c:v>-9.6314997493092535E-3</c:v>
                </c:pt>
                <c:pt idx="23">
                  <c:v>-1.0069295192459674E-2</c:v>
                </c:pt>
                <c:pt idx="24">
                  <c:v>-1.0507090635610096E-2</c:v>
                </c:pt>
                <c:pt idx="25">
                  <c:v>-1.0944886078760515E-2</c:v>
                </c:pt>
                <c:pt idx="26">
                  <c:v>-1.1382681521910937E-2</c:v>
                </c:pt>
                <c:pt idx="27">
                  <c:v>-1.1820476965061357E-2</c:v>
                </c:pt>
                <c:pt idx="28">
                  <c:v>-1.2258272408211777E-2</c:v>
                </c:pt>
                <c:pt idx="29">
                  <c:v>-1.26960678513622E-2</c:v>
                </c:pt>
                <c:pt idx="30">
                  <c:v>-1.3133863294512618E-2</c:v>
                </c:pt>
                <c:pt idx="31">
                  <c:v>-1.3571658737663039E-2</c:v>
                </c:pt>
                <c:pt idx="32">
                  <c:v>-1.4009454180813461E-2</c:v>
                </c:pt>
                <c:pt idx="33">
                  <c:v>-1.4447249623963881E-2</c:v>
                </c:pt>
                <c:pt idx="34">
                  <c:v>-1.4885045067114301E-2</c:v>
                </c:pt>
                <c:pt idx="35">
                  <c:v>-1.532284051026472E-2</c:v>
                </c:pt>
                <c:pt idx="36">
                  <c:v>-1.5760635953415141E-2</c:v>
                </c:pt>
                <c:pt idx="37">
                  <c:v>-1.6198431396565564E-2</c:v>
                </c:pt>
                <c:pt idx="38">
                  <c:v>-1.6636226839715985E-2</c:v>
                </c:pt>
                <c:pt idx="39">
                  <c:v>-1.7074022282866405E-2</c:v>
                </c:pt>
                <c:pt idx="40">
                  <c:v>-1.7511817726016825E-2</c:v>
                </c:pt>
                <c:pt idx="41">
                  <c:v>-1.7949613169167246E-2</c:v>
                </c:pt>
                <c:pt idx="42">
                  <c:v>-1.8387408612317666E-2</c:v>
                </c:pt>
                <c:pt idx="43">
                  <c:v>-1.8825204055468087E-2</c:v>
                </c:pt>
                <c:pt idx="44">
                  <c:v>-1.9262999498618507E-2</c:v>
                </c:pt>
                <c:pt idx="45">
                  <c:v>-1.9700794941768927E-2</c:v>
                </c:pt>
                <c:pt idx="46">
                  <c:v>-2.0138590384919348E-2</c:v>
                </c:pt>
                <c:pt idx="47">
                  <c:v>-2.0576385828069768E-2</c:v>
                </c:pt>
                <c:pt idx="48">
                  <c:v>-2.1014181271220192E-2</c:v>
                </c:pt>
                <c:pt idx="49">
                  <c:v>-2.1451976714370612E-2</c:v>
                </c:pt>
                <c:pt idx="50">
                  <c:v>-2.1889772157521029E-2</c:v>
                </c:pt>
                <c:pt idx="51">
                  <c:v>-2.2327567600671453E-2</c:v>
                </c:pt>
                <c:pt idx="52">
                  <c:v>-2.2765363043821873E-2</c:v>
                </c:pt>
                <c:pt idx="53">
                  <c:v>-2.3203158486972294E-2</c:v>
                </c:pt>
                <c:pt idx="54">
                  <c:v>-2.3640953930122714E-2</c:v>
                </c:pt>
                <c:pt idx="55">
                  <c:v>-2.4078749373273131E-2</c:v>
                </c:pt>
                <c:pt idx="56">
                  <c:v>-2.4516544816423555E-2</c:v>
                </c:pt>
                <c:pt idx="57">
                  <c:v>-2.4954340259573975E-2</c:v>
                </c:pt>
                <c:pt idx="58">
                  <c:v>-2.5392135702724399E-2</c:v>
                </c:pt>
                <c:pt idx="59">
                  <c:v>-2.5829931145874816E-2</c:v>
                </c:pt>
                <c:pt idx="60">
                  <c:v>-2.6267726589025236E-2</c:v>
                </c:pt>
                <c:pt idx="61">
                  <c:v>-2.670552203217566E-2</c:v>
                </c:pt>
                <c:pt idx="62">
                  <c:v>-2.7143317475326077E-2</c:v>
                </c:pt>
                <c:pt idx="63">
                  <c:v>-2.7581112918476501E-2</c:v>
                </c:pt>
                <c:pt idx="64">
                  <c:v>-2.8018908361626921E-2</c:v>
                </c:pt>
                <c:pt idx="65">
                  <c:v>-2.8456703804777338E-2</c:v>
                </c:pt>
                <c:pt idx="66">
                  <c:v>-2.8894499247927762E-2</c:v>
                </c:pt>
                <c:pt idx="67">
                  <c:v>-2.9332294691078179E-2</c:v>
                </c:pt>
                <c:pt idx="68">
                  <c:v>-2.9770090134228603E-2</c:v>
                </c:pt>
                <c:pt idx="69">
                  <c:v>-3.0207885577379023E-2</c:v>
                </c:pt>
                <c:pt idx="70">
                  <c:v>-3.064568102052944E-2</c:v>
                </c:pt>
                <c:pt idx="71">
                  <c:v>-3.1083476463679864E-2</c:v>
                </c:pt>
                <c:pt idx="72">
                  <c:v>-3.1521271906830281E-2</c:v>
                </c:pt>
                <c:pt idx="73">
                  <c:v>-3.1959067349980705E-2</c:v>
                </c:pt>
                <c:pt idx="74">
                  <c:v>-3.2396862793131129E-2</c:v>
                </c:pt>
                <c:pt idx="75">
                  <c:v>-3.2834658236281546E-2</c:v>
                </c:pt>
                <c:pt idx="76">
                  <c:v>-3.3272453679431969E-2</c:v>
                </c:pt>
                <c:pt idx="77">
                  <c:v>-3.3710249122582386E-2</c:v>
                </c:pt>
                <c:pt idx="78">
                  <c:v>-3.414804456573281E-2</c:v>
                </c:pt>
                <c:pt idx="79">
                  <c:v>-3.4585840008883227E-2</c:v>
                </c:pt>
                <c:pt idx="80">
                  <c:v>-3.5023635452033651E-2</c:v>
                </c:pt>
                <c:pt idx="81">
                  <c:v>-3.5461430895184068E-2</c:v>
                </c:pt>
                <c:pt idx="82">
                  <c:v>-3.5899226338334492E-2</c:v>
                </c:pt>
                <c:pt idx="83">
                  <c:v>-3.6337021781484916E-2</c:v>
                </c:pt>
                <c:pt idx="84">
                  <c:v>-3.6774817224635332E-2</c:v>
                </c:pt>
                <c:pt idx="85">
                  <c:v>-3.7212612667785756E-2</c:v>
                </c:pt>
                <c:pt idx="86">
                  <c:v>-3.7650408110936173E-2</c:v>
                </c:pt>
                <c:pt idx="87">
                  <c:v>-3.808820355408659E-2</c:v>
                </c:pt>
                <c:pt idx="88">
                  <c:v>-3.8525998997237014E-2</c:v>
                </c:pt>
                <c:pt idx="89">
                  <c:v>-3.8963794440387438E-2</c:v>
                </c:pt>
                <c:pt idx="90">
                  <c:v>-3.9401589883537855E-2</c:v>
                </c:pt>
                <c:pt idx="91">
                  <c:v>-3.9839385326688279E-2</c:v>
                </c:pt>
                <c:pt idx="92">
                  <c:v>-4.0277180769838695E-2</c:v>
                </c:pt>
                <c:pt idx="93">
                  <c:v>-4.0714976212989119E-2</c:v>
                </c:pt>
                <c:pt idx="94">
                  <c:v>-4.1152771656139536E-2</c:v>
                </c:pt>
                <c:pt idx="95">
                  <c:v>-4.1590567099289953E-2</c:v>
                </c:pt>
                <c:pt idx="96">
                  <c:v>-4.2028362542440384E-2</c:v>
                </c:pt>
                <c:pt idx="97">
                  <c:v>-4.2466157985590801E-2</c:v>
                </c:pt>
                <c:pt idx="98">
                  <c:v>-4.2903953428741225E-2</c:v>
                </c:pt>
                <c:pt idx="99">
                  <c:v>-4.3341748871891642E-2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08A-4C5E-A8E5-910A09CB1503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A_CDCL!$O$4:$O$103</c:f>
              <c:numCache>
                <c:formatCode>General</c:formatCode>
                <c:ptCount val="100"/>
                <c:pt idx="0">
                  <c:v>-3.6605460011967841</c:v>
                </c:pt>
                <c:pt idx="1">
                  <c:v>-3.627910143192957</c:v>
                </c:pt>
                <c:pt idx="2">
                  <c:v>-3.595185726941589</c:v>
                </c:pt>
                <c:pt idx="3">
                  <c:v>-3.5623727524426814</c:v>
                </c:pt>
                <c:pt idx="4">
                  <c:v>-3.5294712196962328</c:v>
                </c:pt>
                <c:pt idx="5">
                  <c:v>-3.4964811287022446</c:v>
                </c:pt>
                <c:pt idx="6">
                  <c:v>-3.4634024794607159</c:v>
                </c:pt>
                <c:pt idx="7">
                  <c:v>-3.4302352719716467</c:v>
                </c:pt>
                <c:pt idx="8">
                  <c:v>-3.3969795062350379</c:v>
                </c:pt>
                <c:pt idx="9">
                  <c:v>-3.363635182250889</c:v>
                </c:pt>
                <c:pt idx="10">
                  <c:v>-3.3302023000191987</c:v>
                </c:pt>
                <c:pt idx="11">
                  <c:v>-3.2966808595399684</c:v>
                </c:pt>
                <c:pt idx="12">
                  <c:v>-3.2630708608131984</c:v>
                </c:pt>
                <c:pt idx="13">
                  <c:v>-3.2293723038388875</c:v>
                </c:pt>
                <c:pt idx="14">
                  <c:v>-3.195585188617037</c:v>
                </c:pt>
                <c:pt idx="15">
                  <c:v>-3.1617095151476451</c:v>
                </c:pt>
                <c:pt idx="16">
                  <c:v>-3.1277452834307136</c:v>
                </c:pt>
                <c:pt idx="17">
                  <c:v>-3.0936924934662424</c:v>
                </c:pt>
                <c:pt idx="18">
                  <c:v>-3.0595511452542299</c:v>
                </c:pt>
                <c:pt idx="19">
                  <c:v>-3.0253212387946777</c:v>
                </c:pt>
                <c:pt idx="20">
                  <c:v>-2.9910027740875851</c:v>
                </c:pt>
                <c:pt idx="21">
                  <c:v>-2.9565957511329524</c:v>
                </c:pt>
                <c:pt idx="22">
                  <c:v>-2.9221001699307791</c:v>
                </c:pt>
                <c:pt idx="23">
                  <c:v>-2.8875160304810654</c:v>
                </c:pt>
                <c:pt idx="24">
                  <c:v>-2.8528433327838121</c:v>
                </c:pt>
                <c:pt idx="25">
                  <c:v>-2.8180820768390182</c:v>
                </c:pt>
                <c:pt idx="26">
                  <c:v>-2.7832322626466843</c:v>
                </c:pt>
                <c:pt idx="27">
                  <c:v>-2.748293890206809</c:v>
                </c:pt>
                <c:pt idx="28">
                  <c:v>-2.7132669595193946</c:v>
                </c:pt>
                <c:pt idx="29">
                  <c:v>-2.6781514705844396</c:v>
                </c:pt>
                <c:pt idx="30">
                  <c:v>-2.6429474234019437</c:v>
                </c:pt>
                <c:pt idx="31">
                  <c:v>-2.6076548179719081</c:v>
                </c:pt>
                <c:pt idx="32">
                  <c:v>-2.5722736542943325</c:v>
                </c:pt>
                <c:pt idx="33">
                  <c:v>-2.5368039323692164</c:v>
                </c:pt>
                <c:pt idx="34">
                  <c:v>-2.5012456521965603</c:v>
                </c:pt>
                <c:pt idx="35">
                  <c:v>-2.4655988137763631</c:v>
                </c:pt>
                <c:pt idx="36">
                  <c:v>-2.4298634171086264</c:v>
                </c:pt>
                <c:pt idx="37">
                  <c:v>-2.3940394621933492</c:v>
                </c:pt>
                <c:pt idx="38">
                  <c:v>-2.3581269490305314</c:v>
                </c:pt>
                <c:pt idx="39">
                  <c:v>-2.3221258776201741</c:v>
                </c:pt>
                <c:pt idx="40">
                  <c:v>-2.2860362479622749</c:v>
                </c:pt>
                <c:pt idx="41">
                  <c:v>-2.249858060056837</c:v>
                </c:pt>
                <c:pt idx="42">
                  <c:v>-2.2135913139038581</c:v>
                </c:pt>
                <c:pt idx="43">
                  <c:v>-2.1772360095033392</c:v>
                </c:pt>
                <c:pt idx="44">
                  <c:v>-2.1407921468552802</c:v>
                </c:pt>
                <c:pt idx="45">
                  <c:v>-2.1042597259596807</c:v>
                </c:pt>
                <c:pt idx="46">
                  <c:v>-2.0676387468165407</c:v>
                </c:pt>
                <c:pt idx="47">
                  <c:v>-2.0309292094258611</c:v>
                </c:pt>
                <c:pt idx="48">
                  <c:v>-1.9941311137876405</c:v>
                </c:pt>
                <c:pt idx="49">
                  <c:v>-1.9572444599018799</c:v>
                </c:pt>
                <c:pt idx="50">
                  <c:v>-1.9202692477685794</c:v>
                </c:pt>
                <c:pt idx="51">
                  <c:v>-1.883205477387738</c:v>
                </c:pt>
                <c:pt idx="52">
                  <c:v>-1.8460531487593568</c:v>
                </c:pt>
                <c:pt idx="53">
                  <c:v>-1.808812261883435</c:v>
                </c:pt>
                <c:pt idx="54">
                  <c:v>-1.7714828167599732</c:v>
                </c:pt>
                <c:pt idx="55">
                  <c:v>-1.7340648133889707</c:v>
                </c:pt>
                <c:pt idx="56">
                  <c:v>-1.6965582517704283</c:v>
                </c:pt>
                <c:pt idx="57">
                  <c:v>-1.6589631319043454</c:v>
                </c:pt>
                <c:pt idx="58">
                  <c:v>-1.6212794537907225</c:v>
                </c:pt>
                <c:pt idx="59">
                  <c:v>-1.5835072174295592</c:v>
                </c:pt>
                <c:pt idx="60">
                  <c:v>-1.5456464228208553</c:v>
                </c:pt>
                <c:pt idx="61">
                  <c:v>-1.5076970699646117</c:v>
                </c:pt>
                <c:pt idx="62">
                  <c:v>-1.4696591588608274</c:v>
                </c:pt>
                <c:pt idx="63">
                  <c:v>-1.4315326895095033</c:v>
                </c:pt>
                <c:pt idx="64">
                  <c:v>-1.3933176619106384</c:v>
                </c:pt>
                <c:pt idx="65">
                  <c:v>-1.3550140760642329</c:v>
                </c:pt>
                <c:pt idx="66">
                  <c:v>-1.3166219319702881</c:v>
                </c:pt>
                <c:pt idx="67">
                  <c:v>-1.2781412296288024</c:v>
                </c:pt>
                <c:pt idx="68">
                  <c:v>-1.2395719690397773</c:v>
                </c:pt>
                <c:pt idx="69">
                  <c:v>-1.2009141502032108</c:v>
                </c:pt>
                <c:pt idx="70">
                  <c:v>-1.162167773119104</c:v>
                </c:pt>
                <c:pt idx="71">
                  <c:v>-1.1233328377874576</c:v>
                </c:pt>
                <c:pt idx="72">
                  <c:v>-1.0844093442082707</c:v>
                </c:pt>
                <c:pt idx="73">
                  <c:v>-1.0453972923815438</c:v>
                </c:pt>
                <c:pt idx="74">
                  <c:v>-1.0062966823072759</c:v>
                </c:pt>
                <c:pt idx="75">
                  <c:v>-0.96710751398546801</c:v>
                </c:pt>
                <c:pt idx="76">
                  <c:v>-0.92782978741612032</c:v>
                </c:pt>
                <c:pt idx="77">
                  <c:v>-0.88846350259923179</c:v>
                </c:pt>
                <c:pt idx="78">
                  <c:v>-0.84900865953480387</c:v>
                </c:pt>
                <c:pt idx="79">
                  <c:v>-0.80946525822283477</c:v>
                </c:pt>
                <c:pt idx="80">
                  <c:v>-0.76983329866332539</c:v>
                </c:pt>
                <c:pt idx="81">
                  <c:v>-0.73011278085627618</c:v>
                </c:pt>
                <c:pt idx="82">
                  <c:v>-0.69030370480168624</c:v>
                </c:pt>
                <c:pt idx="83">
                  <c:v>-0.65040607049955657</c:v>
                </c:pt>
                <c:pt idx="84">
                  <c:v>-0.61041987794988606</c:v>
                </c:pt>
                <c:pt idx="85">
                  <c:v>-0.57034512715267627</c:v>
                </c:pt>
                <c:pt idx="86">
                  <c:v>-0.53018181810792486</c:v>
                </c:pt>
                <c:pt idx="87">
                  <c:v>-0.48992995081563401</c:v>
                </c:pt>
                <c:pt idx="88">
                  <c:v>-0.44958952527580293</c:v>
                </c:pt>
                <c:pt idx="89">
                  <c:v>-0.40916054148843078</c:v>
                </c:pt>
                <c:pt idx="90">
                  <c:v>-0.36864299945351903</c:v>
                </c:pt>
                <c:pt idx="91">
                  <c:v>-0.3280368991710671</c:v>
                </c:pt>
                <c:pt idx="92">
                  <c:v>-0.28734224064107411</c:v>
                </c:pt>
                <c:pt idx="93">
                  <c:v>-0.24655902386354236</c:v>
                </c:pt>
                <c:pt idx="94">
                  <c:v>-0.20568724883846881</c:v>
                </c:pt>
                <c:pt idx="95">
                  <c:v>-0.16472691556585575</c:v>
                </c:pt>
                <c:pt idx="96">
                  <c:v>-0.12367802404570241</c:v>
                </c:pt>
                <c:pt idx="97">
                  <c:v>-8.2540574278008053E-2</c:v>
                </c:pt>
                <c:pt idx="98">
                  <c:v>-4.1314566262774147E-2</c:v>
                </c:pt>
                <c:pt idx="99">
                  <c:v>0</c:v>
                </c:pt>
              </c:numCache>
            </c:numRef>
          </c:xVal>
          <c:yVal>
            <c:numRef>
              <c:f>A_CDCL!$P$4:$P$103</c:f>
              <c:numCache>
                <c:formatCode>General</c:formatCode>
                <c:ptCount val="100"/>
                <c:pt idx="0">
                  <c:v>-0.58922300842456532</c:v>
                </c:pt>
                <c:pt idx="1">
                  <c:v>-0.58327126086472125</c:v>
                </c:pt>
                <c:pt idx="2">
                  <c:v>-0.57731951330487719</c:v>
                </c:pt>
                <c:pt idx="3">
                  <c:v>-0.57136776574503301</c:v>
                </c:pt>
                <c:pt idx="4">
                  <c:v>-0.56541601818518894</c:v>
                </c:pt>
                <c:pt idx="5">
                  <c:v>-0.55946427062534487</c:v>
                </c:pt>
                <c:pt idx="6">
                  <c:v>-0.55351252306550081</c:v>
                </c:pt>
                <c:pt idx="7">
                  <c:v>-0.54756077550565663</c:v>
                </c:pt>
                <c:pt idx="8">
                  <c:v>-0.54160902794581256</c:v>
                </c:pt>
                <c:pt idx="9">
                  <c:v>-0.53565728038596849</c:v>
                </c:pt>
                <c:pt idx="10">
                  <c:v>-0.52970553282612443</c:v>
                </c:pt>
                <c:pt idx="11">
                  <c:v>-0.52375378526628025</c:v>
                </c:pt>
                <c:pt idx="12">
                  <c:v>-0.51780203770643618</c:v>
                </c:pt>
                <c:pt idx="13">
                  <c:v>-0.51185029014659211</c:v>
                </c:pt>
                <c:pt idx="14">
                  <c:v>-0.50589854258674805</c:v>
                </c:pt>
                <c:pt idx="15">
                  <c:v>-0.49994679502690387</c:v>
                </c:pt>
                <c:pt idx="16">
                  <c:v>-0.4939950474670598</c:v>
                </c:pt>
                <c:pt idx="17">
                  <c:v>-0.48804329990721573</c:v>
                </c:pt>
                <c:pt idx="18">
                  <c:v>-0.48209155234737161</c:v>
                </c:pt>
                <c:pt idx="19">
                  <c:v>-0.47613980478752754</c:v>
                </c:pt>
                <c:pt idx="20">
                  <c:v>-0.47018805722768342</c:v>
                </c:pt>
                <c:pt idx="21">
                  <c:v>-0.46423630966783935</c:v>
                </c:pt>
                <c:pt idx="22">
                  <c:v>-0.45828456210799529</c:v>
                </c:pt>
                <c:pt idx="23">
                  <c:v>-0.45233281454815111</c:v>
                </c:pt>
                <c:pt idx="24">
                  <c:v>-0.44638106698830704</c:v>
                </c:pt>
                <c:pt idx="25">
                  <c:v>-0.44042931942846297</c:v>
                </c:pt>
                <c:pt idx="26">
                  <c:v>-0.43447757186861891</c:v>
                </c:pt>
                <c:pt idx="27">
                  <c:v>-0.42852582430877478</c:v>
                </c:pt>
                <c:pt idx="28">
                  <c:v>-0.42257407674893066</c:v>
                </c:pt>
                <c:pt idx="29">
                  <c:v>-0.41662232918908659</c:v>
                </c:pt>
                <c:pt idx="30">
                  <c:v>-0.41067058162924247</c:v>
                </c:pt>
                <c:pt idx="31">
                  <c:v>-0.4047188340693984</c:v>
                </c:pt>
                <c:pt idx="32">
                  <c:v>-0.39876708650955428</c:v>
                </c:pt>
                <c:pt idx="33">
                  <c:v>-0.39281533894971021</c:v>
                </c:pt>
                <c:pt idx="34">
                  <c:v>-0.38686359138986615</c:v>
                </c:pt>
                <c:pt idx="35">
                  <c:v>-0.38091184383002197</c:v>
                </c:pt>
                <c:pt idx="36">
                  <c:v>-0.3749600962701779</c:v>
                </c:pt>
                <c:pt idx="37">
                  <c:v>-0.36900834871033383</c:v>
                </c:pt>
                <c:pt idx="38">
                  <c:v>-0.36305660115048977</c:v>
                </c:pt>
                <c:pt idx="39">
                  <c:v>-0.3571048535906457</c:v>
                </c:pt>
                <c:pt idx="40">
                  <c:v>-0.35115310603080152</c:v>
                </c:pt>
                <c:pt idx="41">
                  <c:v>-0.34520135847095745</c:v>
                </c:pt>
                <c:pt idx="42">
                  <c:v>-0.33924961091111339</c:v>
                </c:pt>
                <c:pt idx="43">
                  <c:v>-0.33329786335126926</c:v>
                </c:pt>
                <c:pt idx="44">
                  <c:v>-0.3273461157914252</c:v>
                </c:pt>
                <c:pt idx="45">
                  <c:v>-0.32139436823158107</c:v>
                </c:pt>
                <c:pt idx="46">
                  <c:v>-0.31544262067173695</c:v>
                </c:pt>
                <c:pt idx="47">
                  <c:v>-0.30949087311189288</c:v>
                </c:pt>
                <c:pt idx="48">
                  <c:v>-0.30353912555204882</c:v>
                </c:pt>
                <c:pt idx="49">
                  <c:v>-0.29758737799220469</c:v>
                </c:pt>
                <c:pt idx="50">
                  <c:v>-0.29163563043236063</c:v>
                </c:pt>
                <c:pt idx="51">
                  <c:v>-0.2856838828725165</c:v>
                </c:pt>
                <c:pt idx="52">
                  <c:v>-0.27973213531267244</c:v>
                </c:pt>
                <c:pt idx="53">
                  <c:v>-0.27378038775282831</c:v>
                </c:pt>
                <c:pt idx="54">
                  <c:v>-0.26782864019298425</c:v>
                </c:pt>
                <c:pt idx="55">
                  <c:v>-0.26187689263314012</c:v>
                </c:pt>
                <c:pt idx="56">
                  <c:v>-0.25592514507329606</c:v>
                </c:pt>
                <c:pt idx="57">
                  <c:v>-0.24997339751345193</c:v>
                </c:pt>
                <c:pt idx="58">
                  <c:v>-0.24402164995360787</c:v>
                </c:pt>
                <c:pt idx="59">
                  <c:v>-0.23806990239376374</c:v>
                </c:pt>
                <c:pt idx="60">
                  <c:v>-0.23211815483391962</c:v>
                </c:pt>
                <c:pt idx="61">
                  <c:v>-0.22616640727407561</c:v>
                </c:pt>
                <c:pt idx="62">
                  <c:v>-0.22021465971423149</c:v>
                </c:pt>
                <c:pt idx="63">
                  <c:v>-0.21426291215438742</c:v>
                </c:pt>
                <c:pt idx="64">
                  <c:v>-0.2083111645945433</c:v>
                </c:pt>
                <c:pt idx="65">
                  <c:v>-0.20235941703469917</c:v>
                </c:pt>
                <c:pt idx="66">
                  <c:v>-0.19640766947485511</c:v>
                </c:pt>
                <c:pt idx="67">
                  <c:v>-0.19045592191501098</c:v>
                </c:pt>
                <c:pt idx="68">
                  <c:v>-0.18450417435516697</c:v>
                </c:pt>
                <c:pt idx="69">
                  <c:v>-0.17855242679532285</c:v>
                </c:pt>
                <c:pt idx="70">
                  <c:v>-0.17260067923547867</c:v>
                </c:pt>
                <c:pt idx="71">
                  <c:v>-0.16664893167563466</c:v>
                </c:pt>
                <c:pt idx="72">
                  <c:v>-0.16069718411579054</c:v>
                </c:pt>
                <c:pt idx="73">
                  <c:v>-0.15474543655594647</c:v>
                </c:pt>
                <c:pt idx="74">
                  <c:v>-0.14879368899610235</c:v>
                </c:pt>
                <c:pt idx="75">
                  <c:v>-0.14284194143625822</c:v>
                </c:pt>
                <c:pt idx="76">
                  <c:v>-0.13689019387641416</c:v>
                </c:pt>
                <c:pt idx="77">
                  <c:v>-0.13093844631657003</c:v>
                </c:pt>
                <c:pt idx="78">
                  <c:v>-0.12498669875672602</c:v>
                </c:pt>
                <c:pt idx="79">
                  <c:v>-0.1190349511968819</c:v>
                </c:pt>
                <c:pt idx="80">
                  <c:v>-0.11308320363703778</c:v>
                </c:pt>
                <c:pt idx="81">
                  <c:v>-0.10713145607719371</c:v>
                </c:pt>
                <c:pt idx="82">
                  <c:v>-0.10117970851734959</c:v>
                </c:pt>
                <c:pt idx="83">
                  <c:v>-9.522796095750552E-2</c:v>
                </c:pt>
                <c:pt idx="84">
                  <c:v>-8.9276213397661397E-2</c:v>
                </c:pt>
                <c:pt idx="85">
                  <c:v>-8.3324465837817385E-2</c:v>
                </c:pt>
                <c:pt idx="86">
                  <c:v>-7.7372718277973207E-2</c:v>
                </c:pt>
                <c:pt idx="87">
                  <c:v>-7.142097071812914E-2</c:v>
                </c:pt>
                <c:pt idx="88">
                  <c:v>-6.5469223158285073E-2</c:v>
                </c:pt>
                <c:pt idx="89">
                  <c:v>-5.9517475598440894E-2</c:v>
                </c:pt>
                <c:pt idx="90">
                  <c:v>-5.3565728038596827E-2</c:v>
                </c:pt>
                <c:pt idx="91">
                  <c:v>-4.761398047875276E-2</c:v>
                </c:pt>
                <c:pt idx="92">
                  <c:v>-4.1662232918908582E-2</c:v>
                </c:pt>
                <c:pt idx="93">
                  <c:v>-3.5710485359064625E-2</c:v>
                </c:pt>
                <c:pt idx="94">
                  <c:v>-2.9758737799220447E-2</c:v>
                </c:pt>
                <c:pt idx="95">
                  <c:v>-2.380699023937638E-2</c:v>
                </c:pt>
                <c:pt idx="96">
                  <c:v>-1.7855242679532313E-2</c:v>
                </c:pt>
                <c:pt idx="97">
                  <c:v>-1.1903495119688134E-2</c:v>
                </c:pt>
                <c:pt idx="98">
                  <c:v>-5.9517475598440672E-3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08A-4C5E-A8E5-910A09CB1503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A_CDCL!$R$4:$R$103</c:f>
              <c:numCache>
                <c:formatCode>General</c:formatCode>
                <c:ptCount val="100"/>
                <c:pt idx="0">
                  <c:v>0</c:v>
                </c:pt>
                <c:pt idx="1">
                  <c:v>-5.8080124720012921E-2</c:v>
                </c:pt>
                <c:pt idx="2">
                  <c:v>-0.11598508089629672</c:v>
                </c:pt>
                <c:pt idx="3">
                  <c:v>-0.17371486852885157</c:v>
                </c:pt>
                <c:pt idx="4">
                  <c:v>-0.23126948761767732</c:v>
                </c:pt>
                <c:pt idx="5">
                  <c:v>-0.28864893816277404</c:v>
                </c:pt>
                <c:pt idx="6">
                  <c:v>-0.34585322016414177</c:v>
                </c:pt>
                <c:pt idx="7">
                  <c:v>-0.40288233362178039</c:v>
                </c:pt>
                <c:pt idx="8">
                  <c:v>-0.45973627853568988</c:v>
                </c:pt>
                <c:pt idx="9">
                  <c:v>-0.51641505490587036</c:v>
                </c:pt>
                <c:pt idx="10">
                  <c:v>-0.57291866273232195</c:v>
                </c:pt>
                <c:pt idx="11">
                  <c:v>-0.6292471020150443</c:v>
                </c:pt>
                <c:pt idx="12">
                  <c:v>-0.68540037275403776</c:v>
                </c:pt>
                <c:pt idx="13">
                  <c:v>-0.74137847494930209</c:v>
                </c:pt>
                <c:pt idx="14">
                  <c:v>-0.79718140860083742</c:v>
                </c:pt>
                <c:pt idx="15">
                  <c:v>-0.8528091737086434</c:v>
                </c:pt>
                <c:pt idx="16">
                  <c:v>-0.9082617702727207</c:v>
                </c:pt>
                <c:pt idx="17">
                  <c:v>-0.963539198293069</c:v>
                </c:pt>
                <c:pt idx="18">
                  <c:v>-1.0186414577696881</c:v>
                </c:pt>
                <c:pt idx="19">
                  <c:v>-1.0735685487025777</c:v>
                </c:pt>
                <c:pt idx="20">
                  <c:v>-1.1283204710917392</c:v>
                </c:pt>
                <c:pt idx="21">
                  <c:v>-1.1828972249371712</c:v>
                </c:pt>
                <c:pt idx="22">
                  <c:v>-1.2372988102388738</c:v>
                </c:pt>
                <c:pt idx="23">
                  <c:v>-1.2915252269968476</c:v>
                </c:pt>
                <c:pt idx="24">
                  <c:v>-1.3455764752110926</c:v>
                </c:pt>
                <c:pt idx="25">
                  <c:v>-1.3994525548816081</c:v>
                </c:pt>
                <c:pt idx="26">
                  <c:v>-1.4531534660083949</c:v>
                </c:pt>
                <c:pt idx="27">
                  <c:v>-1.5066792085914524</c:v>
                </c:pt>
                <c:pt idx="28">
                  <c:v>-1.5600297826307814</c:v>
                </c:pt>
                <c:pt idx="29">
                  <c:v>-1.6132051881263807</c:v>
                </c:pt>
                <c:pt idx="30">
                  <c:v>-1.6662054250782512</c:v>
                </c:pt>
                <c:pt idx="31">
                  <c:v>-1.7190304934863927</c:v>
                </c:pt>
                <c:pt idx="32">
                  <c:v>-1.7716803933508047</c:v>
                </c:pt>
                <c:pt idx="33">
                  <c:v>-1.8241551246714887</c:v>
                </c:pt>
                <c:pt idx="34">
                  <c:v>-1.8764546874484429</c:v>
                </c:pt>
                <c:pt idx="35">
                  <c:v>-1.9285790816816679</c:v>
                </c:pt>
                <c:pt idx="36">
                  <c:v>-1.9805283073711639</c:v>
                </c:pt>
                <c:pt idx="37">
                  <c:v>-2.0323023645169314</c:v>
                </c:pt>
                <c:pt idx="38">
                  <c:v>-2.0839012531189698</c:v>
                </c:pt>
                <c:pt idx="39">
                  <c:v>-2.135324973177279</c:v>
                </c:pt>
                <c:pt idx="40">
                  <c:v>-2.1865735246918585</c:v>
                </c:pt>
                <c:pt idx="41">
                  <c:v>-2.2376469076627101</c:v>
                </c:pt>
                <c:pt idx="42">
                  <c:v>-2.2885451220898312</c:v>
                </c:pt>
                <c:pt idx="43">
                  <c:v>-2.3392681679732239</c:v>
                </c:pt>
                <c:pt idx="44">
                  <c:v>-2.3898160453128883</c:v>
                </c:pt>
                <c:pt idx="45">
                  <c:v>-2.4401887541088234</c:v>
                </c:pt>
                <c:pt idx="46">
                  <c:v>-2.4903862943610284</c:v>
                </c:pt>
                <c:pt idx="47">
                  <c:v>-2.5404086660695055</c:v>
                </c:pt>
                <c:pt idx="48">
                  <c:v>-2.5902558692342534</c:v>
                </c:pt>
                <c:pt idx="49">
                  <c:v>-2.6399279038552712</c:v>
                </c:pt>
                <c:pt idx="50">
                  <c:v>-2.6894247699325611</c:v>
                </c:pt>
                <c:pt idx="51">
                  <c:v>-2.7387464674661217</c:v>
                </c:pt>
                <c:pt idx="52">
                  <c:v>-2.7878929964559536</c:v>
                </c:pt>
                <c:pt idx="53">
                  <c:v>-2.8368643569020557</c:v>
                </c:pt>
                <c:pt idx="54">
                  <c:v>-2.8856605488044287</c:v>
                </c:pt>
                <c:pt idx="55">
                  <c:v>-2.9342815721630733</c:v>
                </c:pt>
                <c:pt idx="56">
                  <c:v>-2.9827274269779891</c:v>
                </c:pt>
                <c:pt idx="57">
                  <c:v>-3.0309981132491748</c:v>
                </c:pt>
                <c:pt idx="58">
                  <c:v>-3.0790936309766326</c:v>
                </c:pt>
                <c:pt idx="59">
                  <c:v>-3.1270139801603603</c:v>
                </c:pt>
                <c:pt idx="60">
                  <c:v>-3.1747591608003596</c:v>
                </c:pt>
                <c:pt idx="61">
                  <c:v>-3.2223291728966292</c:v>
                </c:pt>
                <c:pt idx="62">
                  <c:v>-3.2697240164491705</c:v>
                </c:pt>
                <c:pt idx="63">
                  <c:v>-3.3169436914579822</c:v>
                </c:pt>
                <c:pt idx="64">
                  <c:v>-3.3639881979230646</c:v>
                </c:pt>
                <c:pt idx="65">
                  <c:v>-3.4108575358444191</c:v>
                </c:pt>
                <c:pt idx="66">
                  <c:v>-3.4575517052220439</c:v>
                </c:pt>
                <c:pt idx="67">
                  <c:v>-3.5040707060559395</c:v>
                </c:pt>
                <c:pt idx="68">
                  <c:v>-3.5504145383461059</c:v>
                </c:pt>
                <c:pt idx="69">
                  <c:v>-3.5965832020925439</c:v>
                </c:pt>
                <c:pt idx="70">
                  <c:v>-3.6425766972952518</c:v>
                </c:pt>
                <c:pt idx="71">
                  <c:v>-3.6883950239542318</c:v>
                </c:pt>
                <c:pt idx="72">
                  <c:v>-3.7340381820694817</c:v>
                </c:pt>
                <c:pt idx="73">
                  <c:v>-3.7795061716410041</c:v>
                </c:pt>
                <c:pt idx="74">
                  <c:v>-3.824798992668796</c:v>
                </c:pt>
                <c:pt idx="75">
                  <c:v>-3.8699166451528595</c:v>
                </c:pt>
                <c:pt idx="76">
                  <c:v>-3.9148591290931942</c:v>
                </c:pt>
                <c:pt idx="77">
                  <c:v>-3.9596264444897988</c:v>
                </c:pt>
                <c:pt idx="78">
                  <c:v>-4.0042185913426751</c:v>
                </c:pt>
                <c:pt idx="79">
                  <c:v>-4.0486355696518226</c:v>
                </c:pt>
                <c:pt idx="80">
                  <c:v>-4.0928773794172413</c:v>
                </c:pt>
                <c:pt idx="81">
                  <c:v>-4.1369440206389294</c:v>
                </c:pt>
                <c:pt idx="82">
                  <c:v>-4.1808354933168896</c:v>
                </c:pt>
                <c:pt idx="83">
                  <c:v>-4.2245517974511193</c:v>
                </c:pt>
                <c:pt idx="84">
                  <c:v>-4.268092933041622</c:v>
                </c:pt>
                <c:pt idx="85">
                  <c:v>-4.3114589000883949</c:v>
                </c:pt>
                <c:pt idx="86">
                  <c:v>-4.3546496985914391</c:v>
                </c:pt>
                <c:pt idx="87">
                  <c:v>-4.3976653285507536</c:v>
                </c:pt>
                <c:pt idx="88">
                  <c:v>-4.4405057899663394</c:v>
                </c:pt>
                <c:pt idx="89">
                  <c:v>-4.4831710828381972</c:v>
                </c:pt>
                <c:pt idx="90">
                  <c:v>-4.5256612071663236</c:v>
                </c:pt>
                <c:pt idx="91">
                  <c:v>-4.5679761629507221</c:v>
                </c:pt>
                <c:pt idx="92">
                  <c:v>-4.6101159501913918</c:v>
                </c:pt>
                <c:pt idx="93">
                  <c:v>-4.6520805688883327</c:v>
                </c:pt>
                <c:pt idx="94">
                  <c:v>-4.6938700190415439</c:v>
                </c:pt>
                <c:pt idx="95">
                  <c:v>-4.7354843006510272</c:v>
                </c:pt>
                <c:pt idx="96">
                  <c:v>-4.77692341371678</c:v>
                </c:pt>
                <c:pt idx="97">
                  <c:v>-4.818187358238804</c:v>
                </c:pt>
                <c:pt idx="98">
                  <c:v>-4.8592761342171</c:v>
                </c:pt>
                <c:pt idx="99">
                  <c:v>-4.9001897416516655</c:v>
                </c:pt>
              </c:numCache>
            </c:numRef>
          </c:xVal>
          <c:yVal>
            <c:numRef>
              <c:f>A_CDCL!$S$4:$S$103</c:f>
              <c:numCache>
                <c:formatCode>General</c:formatCode>
                <c:ptCount val="100"/>
                <c:pt idx="0">
                  <c:v>0</c:v>
                </c:pt>
                <c:pt idx="1">
                  <c:v>8.3706282614639665E-3</c:v>
                </c:pt>
                <c:pt idx="2">
                  <c:v>1.6741256522927933E-2</c:v>
                </c:pt>
                <c:pt idx="3">
                  <c:v>2.5111884784391903E-2</c:v>
                </c:pt>
                <c:pt idx="4">
                  <c:v>3.3482513045855866E-2</c:v>
                </c:pt>
                <c:pt idx="5">
                  <c:v>4.185314130731984E-2</c:v>
                </c:pt>
                <c:pt idx="6">
                  <c:v>5.0223769568783806E-2</c:v>
                </c:pt>
                <c:pt idx="7">
                  <c:v>5.8594397830247773E-2</c:v>
                </c:pt>
                <c:pt idx="8">
                  <c:v>6.6965026091711732E-2</c:v>
                </c:pt>
                <c:pt idx="9">
                  <c:v>7.5335654353175699E-2</c:v>
                </c:pt>
                <c:pt idx="10">
                  <c:v>8.3706282614639679E-2</c:v>
                </c:pt>
                <c:pt idx="11">
                  <c:v>9.2076910876103632E-2</c:v>
                </c:pt>
                <c:pt idx="12">
                  <c:v>0.10044753913756761</c:v>
                </c:pt>
                <c:pt idx="13">
                  <c:v>0.10881816739903157</c:v>
                </c:pt>
                <c:pt idx="14">
                  <c:v>0.11718879566049555</c:v>
                </c:pt>
                <c:pt idx="15">
                  <c:v>0.12555942392195951</c:v>
                </c:pt>
                <c:pt idx="16">
                  <c:v>0.13393005218342346</c:v>
                </c:pt>
                <c:pt idx="17">
                  <c:v>0.14230068044488745</c:v>
                </c:pt>
                <c:pt idx="18">
                  <c:v>0.1506713087063514</c:v>
                </c:pt>
                <c:pt idx="19">
                  <c:v>0.15904193696781538</c:v>
                </c:pt>
                <c:pt idx="20">
                  <c:v>0.16741256522927936</c:v>
                </c:pt>
                <c:pt idx="21">
                  <c:v>0.17578319349074331</c:v>
                </c:pt>
                <c:pt idx="22">
                  <c:v>0.18415382175220726</c:v>
                </c:pt>
                <c:pt idx="23">
                  <c:v>0.19252445001367124</c:v>
                </c:pt>
                <c:pt idx="24">
                  <c:v>0.20089507827513522</c:v>
                </c:pt>
                <c:pt idx="25">
                  <c:v>0.20926570653659921</c:v>
                </c:pt>
                <c:pt idx="26">
                  <c:v>0.21763633479806313</c:v>
                </c:pt>
                <c:pt idx="27">
                  <c:v>0.22600696305952711</c:v>
                </c:pt>
                <c:pt idx="28">
                  <c:v>0.23437759132099109</c:v>
                </c:pt>
                <c:pt idx="29">
                  <c:v>0.24274821958245507</c:v>
                </c:pt>
                <c:pt idx="30">
                  <c:v>0.25111884784391902</c:v>
                </c:pt>
                <c:pt idx="31">
                  <c:v>0.25948947610538298</c:v>
                </c:pt>
                <c:pt idx="32">
                  <c:v>0.26786010436684693</c:v>
                </c:pt>
                <c:pt idx="33">
                  <c:v>0.27623073262831094</c:v>
                </c:pt>
                <c:pt idx="34">
                  <c:v>0.28460136088977489</c:v>
                </c:pt>
                <c:pt idx="35">
                  <c:v>0.29297198915123884</c:v>
                </c:pt>
                <c:pt idx="36">
                  <c:v>0.3013426174127028</c:v>
                </c:pt>
                <c:pt idx="37">
                  <c:v>0.3097132456741668</c:v>
                </c:pt>
                <c:pt idx="38">
                  <c:v>0.31808387393563076</c:v>
                </c:pt>
                <c:pt idx="39">
                  <c:v>0.32645450219709476</c:v>
                </c:pt>
                <c:pt idx="40">
                  <c:v>0.33482513045855872</c:v>
                </c:pt>
                <c:pt idx="41">
                  <c:v>0.34319575872002267</c:v>
                </c:pt>
                <c:pt idx="42">
                  <c:v>0.35156638698148662</c:v>
                </c:pt>
                <c:pt idx="43">
                  <c:v>0.35993701524295058</c:v>
                </c:pt>
                <c:pt idx="44">
                  <c:v>0.36830764350441453</c:v>
                </c:pt>
                <c:pt idx="45">
                  <c:v>0.37667827176587854</c:v>
                </c:pt>
                <c:pt idx="46">
                  <c:v>0.38504890002734249</c:v>
                </c:pt>
                <c:pt idx="47">
                  <c:v>0.3934195282888065</c:v>
                </c:pt>
                <c:pt idx="48">
                  <c:v>0.40179015655027045</c:v>
                </c:pt>
                <c:pt idx="49">
                  <c:v>0.4101607848117344</c:v>
                </c:pt>
                <c:pt idx="50">
                  <c:v>0.41853141307319841</c:v>
                </c:pt>
                <c:pt idx="51">
                  <c:v>0.42690204133466231</c:v>
                </c:pt>
                <c:pt idx="52">
                  <c:v>0.43527266959612626</c:v>
                </c:pt>
                <c:pt idx="53">
                  <c:v>0.44364329785759027</c:v>
                </c:pt>
                <c:pt idx="54">
                  <c:v>0.45201392611905422</c:v>
                </c:pt>
                <c:pt idx="55">
                  <c:v>0.46038455438051817</c:v>
                </c:pt>
                <c:pt idx="56">
                  <c:v>0.46875518264198218</c:v>
                </c:pt>
                <c:pt idx="57">
                  <c:v>0.47712581090344613</c:v>
                </c:pt>
                <c:pt idx="58">
                  <c:v>0.48549643916491014</c:v>
                </c:pt>
                <c:pt idx="59">
                  <c:v>0.4938670674263741</c:v>
                </c:pt>
                <c:pt idx="60">
                  <c:v>0.50223769568783805</c:v>
                </c:pt>
                <c:pt idx="61">
                  <c:v>0.510608323949302</c:v>
                </c:pt>
                <c:pt idx="62">
                  <c:v>0.51897895221076595</c:v>
                </c:pt>
                <c:pt idx="63">
                  <c:v>0.52734958047222991</c:v>
                </c:pt>
                <c:pt idx="64">
                  <c:v>0.53572020873369386</c:v>
                </c:pt>
                <c:pt idx="65">
                  <c:v>0.54409083699515792</c:v>
                </c:pt>
                <c:pt idx="66">
                  <c:v>0.55246146525662188</c:v>
                </c:pt>
                <c:pt idx="67">
                  <c:v>0.56083209351808583</c:v>
                </c:pt>
                <c:pt idx="68">
                  <c:v>0.56920272177954978</c:v>
                </c:pt>
                <c:pt idx="69">
                  <c:v>0.57757335004101373</c:v>
                </c:pt>
                <c:pt idx="70">
                  <c:v>0.58594397830247769</c:v>
                </c:pt>
                <c:pt idx="71">
                  <c:v>0.59431460656394164</c:v>
                </c:pt>
                <c:pt idx="72">
                  <c:v>0.60268523482540559</c:v>
                </c:pt>
                <c:pt idx="73">
                  <c:v>0.61105586308686966</c:v>
                </c:pt>
                <c:pt idx="74">
                  <c:v>0.61942649134833361</c:v>
                </c:pt>
                <c:pt idx="75">
                  <c:v>0.62779711960979756</c:v>
                </c:pt>
                <c:pt idx="76">
                  <c:v>0.63616774787126151</c:v>
                </c:pt>
                <c:pt idx="77">
                  <c:v>0.64453837613272547</c:v>
                </c:pt>
                <c:pt idx="78">
                  <c:v>0.65290900439418953</c:v>
                </c:pt>
                <c:pt idx="79">
                  <c:v>0.66127963265565348</c:v>
                </c:pt>
                <c:pt idx="80">
                  <c:v>0.66965026091711743</c:v>
                </c:pt>
                <c:pt idx="81">
                  <c:v>0.67802088917858139</c:v>
                </c:pt>
                <c:pt idx="82">
                  <c:v>0.68639151744004534</c:v>
                </c:pt>
                <c:pt idx="83">
                  <c:v>0.69476214570150918</c:v>
                </c:pt>
                <c:pt idx="84">
                  <c:v>0.70313277396297325</c:v>
                </c:pt>
                <c:pt idx="85">
                  <c:v>0.7115034022244372</c:v>
                </c:pt>
                <c:pt idx="86">
                  <c:v>0.71987403048590115</c:v>
                </c:pt>
                <c:pt idx="87">
                  <c:v>0.7282446587473651</c:v>
                </c:pt>
                <c:pt idx="88">
                  <c:v>0.73661528700882906</c:v>
                </c:pt>
                <c:pt idx="89">
                  <c:v>0.74498591527029312</c:v>
                </c:pt>
                <c:pt idx="90">
                  <c:v>0.75335654353175707</c:v>
                </c:pt>
                <c:pt idx="91">
                  <c:v>0.76172717179322103</c:v>
                </c:pt>
                <c:pt idx="92">
                  <c:v>0.77009780005468498</c:v>
                </c:pt>
                <c:pt idx="93">
                  <c:v>0.77846842831614893</c:v>
                </c:pt>
                <c:pt idx="94">
                  <c:v>0.78683905657761299</c:v>
                </c:pt>
                <c:pt idx="95">
                  <c:v>0.79520968483907695</c:v>
                </c:pt>
                <c:pt idx="96">
                  <c:v>0.8035803131005409</c:v>
                </c:pt>
                <c:pt idx="97">
                  <c:v>0.81195094136200485</c:v>
                </c:pt>
                <c:pt idx="98">
                  <c:v>0.8203215696234688</c:v>
                </c:pt>
                <c:pt idx="99">
                  <c:v>0.82869219788493287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08A-4C5E-A8E5-910A09CB1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871039"/>
        <c:axId val="474868639"/>
      </c:scatterChart>
      <c:valAx>
        <c:axId val="474871039"/>
        <c:scaling>
          <c:orientation val="minMax"/>
          <c:max val="7.5000000000000011E-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868639"/>
        <c:crosses val="autoZero"/>
        <c:crossBetween val="midCat"/>
      </c:valAx>
      <c:valAx>
        <c:axId val="474868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8710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A_CDCL!$D$3</c:f>
              <c:strCache>
                <c:ptCount val="1"/>
                <c:pt idx="0">
                  <c:v>Cl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A_CDCL!$A$4:$A$1000</c:f>
              <c:numCache>
                <c:formatCode>General</c:formatCode>
                <c:ptCount val="997"/>
                <c:pt idx="0">
                  <c:v>-3</c:v>
                </c:pt>
                <c:pt idx="1">
                  <c:v>-2.8461538461538463</c:v>
                </c:pt>
                <c:pt idx="2">
                  <c:v>-2.6923076923076925</c:v>
                </c:pt>
                <c:pt idx="3">
                  <c:v>-2.5384615384615383</c:v>
                </c:pt>
                <c:pt idx="4">
                  <c:v>-2.3846153846153846</c:v>
                </c:pt>
                <c:pt idx="5">
                  <c:v>-2.2307692307692308</c:v>
                </c:pt>
                <c:pt idx="6">
                  <c:v>-2.0769230769230766</c:v>
                </c:pt>
                <c:pt idx="7">
                  <c:v>-1.9230769230769229</c:v>
                </c:pt>
                <c:pt idx="8">
                  <c:v>-1.7692307692307692</c:v>
                </c:pt>
                <c:pt idx="9">
                  <c:v>-1.6153846153846154</c:v>
                </c:pt>
                <c:pt idx="10">
                  <c:v>-1.4615384615384615</c:v>
                </c:pt>
                <c:pt idx="11">
                  <c:v>-1.3076923076923075</c:v>
                </c:pt>
                <c:pt idx="12">
                  <c:v>-1.1538461538461537</c:v>
                </c:pt>
                <c:pt idx="13">
                  <c:v>-1</c:v>
                </c:pt>
                <c:pt idx="14">
                  <c:v>-0.84615384615384581</c:v>
                </c:pt>
                <c:pt idx="15">
                  <c:v>-0.69230769230769207</c:v>
                </c:pt>
                <c:pt idx="16">
                  <c:v>-0.53846153846153832</c:v>
                </c:pt>
                <c:pt idx="17">
                  <c:v>-0.38461538461538458</c:v>
                </c:pt>
                <c:pt idx="18">
                  <c:v>-0.23076923076923084</c:v>
                </c:pt>
                <c:pt idx="19">
                  <c:v>-7.692307692307665E-2</c:v>
                </c:pt>
                <c:pt idx="20">
                  <c:v>7.6923076923077094E-2</c:v>
                </c:pt>
                <c:pt idx="21">
                  <c:v>0.23076923076923084</c:v>
                </c:pt>
                <c:pt idx="22">
                  <c:v>0.38461538461538503</c:v>
                </c:pt>
                <c:pt idx="23">
                  <c:v>0.53846153846153877</c:v>
                </c:pt>
                <c:pt idx="24">
                  <c:v>0.69230769230769251</c:v>
                </c:pt>
                <c:pt idx="25">
                  <c:v>0.84615384615384626</c:v>
                </c:pt>
                <c:pt idx="26">
                  <c:v>1</c:v>
                </c:pt>
                <c:pt idx="27">
                  <c:v>1.1538461538461542</c:v>
                </c:pt>
                <c:pt idx="28">
                  <c:v>1.3076923076923084</c:v>
                </c:pt>
                <c:pt idx="29">
                  <c:v>1.4615384615384617</c:v>
                </c:pt>
                <c:pt idx="30">
                  <c:v>1.6153846153846159</c:v>
                </c:pt>
                <c:pt idx="31">
                  <c:v>1.7692307692307692</c:v>
                </c:pt>
                <c:pt idx="32">
                  <c:v>1.9230769230769234</c:v>
                </c:pt>
                <c:pt idx="33">
                  <c:v>2.0769230769230775</c:v>
                </c:pt>
                <c:pt idx="34">
                  <c:v>2.2307692307692308</c:v>
                </c:pt>
                <c:pt idx="35">
                  <c:v>2.384615384615385</c:v>
                </c:pt>
                <c:pt idx="36">
                  <c:v>2.5384615384615383</c:v>
                </c:pt>
                <c:pt idx="37">
                  <c:v>2.6923076923076925</c:v>
                </c:pt>
                <c:pt idx="38">
                  <c:v>2.8461538461538467</c:v>
                </c:pt>
                <c:pt idx="39">
                  <c:v>3</c:v>
                </c:pt>
              </c:numCache>
            </c:numRef>
          </c:xVal>
          <c:yVal>
            <c:numRef>
              <c:f>A_CDCL!$D$4:$D$1000</c:f>
              <c:numCache>
                <c:formatCode>General</c:formatCode>
                <c:ptCount val="997"/>
                <c:pt idx="0">
                  <c:v>-0.43144226308594874</c:v>
                </c:pt>
                <c:pt idx="1">
                  <c:v>-0.58922300842456532</c:v>
                </c:pt>
                <c:pt idx="2">
                  <c:v>-0.56427096362307461</c:v>
                </c:pt>
                <c:pt idx="3">
                  <c:v>-0.52433190992430678</c:v>
                </c:pt>
                <c:pt idx="4">
                  <c:v>-0.47928438417741526</c:v>
                </c:pt>
                <c:pt idx="5">
                  <c:v>-0.40969719286116341</c:v>
                </c:pt>
                <c:pt idx="6">
                  <c:v>-0.35267298820868725</c:v>
                </c:pt>
                <c:pt idx="7">
                  <c:v>-0.33917479943798506</c:v>
                </c:pt>
                <c:pt idx="8">
                  <c:v>-0.25730083567386902</c:v>
                </c:pt>
                <c:pt idx="9">
                  <c:v>-0.21565355359848665</c:v>
                </c:pt>
                <c:pt idx="10">
                  <c:v>-0.17526853132933995</c:v>
                </c:pt>
                <c:pt idx="11">
                  <c:v>-0.13551084580648445</c:v>
                </c:pt>
                <c:pt idx="12">
                  <c:v>-9.7860912382717866E-2</c:v>
                </c:pt>
                <c:pt idx="13">
                  <c:v>-7.1653994179530445E-2</c:v>
                </c:pt>
                <c:pt idx="14">
                  <c:v>-4.3341748871891642E-2</c:v>
                </c:pt>
                <c:pt idx="15">
                  <c:v>1.9754028165769075E-2</c:v>
                </c:pt>
                <c:pt idx="16">
                  <c:v>5.7143342476516784E-2</c:v>
                </c:pt>
                <c:pt idx="17">
                  <c:v>9.4095583116752798E-2</c:v>
                </c:pt>
                <c:pt idx="18">
                  <c:v>0.13073787698698214</c:v>
                </c:pt>
                <c:pt idx="19">
                  <c:v>0.16706677485444543</c:v>
                </c:pt>
                <c:pt idx="20">
                  <c:v>0.20307424174172303</c:v>
                </c:pt>
                <c:pt idx="21">
                  <c:v>0.23880998984116422</c:v>
                </c:pt>
                <c:pt idx="22">
                  <c:v>0.27429806298704251</c:v>
                </c:pt>
                <c:pt idx="23">
                  <c:v>0.30972468750384707</c:v>
                </c:pt>
                <c:pt idx="24">
                  <c:v>0.34578666477345982</c:v>
                </c:pt>
                <c:pt idx="25">
                  <c:v>0.38397319471285918</c:v>
                </c:pt>
                <c:pt idx="26">
                  <c:v>0.4055028801290273</c:v>
                </c:pt>
                <c:pt idx="27">
                  <c:v>0.42140448753238241</c:v>
                </c:pt>
                <c:pt idx="28">
                  <c:v>0.52887392418128387</c:v>
                </c:pt>
                <c:pt idx="29">
                  <c:v>0.55832389508419411</c:v>
                </c:pt>
                <c:pt idx="30">
                  <c:v>0.66970132936809146</c:v>
                </c:pt>
                <c:pt idx="31">
                  <c:v>0.70104329287290401</c:v>
                </c:pt>
                <c:pt idx="32">
                  <c:v>0.72406825465833302</c:v>
                </c:pt>
                <c:pt idx="33">
                  <c:v>0.74296026523397884</c:v>
                </c:pt>
                <c:pt idx="34">
                  <c:v>0.75955406545833382</c:v>
                </c:pt>
                <c:pt idx="35">
                  <c:v>0.77474184081758102</c:v>
                </c:pt>
                <c:pt idx="36">
                  <c:v>0.78904098182580407</c:v>
                </c:pt>
                <c:pt idx="37">
                  <c:v>0.80267343866219987</c:v>
                </c:pt>
                <c:pt idx="38">
                  <c:v>0.81584453603978579</c:v>
                </c:pt>
                <c:pt idx="39">
                  <c:v>0.82869219788493276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01-4A41-97CC-04ABA33961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8813760"/>
        <c:axId val="1467257952"/>
      </c:scatterChart>
      <c:valAx>
        <c:axId val="1468813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257952"/>
        <c:crosses val="autoZero"/>
        <c:crossBetween val="midCat"/>
      </c:valAx>
      <c:valAx>
        <c:axId val="146725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8813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2791416746887829"/>
                  <c:y val="0.4754232267432502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'A_CDCL(Re)'!$A$3:$A$12</c:f>
              <c:numCache>
                <c:formatCode>0.00E+00</c:formatCode>
                <c:ptCount val="10"/>
                <c:pt idx="0">
                  <c:v>10437218.364</c:v>
                </c:pt>
                <c:pt idx="1">
                  <c:v>20874436.728</c:v>
                </c:pt>
                <c:pt idx="2">
                  <c:v>41748873.456</c:v>
                </c:pt>
              </c:numCache>
            </c:numRef>
          </c:xVal>
          <c:yVal>
            <c:numRef>
              <c:f>'CDCL(Re)'!#REF!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'CDCL(Re)'!#REF!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BFFD-4B29-AD7E-D2493B712F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0082911"/>
        <c:axId val="1600096351"/>
      </c:scatterChart>
      <c:valAx>
        <c:axId val="1600082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96351"/>
        <c:crosses val="autoZero"/>
        <c:crossBetween val="midCat"/>
      </c:valAx>
      <c:valAx>
        <c:axId val="1600096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82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'A_CDCL(Re)'!$I$1</c:f>
              <c:strCache>
                <c:ptCount val="1"/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8.43390027339571E-2"/>
                  <c:y val="-0.383191960274984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'A_CDCL(Re)'!$A$3:$A$10</c:f>
              <c:numCache>
                <c:formatCode>0.00E+00</c:formatCode>
                <c:ptCount val="8"/>
                <c:pt idx="0">
                  <c:v>10437218.364</c:v>
                </c:pt>
                <c:pt idx="1">
                  <c:v>20874436.728</c:v>
                </c:pt>
                <c:pt idx="2">
                  <c:v>41748873.456</c:v>
                </c:pt>
              </c:numCache>
            </c:numRef>
          </c:xVal>
          <c:yVal>
            <c:numRef>
              <c:f>'A_CDCL(Re)'!$I$3:$I$10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8E7-4A42-B987-9CF6720D07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5867951"/>
        <c:axId val="1615854991"/>
      </c:scatterChart>
      <c:valAx>
        <c:axId val="16158679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854991"/>
        <c:crosses val="autoZero"/>
        <c:crossBetween val="midCat"/>
      </c:valAx>
      <c:valAx>
        <c:axId val="1615854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8679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'A_CDCL(Re)'!$C$1</c:f>
              <c:strCache>
                <c:ptCount val="1"/>
                <c:pt idx="0">
                  <c:v>CD2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'A_CDCL(Re)'!$A$2:$A$5</c:f>
              <c:numCache>
                <c:formatCode>0.00E+00</c:formatCode>
                <c:ptCount val="4"/>
                <c:pt idx="0">
                  <c:v>5218609.182</c:v>
                </c:pt>
                <c:pt idx="1">
                  <c:v>10437218.364</c:v>
                </c:pt>
                <c:pt idx="2">
                  <c:v>20874436.728</c:v>
                </c:pt>
                <c:pt idx="3">
                  <c:v>41748873.456</c:v>
                </c:pt>
              </c:numCache>
            </c:numRef>
          </c:xVal>
          <c:yVal>
            <c:numRef>
              <c:f>'A_CDCL(Re)'!$C$2:$C$5</c:f>
              <c:numCache>
                <c:formatCode>General</c:formatCode>
                <c:ptCount val="4"/>
                <c:pt idx="0">
                  <c:v>9.1960625648235799E-3</c:v>
                </c:pt>
                <c:pt idx="1">
                  <c:v>8.4405247829155913E-3</c:v>
                </c:pt>
                <c:pt idx="2">
                  <c:v>7.7866809736125047E-3</c:v>
                </c:pt>
                <c:pt idx="3">
                  <c:v>7.2182240680638199E-3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38-4038-8447-82767831ED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020272"/>
        <c:axId val="103020752"/>
      </c:scatterChart>
      <c:valAx>
        <c:axId val="103020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020752"/>
        <c:crosses val="autoZero"/>
        <c:crossBetween val="midCat"/>
      </c:valAx>
      <c:valAx>
        <c:axId val="10302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020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'CDCL (2)'!$B$4:$B$247</c:f>
              <c:numCache>
                <c:formatCode>General</c:formatCode>
                <c:ptCount val="244"/>
                <c:pt idx="0">
                  <c:v>5.985E-2</c:v>
                </c:pt>
                <c:pt idx="1">
                  <c:v>5.8990000000000001E-2</c:v>
                </c:pt>
                <c:pt idx="2">
                  <c:v>5.8139999999999997E-2</c:v>
                </c:pt>
                <c:pt idx="3">
                  <c:v>5.7290000000000001E-2</c:v>
                </c:pt>
                <c:pt idx="4">
                  <c:v>5.6430000000000001E-2</c:v>
                </c:pt>
                <c:pt idx="5">
                  <c:v>5.5579999999999997E-2</c:v>
                </c:pt>
                <c:pt idx="6">
                  <c:v>5.4719999999999998E-2</c:v>
                </c:pt>
                <c:pt idx="7">
                  <c:v>5.3859999999999998E-2</c:v>
                </c:pt>
                <c:pt idx="8">
                  <c:v>5.2999999999999999E-2</c:v>
                </c:pt>
                <c:pt idx="9">
                  <c:v>5.2130000000000003E-2</c:v>
                </c:pt>
                <c:pt idx="10">
                  <c:v>5.126E-2</c:v>
                </c:pt>
                <c:pt idx="11">
                  <c:v>5.0389999999999997E-2</c:v>
                </c:pt>
                <c:pt idx="12">
                  <c:v>4.9509999999999998E-2</c:v>
                </c:pt>
                <c:pt idx="13">
                  <c:v>4.8640000000000003E-2</c:v>
                </c:pt>
                <c:pt idx="14">
                  <c:v>4.7780000000000003E-2</c:v>
                </c:pt>
                <c:pt idx="15">
                  <c:v>4.6949999999999999E-2</c:v>
                </c:pt>
                <c:pt idx="16">
                  <c:v>4.6059999999999997E-2</c:v>
                </c:pt>
                <c:pt idx="17">
                  <c:v>4.5060000000000003E-2</c:v>
                </c:pt>
                <c:pt idx="18">
                  <c:v>4.4130000000000003E-2</c:v>
                </c:pt>
                <c:pt idx="19">
                  <c:v>4.3240000000000001E-2</c:v>
                </c:pt>
                <c:pt idx="20">
                  <c:v>4.2349999999999999E-2</c:v>
                </c:pt>
                <c:pt idx="21">
                  <c:v>4.1480000000000003E-2</c:v>
                </c:pt>
                <c:pt idx="22">
                  <c:v>4.061E-2</c:v>
                </c:pt>
                <c:pt idx="23">
                  <c:v>3.9739999999999998E-2</c:v>
                </c:pt>
                <c:pt idx="24">
                  <c:v>3.8879999999999998E-2</c:v>
                </c:pt>
                <c:pt idx="25">
                  <c:v>3.8030000000000001E-2</c:v>
                </c:pt>
                <c:pt idx="26">
                  <c:v>3.7179999999999998E-2</c:v>
                </c:pt>
                <c:pt idx="27">
                  <c:v>3.6339999999999997E-2</c:v>
                </c:pt>
                <c:pt idx="28">
                  <c:v>3.5499999999999997E-2</c:v>
                </c:pt>
                <c:pt idx="29">
                  <c:v>3.4669999999999999E-2</c:v>
                </c:pt>
                <c:pt idx="30">
                  <c:v>3.3840000000000002E-2</c:v>
                </c:pt>
                <c:pt idx="31">
                  <c:v>3.3020000000000001E-2</c:v>
                </c:pt>
                <c:pt idx="32">
                  <c:v>3.2199999999999999E-2</c:v>
                </c:pt>
                <c:pt idx="33">
                  <c:v>3.1379999999999998E-2</c:v>
                </c:pt>
                <c:pt idx="34">
                  <c:v>3.057E-2</c:v>
                </c:pt>
                <c:pt idx="35">
                  <c:v>2.9770000000000001E-2</c:v>
                </c:pt>
                <c:pt idx="36">
                  <c:v>2.8969999999999999E-2</c:v>
                </c:pt>
                <c:pt idx="37">
                  <c:v>2.8170000000000001E-2</c:v>
                </c:pt>
                <c:pt idx="38">
                  <c:v>2.7380000000000002E-2</c:v>
                </c:pt>
                <c:pt idx="39">
                  <c:v>2.6589999999999999E-2</c:v>
                </c:pt>
                <c:pt idx="40">
                  <c:v>2.58E-2</c:v>
                </c:pt>
                <c:pt idx="41">
                  <c:v>2.5020000000000001E-2</c:v>
                </c:pt>
                <c:pt idx="42">
                  <c:v>2.4240000000000001E-2</c:v>
                </c:pt>
                <c:pt idx="43">
                  <c:v>2.3480000000000001E-2</c:v>
                </c:pt>
                <c:pt idx="44">
                  <c:v>2.2710000000000001E-2</c:v>
                </c:pt>
                <c:pt idx="45">
                  <c:v>2.196E-2</c:v>
                </c:pt>
                <c:pt idx="46">
                  <c:v>2.1229999999999999E-2</c:v>
                </c:pt>
                <c:pt idx="47">
                  <c:v>2.0500000000000001E-2</c:v>
                </c:pt>
                <c:pt idx="48">
                  <c:v>1.9789999999999999E-2</c:v>
                </c:pt>
                <c:pt idx="49">
                  <c:v>1.9099999999999999E-2</c:v>
                </c:pt>
                <c:pt idx="50">
                  <c:v>1.8419999999999999E-2</c:v>
                </c:pt>
                <c:pt idx="51">
                  <c:v>1.7760000000000001E-2</c:v>
                </c:pt>
                <c:pt idx="52">
                  <c:v>1.712E-2</c:v>
                </c:pt>
                <c:pt idx="53">
                  <c:v>1.6490000000000001E-2</c:v>
                </c:pt>
                <c:pt idx="54">
                  <c:v>1.5890000000000001E-2</c:v>
                </c:pt>
                <c:pt idx="55">
                  <c:v>1.5299999999999999E-2</c:v>
                </c:pt>
                <c:pt idx="56">
                  <c:v>1.473E-2</c:v>
                </c:pt>
                <c:pt idx="57">
                  <c:v>1.417E-2</c:v>
                </c:pt>
                <c:pt idx="58">
                  <c:v>1.363E-2</c:v>
                </c:pt>
                <c:pt idx="59">
                  <c:v>1.312E-2</c:v>
                </c:pt>
                <c:pt idx="60">
                  <c:v>1.2619999999999999E-2</c:v>
                </c:pt>
                <c:pt idx="61">
                  <c:v>1.2149999999999999E-2</c:v>
                </c:pt>
                <c:pt idx="62">
                  <c:v>1.1679999999999999E-2</c:v>
                </c:pt>
                <c:pt idx="63">
                  <c:v>1.124E-2</c:v>
                </c:pt>
                <c:pt idx="64">
                  <c:v>1.081E-2</c:v>
                </c:pt>
                <c:pt idx="65">
                  <c:v>1.0410000000000001E-2</c:v>
                </c:pt>
                <c:pt idx="66">
                  <c:v>1.0019999999999999E-2</c:v>
                </c:pt>
                <c:pt idx="67">
                  <c:v>9.6600000000000002E-3</c:v>
                </c:pt>
                <c:pt idx="68">
                  <c:v>9.3299999999999998E-3</c:v>
                </c:pt>
                <c:pt idx="69">
                  <c:v>9.0299999999999998E-3</c:v>
                </c:pt>
                <c:pt idx="70">
                  <c:v>8.77E-3</c:v>
                </c:pt>
                <c:pt idx="71">
                  <c:v>8.5500000000000003E-3</c:v>
                </c:pt>
                <c:pt idx="72">
                  <c:v>8.3700000000000007E-3</c:v>
                </c:pt>
                <c:pt idx="73">
                  <c:v>8.2299999999999995E-3</c:v>
                </c:pt>
                <c:pt idx="74">
                  <c:v>8.1099999999999992E-3</c:v>
                </c:pt>
                <c:pt idx="75">
                  <c:v>8.0199999999999994E-3</c:v>
                </c:pt>
                <c:pt idx="76">
                  <c:v>7.92E-3</c:v>
                </c:pt>
                <c:pt idx="77">
                  <c:v>7.8300000000000002E-3</c:v>
                </c:pt>
                <c:pt idx="78">
                  <c:v>7.7600000000000004E-3</c:v>
                </c:pt>
                <c:pt idx="79">
                  <c:v>7.7000000000000002E-3</c:v>
                </c:pt>
                <c:pt idx="80">
                  <c:v>7.6499999999999997E-3</c:v>
                </c:pt>
                <c:pt idx="81">
                  <c:v>7.62E-3</c:v>
                </c:pt>
                <c:pt idx="82">
                  <c:v>7.5799999999999999E-3</c:v>
                </c:pt>
                <c:pt idx="83">
                  <c:v>7.5500000000000003E-3</c:v>
                </c:pt>
                <c:pt idx="84">
                  <c:v>7.5300000000000002E-3</c:v>
                </c:pt>
                <c:pt idx="85">
                  <c:v>7.5199999999999998E-3</c:v>
                </c:pt>
                <c:pt idx="86">
                  <c:v>7.5100000000000002E-3</c:v>
                </c:pt>
                <c:pt idx="87">
                  <c:v>7.4999999999999997E-3</c:v>
                </c:pt>
                <c:pt idx="88">
                  <c:v>7.4900000000000001E-3</c:v>
                </c:pt>
                <c:pt idx="89">
                  <c:v>7.4799999999999997E-3</c:v>
                </c:pt>
                <c:pt idx="90">
                  <c:v>7.4799999999999997E-3</c:v>
                </c:pt>
                <c:pt idx="91">
                  <c:v>7.4700000000000001E-3</c:v>
                </c:pt>
                <c:pt idx="92">
                  <c:v>7.4700000000000001E-3</c:v>
                </c:pt>
                <c:pt idx="93">
                  <c:v>7.4700000000000001E-3</c:v>
                </c:pt>
                <c:pt idx="94">
                  <c:v>7.4700000000000001E-3</c:v>
                </c:pt>
                <c:pt idx="95">
                  <c:v>7.4599999999999996E-3</c:v>
                </c:pt>
                <c:pt idx="96">
                  <c:v>7.4599999999999996E-3</c:v>
                </c:pt>
                <c:pt idx="97">
                  <c:v>7.45E-3</c:v>
                </c:pt>
                <c:pt idx="98">
                  <c:v>7.4599999999999996E-3</c:v>
                </c:pt>
                <c:pt idx="99">
                  <c:v>7.4599999999999996E-3</c:v>
                </c:pt>
                <c:pt idx="100">
                  <c:v>7.4599999999999996E-3</c:v>
                </c:pt>
                <c:pt idx="101">
                  <c:v>7.4599999999999996E-3</c:v>
                </c:pt>
                <c:pt idx="102">
                  <c:v>7.4599999999999996E-3</c:v>
                </c:pt>
                <c:pt idx="103">
                  <c:v>7.45E-3</c:v>
                </c:pt>
                <c:pt idx="104">
                  <c:v>7.4599999999999996E-3</c:v>
                </c:pt>
                <c:pt idx="105">
                  <c:v>7.4700000000000001E-3</c:v>
                </c:pt>
                <c:pt idx="106">
                  <c:v>7.4799999999999997E-3</c:v>
                </c:pt>
                <c:pt idx="107">
                  <c:v>7.4900000000000001E-3</c:v>
                </c:pt>
                <c:pt idx="108">
                  <c:v>7.4999999999999997E-3</c:v>
                </c:pt>
                <c:pt idx="109">
                  <c:v>7.5100000000000002E-3</c:v>
                </c:pt>
                <c:pt idx="110">
                  <c:v>7.5199999999999998E-3</c:v>
                </c:pt>
                <c:pt idx="111">
                  <c:v>7.5399999999999998E-3</c:v>
                </c:pt>
                <c:pt idx="112">
                  <c:v>7.5700000000000003E-3</c:v>
                </c:pt>
                <c:pt idx="113">
                  <c:v>7.62E-3</c:v>
                </c:pt>
                <c:pt idx="114">
                  <c:v>7.6499999999999997E-3</c:v>
                </c:pt>
                <c:pt idx="115">
                  <c:v>7.6800000000000002E-3</c:v>
                </c:pt>
                <c:pt idx="116">
                  <c:v>7.7099999999999998E-3</c:v>
                </c:pt>
                <c:pt idx="117">
                  <c:v>7.7299999999999999E-3</c:v>
                </c:pt>
                <c:pt idx="118">
                  <c:v>7.7600000000000004E-3</c:v>
                </c:pt>
                <c:pt idx="119">
                  <c:v>7.7799999999999996E-3</c:v>
                </c:pt>
                <c:pt idx="120">
                  <c:v>7.8100000000000001E-3</c:v>
                </c:pt>
                <c:pt idx="121">
                  <c:v>7.8399999999999997E-3</c:v>
                </c:pt>
                <c:pt idx="122">
                  <c:v>7.8700000000000003E-3</c:v>
                </c:pt>
                <c:pt idx="123">
                  <c:v>7.9100000000000004E-3</c:v>
                </c:pt>
                <c:pt idx="124">
                  <c:v>7.9500000000000005E-3</c:v>
                </c:pt>
                <c:pt idx="125">
                  <c:v>7.9900000000000006E-3</c:v>
                </c:pt>
                <c:pt idx="126">
                  <c:v>8.0300000000000007E-3</c:v>
                </c:pt>
                <c:pt idx="127">
                  <c:v>8.0700000000000008E-3</c:v>
                </c:pt>
                <c:pt idx="128">
                  <c:v>8.1200000000000005E-3</c:v>
                </c:pt>
                <c:pt idx="129">
                  <c:v>8.1700000000000002E-3</c:v>
                </c:pt>
                <c:pt idx="130">
                  <c:v>8.2299999999999995E-3</c:v>
                </c:pt>
                <c:pt idx="131">
                  <c:v>8.3099999999999997E-3</c:v>
                </c:pt>
                <c:pt idx="132">
                  <c:v>8.3899999999999999E-3</c:v>
                </c:pt>
                <c:pt idx="133">
                  <c:v>8.4899999999999993E-3</c:v>
                </c:pt>
                <c:pt idx="134">
                  <c:v>8.6099999999999996E-3</c:v>
                </c:pt>
                <c:pt idx="135">
                  <c:v>8.7500000000000008E-3</c:v>
                </c:pt>
                <c:pt idx="136">
                  <c:v>8.9099999999999995E-3</c:v>
                </c:pt>
                <c:pt idx="137">
                  <c:v>9.0900000000000009E-3</c:v>
                </c:pt>
                <c:pt idx="138">
                  <c:v>9.2999999999999992E-3</c:v>
                </c:pt>
                <c:pt idx="139">
                  <c:v>9.5200000000000007E-3</c:v>
                </c:pt>
                <c:pt idx="140">
                  <c:v>9.7599999999999996E-3</c:v>
                </c:pt>
                <c:pt idx="141">
                  <c:v>1.0019999999999999E-2</c:v>
                </c:pt>
                <c:pt idx="142">
                  <c:v>1.0290000000000001E-2</c:v>
                </c:pt>
                <c:pt idx="143">
                  <c:v>1.0580000000000001E-2</c:v>
                </c:pt>
                <c:pt idx="144">
                  <c:v>1.0880000000000001E-2</c:v>
                </c:pt>
                <c:pt idx="145">
                  <c:v>1.12E-2</c:v>
                </c:pt>
                <c:pt idx="146">
                  <c:v>1.154E-2</c:v>
                </c:pt>
                <c:pt idx="147">
                  <c:v>1.1900000000000001E-2</c:v>
                </c:pt>
                <c:pt idx="148">
                  <c:v>1.2290000000000001E-2</c:v>
                </c:pt>
                <c:pt idx="149">
                  <c:v>1.269E-2</c:v>
                </c:pt>
                <c:pt idx="150">
                  <c:v>1.312E-2</c:v>
                </c:pt>
                <c:pt idx="151">
                  <c:v>1.358E-2</c:v>
                </c:pt>
                <c:pt idx="152">
                  <c:v>1.4069999999999999E-2</c:v>
                </c:pt>
                <c:pt idx="153">
                  <c:v>1.4579999999999999E-2</c:v>
                </c:pt>
                <c:pt idx="154">
                  <c:v>1.511E-2</c:v>
                </c:pt>
                <c:pt idx="155">
                  <c:v>1.567E-2</c:v>
                </c:pt>
                <c:pt idx="156">
                  <c:v>1.6250000000000001E-2</c:v>
                </c:pt>
                <c:pt idx="157">
                  <c:v>1.6840000000000001E-2</c:v>
                </c:pt>
                <c:pt idx="158">
                  <c:v>1.746E-2</c:v>
                </c:pt>
                <c:pt idx="159">
                  <c:v>1.8089999999999998E-2</c:v>
                </c:pt>
                <c:pt idx="160">
                  <c:v>1.873E-2</c:v>
                </c:pt>
                <c:pt idx="161">
                  <c:v>1.9390000000000001E-2</c:v>
                </c:pt>
                <c:pt idx="162">
                  <c:v>2.0070000000000001E-2</c:v>
                </c:pt>
                <c:pt idx="163">
                  <c:v>2.0760000000000001E-2</c:v>
                </c:pt>
                <c:pt idx="164">
                  <c:v>2.146E-2</c:v>
                </c:pt>
                <c:pt idx="165">
                  <c:v>2.2190000000000001E-2</c:v>
                </c:pt>
                <c:pt idx="166">
                  <c:v>2.2929999999999999E-2</c:v>
                </c:pt>
                <c:pt idx="167">
                  <c:v>2.3709999999999998E-2</c:v>
                </c:pt>
                <c:pt idx="168">
                  <c:v>2.4539999999999999E-2</c:v>
                </c:pt>
              </c:numCache>
            </c:numRef>
          </c:xVal>
          <c:yVal>
            <c:numRef>
              <c:f>'CDCL (2)'!$D$4:$D$247</c:f>
              <c:numCache>
                <c:formatCode>General</c:formatCode>
                <c:ptCount val="244"/>
                <c:pt idx="0">
                  <c:v>-0.38109999999999999</c:v>
                </c:pt>
                <c:pt idx="1">
                  <c:v>-0.37940000000000002</c:v>
                </c:pt>
                <c:pt idx="2">
                  <c:v>-0.37780000000000002</c:v>
                </c:pt>
                <c:pt idx="3">
                  <c:v>-0.37619999999999998</c:v>
                </c:pt>
                <c:pt idx="4">
                  <c:v>-0.37469999999999998</c:v>
                </c:pt>
                <c:pt idx="5">
                  <c:v>-0.37319999999999998</c:v>
                </c:pt>
                <c:pt idx="6">
                  <c:v>-0.37169999999999997</c:v>
                </c:pt>
                <c:pt idx="7">
                  <c:v>-0.37030000000000002</c:v>
                </c:pt>
                <c:pt idx="8">
                  <c:v>-0.36890000000000001</c:v>
                </c:pt>
                <c:pt idx="9">
                  <c:v>-0.36749999999999999</c:v>
                </c:pt>
                <c:pt idx="10">
                  <c:v>-0.36630000000000001</c:v>
                </c:pt>
                <c:pt idx="11">
                  <c:v>-0.36509999999999998</c:v>
                </c:pt>
                <c:pt idx="12">
                  <c:v>-0.36409999999999998</c:v>
                </c:pt>
                <c:pt idx="13">
                  <c:v>-0.36320000000000002</c:v>
                </c:pt>
                <c:pt idx="14">
                  <c:v>-0.36280000000000001</c:v>
                </c:pt>
                <c:pt idx="15">
                  <c:v>-0.3629</c:v>
                </c:pt>
                <c:pt idx="16">
                  <c:v>-0.36270000000000002</c:v>
                </c:pt>
                <c:pt idx="17">
                  <c:v>-0.36120000000000002</c:v>
                </c:pt>
                <c:pt idx="18">
                  <c:v>-0.35959999999999998</c:v>
                </c:pt>
                <c:pt idx="19">
                  <c:v>-0.3579</c:v>
                </c:pt>
                <c:pt idx="20">
                  <c:v>-0.35610000000000003</c:v>
                </c:pt>
                <c:pt idx="21">
                  <c:v>-0.3543</c:v>
                </c:pt>
                <c:pt idx="22">
                  <c:v>-0.35239999999999999</c:v>
                </c:pt>
                <c:pt idx="23">
                  <c:v>-0.35049999999999998</c:v>
                </c:pt>
                <c:pt idx="24">
                  <c:v>-0.34839999999999999</c:v>
                </c:pt>
                <c:pt idx="25">
                  <c:v>-0.34639999999999999</c:v>
                </c:pt>
                <c:pt idx="26">
                  <c:v>-0.34420000000000001</c:v>
                </c:pt>
                <c:pt idx="27">
                  <c:v>-0.34189999999999998</c:v>
                </c:pt>
                <c:pt idx="28">
                  <c:v>-0.33950000000000002</c:v>
                </c:pt>
                <c:pt idx="29">
                  <c:v>-0.33700000000000002</c:v>
                </c:pt>
                <c:pt idx="30">
                  <c:v>-0.33429999999999999</c:v>
                </c:pt>
                <c:pt idx="31">
                  <c:v>-0.33150000000000002</c:v>
                </c:pt>
                <c:pt idx="32">
                  <c:v>-0.32840000000000003</c:v>
                </c:pt>
                <c:pt idx="33">
                  <c:v>-0.32519999999999999</c:v>
                </c:pt>
                <c:pt idx="34">
                  <c:v>-0.32190000000000002</c:v>
                </c:pt>
                <c:pt idx="35">
                  <c:v>-0.31819999999999998</c:v>
                </c:pt>
                <c:pt idx="36">
                  <c:v>-0.31440000000000001</c:v>
                </c:pt>
                <c:pt idx="37">
                  <c:v>-0.31040000000000001</c:v>
                </c:pt>
                <c:pt idx="38">
                  <c:v>-0.30609999999999998</c:v>
                </c:pt>
                <c:pt idx="39">
                  <c:v>-0.30149999999999999</c:v>
                </c:pt>
                <c:pt idx="40">
                  <c:v>-0.29670000000000002</c:v>
                </c:pt>
                <c:pt idx="41">
                  <c:v>-0.29170000000000001</c:v>
                </c:pt>
                <c:pt idx="42">
                  <c:v>-0.2863</c:v>
                </c:pt>
                <c:pt idx="43">
                  <c:v>-0.28070000000000001</c:v>
                </c:pt>
                <c:pt idx="44">
                  <c:v>-0.27479999999999999</c:v>
                </c:pt>
                <c:pt idx="45">
                  <c:v>-0.26850000000000002</c:v>
                </c:pt>
                <c:pt idx="46">
                  <c:v>-0.26200000000000001</c:v>
                </c:pt>
                <c:pt idx="47">
                  <c:v>-0.25509999999999999</c:v>
                </c:pt>
                <c:pt idx="48">
                  <c:v>-0.24790000000000001</c:v>
                </c:pt>
                <c:pt idx="49">
                  <c:v>-0.2404</c:v>
                </c:pt>
                <c:pt idx="50">
                  <c:v>-0.2326</c:v>
                </c:pt>
                <c:pt idx="51">
                  <c:v>-0.22450000000000001</c:v>
                </c:pt>
                <c:pt idx="52">
                  <c:v>-0.2162</c:v>
                </c:pt>
                <c:pt idx="53">
                  <c:v>-0.20749999999999999</c:v>
                </c:pt>
                <c:pt idx="54">
                  <c:v>-0.1986</c:v>
                </c:pt>
                <c:pt idx="55">
                  <c:v>-0.18940000000000001</c:v>
                </c:pt>
                <c:pt idx="56">
                  <c:v>-0.18</c:v>
                </c:pt>
                <c:pt idx="57">
                  <c:v>-0.17030000000000001</c:v>
                </c:pt>
                <c:pt idx="58">
                  <c:v>-0.1605</c:v>
                </c:pt>
                <c:pt idx="59">
                  <c:v>-0.15029999999999999</c:v>
                </c:pt>
                <c:pt idx="60">
                  <c:v>-0.1401</c:v>
                </c:pt>
                <c:pt idx="61">
                  <c:v>-0.12959999999999999</c:v>
                </c:pt>
                <c:pt idx="62">
                  <c:v>-0.1191</c:v>
                </c:pt>
                <c:pt idx="63">
                  <c:v>-0.1086</c:v>
                </c:pt>
                <c:pt idx="64">
                  <c:v>-9.8000000000000004E-2</c:v>
                </c:pt>
                <c:pt idx="65">
                  <c:v>-8.7499999999999994E-2</c:v>
                </c:pt>
                <c:pt idx="66">
                  <c:v>-7.7100000000000002E-2</c:v>
                </c:pt>
                <c:pt idx="67">
                  <c:v>-6.6699999999999995E-2</c:v>
                </c:pt>
                <c:pt idx="68">
                  <c:v>-5.6399999999999999E-2</c:v>
                </c:pt>
                <c:pt idx="69">
                  <c:v>-4.6100000000000002E-2</c:v>
                </c:pt>
                <c:pt idx="70">
                  <c:v>-3.56E-2</c:v>
                </c:pt>
                <c:pt idx="71">
                  <c:v>-2.4899999999999999E-2</c:v>
                </c:pt>
                <c:pt idx="72">
                  <c:v>-1.4E-2</c:v>
                </c:pt>
                <c:pt idx="73">
                  <c:v>-2.8E-3</c:v>
                </c:pt>
                <c:pt idx="74">
                  <c:v>8.3999999999999995E-3</c:v>
                </c:pt>
                <c:pt idx="75">
                  <c:v>1.9699999999999999E-2</c:v>
                </c:pt>
                <c:pt idx="76">
                  <c:v>3.0800000000000001E-2</c:v>
                </c:pt>
                <c:pt idx="77">
                  <c:v>4.2099999999999999E-2</c:v>
                </c:pt>
                <c:pt idx="78">
                  <c:v>5.33E-2</c:v>
                </c:pt>
                <c:pt idx="79">
                  <c:v>6.4500000000000002E-2</c:v>
                </c:pt>
                <c:pt idx="80">
                  <c:v>7.5700000000000003E-2</c:v>
                </c:pt>
                <c:pt idx="81">
                  <c:v>8.6900000000000005E-2</c:v>
                </c:pt>
                <c:pt idx="82">
                  <c:v>9.8100000000000007E-2</c:v>
                </c:pt>
                <c:pt idx="83">
                  <c:v>0.10920000000000001</c:v>
                </c:pt>
                <c:pt idx="84">
                  <c:v>0.1203</c:v>
                </c:pt>
                <c:pt idx="85">
                  <c:v>0.1313</c:v>
                </c:pt>
                <c:pt idx="86">
                  <c:v>0.14230000000000001</c:v>
                </c:pt>
                <c:pt idx="87">
                  <c:v>0.15329999999999999</c:v>
                </c:pt>
                <c:pt idx="88">
                  <c:v>0.16420000000000001</c:v>
                </c:pt>
                <c:pt idx="89">
                  <c:v>0.17519999999999999</c:v>
                </c:pt>
                <c:pt idx="90">
                  <c:v>0.186</c:v>
                </c:pt>
                <c:pt idx="91">
                  <c:v>0.19689999999999999</c:v>
                </c:pt>
                <c:pt idx="92">
                  <c:v>0.2077</c:v>
                </c:pt>
                <c:pt idx="93">
                  <c:v>0.2185</c:v>
                </c:pt>
                <c:pt idx="94">
                  <c:v>0.2293</c:v>
                </c:pt>
                <c:pt idx="95">
                  <c:v>0.24010000000000001</c:v>
                </c:pt>
                <c:pt idx="96">
                  <c:v>0.25090000000000001</c:v>
                </c:pt>
                <c:pt idx="97">
                  <c:v>0.26169999999999999</c:v>
                </c:pt>
                <c:pt idx="98">
                  <c:v>0.27239999999999998</c:v>
                </c:pt>
                <c:pt idx="99">
                  <c:v>0.28320000000000001</c:v>
                </c:pt>
                <c:pt idx="100">
                  <c:v>0.29389999999999999</c:v>
                </c:pt>
                <c:pt idx="101">
                  <c:v>0.30470000000000003</c:v>
                </c:pt>
                <c:pt idx="102">
                  <c:v>0.3155</c:v>
                </c:pt>
                <c:pt idx="103">
                  <c:v>0.32619999999999999</c:v>
                </c:pt>
                <c:pt idx="104">
                  <c:v>0.33700000000000002</c:v>
                </c:pt>
                <c:pt idx="105">
                  <c:v>0.34770000000000001</c:v>
                </c:pt>
                <c:pt idx="106">
                  <c:v>0.35849999999999999</c:v>
                </c:pt>
                <c:pt idx="107">
                  <c:v>0.36930000000000002</c:v>
                </c:pt>
                <c:pt idx="108">
                  <c:v>0.38009999999999999</c:v>
                </c:pt>
                <c:pt idx="109">
                  <c:v>0.39090000000000003</c:v>
                </c:pt>
                <c:pt idx="110">
                  <c:v>0.4017</c:v>
                </c:pt>
                <c:pt idx="111">
                  <c:v>0.41249999999999998</c:v>
                </c:pt>
                <c:pt idx="112">
                  <c:v>0.4229</c:v>
                </c:pt>
                <c:pt idx="113">
                  <c:v>0.43319999999999997</c:v>
                </c:pt>
                <c:pt idx="114">
                  <c:v>0.44390000000000002</c:v>
                </c:pt>
                <c:pt idx="115">
                  <c:v>0.4546</c:v>
                </c:pt>
                <c:pt idx="116">
                  <c:v>0.46529999999999999</c:v>
                </c:pt>
                <c:pt idx="117">
                  <c:v>0.47599999999999998</c:v>
                </c:pt>
                <c:pt idx="118">
                  <c:v>0.4869</c:v>
                </c:pt>
                <c:pt idx="119">
                  <c:v>0.49780000000000002</c:v>
                </c:pt>
                <c:pt idx="120">
                  <c:v>0.50870000000000004</c:v>
                </c:pt>
                <c:pt idx="121">
                  <c:v>0.51959999999999995</c:v>
                </c:pt>
                <c:pt idx="122">
                  <c:v>0.53049999999999997</c:v>
                </c:pt>
                <c:pt idx="123">
                  <c:v>0.5413</c:v>
                </c:pt>
                <c:pt idx="124">
                  <c:v>0.55220000000000002</c:v>
                </c:pt>
                <c:pt idx="125">
                  <c:v>0.56320000000000003</c:v>
                </c:pt>
                <c:pt idx="126">
                  <c:v>0.57420000000000004</c:v>
                </c:pt>
                <c:pt idx="127">
                  <c:v>0.58520000000000005</c:v>
                </c:pt>
                <c:pt idx="128">
                  <c:v>0.59619999999999995</c:v>
                </c:pt>
                <c:pt idx="129">
                  <c:v>0.60719999999999996</c:v>
                </c:pt>
                <c:pt idx="130">
                  <c:v>0.61809999999999998</c:v>
                </c:pt>
                <c:pt idx="131">
                  <c:v>0.629</c:v>
                </c:pt>
                <c:pt idx="132">
                  <c:v>0.63959999999999995</c:v>
                </c:pt>
                <c:pt idx="133">
                  <c:v>0.65010000000000001</c:v>
                </c:pt>
                <c:pt idx="134">
                  <c:v>0.6603</c:v>
                </c:pt>
                <c:pt idx="135">
                  <c:v>0.67030000000000001</c:v>
                </c:pt>
                <c:pt idx="136">
                  <c:v>0.67979999999999996</c:v>
                </c:pt>
                <c:pt idx="137">
                  <c:v>0.68899999999999995</c:v>
                </c:pt>
                <c:pt idx="138">
                  <c:v>0.69779999999999998</c:v>
                </c:pt>
                <c:pt idx="139">
                  <c:v>0.70620000000000005</c:v>
                </c:pt>
                <c:pt idx="140">
                  <c:v>0.71440000000000003</c:v>
                </c:pt>
                <c:pt idx="141">
                  <c:v>0.72250000000000003</c:v>
                </c:pt>
                <c:pt idx="142">
                  <c:v>0.73060000000000003</c:v>
                </c:pt>
                <c:pt idx="143">
                  <c:v>0.7389</c:v>
                </c:pt>
                <c:pt idx="144">
                  <c:v>0.74750000000000005</c:v>
                </c:pt>
                <c:pt idx="145">
                  <c:v>0.75649999999999995</c:v>
                </c:pt>
                <c:pt idx="146">
                  <c:v>0.76590000000000003</c:v>
                </c:pt>
                <c:pt idx="147">
                  <c:v>0.77569999999999995</c:v>
                </c:pt>
                <c:pt idx="148">
                  <c:v>0.78580000000000005</c:v>
                </c:pt>
                <c:pt idx="149">
                  <c:v>0.79610000000000003</c:v>
                </c:pt>
                <c:pt idx="150">
                  <c:v>0.80649999999999999</c:v>
                </c:pt>
                <c:pt idx="151">
                  <c:v>0.81669999999999998</c:v>
                </c:pt>
                <c:pt idx="152">
                  <c:v>0.8266</c:v>
                </c:pt>
                <c:pt idx="153">
                  <c:v>0.83599999999999997</c:v>
                </c:pt>
                <c:pt idx="154">
                  <c:v>0.84489999999999998</c:v>
                </c:pt>
                <c:pt idx="155">
                  <c:v>0.85309999999999997</c:v>
                </c:pt>
                <c:pt idx="156">
                  <c:v>0.86080000000000001</c:v>
                </c:pt>
                <c:pt idx="157">
                  <c:v>0.86770000000000003</c:v>
                </c:pt>
                <c:pt idx="158">
                  <c:v>0.874</c:v>
                </c:pt>
                <c:pt idx="159">
                  <c:v>0.87960000000000005</c:v>
                </c:pt>
                <c:pt idx="160">
                  <c:v>0.88460000000000005</c:v>
                </c:pt>
                <c:pt idx="161">
                  <c:v>0.88900000000000001</c:v>
                </c:pt>
                <c:pt idx="162">
                  <c:v>0.89280000000000004</c:v>
                </c:pt>
                <c:pt idx="163">
                  <c:v>0.89600000000000002</c:v>
                </c:pt>
                <c:pt idx="164">
                  <c:v>0.89859999999999995</c:v>
                </c:pt>
                <c:pt idx="165">
                  <c:v>0.90069999999999995</c:v>
                </c:pt>
                <c:pt idx="166">
                  <c:v>0.90210000000000001</c:v>
                </c:pt>
                <c:pt idx="167">
                  <c:v>0.90290000000000004</c:v>
                </c:pt>
                <c:pt idx="168">
                  <c:v>0.90259999999999996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49-47E5-9536-A81DC872C33B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'CDCL (2)'!$I$4:$I$101</c:f>
              <c:numCache>
                <c:formatCode>General</c:formatCode>
                <c:ptCount val="98"/>
                <c:pt idx="0">
                  <c:v>8.1099999999999992E-3</c:v>
                </c:pt>
                <c:pt idx="1">
                  <c:v>8.096734006734007E-3</c:v>
                </c:pt>
                <c:pt idx="2">
                  <c:v>8.0836026936026931E-3</c:v>
                </c:pt>
                <c:pt idx="3">
                  <c:v>8.0706060606060594E-3</c:v>
                </c:pt>
                <c:pt idx="4">
                  <c:v>8.0577441077441074E-3</c:v>
                </c:pt>
                <c:pt idx="5">
                  <c:v>8.0450168350168338E-3</c:v>
                </c:pt>
                <c:pt idx="6">
                  <c:v>8.032424242424242E-3</c:v>
                </c:pt>
                <c:pt idx="7">
                  <c:v>8.0199663299663285E-3</c:v>
                </c:pt>
                <c:pt idx="8">
                  <c:v>8.0076430976430968E-3</c:v>
                </c:pt>
                <c:pt idx="9">
                  <c:v>7.9954545454545452E-3</c:v>
                </c:pt>
                <c:pt idx="10">
                  <c:v>7.9834006734006736E-3</c:v>
                </c:pt>
                <c:pt idx="11">
                  <c:v>7.9714814814814804E-3</c:v>
                </c:pt>
                <c:pt idx="12">
                  <c:v>7.959696969696969E-3</c:v>
                </c:pt>
                <c:pt idx="13">
                  <c:v>7.9480471380471377E-3</c:v>
                </c:pt>
                <c:pt idx="14">
                  <c:v>7.9365319865319865E-3</c:v>
                </c:pt>
                <c:pt idx="15">
                  <c:v>7.9251515151515153E-3</c:v>
                </c:pt>
                <c:pt idx="16">
                  <c:v>7.9139057239057242E-3</c:v>
                </c:pt>
                <c:pt idx="17">
                  <c:v>7.9027946127946114E-3</c:v>
                </c:pt>
                <c:pt idx="18">
                  <c:v>7.8918181818181821E-3</c:v>
                </c:pt>
                <c:pt idx="19">
                  <c:v>7.8809764309764312E-3</c:v>
                </c:pt>
                <c:pt idx="20">
                  <c:v>7.8702693602693604E-3</c:v>
                </c:pt>
                <c:pt idx="21">
                  <c:v>7.8596969696969696E-3</c:v>
                </c:pt>
                <c:pt idx="22">
                  <c:v>7.849259259259259E-3</c:v>
                </c:pt>
                <c:pt idx="23">
                  <c:v>7.8389562289562283E-3</c:v>
                </c:pt>
                <c:pt idx="24">
                  <c:v>7.8287878787878778E-3</c:v>
                </c:pt>
                <c:pt idx="25">
                  <c:v>7.818754208754209E-3</c:v>
                </c:pt>
                <c:pt idx="26">
                  <c:v>7.8088552188552186E-3</c:v>
                </c:pt>
                <c:pt idx="27">
                  <c:v>7.7990909090909083E-3</c:v>
                </c:pt>
                <c:pt idx="28">
                  <c:v>7.7894612794612789E-3</c:v>
                </c:pt>
                <c:pt idx="29">
                  <c:v>7.7799663299663296E-3</c:v>
                </c:pt>
                <c:pt idx="30">
                  <c:v>7.7706060606060603E-3</c:v>
                </c:pt>
                <c:pt idx="31">
                  <c:v>7.7613804713804711E-3</c:v>
                </c:pt>
                <c:pt idx="32">
                  <c:v>7.752289562289562E-3</c:v>
                </c:pt>
                <c:pt idx="33">
                  <c:v>7.743333333333333E-3</c:v>
                </c:pt>
                <c:pt idx="34">
                  <c:v>7.734511784511784E-3</c:v>
                </c:pt>
                <c:pt idx="35">
                  <c:v>7.7258249158249151E-3</c:v>
                </c:pt>
                <c:pt idx="36">
                  <c:v>7.7172727272727271E-3</c:v>
                </c:pt>
                <c:pt idx="37">
                  <c:v>7.7088552188552184E-3</c:v>
                </c:pt>
                <c:pt idx="38">
                  <c:v>7.7005723905723905E-3</c:v>
                </c:pt>
                <c:pt idx="39">
                  <c:v>7.6924242424242419E-3</c:v>
                </c:pt>
                <c:pt idx="40">
                  <c:v>7.6844107744107742E-3</c:v>
                </c:pt>
                <c:pt idx="41">
                  <c:v>7.6765319865319866E-3</c:v>
                </c:pt>
                <c:pt idx="42">
                  <c:v>7.6687878787878782E-3</c:v>
                </c:pt>
                <c:pt idx="43">
                  <c:v>7.6611784511784508E-3</c:v>
                </c:pt>
                <c:pt idx="44">
                  <c:v>7.6537037037037034E-3</c:v>
                </c:pt>
                <c:pt idx="45">
                  <c:v>7.646363636363636E-3</c:v>
                </c:pt>
                <c:pt idx="46">
                  <c:v>7.6391582491582488E-3</c:v>
                </c:pt>
                <c:pt idx="47">
                  <c:v>7.6320875420875416E-3</c:v>
                </c:pt>
                <c:pt idx="48">
                  <c:v>7.6251515151515153E-3</c:v>
                </c:pt>
                <c:pt idx="49">
                  <c:v>7.6183501683501683E-3</c:v>
                </c:pt>
                <c:pt idx="50">
                  <c:v>7.6116835016835013E-3</c:v>
                </c:pt>
                <c:pt idx="51">
                  <c:v>7.6051515151515153E-3</c:v>
                </c:pt>
                <c:pt idx="52">
                  <c:v>7.5987542087542085E-3</c:v>
                </c:pt>
                <c:pt idx="53">
                  <c:v>7.5924915824915826E-3</c:v>
                </c:pt>
                <c:pt idx="54">
                  <c:v>7.5863636363636359E-3</c:v>
                </c:pt>
                <c:pt idx="55">
                  <c:v>7.5803703703703701E-3</c:v>
                </c:pt>
                <c:pt idx="56">
                  <c:v>7.5745117845117844E-3</c:v>
                </c:pt>
                <c:pt idx="57">
                  <c:v>7.5687878787878788E-3</c:v>
                </c:pt>
                <c:pt idx="58">
                  <c:v>7.5631986531986533E-3</c:v>
                </c:pt>
                <c:pt idx="59">
                  <c:v>7.5577441077441078E-3</c:v>
                </c:pt>
                <c:pt idx="60">
                  <c:v>7.5524242424242424E-3</c:v>
                </c:pt>
                <c:pt idx="61">
                  <c:v>7.5472390572390571E-3</c:v>
                </c:pt>
                <c:pt idx="62">
                  <c:v>7.5421885521885518E-3</c:v>
                </c:pt>
                <c:pt idx="63">
                  <c:v>7.5372727272727275E-3</c:v>
                </c:pt>
                <c:pt idx="64">
                  <c:v>7.5324915824915824E-3</c:v>
                </c:pt>
                <c:pt idx="65">
                  <c:v>7.5278451178451174E-3</c:v>
                </c:pt>
                <c:pt idx="66">
                  <c:v>7.5233333333333333E-3</c:v>
                </c:pt>
                <c:pt idx="67">
                  <c:v>7.5189562289562292E-3</c:v>
                </c:pt>
                <c:pt idx="68">
                  <c:v>7.5147138047138044E-3</c:v>
                </c:pt>
                <c:pt idx="69">
                  <c:v>7.5106060606060605E-3</c:v>
                </c:pt>
                <c:pt idx="70">
                  <c:v>7.5066329966329967E-3</c:v>
                </c:pt>
                <c:pt idx="71">
                  <c:v>7.5027946127946129E-3</c:v>
                </c:pt>
                <c:pt idx="72">
                  <c:v>7.4990909090909092E-3</c:v>
                </c:pt>
                <c:pt idx="73">
                  <c:v>7.4955218855218856E-3</c:v>
                </c:pt>
                <c:pt idx="74">
                  <c:v>7.4920875420875421E-3</c:v>
                </c:pt>
                <c:pt idx="75">
                  <c:v>7.4887878787878786E-3</c:v>
                </c:pt>
                <c:pt idx="76">
                  <c:v>7.4856228956228952E-3</c:v>
                </c:pt>
                <c:pt idx="77">
                  <c:v>7.4825925925925928E-3</c:v>
                </c:pt>
                <c:pt idx="78">
                  <c:v>7.4796969696969695E-3</c:v>
                </c:pt>
                <c:pt idx="79">
                  <c:v>7.4769360269360272E-3</c:v>
                </c:pt>
                <c:pt idx="80">
                  <c:v>7.4743097643097641E-3</c:v>
                </c:pt>
                <c:pt idx="81">
                  <c:v>7.4718181818181819E-3</c:v>
                </c:pt>
                <c:pt idx="82">
                  <c:v>7.4694612794612798E-3</c:v>
                </c:pt>
                <c:pt idx="83">
                  <c:v>7.4672390572390569E-3</c:v>
                </c:pt>
                <c:pt idx="84">
                  <c:v>7.4651515151515149E-3</c:v>
                </c:pt>
                <c:pt idx="85">
                  <c:v>7.463198653198653E-3</c:v>
                </c:pt>
                <c:pt idx="86">
                  <c:v>7.4613804713804712E-3</c:v>
                </c:pt>
                <c:pt idx="87">
                  <c:v>7.4596969696969695E-3</c:v>
                </c:pt>
                <c:pt idx="88">
                  <c:v>7.4581481481481478E-3</c:v>
                </c:pt>
                <c:pt idx="89">
                  <c:v>7.456734006734007E-3</c:v>
                </c:pt>
                <c:pt idx="90">
                  <c:v>7.4554545454545455E-3</c:v>
                </c:pt>
                <c:pt idx="91">
                  <c:v>7.454309764309764E-3</c:v>
                </c:pt>
                <c:pt idx="92">
                  <c:v>7.4532996632996635E-3</c:v>
                </c:pt>
                <c:pt idx="93">
                  <c:v>7.4524242424242422E-3</c:v>
                </c:pt>
                <c:pt idx="94">
                  <c:v>7.4516835016835018E-3</c:v>
                </c:pt>
                <c:pt idx="95">
                  <c:v>7.4510774410774415E-3</c:v>
                </c:pt>
                <c:pt idx="96">
                  <c:v>7.4506060606060603E-3</c:v>
                </c:pt>
                <c:pt idx="97">
                  <c:v>7.4502693602693602E-3</c:v>
                </c:pt>
              </c:numCache>
            </c:numRef>
          </c:xVal>
          <c:yVal>
            <c:numRef>
              <c:f>'CDCL (2)'!$J$4:$J$103</c:f>
              <c:numCache>
                <c:formatCode>General</c:formatCode>
                <c:ptCount val="100"/>
                <c:pt idx="0">
                  <c:v>8.3999999999999995E-3</c:v>
                </c:pt>
                <c:pt idx="1">
                  <c:v>1.0958585858585859E-2</c:v>
                </c:pt>
                <c:pt idx="2">
                  <c:v>1.3517171717171716E-2</c:v>
                </c:pt>
                <c:pt idx="3">
                  <c:v>1.6075757575757573E-2</c:v>
                </c:pt>
                <c:pt idx="4">
                  <c:v>1.8634343434343434E-2</c:v>
                </c:pt>
                <c:pt idx="5">
                  <c:v>2.1192929292929291E-2</c:v>
                </c:pt>
                <c:pt idx="6">
                  <c:v>2.3751515151515148E-2</c:v>
                </c:pt>
                <c:pt idx="7">
                  <c:v>2.6310101010101006E-2</c:v>
                </c:pt>
                <c:pt idx="8">
                  <c:v>2.8868686868686863E-2</c:v>
                </c:pt>
                <c:pt idx="9">
                  <c:v>3.142727272727272E-2</c:v>
                </c:pt>
                <c:pt idx="10">
                  <c:v>3.3985858585858578E-2</c:v>
                </c:pt>
                <c:pt idx="11">
                  <c:v>3.6544444444444442E-2</c:v>
                </c:pt>
                <c:pt idx="12">
                  <c:v>3.9103030303030299E-2</c:v>
                </c:pt>
                <c:pt idx="13">
                  <c:v>4.1661616161616156E-2</c:v>
                </c:pt>
                <c:pt idx="14">
                  <c:v>4.4220202020202014E-2</c:v>
                </c:pt>
                <c:pt idx="15">
                  <c:v>4.6778787878787871E-2</c:v>
                </c:pt>
                <c:pt idx="16">
                  <c:v>4.9337373737373728E-2</c:v>
                </c:pt>
                <c:pt idx="17">
                  <c:v>5.1895959595959593E-2</c:v>
                </c:pt>
                <c:pt idx="18">
                  <c:v>5.4454545454545443E-2</c:v>
                </c:pt>
                <c:pt idx="19">
                  <c:v>5.7013131313131307E-2</c:v>
                </c:pt>
                <c:pt idx="20">
                  <c:v>5.9571717171717158E-2</c:v>
                </c:pt>
                <c:pt idx="21">
                  <c:v>6.2130303030303022E-2</c:v>
                </c:pt>
                <c:pt idx="22">
                  <c:v>6.4688888888888879E-2</c:v>
                </c:pt>
                <c:pt idx="23">
                  <c:v>6.7247474747474736E-2</c:v>
                </c:pt>
                <c:pt idx="24">
                  <c:v>6.9806060606060594E-2</c:v>
                </c:pt>
                <c:pt idx="25">
                  <c:v>7.2364646464646465E-2</c:v>
                </c:pt>
                <c:pt idx="26">
                  <c:v>7.4923232323232322E-2</c:v>
                </c:pt>
                <c:pt idx="27">
                  <c:v>7.7481818181818179E-2</c:v>
                </c:pt>
                <c:pt idx="28">
                  <c:v>8.0040404040404037E-2</c:v>
                </c:pt>
                <c:pt idx="29">
                  <c:v>8.2598989898989894E-2</c:v>
                </c:pt>
                <c:pt idx="30">
                  <c:v>8.5157575757575751E-2</c:v>
                </c:pt>
                <c:pt idx="31">
                  <c:v>8.7716161616161609E-2</c:v>
                </c:pt>
                <c:pt idx="32">
                  <c:v>9.0274747474747466E-2</c:v>
                </c:pt>
                <c:pt idx="33">
                  <c:v>9.2833333333333323E-2</c:v>
                </c:pt>
                <c:pt idx="34">
                  <c:v>9.5391919191919194E-2</c:v>
                </c:pt>
                <c:pt idx="35">
                  <c:v>9.7950505050505052E-2</c:v>
                </c:pt>
                <c:pt idx="36">
                  <c:v>0.1005090909090909</c:v>
                </c:pt>
                <c:pt idx="37">
                  <c:v>0.10306767676767677</c:v>
                </c:pt>
                <c:pt idx="38">
                  <c:v>0.10562626262626262</c:v>
                </c:pt>
                <c:pt idx="39">
                  <c:v>0.10818484848484848</c:v>
                </c:pt>
                <c:pt idx="40">
                  <c:v>0.11074343434343432</c:v>
                </c:pt>
                <c:pt idx="41">
                  <c:v>0.1133020202020202</c:v>
                </c:pt>
                <c:pt idx="42">
                  <c:v>0.11586060606060605</c:v>
                </c:pt>
                <c:pt idx="43">
                  <c:v>0.1184191919191919</c:v>
                </c:pt>
                <c:pt idx="44">
                  <c:v>0.12097777777777777</c:v>
                </c:pt>
                <c:pt idx="45">
                  <c:v>0.12353636363636362</c:v>
                </c:pt>
                <c:pt idx="46">
                  <c:v>0.12609494949494948</c:v>
                </c:pt>
                <c:pt idx="47">
                  <c:v>0.12865353535353535</c:v>
                </c:pt>
                <c:pt idx="48">
                  <c:v>0.1312121212121212</c:v>
                </c:pt>
                <c:pt idx="49">
                  <c:v>0.13377070707070704</c:v>
                </c:pt>
                <c:pt idx="50">
                  <c:v>0.13632929292929291</c:v>
                </c:pt>
                <c:pt idx="51">
                  <c:v>0.13888787878787875</c:v>
                </c:pt>
                <c:pt idx="52">
                  <c:v>0.14144646464646463</c:v>
                </c:pt>
                <c:pt idx="53">
                  <c:v>0.1440050505050505</c:v>
                </c:pt>
                <c:pt idx="54">
                  <c:v>0.14656363636363634</c:v>
                </c:pt>
                <c:pt idx="55">
                  <c:v>0.14912222222222218</c:v>
                </c:pt>
                <c:pt idx="56">
                  <c:v>0.15168080808080805</c:v>
                </c:pt>
                <c:pt idx="57">
                  <c:v>0.15423939393939393</c:v>
                </c:pt>
                <c:pt idx="58">
                  <c:v>0.15679797979797977</c:v>
                </c:pt>
                <c:pt idx="59">
                  <c:v>0.15935656565656561</c:v>
                </c:pt>
                <c:pt idx="60">
                  <c:v>0.16191515151515148</c:v>
                </c:pt>
                <c:pt idx="61">
                  <c:v>0.16447373737373736</c:v>
                </c:pt>
                <c:pt idx="62">
                  <c:v>0.1670323232323232</c:v>
                </c:pt>
                <c:pt idx="63">
                  <c:v>0.16959090909090907</c:v>
                </c:pt>
                <c:pt idx="64">
                  <c:v>0.17214949494949491</c:v>
                </c:pt>
                <c:pt idx="65">
                  <c:v>0.17470808080808078</c:v>
                </c:pt>
                <c:pt idx="66">
                  <c:v>0.17726666666666663</c:v>
                </c:pt>
                <c:pt idx="67">
                  <c:v>0.17982525252525247</c:v>
                </c:pt>
                <c:pt idx="68">
                  <c:v>0.18238383838383837</c:v>
                </c:pt>
                <c:pt idx="69">
                  <c:v>0.18494242424242421</c:v>
                </c:pt>
                <c:pt idx="70">
                  <c:v>0.18750101010101008</c:v>
                </c:pt>
                <c:pt idx="71">
                  <c:v>0.19005959595959593</c:v>
                </c:pt>
                <c:pt idx="72">
                  <c:v>0.19261818181818177</c:v>
                </c:pt>
                <c:pt idx="73">
                  <c:v>0.19517676767676764</c:v>
                </c:pt>
                <c:pt idx="74">
                  <c:v>0.19773535353535351</c:v>
                </c:pt>
                <c:pt idx="75">
                  <c:v>0.20029393939393939</c:v>
                </c:pt>
                <c:pt idx="76">
                  <c:v>0.20285252525252523</c:v>
                </c:pt>
                <c:pt idx="77">
                  <c:v>0.20541111111111107</c:v>
                </c:pt>
                <c:pt idx="78">
                  <c:v>0.20796969696969694</c:v>
                </c:pt>
                <c:pt idx="79">
                  <c:v>0.21052828282828279</c:v>
                </c:pt>
                <c:pt idx="80">
                  <c:v>0.21308686868686863</c:v>
                </c:pt>
                <c:pt idx="81">
                  <c:v>0.21564545454545453</c:v>
                </c:pt>
                <c:pt idx="82">
                  <c:v>0.21820404040404037</c:v>
                </c:pt>
                <c:pt idx="83">
                  <c:v>0.22076262626262622</c:v>
                </c:pt>
                <c:pt idx="84">
                  <c:v>0.22332121212121209</c:v>
                </c:pt>
                <c:pt idx="85">
                  <c:v>0.22587979797979793</c:v>
                </c:pt>
                <c:pt idx="86">
                  <c:v>0.22843838383838377</c:v>
                </c:pt>
                <c:pt idx="87">
                  <c:v>0.23099696969696967</c:v>
                </c:pt>
                <c:pt idx="88">
                  <c:v>0.23355555555555552</c:v>
                </c:pt>
                <c:pt idx="89">
                  <c:v>0.23611414141414139</c:v>
                </c:pt>
                <c:pt idx="90">
                  <c:v>0.23867272727272723</c:v>
                </c:pt>
                <c:pt idx="91">
                  <c:v>0.24123131313131307</c:v>
                </c:pt>
                <c:pt idx="92">
                  <c:v>0.24378989898989895</c:v>
                </c:pt>
                <c:pt idx="93">
                  <c:v>0.24634848484848482</c:v>
                </c:pt>
                <c:pt idx="94">
                  <c:v>0.24890707070707069</c:v>
                </c:pt>
                <c:pt idx="95">
                  <c:v>0.25146565656565656</c:v>
                </c:pt>
                <c:pt idx="96">
                  <c:v>0.25402424242424237</c:v>
                </c:pt>
                <c:pt idx="97">
                  <c:v>0.25658282828282825</c:v>
                </c:pt>
                <c:pt idx="98">
                  <c:v>0.25914141414141412</c:v>
                </c:pt>
                <c:pt idx="99">
                  <c:v>0.26169999999999999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49-47E5-9536-A81DC872C33B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'CDCL (2)'!$L$4:$L$103</c:f>
              <c:numCache>
                <c:formatCode>General</c:formatCode>
                <c:ptCount val="100"/>
                <c:pt idx="0">
                  <c:v>8.1700000000000002E-3</c:v>
                </c:pt>
                <c:pt idx="1">
                  <c:v>8.1555280073461883E-3</c:v>
                </c:pt>
                <c:pt idx="2">
                  <c:v>8.1412029384756654E-3</c:v>
                </c:pt>
                <c:pt idx="3">
                  <c:v>8.1270247933884297E-3</c:v>
                </c:pt>
                <c:pt idx="4">
                  <c:v>8.1129935720844811E-3</c:v>
                </c:pt>
                <c:pt idx="5">
                  <c:v>8.0991092745638198E-3</c:v>
                </c:pt>
                <c:pt idx="6">
                  <c:v>8.0853719008264456E-3</c:v>
                </c:pt>
                <c:pt idx="7">
                  <c:v>8.0717814508723604E-3</c:v>
                </c:pt>
                <c:pt idx="8">
                  <c:v>8.0583379247015606E-3</c:v>
                </c:pt>
                <c:pt idx="9">
                  <c:v>8.0450413223140498E-3</c:v>
                </c:pt>
                <c:pt idx="10">
                  <c:v>8.0318916437098261E-3</c:v>
                </c:pt>
                <c:pt idx="11">
                  <c:v>8.0188888888888896E-3</c:v>
                </c:pt>
                <c:pt idx="12">
                  <c:v>8.0060330578512404E-3</c:v>
                </c:pt>
                <c:pt idx="13">
                  <c:v>7.9933241505968783E-3</c:v>
                </c:pt>
                <c:pt idx="14">
                  <c:v>7.9807621671258034E-3</c:v>
                </c:pt>
                <c:pt idx="15">
                  <c:v>7.9683471074380174E-3</c:v>
                </c:pt>
                <c:pt idx="16">
                  <c:v>7.9560789715335169E-3</c:v>
                </c:pt>
                <c:pt idx="17">
                  <c:v>7.9439577594123054E-3</c:v>
                </c:pt>
                <c:pt idx="18">
                  <c:v>7.931983471074381E-3</c:v>
                </c:pt>
                <c:pt idx="19">
                  <c:v>7.9201561065197438E-3</c:v>
                </c:pt>
                <c:pt idx="20">
                  <c:v>7.9084756657483938E-3</c:v>
                </c:pt>
                <c:pt idx="21">
                  <c:v>7.896942148760331E-3</c:v>
                </c:pt>
                <c:pt idx="22">
                  <c:v>7.8855555555555554E-3</c:v>
                </c:pt>
                <c:pt idx="23">
                  <c:v>7.8743158861340687E-3</c:v>
                </c:pt>
                <c:pt idx="24">
                  <c:v>7.8632231404958675E-3</c:v>
                </c:pt>
                <c:pt idx="25">
                  <c:v>7.8522773186409552E-3</c:v>
                </c:pt>
                <c:pt idx="26">
                  <c:v>7.84147842056933E-3</c:v>
                </c:pt>
                <c:pt idx="27">
                  <c:v>7.8308264462809921E-3</c:v>
                </c:pt>
                <c:pt idx="28">
                  <c:v>7.8203213957759414E-3</c:v>
                </c:pt>
                <c:pt idx="29">
                  <c:v>7.8099632690541779E-3</c:v>
                </c:pt>
                <c:pt idx="30">
                  <c:v>7.7997520661157024E-3</c:v>
                </c:pt>
                <c:pt idx="31">
                  <c:v>7.7896877869605141E-3</c:v>
                </c:pt>
                <c:pt idx="32">
                  <c:v>7.7797704315886139E-3</c:v>
                </c:pt>
                <c:pt idx="33">
                  <c:v>7.77E-3</c:v>
                </c:pt>
                <c:pt idx="34">
                  <c:v>7.7603764921946742E-3</c:v>
                </c:pt>
                <c:pt idx="35">
                  <c:v>7.7508999081726355E-3</c:v>
                </c:pt>
                <c:pt idx="36">
                  <c:v>7.7415702479338841E-3</c:v>
                </c:pt>
                <c:pt idx="37">
                  <c:v>7.7323875114784207E-3</c:v>
                </c:pt>
                <c:pt idx="38">
                  <c:v>7.7233516988062445E-3</c:v>
                </c:pt>
                <c:pt idx="39">
                  <c:v>7.7144628099173555E-3</c:v>
                </c:pt>
                <c:pt idx="40">
                  <c:v>7.7057208448117536E-3</c:v>
                </c:pt>
                <c:pt idx="41">
                  <c:v>7.6971258034894399E-3</c:v>
                </c:pt>
                <c:pt idx="42">
                  <c:v>7.6886776859504133E-3</c:v>
                </c:pt>
                <c:pt idx="43">
                  <c:v>7.6803764921946739E-3</c:v>
                </c:pt>
                <c:pt idx="44">
                  <c:v>7.6722222222222226E-3</c:v>
                </c:pt>
                <c:pt idx="45">
                  <c:v>7.6642148760330576E-3</c:v>
                </c:pt>
                <c:pt idx="46">
                  <c:v>7.6563544536271807E-3</c:v>
                </c:pt>
                <c:pt idx="47">
                  <c:v>7.648640955004591E-3</c:v>
                </c:pt>
                <c:pt idx="48">
                  <c:v>7.6410743801652893E-3</c:v>
                </c:pt>
                <c:pt idx="49">
                  <c:v>7.6336547291092748E-3</c:v>
                </c:pt>
                <c:pt idx="50">
                  <c:v>7.6263820018365475E-3</c:v>
                </c:pt>
                <c:pt idx="51">
                  <c:v>7.6192561983471074E-3</c:v>
                </c:pt>
                <c:pt idx="52">
                  <c:v>7.6122773186409554E-3</c:v>
                </c:pt>
                <c:pt idx="53">
                  <c:v>7.6054453627180897E-3</c:v>
                </c:pt>
                <c:pt idx="54">
                  <c:v>7.5987603305785129E-3</c:v>
                </c:pt>
                <c:pt idx="55">
                  <c:v>7.5922222222222224E-3</c:v>
                </c:pt>
                <c:pt idx="56">
                  <c:v>7.5858310376492192E-3</c:v>
                </c:pt>
                <c:pt idx="57">
                  <c:v>7.5795867768595039E-3</c:v>
                </c:pt>
                <c:pt idx="58">
                  <c:v>7.5734894398530759E-3</c:v>
                </c:pt>
                <c:pt idx="59">
                  <c:v>7.567539026629936E-3</c:v>
                </c:pt>
                <c:pt idx="60">
                  <c:v>7.5617355371900823E-3</c:v>
                </c:pt>
                <c:pt idx="61">
                  <c:v>7.5560789715335168E-3</c:v>
                </c:pt>
                <c:pt idx="62">
                  <c:v>7.5505693296602392E-3</c:v>
                </c:pt>
                <c:pt idx="63">
                  <c:v>7.5452066115702481E-3</c:v>
                </c:pt>
                <c:pt idx="64">
                  <c:v>7.5399908172635449E-3</c:v>
                </c:pt>
                <c:pt idx="65">
                  <c:v>7.534921946740129E-3</c:v>
                </c:pt>
                <c:pt idx="66">
                  <c:v>7.5300000000000002E-3</c:v>
                </c:pt>
                <c:pt idx="67">
                  <c:v>7.5252249770431587E-3</c:v>
                </c:pt>
                <c:pt idx="68">
                  <c:v>7.5205968778696052E-3</c:v>
                </c:pt>
                <c:pt idx="69">
                  <c:v>7.5161157024793389E-3</c:v>
                </c:pt>
                <c:pt idx="70">
                  <c:v>7.5117814508723598E-3</c:v>
                </c:pt>
                <c:pt idx="71">
                  <c:v>7.5075941230486687E-3</c:v>
                </c:pt>
                <c:pt idx="72">
                  <c:v>7.5035537190082649E-3</c:v>
                </c:pt>
                <c:pt idx="73">
                  <c:v>7.4996602387511482E-3</c:v>
                </c:pt>
                <c:pt idx="74">
                  <c:v>7.4959136822773187E-3</c:v>
                </c:pt>
                <c:pt idx="75">
                  <c:v>7.4923140495867773E-3</c:v>
                </c:pt>
                <c:pt idx="76">
                  <c:v>7.4888613406795222E-3</c:v>
                </c:pt>
                <c:pt idx="77">
                  <c:v>7.4855555555555552E-3</c:v>
                </c:pt>
                <c:pt idx="78">
                  <c:v>7.4823966942148762E-3</c:v>
                </c:pt>
                <c:pt idx="79">
                  <c:v>7.4793847566574836E-3</c:v>
                </c:pt>
                <c:pt idx="80">
                  <c:v>7.476519742883379E-3</c:v>
                </c:pt>
                <c:pt idx="81">
                  <c:v>7.4738016528925616E-3</c:v>
                </c:pt>
                <c:pt idx="82">
                  <c:v>7.4712304866850323E-3</c:v>
                </c:pt>
                <c:pt idx="83">
                  <c:v>7.4688062442607901E-3</c:v>
                </c:pt>
                <c:pt idx="84">
                  <c:v>7.4665289256198343E-3</c:v>
                </c:pt>
                <c:pt idx="85">
                  <c:v>7.4643985307621674E-3</c:v>
                </c:pt>
                <c:pt idx="86">
                  <c:v>7.4624150596877869E-3</c:v>
                </c:pt>
                <c:pt idx="87">
                  <c:v>7.4605785123966943E-3</c:v>
                </c:pt>
                <c:pt idx="88">
                  <c:v>7.458888888888889E-3</c:v>
                </c:pt>
                <c:pt idx="89">
                  <c:v>7.4573461891643709E-3</c:v>
                </c:pt>
                <c:pt idx="90">
                  <c:v>7.4559504132231409E-3</c:v>
                </c:pt>
                <c:pt idx="91">
                  <c:v>7.4547015610651971E-3</c:v>
                </c:pt>
                <c:pt idx="92">
                  <c:v>7.4535996326905414E-3</c:v>
                </c:pt>
                <c:pt idx="93">
                  <c:v>7.4526446280991738E-3</c:v>
                </c:pt>
                <c:pt idx="94">
                  <c:v>7.4518365472910925E-3</c:v>
                </c:pt>
                <c:pt idx="95">
                  <c:v>7.4511753902662993E-3</c:v>
                </c:pt>
                <c:pt idx="96">
                  <c:v>7.4506611570247933E-3</c:v>
                </c:pt>
                <c:pt idx="97">
                  <c:v>7.4502938475665753E-3</c:v>
                </c:pt>
                <c:pt idx="98">
                  <c:v>7.4500734618916436E-3</c:v>
                </c:pt>
                <c:pt idx="99">
                  <c:v>7.45E-3</c:v>
                </c:pt>
              </c:numCache>
            </c:numRef>
          </c:xVal>
          <c:yVal>
            <c:numRef>
              <c:f>'CDCL (2)'!$M$4:$M$103</c:f>
              <c:numCache>
                <c:formatCode>General</c:formatCode>
                <c:ptCount val="100"/>
                <c:pt idx="0">
                  <c:v>0.60719999999999996</c:v>
                </c:pt>
                <c:pt idx="1">
                  <c:v>0.60371010101010092</c:v>
                </c:pt>
                <c:pt idx="2">
                  <c:v>0.60022020202020199</c:v>
                </c:pt>
                <c:pt idx="3">
                  <c:v>0.59673030303030294</c:v>
                </c:pt>
                <c:pt idx="4">
                  <c:v>0.59324040404040401</c:v>
                </c:pt>
                <c:pt idx="5">
                  <c:v>0.58975050505050497</c:v>
                </c:pt>
                <c:pt idx="6">
                  <c:v>0.58626060606060604</c:v>
                </c:pt>
                <c:pt idx="7">
                  <c:v>0.58277070707070699</c:v>
                </c:pt>
                <c:pt idx="8">
                  <c:v>0.57928080808080806</c:v>
                </c:pt>
                <c:pt idx="9">
                  <c:v>0.57579090909090902</c:v>
                </c:pt>
                <c:pt idx="10">
                  <c:v>0.57230101010101009</c:v>
                </c:pt>
                <c:pt idx="11">
                  <c:v>0.56881111111111105</c:v>
                </c:pt>
                <c:pt idx="12">
                  <c:v>0.56532121212121211</c:v>
                </c:pt>
                <c:pt idx="13">
                  <c:v>0.56183131313131307</c:v>
                </c:pt>
                <c:pt idx="14">
                  <c:v>0.55834141414141414</c:v>
                </c:pt>
                <c:pt idx="15">
                  <c:v>0.5548515151515151</c:v>
                </c:pt>
                <c:pt idx="16">
                  <c:v>0.55136161616161616</c:v>
                </c:pt>
                <c:pt idx="17">
                  <c:v>0.54787171717171712</c:v>
                </c:pt>
                <c:pt idx="18">
                  <c:v>0.54438181818181819</c:v>
                </c:pt>
                <c:pt idx="19">
                  <c:v>0.54089191919191915</c:v>
                </c:pt>
                <c:pt idx="20">
                  <c:v>0.53740202020202021</c:v>
                </c:pt>
                <c:pt idx="21">
                  <c:v>0.53391212121212117</c:v>
                </c:pt>
                <c:pt idx="22">
                  <c:v>0.53042222222222224</c:v>
                </c:pt>
                <c:pt idx="23">
                  <c:v>0.5269323232323232</c:v>
                </c:pt>
                <c:pt idx="24">
                  <c:v>0.52344242424242426</c:v>
                </c:pt>
                <c:pt idx="25">
                  <c:v>0.51995252525252522</c:v>
                </c:pt>
                <c:pt idx="26">
                  <c:v>0.51646262626262618</c:v>
                </c:pt>
                <c:pt idx="27">
                  <c:v>0.51297272727272725</c:v>
                </c:pt>
                <c:pt idx="28">
                  <c:v>0.5094828282828282</c:v>
                </c:pt>
                <c:pt idx="29">
                  <c:v>0.50599292929292927</c:v>
                </c:pt>
                <c:pt idx="30">
                  <c:v>0.50250303030303023</c:v>
                </c:pt>
                <c:pt idx="31">
                  <c:v>0.4990131313131313</c:v>
                </c:pt>
                <c:pt idx="32">
                  <c:v>0.49552323232323231</c:v>
                </c:pt>
                <c:pt idx="33">
                  <c:v>0.49203333333333332</c:v>
                </c:pt>
                <c:pt idx="34">
                  <c:v>0.48854343434343428</c:v>
                </c:pt>
                <c:pt idx="35">
                  <c:v>0.48505353535353535</c:v>
                </c:pt>
                <c:pt idx="36">
                  <c:v>0.4815636363636363</c:v>
                </c:pt>
                <c:pt idx="37">
                  <c:v>0.47807373737373737</c:v>
                </c:pt>
                <c:pt idx="38">
                  <c:v>0.47458383838383833</c:v>
                </c:pt>
                <c:pt idx="39">
                  <c:v>0.4710939393939394</c:v>
                </c:pt>
                <c:pt idx="40">
                  <c:v>0.46760404040404036</c:v>
                </c:pt>
                <c:pt idx="41">
                  <c:v>0.46411414141414137</c:v>
                </c:pt>
                <c:pt idx="42">
                  <c:v>0.46062424242424238</c:v>
                </c:pt>
                <c:pt idx="43">
                  <c:v>0.45713434343434345</c:v>
                </c:pt>
                <c:pt idx="44">
                  <c:v>0.45364444444444441</c:v>
                </c:pt>
                <c:pt idx="45">
                  <c:v>0.45015454545454542</c:v>
                </c:pt>
                <c:pt idx="46">
                  <c:v>0.44666464646464643</c:v>
                </c:pt>
                <c:pt idx="47">
                  <c:v>0.44317474747474744</c:v>
                </c:pt>
                <c:pt idx="48">
                  <c:v>0.43968484848484846</c:v>
                </c:pt>
                <c:pt idx="49">
                  <c:v>0.43619494949494952</c:v>
                </c:pt>
                <c:pt idx="50">
                  <c:v>0.43270505050505048</c:v>
                </c:pt>
                <c:pt idx="51">
                  <c:v>0.42921515151515144</c:v>
                </c:pt>
                <c:pt idx="52">
                  <c:v>0.42572525252525251</c:v>
                </c:pt>
                <c:pt idx="53">
                  <c:v>0.42223535353535352</c:v>
                </c:pt>
                <c:pt idx="54">
                  <c:v>0.41874545454545453</c:v>
                </c:pt>
                <c:pt idx="55">
                  <c:v>0.41525555555555554</c:v>
                </c:pt>
                <c:pt idx="56">
                  <c:v>0.41176565656565656</c:v>
                </c:pt>
                <c:pt idx="57">
                  <c:v>0.40827575757575751</c:v>
                </c:pt>
                <c:pt idx="58">
                  <c:v>0.40478585858585858</c:v>
                </c:pt>
                <c:pt idx="59">
                  <c:v>0.40129595959595954</c:v>
                </c:pt>
                <c:pt idx="60">
                  <c:v>0.39780606060606061</c:v>
                </c:pt>
                <c:pt idx="61">
                  <c:v>0.39431616161616156</c:v>
                </c:pt>
                <c:pt idx="62">
                  <c:v>0.39082626262626263</c:v>
                </c:pt>
                <c:pt idx="63">
                  <c:v>0.38733636363636359</c:v>
                </c:pt>
                <c:pt idx="64">
                  <c:v>0.38384646464646466</c:v>
                </c:pt>
                <c:pt idx="65">
                  <c:v>0.38035656565656562</c:v>
                </c:pt>
                <c:pt idx="66">
                  <c:v>0.37686666666666668</c:v>
                </c:pt>
                <c:pt idx="67">
                  <c:v>0.37337676767676764</c:v>
                </c:pt>
                <c:pt idx="68">
                  <c:v>0.36988686868686865</c:v>
                </c:pt>
                <c:pt idx="69">
                  <c:v>0.36639696969696967</c:v>
                </c:pt>
                <c:pt idx="70">
                  <c:v>0.36290707070707068</c:v>
                </c:pt>
                <c:pt idx="71">
                  <c:v>0.35941717171717169</c:v>
                </c:pt>
                <c:pt idx="72">
                  <c:v>0.3559272727272727</c:v>
                </c:pt>
                <c:pt idx="73">
                  <c:v>0.35243737373737372</c:v>
                </c:pt>
                <c:pt idx="74">
                  <c:v>0.34894747474747473</c:v>
                </c:pt>
                <c:pt idx="75">
                  <c:v>0.34545757575757574</c:v>
                </c:pt>
                <c:pt idx="76">
                  <c:v>0.34196767676767675</c:v>
                </c:pt>
                <c:pt idx="77">
                  <c:v>0.33847777777777777</c:v>
                </c:pt>
                <c:pt idx="78">
                  <c:v>0.33498787878787878</c:v>
                </c:pt>
                <c:pt idx="79">
                  <c:v>0.33149797979797979</c:v>
                </c:pt>
                <c:pt idx="80">
                  <c:v>0.3280080808080808</c:v>
                </c:pt>
                <c:pt idx="81">
                  <c:v>0.32451818181818182</c:v>
                </c:pt>
                <c:pt idx="82">
                  <c:v>0.32102828282828277</c:v>
                </c:pt>
                <c:pt idx="83">
                  <c:v>0.31753838383838384</c:v>
                </c:pt>
                <c:pt idx="84">
                  <c:v>0.3140484848484848</c:v>
                </c:pt>
                <c:pt idx="85">
                  <c:v>0.31055858585858587</c:v>
                </c:pt>
                <c:pt idx="86">
                  <c:v>0.30706868686868688</c:v>
                </c:pt>
                <c:pt idx="87">
                  <c:v>0.30357878787878784</c:v>
                </c:pt>
                <c:pt idx="88">
                  <c:v>0.30008888888888891</c:v>
                </c:pt>
                <c:pt idx="89">
                  <c:v>0.29659898989898986</c:v>
                </c:pt>
                <c:pt idx="90">
                  <c:v>0.29310909090909087</c:v>
                </c:pt>
                <c:pt idx="91">
                  <c:v>0.28961919191919194</c:v>
                </c:pt>
                <c:pt idx="92">
                  <c:v>0.2861292929292929</c:v>
                </c:pt>
                <c:pt idx="93">
                  <c:v>0.28263939393939397</c:v>
                </c:pt>
                <c:pt idx="94">
                  <c:v>0.27914949494949493</c:v>
                </c:pt>
                <c:pt idx="95">
                  <c:v>0.27565959595959594</c:v>
                </c:pt>
                <c:pt idx="96">
                  <c:v>0.27216969696969695</c:v>
                </c:pt>
                <c:pt idx="97">
                  <c:v>0.26867979797979796</c:v>
                </c:pt>
                <c:pt idx="98">
                  <c:v>0.26518989898989903</c:v>
                </c:pt>
                <c:pt idx="99">
                  <c:v>0.26169999999999999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49-47E5-9536-A81DC872C33B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'CDCL (2)'!$O$4:$O$103</c:f>
              <c:numCache>
                <c:formatCode>General</c:formatCode>
                <c:ptCount val="100"/>
                <c:pt idx="0">
                  <c:v>0.20576110533306388</c:v>
                </c:pt>
                <c:pt idx="1">
                  <c:v>0.20186844488484704</c:v>
                </c:pt>
                <c:pt idx="2">
                  <c:v>0.19801448208227862</c:v>
                </c:pt>
                <c:pt idx="3">
                  <c:v>0.19419921692535852</c:v>
                </c:pt>
                <c:pt idx="4">
                  <c:v>0.19042264941408693</c:v>
                </c:pt>
                <c:pt idx="5">
                  <c:v>0.18668477954846369</c:v>
                </c:pt>
                <c:pt idx="6">
                  <c:v>0.18298560732848884</c:v>
                </c:pt>
                <c:pt idx="7">
                  <c:v>0.17932513275416245</c:v>
                </c:pt>
                <c:pt idx="8">
                  <c:v>0.17570335582548438</c:v>
                </c:pt>
                <c:pt idx="9">
                  <c:v>0.17212027654245479</c:v>
                </c:pt>
                <c:pt idx="10">
                  <c:v>0.16857589490507358</c:v>
                </c:pt>
                <c:pt idx="11">
                  <c:v>0.1650702109133407</c:v>
                </c:pt>
                <c:pt idx="12">
                  <c:v>0.16160322456725634</c:v>
                </c:pt>
                <c:pt idx="13">
                  <c:v>0.15817493586682035</c:v>
                </c:pt>
                <c:pt idx="14">
                  <c:v>0.15478534481203274</c:v>
                </c:pt>
                <c:pt idx="15">
                  <c:v>0.15143445140289349</c:v>
                </c:pt>
                <c:pt idx="16">
                  <c:v>0.14812225563940271</c:v>
                </c:pt>
                <c:pt idx="17">
                  <c:v>0.14484875752156032</c:v>
                </c:pt>
                <c:pt idx="18">
                  <c:v>0.1416139570493663</c:v>
                </c:pt>
                <c:pt idx="19">
                  <c:v>0.13841785422282074</c:v>
                </c:pt>
                <c:pt idx="20">
                  <c:v>0.13526044904192355</c:v>
                </c:pt>
                <c:pt idx="21">
                  <c:v>0.13214174150667474</c:v>
                </c:pt>
                <c:pt idx="22">
                  <c:v>0.12906173161707438</c:v>
                </c:pt>
                <c:pt idx="23">
                  <c:v>0.12602041937312239</c:v>
                </c:pt>
                <c:pt idx="24">
                  <c:v>0.12301780477481883</c:v>
                </c:pt>
                <c:pt idx="25">
                  <c:v>0.12005388782216364</c:v>
                </c:pt>
                <c:pt idx="26">
                  <c:v>0.11712866851515687</c:v>
                </c:pt>
                <c:pt idx="27">
                  <c:v>0.11424214685379853</c:v>
                </c:pt>
                <c:pt idx="28">
                  <c:v>0.11139432283808855</c:v>
                </c:pt>
                <c:pt idx="29">
                  <c:v>0.10858519646802703</c:v>
                </c:pt>
                <c:pt idx="30">
                  <c:v>0.10581476774361387</c:v>
                </c:pt>
                <c:pt idx="31">
                  <c:v>0.10308303666484911</c:v>
                </c:pt>
                <c:pt idx="32">
                  <c:v>0.10039000323173278</c:v>
                </c:pt>
                <c:pt idx="33">
                  <c:v>9.773566744426479E-2</c:v>
                </c:pt>
                <c:pt idx="34">
                  <c:v>9.5120029302445272E-2</c:v>
                </c:pt>
                <c:pt idx="35">
                  <c:v>9.254308880627414E-2</c:v>
                </c:pt>
                <c:pt idx="36">
                  <c:v>9.0004845955751395E-2</c:v>
                </c:pt>
                <c:pt idx="37">
                  <c:v>8.7505300750877063E-2</c:v>
                </c:pt>
                <c:pt idx="38">
                  <c:v>8.5044453191651131E-2</c:v>
                </c:pt>
                <c:pt idx="39">
                  <c:v>8.26223032780736E-2</c:v>
                </c:pt>
                <c:pt idx="40">
                  <c:v>8.0238851010144469E-2</c:v>
                </c:pt>
                <c:pt idx="41">
                  <c:v>7.7894096387863779E-2</c:v>
                </c:pt>
                <c:pt idx="42">
                  <c:v>7.558803941123142E-2</c:v>
                </c:pt>
                <c:pt idx="43">
                  <c:v>7.3320680080247516E-2</c:v>
                </c:pt>
                <c:pt idx="44">
                  <c:v>7.1092018394912027E-2</c:v>
                </c:pt>
                <c:pt idx="45">
                  <c:v>6.8902054355224923E-2</c:v>
                </c:pt>
                <c:pt idx="46">
                  <c:v>6.6750787961186206E-2</c:v>
                </c:pt>
                <c:pt idx="47">
                  <c:v>6.4638219212795903E-2</c:v>
                </c:pt>
                <c:pt idx="48">
                  <c:v>6.2564348110053999E-2</c:v>
                </c:pt>
                <c:pt idx="49">
                  <c:v>6.0529174652960531E-2</c:v>
                </c:pt>
                <c:pt idx="50">
                  <c:v>5.8532698841515421E-2</c:v>
                </c:pt>
                <c:pt idx="51">
                  <c:v>5.6574920675718753E-2</c:v>
                </c:pt>
                <c:pt idx="52">
                  <c:v>5.4655840155570463E-2</c:v>
                </c:pt>
                <c:pt idx="53">
                  <c:v>5.2775457281070595E-2</c:v>
                </c:pt>
                <c:pt idx="54">
                  <c:v>5.0933772052219099E-2</c:v>
                </c:pt>
                <c:pt idx="55">
                  <c:v>4.9130784469016038E-2</c:v>
                </c:pt>
                <c:pt idx="56">
                  <c:v>4.736649453146137E-2</c:v>
                </c:pt>
                <c:pt idx="57">
                  <c:v>4.5640902239555102E-2</c:v>
                </c:pt>
                <c:pt idx="58">
                  <c:v>4.3954007593297234E-2</c:v>
                </c:pt>
                <c:pt idx="59">
                  <c:v>4.230581059268778E-2</c:v>
                </c:pt>
                <c:pt idx="60">
                  <c:v>4.0696311237726712E-2</c:v>
                </c:pt>
                <c:pt idx="61">
                  <c:v>3.9125509528414065E-2</c:v>
                </c:pt>
                <c:pt idx="62">
                  <c:v>3.7593405464749804E-2</c:v>
                </c:pt>
                <c:pt idx="63">
                  <c:v>3.6099999046733972E-2</c:v>
                </c:pt>
                <c:pt idx="64">
                  <c:v>3.4645290274366525E-2</c:v>
                </c:pt>
                <c:pt idx="65">
                  <c:v>3.3229279147647471E-2</c:v>
                </c:pt>
                <c:pt idx="66">
                  <c:v>3.1851965666576845E-2</c:v>
                </c:pt>
                <c:pt idx="67">
                  <c:v>3.0513349831154599E-2</c:v>
                </c:pt>
                <c:pt idx="68">
                  <c:v>2.9213431641380783E-2</c:v>
                </c:pt>
                <c:pt idx="69">
                  <c:v>2.7952211097255347E-2</c:v>
                </c:pt>
                <c:pt idx="70">
                  <c:v>2.6729688198778318E-2</c:v>
                </c:pt>
                <c:pt idx="71">
                  <c:v>2.5545862945949686E-2</c:v>
                </c:pt>
                <c:pt idx="72">
                  <c:v>2.4400735338769474E-2</c:v>
                </c:pt>
                <c:pt idx="73">
                  <c:v>2.3294305377237659E-2</c:v>
                </c:pt>
                <c:pt idx="74">
                  <c:v>2.2226573061354258E-2</c:v>
                </c:pt>
                <c:pt idx="75">
                  <c:v>2.1197538391119247E-2</c:v>
                </c:pt>
                <c:pt idx="76">
                  <c:v>2.0207201366532646E-2</c:v>
                </c:pt>
                <c:pt idx="77">
                  <c:v>1.9255561987594438E-2</c:v>
                </c:pt>
                <c:pt idx="78">
                  <c:v>1.8342620254304644E-2</c:v>
                </c:pt>
                <c:pt idx="79">
                  <c:v>1.7468376166663243E-2</c:v>
                </c:pt>
                <c:pt idx="80">
                  <c:v>1.6632829724670246E-2</c:v>
                </c:pt>
                <c:pt idx="81">
                  <c:v>1.5835980928325662E-2</c:v>
                </c:pt>
                <c:pt idx="82">
                  <c:v>1.5077829777629472E-2</c:v>
                </c:pt>
                <c:pt idx="83">
                  <c:v>1.4358376272581696E-2</c:v>
                </c:pt>
                <c:pt idx="84">
                  <c:v>1.3677620413182302E-2</c:v>
                </c:pt>
                <c:pt idx="85">
                  <c:v>1.303556219943133E-2</c:v>
                </c:pt>
                <c:pt idx="86">
                  <c:v>1.2432201631328762E-2</c:v>
                </c:pt>
                <c:pt idx="87">
                  <c:v>1.1867538708874595E-2</c:v>
                </c:pt>
                <c:pt idx="88">
                  <c:v>1.1341573432068817E-2</c:v>
                </c:pt>
                <c:pt idx="89">
                  <c:v>1.0854305800911459E-2</c:v>
                </c:pt>
                <c:pt idx="90">
                  <c:v>1.0405735815402503E-2</c:v>
                </c:pt>
                <c:pt idx="91">
                  <c:v>9.9958634755419416E-3</c:v>
                </c:pt>
                <c:pt idx="92">
                  <c:v>9.6246887813297866E-3</c:v>
                </c:pt>
                <c:pt idx="93">
                  <c:v>9.2922117327660387E-3</c:v>
                </c:pt>
                <c:pt idx="94">
                  <c:v>8.9984323298506891E-3</c:v>
                </c:pt>
                <c:pt idx="95">
                  <c:v>8.7433505725837465E-3</c:v>
                </c:pt>
                <c:pt idx="96">
                  <c:v>8.5269664609652004E-3</c:v>
                </c:pt>
                <c:pt idx="97">
                  <c:v>8.3492799949950649E-3</c:v>
                </c:pt>
                <c:pt idx="98">
                  <c:v>8.2102911746733311E-3</c:v>
                </c:pt>
                <c:pt idx="99">
                  <c:v>8.1099999999999974E-3</c:v>
                </c:pt>
              </c:numCache>
            </c:numRef>
          </c:xVal>
          <c:yVal>
            <c:numRef>
              <c:f>'CDCL (2)'!$P$4:$P$103</c:f>
              <c:numCache>
                <c:formatCode>General</c:formatCode>
                <c:ptCount val="100"/>
                <c:pt idx="0">
                  <c:v>-0.38109999999999999</c:v>
                </c:pt>
                <c:pt idx="1">
                  <c:v>-0.37716565656565654</c:v>
                </c:pt>
                <c:pt idx="2">
                  <c:v>-0.37323131313131314</c:v>
                </c:pt>
                <c:pt idx="3">
                  <c:v>-0.36929696969696968</c:v>
                </c:pt>
                <c:pt idx="4">
                  <c:v>-0.36536262626262628</c:v>
                </c:pt>
                <c:pt idx="5">
                  <c:v>-0.36142828282828282</c:v>
                </c:pt>
                <c:pt idx="6">
                  <c:v>-0.35749393939393936</c:v>
                </c:pt>
                <c:pt idx="7">
                  <c:v>-0.35355959595959596</c:v>
                </c:pt>
                <c:pt idx="8">
                  <c:v>-0.34962525252525251</c:v>
                </c:pt>
                <c:pt idx="9">
                  <c:v>-0.3456909090909091</c:v>
                </c:pt>
                <c:pt idx="10">
                  <c:v>-0.34175656565656565</c:v>
                </c:pt>
                <c:pt idx="11">
                  <c:v>-0.33782222222222219</c:v>
                </c:pt>
                <c:pt idx="12">
                  <c:v>-0.33388787878787879</c:v>
                </c:pt>
                <c:pt idx="13">
                  <c:v>-0.32995353535353533</c:v>
                </c:pt>
                <c:pt idx="14">
                  <c:v>-0.32601919191919193</c:v>
                </c:pt>
                <c:pt idx="15">
                  <c:v>-0.32208484848484847</c:v>
                </c:pt>
                <c:pt idx="16">
                  <c:v>-0.31815050505050502</c:v>
                </c:pt>
                <c:pt idx="17">
                  <c:v>-0.31421616161616162</c:v>
                </c:pt>
                <c:pt idx="18">
                  <c:v>-0.31028181818181816</c:v>
                </c:pt>
                <c:pt idx="19">
                  <c:v>-0.30634747474747476</c:v>
                </c:pt>
                <c:pt idx="20">
                  <c:v>-0.3024131313131313</c:v>
                </c:pt>
                <c:pt idx="21">
                  <c:v>-0.29847878787878784</c:v>
                </c:pt>
                <c:pt idx="22">
                  <c:v>-0.29454444444444444</c:v>
                </c:pt>
                <c:pt idx="23">
                  <c:v>-0.29061010101010099</c:v>
                </c:pt>
                <c:pt idx="24">
                  <c:v>-0.28667575757575758</c:v>
                </c:pt>
                <c:pt idx="25">
                  <c:v>-0.28274141414141413</c:v>
                </c:pt>
                <c:pt idx="26">
                  <c:v>-0.27880707070707067</c:v>
                </c:pt>
                <c:pt idx="27">
                  <c:v>-0.27487272727272727</c:v>
                </c:pt>
                <c:pt idx="28">
                  <c:v>-0.27093838383838381</c:v>
                </c:pt>
                <c:pt idx="29">
                  <c:v>-0.26700404040404041</c:v>
                </c:pt>
                <c:pt idx="30">
                  <c:v>-0.26306969696969695</c:v>
                </c:pt>
                <c:pt idx="31">
                  <c:v>-0.25913535353535355</c:v>
                </c:pt>
                <c:pt idx="32">
                  <c:v>-0.2552010101010101</c:v>
                </c:pt>
                <c:pt idx="33">
                  <c:v>-0.25126666666666664</c:v>
                </c:pt>
                <c:pt idx="34">
                  <c:v>-0.24733232323232324</c:v>
                </c:pt>
                <c:pt idx="35">
                  <c:v>-0.24339797979797978</c:v>
                </c:pt>
                <c:pt idx="36">
                  <c:v>-0.23946363636363635</c:v>
                </c:pt>
                <c:pt idx="37">
                  <c:v>-0.23552929292929292</c:v>
                </c:pt>
                <c:pt idx="38">
                  <c:v>-0.23159494949494949</c:v>
                </c:pt>
                <c:pt idx="39">
                  <c:v>-0.22766060606060606</c:v>
                </c:pt>
                <c:pt idx="40">
                  <c:v>-0.22372626262626261</c:v>
                </c:pt>
                <c:pt idx="41">
                  <c:v>-0.21979191919191918</c:v>
                </c:pt>
                <c:pt idx="42">
                  <c:v>-0.21585757575757572</c:v>
                </c:pt>
                <c:pt idx="43">
                  <c:v>-0.21192323232323232</c:v>
                </c:pt>
                <c:pt idx="44">
                  <c:v>-0.20798888888888886</c:v>
                </c:pt>
                <c:pt idx="45">
                  <c:v>-0.20405454545454546</c:v>
                </c:pt>
                <c:pt idx="46">
                  <c:v>-0.200120202020202</c:v>
                </c:pt>
                <c:pt idx="47">
                  <c:v>-0.19618585858585857</c:v>
                </c:pt>
                <c:pt idx="48">
                  <c:v>-0.19225151515151512</c:v>
                </c:pt>
                <c:pt idx="49">
                  <c:v>-0.18831717171717172</c:v>
                </c:pt>
                <c:pt idx="50">
                  <c:v>-0.18438282828282826</c:v>
                </c:pt>
                <c:pt idx="51">
                  <c:v>-0.18044848484848486</c:v>
                </c:pt>
                <c:pt idx="52">
                  <c:v>-0.1765141414141414</c:v>
                </c:pt>
                <c:pt idx="53">
                  <c:v>-0.17257979797979797</c:v>
                </c:pt>
                <c:pt idx="54">
                  <c:v>-0.16864545454545452</c:v>
                </c:pt>
                <c:pt idx="55">
                  <c:v>-0.16471111111111111</c:v>
                </c:pt>
                <c:pt idx="56">
                  <c:v>-0.16077676767676766</c:v>
                </c:pt>
                <c:pt idx="57">
                  <c:v>-0.15684242424242426</c:v>
                </c:pt>
                <c:pt idx="58">
                  <c:v>-0.1529080808080808</c:v>
                </c:pt>
                <c:pt idx="59">
                  <c:v>-0.14897373737373737</c:v>
                </c:pt>
                <c:pt idx="60">
                  <c:v>-0.14503939393939391</c:v>
                </c:pt>
                <c:pt idx="61">
                  <c:v>-0.14110505050505051</c:v>
                </c:pt>
                <c:pt idx="62">
                  <c:v>-0.13717070707070705</c:v>
                </c:pt>
                <c:pt idx="63">
                  <c:v>-0.13323636363636365</c:v>
                </c:pt>
                <c:pt idx="64">
                  <c:v>-0.1293020202020202</c:v>
                </c:pt>
                <c:pt idx="65">
                  <c:v>-0.12536767676767674</c:v>
                </c:pt>
                <c:pt idx="66">
                  <c:v>-0.12143333333333334</c:v>
                </c:pt>
                <c:pt idx="67">
                  <c:v>-0.11749898989898988</c:v>
                </c:pt>
                <c:pt idx="68">
                  <c:v>-0.11356464646464648</c:v>
                </c:pt>
                <c:pt idx="69">
                  <c:v>-0.10963030303030302</c:v>
                </c:pt>
                <c:pt idx="70">
                  <c:v>-0.10569595959595957</c:v>
                </c:pt>
                <c:pt idx="71">
                  <c:v>-0.10176161616161611</c:v>
                </c:pt>
                <c:pt idx="72">
                  <c:v>-9.7827272727272707E-2</c:v>
                </c:pt>
                <c:pt idx="73">
                  <c:v>-9.389292929292925E-2</c:v>
                </c:pt>
                <c:pt idx="74">
                  <c:v>-8.9958585858585849E-2</c:v>
                </c:pt>
                <c:pt idx="75">
                  <c:v>-8.6024242424242392E-2</c:v>
                </c:pt>
                <c:pt idx="76">
                  <c:v>-8.2089898989898991E-2</c:v>
                </c:pt>
                <c:pt idx="77">
                  <c:v>-7.8155555555555534E-2</c:v>
                </c:pt>
                <c:pt idx="78">
                  <c:v>-7.4221212121212132E-2</c:v>
                </c:pt>
                <c:pt idx="79">
                  <c:v>-7.0286868686868675E-2</c:v>
                </c:pt>
                <c:pt idx="80">
                  <c:v>-6.6352525252525218E-2</c:v>
                </c:pt>
                <c:pt idx="81">
                  <c:v>-6.2418181818181817E-2</c:v>
                </c:pt>
                <c:pt idx="82">
                  <c:v>-5.848383838383836E-2</c:v>
                </c:pt>
                <c:pt idx="83">
                  <c:v>-5.4549494949494959E-2</c:v>
                </c:pt>
                <c:pt idx="84">
                  <c:v>-5.0615151515151446E-2</c:v>
                </c:pt>
                <c:pt idx="85">
                  <c:v>-4.6680808080808045E-2</c:v>
                </c:pt>
                <c:pt idx="86">
                  <c:v>-4.2746464646464644E-2</c:v>
                </c:pt>
                <c:pt idx="87">
                  <c:v>-3.8812121212121242E-2</c:v>
                </c:pt>
                <c:pt idx="88">
                  <c:v>-3.487777777777773E-2</c:v>
                </c:pt>
                <c:pt idx="89">
                  <c:v>-3.0943434343434328E-2</c:v>
                </c:pt>
                <c:pt idx="90">
                  <c:v>-2.7009090909090927E-2</c:v>
                </c:pt>
                <c:pt idx="91">
                  <c:v>-2.307474747474747E-2</c:v>
                </c:pt>
                <c:pt idx="92">
                  <c:v>-1.9140404040404013E-2</c:v>
                </c:pt>
                <c:pt idx="93">
                  <c:v>-1.5206060606060612E-2</c:v>
                </c:pt>
                <c:pt idx="94">
                  <c:v>-1.1271717171717155E-2</c:v>
                </c:pt>
                <c:pt idx="95">
                  <c:v>-7.3373737373737535E-3</c:v>
                </c:pt>
                <c:pt idx="96">
                  <c:v>-3.4030303030302411E-3</c:v>
                </c:pt>
                <c:pt idx="97">
                  <c:v>5.3131313131316027E-4</c:v>
                </c:pt>
                <c:pt idx="98">
                  <c:v>4.4656565656565617E-3</c:v>
                </c:pt>
                <c:pt idx="99">
                  <c:v>8.4000000000000741E-3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49-47E5-9536-A81DC872C33B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'CDCL (2)'!$R$4:$R$103</c:f>
              <c:numCache>
                <c:formatCode>General</c:formatCode>
                <c:ptCount val="100"/>
                <c:pt idx="0">
                  <c:v>8.1700000000000002E-3</c:v>
                </c:pt>
                <c:pt idx="1">
                  <c:v>8.2171832453193164E-3</c:v>
                </c:pt>
                <c:pt idx="2">
                  <c:v>8.2866699520201207E-3</c:v>
                </c:pt>
                <c:pt idx="3">
                  <c:v>8.3784601201024201E-3</c:v>
                </c:pt>
                <c:pt idx="4">
                  <c:v>8.4925537495662076E-3</c:v>
                </c:pt>
                <c:pt idx="5">
                  <c:v>8.6289508404114885E-3</c:v>
                </c:pt>
                <c:pt idx="6">
                  <c:v>8.7876513926382627E-3</c:v>
                </c:pt>
                <c:pt idx="7">
                  <c:v>8.9686554062465285E-3</c:v>
                </c:pt>
                <c:pt idx="8">
                  <c:v>9.1719628812362876E-3</c:v>
                </c:pt>
                <c:pt idx="9">
                  <c:v>9.3975738176075366E-3</c:v>
                </c:pt>
                <c:pt idx="10">
                  <c:v>9.6454882153602668E-3</c:v>
                </c:pt>
                <c:pt idx="11">
                  <c:v>9.9157060744945007E-3</c:v>
                </c:pt>
                <c:pt idx="12">
                  <c:v>1.0208227395010226E-2</c:v>
                </c:pt>
                <c:pt idx="13">
                  <c:v>1.0523052176907443E-2</c:v>
                </c:pt>
                <c:pt idx="14">
                  <c:v>1.086018042018615E-2</c:v>
                </c:pt>
                <c:pt idx="15">
                  <c:v>1.1219612124846352E-2</c:v>
                </c:pt>
                <c:pt idx="16">
                  <c:v>1.1601347290888043E-2</c:v>
                </c:pt>
                <c:pt idx="17">
                  <c:v>1.2005385918311212E-2</c:v>
                </c:pt>
                <c:pt idx="18">
                  <c:v>1.2431728007115889E-2</c:v>
                </c:pt>
                <c:pt idx="19">
                  <c:v>1.2880373557302056E-2</c:v>
                </c:pt>
                <c:pt idx="20">
                  <c:v>1.3351322568869716E-2</c:v>
                </c:pt>
                <c:pt idx="21">
                  <c:v>1.3844575041818867E-2</c:v>
                </c:pt>
                <c:pt idx="22">
                  <c:v>1.4360130976149512E-2</c:v>
                </c:pt>
                <c:pt idx="23">
                  <c:v>1.4897990371861645E-2</c:v>
                </c:pt>
                <c:pt idx="24">
                  <c:v>1.5458153228955251E-2</c:v>
                </c:pt>
                <c:pt idx="25">
                  <c:v>1.6040619547430371E-2</c:v>
                </c:pt>
                <c:pt idx="26">
                  <c:v>1.6645389327286979E-2</c:v>
                </c:pt>
                <c:pt idx="27">
                  <c:v>1.7272462568525083E-2</c:v>
                </c:pt>
                <c:pt idx="28">
                  <c:v>1.7921839271144678E-2</c:v>
                </c:pt>
                <c:pt idx="29">
                  <c:v>1.8593519435145762E-2</c:v>
                </c:pt>
                <c:pt idx="30">
                  <c:v>1.9287503060528344E-2</c:v>
                </c:pt>
                <c:pt idx="31">
                  <c:v>2.0003790147292387E-2</c:v>
                </c:pt>
                <c:pt idx="32">
                  <c:v>2.0742380695437945E-2</c:v>
                </c:pt>
                <c:pt idx="33">
                  <c:v>2.1503274704964999E-2</c:v>
                </c:pt>
                <c:pt idx="34">
                  <c:v>2.2286472175873547E-2</c:v>
                </c:pt>
                <c:pt idx="35">
                  <c:v>2.3091973108163581E-2</c:v>
                </c:pt>
                <c:pt idx="36">
                  <c:v>2.391977750183508E-2</c:v>
                </c:pt>
                <c:pt idx="37">
                  <c:v>2.4769885356888097E-2</c:v>
                </c:pt>
                <c:pt idx="38">
                  <c:v>2.5642296673322611E-2</c:v>
                </c:pt>
                <c:pt idx="39">
                  <c:v>2.6537011451138615E-2</c:v>
                </c:pt>
                <c:pt idx="40">
                  <c:v>2.7454029690336109E-2</c:v>
                </c:pt>
                <c:pt idx="41">
                  <c:v>2.83933513909151E-2</c:v>
                </c:pt>
                <c:pt idx="42">
                  <c:v>2.935497655287558E-2</c:v>
                </c:pt>
                <c:pt idx="43">
                  <c:v>3.0338905176217516E-2</c:v>
                </c:pt>
                <c:pt idx="44">
                  <c:v>3.1345137260940979E-2</c:v>
                </c:pt>
                <c:pt idx="45">
                  <c:v>3.2373672807045929E-2</c:v>
                </c:pt>
                <c:pt idx="46">
                  <c:v>3.3424511814532376E-2</c:v>
                </c:pt>
                <c:pt idx="47">
                  <c:v>3.449765428340032E-2</c:v>
                </c:pt>
                <c:pt idx="48">
                  <c:v>3.5593100213649746E-2</c:v>
                </c:pt>
                <c:pt idx="49">
                  <c:v>3.671084960528067E-2</c:v>
                </c:pt>
                <c:pt idx="50">
                  <c:v>3.7850902458293041E-2</c:v>
                </c:pt>
                <c:pt idx="51">
                  <c:v>3.9013258772686944E-2</c:v>
                </c:pt>
                <c:pt idx="52">
                  <c:v>4.0197918548462337E-2</c:v>
                </c:pt>
                <c:pt idx="53">
                  <c:v>4.1404881785619241E-2</c:v>
                </c:pt>
                <c:pt idx="54">
                  <c:v>4.2634148484157627E-2</c:v>
                </c:pt>
                <c:pt idx="55">
                  <c:v>4.388571864407749E-2</c:v>
                </c:pt>
                <c:pt idx="56">
                  <c:v>4.5159592265378856E-2</c:v>
                </c:pt>
                <c:pt idx="57">
                  <c:v>4.6455769348061671E-2</c:v>
                </c:pt>
                <c:pt idx="58">
                  <c:v>4.7774249892126017E-2</c:v>
                </c:pt>
                <c:pt idx="59">
                  <c:v>4.9115033897571853E-2</c:v>
                </c:pt>
                <c:pt idx="60">
                  <c:v>5.0478121364399185E-2</c:v>
                </c:pt>
                <c:pt idx="61">
                  <c:v>5.1863512292608015E-2</c:v>
                </c:pt>
                <c:pt idx="62">
                  <c:v>5.3271206682198272E-2</c:v>
                </c:pt>
                <c:pt idx="63">
                  <c:v>5.4701204533170129E-2</c:v>
                </c:pt>
                <c:pt idx="64">
                  <c:v>5.6153505845523387E-2</c:v>
                </c:pt>
                <c:pt idx="65">
                  <c:v>5.7628110619258176E-2</c:v>
                </c:pt>
                <c:pt idx="66">
                  <c:v>5.9125018854374455E-2</c:v>
                </c:pt>
                <c:pt idx="67">
                  <c:v>6.064423055087223E-2</c:v>
                </c:pt>
                <c:pt idx="68">
                  <c:v>6.2185745708751503E-2</c:v>
                </c:pt>
                <c:pt idx="69">
                  <c:v>6.3749564328012195E-2</c:v>
                </c:pt>
                <c:pt idx="70">
                  <c:v>6.5335686408654503E-2</c:v>
                </c:pt>
                <c:pt idx="71">
                  <c:v>6.694411195067819E-2</c:v>
                </c:pt>
                <c:pt idx="72">
                  <c:v>6.8574840954083408E-2</c:v>
                </c:pt>
                <c:pt idx="73">
                  <c:v>7.0227873418870143E-2</c:v>
                </c:pt>
                <c:pt idx="74">
                  <c:v>7.1903209345038382E-2</c:v>
                </c:pt>
                <c:pt idx="75">
                  <c:v>7.360084873258807E-2</c:v>
                </c:pt>
                <c:pt idx="76">
                  <c:v>7.5320791581519206E-2</c:v>
                </c:pt>
                <c:pt idx="77">
                  <c:v>7.7063037891831887E-2</c:v>
                </c:pt>
                <c:pt idx="78">
                  <c:v>7.8827587663526086E-2</c:v>
                </c:pt>
                <c:pt idx="79">
                  <c:v>8.0614440896601788E-2</c:v>
                </c:pt>
                <c:pt idx="80">
                  <c:v>8.2423597591058939E-2</c:v>
                </c:pt>
                <c:pt idx="81">
                  <c:v>8.425505774689758E-2</c:v>
                </c:pt>
                <c:pt idx="82">
                  <c:v>8.6108821364117752E-2</c:v>
                </c:pt>
                <c:pt idx="83">
                  <c:v>8.7984888442719331E-2</c:v>
                </c:pt>
                <c:pt idx="84">
                  <c:v>8.9883258982702538E-2</c:v>
                </c:pt>
                <c:pt idx="85">
                  <c:v>9.1803932984067096E-2</c:v>
                </c:pt>
                <c:pt idx="86">
                  <c:v>9.37469104468132E-2</c:v>
                </c:pt>
                <c:pt idx="87">
                  <c:v>9.5712191370940822E-2</c:v>
                </c:pt>
                <c:pt idx="88">
                  <c:v>9.769977575644985E-2</c:v>
                </c:pt>
                <c:pt idx="89">
                  <c:v>9.970966360334052E-2</c:v>
                </c:pt>
                <c:pt idx="90">
                  <c:v>0.10174185491161253</c:v>
                </c:pt>
                <c:pt idx="91">
                  <c:v>0.1037963496812661</c:v>
                </c:pt>
                <c:pt idx="92">
                  <c:v>0.10587314791230118</c:v>
                </c:pt>
                <c:pt idx="93">
                  <c:v>0.10797224960471777</c:v>
                </c:pt>
                <c:pt idx="94">
                  <c:v>0.1100936547585158</c:v>
                </c:pt>
                <c:pt idx="95">
                  <c:v>0.11223736337369528</c:v>
                </c:pt>
                <c:pt idx="96">
                  <c:v>0.11440337545025639</c:v>
                </c:pt>
                <c:pt idx="97">
                  <c:v>0.11659169098819884</c:v>
                </c:pt>
                <c:pt idx="98">
                  <c:v>0.11880230998752286</c:v>
                </c:pt>
                <c:pt idx="99">
                  <c:v>0.12103523244822836</c:v>
                </c:pt>
              </c:numCache>
            </c:numRef>
          </c:xVal>
          <c:yVal>
            <c:numRef>
              <c:f>'CDCL (2)'!$S$4:$S$103</c:f>
              <c:numCache>
                <c:formatCode>General</c:formatCode>
                <c:ptCount val="100"/>
                <c:pt idx="0">
                  <c:v>0.60719999999999996</c:v>
                </c:pt>
                <c:pt idx="1">
                  <c:v>0.61018686868686867</c:v>
                </c:pt>
                <c:pt idx="2">
                  <c:v>0.61317373737373737</c:v>
                </c:pt>
                <c:pt idx="3">
                  <c:v>0.61616060606060608</c:v>
                </c:pt>
                <c:pt idx="4">
                  <c:v>0.61914747474747467</c:v>
                </c:pt>
                <c:pt idx="5">
                  <c:v>0.62213434343434337</c:v>
                </c:pt>
                <c:pt idx="6">
                  <c:v>0.62512121212121208</c:v>
                </c:pt>
                <c:pt idx="7">
                  <c:v>0.62810808080808078</c:v>
                </c:pt>
                <c:pt idx="8">
                  <c:v>0.63109494949494949</c:v>
                </c:pt>
                <c:pt idx="9">
                  <c:v>0.63408181818181819</c:v>
                </c:pt>
                <c:pt idx="10">
                  <c:v>0.63706868686868678</c:v>
                </c:pt>
                <c:pt idx="11">
                  <c:v>0.64005555555555549</c:v>
                </c:pt>
                <c:pt idx="12">
                  <c:v>0.64304242424242419</c:v>
                </c:pt>
                <c:pt idx="13">
                  <c:v>0.6460292929292929</c:v>
                </c:pt>
                <c:pt idx="14">
                  <c:v>0.6490161616161616</c:v>
                </c:pt>
                <c:pt idx="15">
                  <c:v>0.65200303030303031</c:v>
                </c:pt>
                <c:pt idx="16">
                  <c:v>0.65498989898989901</c:v>
                </c:pt>
                <c:pt idx="17">
                  <c:v>0.6579767676767676</c:v>
                </c:pt>
                <c:pt idx="18">
                  <c:v>0.66096363636363631</c:v>
                </c:pt>
                <c:pt idx="19">
                  <c:v>0.66395050505050501</c:v>
                </c:pt>
                <c:pt idx="20">
                  <c:v>0.66693737373737372</c:v>
                </c:pt>
                <c:pt idx="21">
                  <c:v>0.66992424242424242</c:v>
                </c:pt>
                <c:pt idx="22">
                  <c:v>0.67291111111111113</c:v>
                </c:pt>
                <c:pt idx="23">
                  <c:v>0.67589797979797983</c:v>
                </c:pt>
                <c:pt idx="24">
                  <c:v>0.67888484848484842</c:v>
                </c:pt>
                <c:pt idx="25">
                  <c:v>0.68187171717171713</c:v>
                </c:pt>
                <c:pt idx="26">
                  <c:v>0.68485858585858583</c:v>
                </c:pt>
                <c:pt idx="27">
                  <c:v>0.68784545454545454</c:v>
                </c:pt>
                <c:pt idx="28">
                  <c:v>0.69083232323232324</c:v>
                </c:pt>
                <c:pt idx="29">
                  <c:v>0.69381919191919195</c:v>
                </c:pt>
                <c:pt idx="30">
                  <c:v>0.69680606060606065</c:v>
                </c:pt>
                <c:pt idx="31">
                  <c:v>0.69979292929292924</c:v>
                </c:pt>
                <c:pt idx="32">
                  <c:v>0.70277979797979795</c:v>
                </c:pt>
                <c:pt idx="33">
                  <c:v>0.70576666666666665</c:v>
                </c:pt>
                <c:pt idx="34">
                  <c:v>0.70875353535353536</c:v>
                </c:pt>
                <c:pt idx="35">
                  <c:v>0.71174040404040406</c:v>
                </c:pt>
                <c:pt idx="36">
                  <c:v>0.71472727272727266</c:v>
                </c:pt>
                <c:pt idx="37">
                  <c:v>0.71771414141414136</c:v>
                </c:pt>
                <c:pt idx="38">
                  <c:v>0.72070101010101006</c:v>
                </c:pt>
                <c:pt idx="39">
                  <c:v>0.72368787878787877</c:v>
                </c:pt>
                <c:pt idx="40">
                  <c:v>0.72667474747474747</c:v>
                </c:pt>
                <c:pt idx="41">
                  <c:v>0.72966161616161618</c:v>
                </c:pt>
                <c:pt idx="42">
                  <c:v>0.73264848484848488</c:v>
                </c:pt>
                <c:pt idx="43">
                  <c:v>0.73563535353535348</c:v>
                </c:pt>
                <c:pt idx="44">
                  <c:v>0.73862222222222218</c:v>
                </c:pt>
                <c:pt idx="45">
                  <c:v>0.74160909090909088</c:v>
                </c:pt>
                <c:pt idx="46">
                  <c:v>0.74459595959595959</c:v>
                </c:pt>
                <c:pt idx="47">
                  <c:v>0.74758282828282829</c:v>
                </c:pt>
                <c:pt idx="48">
                  <c:v>0.750569696969697</c:v>
                </c:pt>
                <c:pt idx="49">
                  <c:v>0.7535565656565657</c:v>
                </c:pt>
                <c:pt idx="50">
                  <c:v>0.7565434343434343</c:v>
                </c:pt>
                <c:pt idx="51">
                  <c:v>0.759530303030303</c:v>
                </c:pt>
                <c:pt idx="52">
                  <c:v>0.7625171717171717</c:v>
                </c:pt>
                <c:pt idx="53">
                  <c:v>0.76550404040404041</c:v>
                </c:pt>
                <c:pt idx="54">
                  <c:v>0.76849090909090911</c:v>
                </c:pt>
                <c:pt idx="55">
                  <c:v>0.77147777777777782</c:v>
                </c:pt>
                <c:pt idx="56">
                  <c:v>0.77446464646464652</c:v>
                </c:pt>
                <c:pt idx="57">
                  <c:v>0.77745151515151512</c:v>
                </c:pt>
                <c:pt idx="58">
                  <c:v>0.78043838383838382</c:v>
                </c:pt>
                <c:pt idx="59">
                  <c:v>0.78342525252525252</c:v>
                </c:pt>
                <c:pt idx="60">
                  <c:v>0.78641212121212123</c:v>
                </c:pt>
                <c:pt idx="61">
                  <c:v>0.78939898989898993</c:v>
                </c:pt>
                <c:pt idx="62">
                  <c:v>0.79238585858585853</c:v>
                </c:pt>
                <c:pt idx="63">
                  <c:v>0.79537272727272734</c:v>
                </c:pt>
                <c:pt idx="64">
                  <c:v>0.79835959595959594</c:v>
                </c:pt>
                <c:pt idx="65">
                  <c:v>0.80134646464646464</c:v>
                </c:pt>
                <c:pt idx="66">
                  <c:v>0.80433333333333334</c:v>
                </c:pt>
                <c:pt idx="67">
                  <c:v>0.80732020202020205</c:v>
                </c:pt>
                <c:pt idx="68">
                  <c:v>0.81030707070707075</c:v>
                </c:pt>
                <c:pt idx="69">
                  <c:v>0.81329393939393935</c:v>
                </c:pt>
                <c:pt idx="70">
                  <c:v>0.81628080808080816</c:v>
                </c:pt>
                <c:pt idx="71">
                  <c:v>0.81926767676767676</c:v>
                </c:pt>
                <c:pt idx="72">
                  <c:v>0.82225454545454546</c:v>
                </c:pt>
                <c:pt idx="73">
                  <c:v>0.82524141414141416</c:v>
                </c:pt>
                <c:pt idx="74">
                  <c:v>0.82822828282828287</c:v>
                </c:pt>
                <c:pt idx="75">
                  <c:v>0.83121515151515157</c:v>
                </c:pt>
                <c:pt idx="76">
                  <c:v>0.83420202020202017</c:v>
                </c:pt>
                <c:pt idx="77">
                  <c:v>0.83718888888888887</c:v>
                </c:pt>
                <c:pt idx="78">
                  <c:v>0.84017575757575758</c:v>
                </c:pt>
                <c:pt idx="79">
                  <c:v>0.84316262626262628</c:v>
                </c:pt>
                <c:pt idx="80">
                  <c:v>0.84614949494949498</c:v>
                </c:pt>
                <c:pt idx="81">
                  <c:v>0.84913636363636369</c:v>
                </c:pt>
                <c:pt idx="82">
                  <c:v>0.85212323232323239</c:v>
                </c:pt>
                <c:pt idx="83">
                  <c:v>0.85511010101010099</c:v>
                </c:pt>
                <c:pt idx="84">
                  <c:v>0.8580969696969698</c:v>
                </c:pt>
                <c:pt idx="85">
                  <c:v>0.8610838383838384</c:v>
                </c:pt>
                <c:pt idx="86">
                  <c:v>0.8640707070707071</c:v>
                </c:pt>
                <c:pt idx="87">
                  <c:v>0.8670575757575758</c:v>
                </c:pt>
                <c:pt idx="88">
                  <c:v>0.8700444444444444</c:v>
                </c:pt>
                <c:pt idx="89">
                  <c:v>0.87303131313131321</c:v>
                </c:pt>
                <c:pt idx="90">
                  <c:v>0.87601818181818181</c:v>
                </c:pt>
                <c:pt idx="91">
                  <c:v>0.87900505050505051</c:v>
                </c:pt>
                <c:pt idx="92">
                  <c:v>0.88199191919191922</c:v>
                </c:pt>
                <c:pt idx="93">
                  <c:v>0.88497878787878792</c:v>
                </c:pt>
                <c:pt idx="94">
                  <c:v>0.88796565656565662</c:v>
                </c:pt>
                <c:pt idx="95">
                  <c:v>0.89095252525252522</c:v>
                </c:pt>
                <c:pt idx="96">
                  <c:v>0.89393939393939403</c:v>
                </c:pt>
                <c:pt idx="97">
                  <c:v>0.89692626262626263</c:v>
                </c:pt>
                <c:pt idx="98">
                  <c:v>0.89991313131313133</c:v>
                </c:pt>
                <c:pt idx="99">
                  <c:v>0.90290000000000004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49-47E5-9536-A81DC872C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871039"/>
        <c:axId val="474868639"/>
      </c:scatterChart>
      <c:valAx>
        <c:axId val="474871039"/>
        <c:scaling>
          <c:orientation val="minMax"/>
          <c:max val="7.5000000000000011E-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868639"/>
        <c:crosses val="autoZero"/>
        <c:crossBetween val="midCat"/>
      </c:valAx>
      <c:valAx>
        <c:axId val="474868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8710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 (2)'!$D$3</c:f>
              <c:strCache>
                <c:ptCount val="1"/>
                <c:pt idx="0">
                  <c:v>Cl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 (2)'!$A$4:$A$1000</c:f>
              <c:numCache>
                <c:formatCode>General</c:formatCode>
                <c:ptCount val="997"/>
                <c:pt idx="0">
                  <c:v>-5</c:v>
                </c:pt>
                <c:pt idx="1">
                  <c:v>-4.95</c:v>
                </c:pt>
                <c:pt idx="2">
                  <c:v>-4.9000000000000004</c:v>
                </c:pt>
                <c:pt idx="3">
                  <c:v>-4.8499999999999996</c:v>
                </c:pt>
                <c:pt idx="4">
                  <c:v>-4.8</c:v>
                </c:pt>
                <c:pt idx="5">
                  <c:v>-4.75</c:v>
                </c:pt>
                <c:pt idx="6">
                  <c:v>-4.7</c:v>
                </c:pt>
                <c:pt idx="7">
                  <c:v>-4.6500000000000004</c:v>
                </c:pt>
                <c:pt idx="8">
                  <c:v>-4.5999999999999996</c:v>
                </c:pt>
                <c:pt idx="9">
                  <c:v>-4.55</c:v>
                </c:pt>
                <c:pt idx="10">
                  <c:v>-4.5</c:v>
                </c:pt>
                <c:pt idx="11">
                  <c:v>-4.45</c:v>
                </c:pt>
                <c:pt idx="12">
                  <c:v>-4.4000000000000004</c:v>
                </c:pt>
                <c:pt idx="13">
                  <c:v>-4.3499999999999996</c:v>
                </c:pt>
                <c:pt idx="14">
                  <c:v>-4.3</c:v>
                </c:pt>
                <c:pt idx="15">
                  <c:v>-4.25</c:v>
                </c:pt>
                <c:pt idx="16">
                  <c:v>-4.2</c:v>
                </c:pt>
                <c:pt idx="17">
                  <c:v>-4.1500000000000004</c:v>
                </c:pt>
                <c:pt idx="18">
                  <c:v>-4.0999999999999996</c:v>
                </c:pt>
                <c:pt idx="19">
                  <c:v>-4.05</c:v>
                </c:pt>
                <c:pt idx="20">
                  <c:v>-4</c:v>
                </c:pt>
                <c:pt idx="21">
                  <c:v>-3.95</c:v>
                </c:pt>
                <c:pt idx="22">
                  <c:v>-3.9</c:v>
                </c:pt>
                <c:pt idx="23">
                  <c:v>-3.85</c:v>
                </c:pt>
                <c:pt idx="24">
                  <c:v>-3.8</c:v>
                </c:pt>
                <c:pt idx="25">
                  <c:v>-3.75</c:v>
                </c:pt>
                <c:pt idx="26">
                  <c:v>-3.7</c:v>
                </c:pt>
                <c:pt idx="27">
                  <c:v>-3.65</c:v>
                </c:pt>
                <c:pt idx="28">
                  <c:v>-3.6</c:v>
                </c:pt>
                <c:pt idx="29">
                  <c:v>-3.55</c:v>
                </c:pt>
                <c:pt idx="30">
                  <c:v>-3.5</c:v>
                </c:pt>
                <c:pt idx="31">
                  <c:v>-3.45</c:v>
                </c:pt>
                <c:pt idx="32">
                  <c:v>-3.4</c:v>
                </c:pt>
                <c:pt idx="33">
                  <c:v>-3.35</c:v>
                </c:pt>
                <c:pt idx="34">
                  <c:v>-3.3</c:v>
                </c:pt>
                <c:pt idx="35">
                  <c:v>-3.25</c:v>
                </c:pt>
                <c:pt idx="36">
                  <c:v>-3.2</c:v>
                </c:pt>
                <c:pt idx="37">
                  <c:v>-3.15</c:v>
                </c:pt>
                <c:pt idx="38">
                  <c:v>-3.1</c:v>
                </c:pt>
                <c:pt idx="39">
                  <c:v>-3.05</c:v>
                </c:pt>
                <c:pt idx="40">
                  <c:v>-3</c:v>
                </c:pt>
                <c:pt idx="41">
                  <c:v>-2.95</c:v>
                </c:pt>
                <c:pt idx="42">
                  <c:v>-2.9</c:v>
                </c:pt>
                <c:pt idx="43">
                  <c:v>-2.85</c:v>
                </c:pt>
                <c:pt idx="44">
                  <c:v>-2.8</c:v>
                </c:pt>
                <c:pt idx="45">
                  <c:v>-2.75</c:v>
                </c:pt>
                <c:pt idx="46">
                  <c:v>-2.7</c:v>
                </c:pt>
                <c:pt idx="47">
                  <c:v>-2.65</c:v>
                </c:pt>
                <c:pt idx="48">
                  <c:v>-2.6</c:v>
                </c:pt>
                <c:pt idx="49">
                  <c:v>-2.5499999999999998</c:v>
                </c:pt>
                <c:pt idx="50">
                  <c:v>-2.5</c:v>
                </c:pt>
                <c:pt idx="51">
                  <c:v>-2.4500000000000002</c:v>
                </c:pt>
                <c:pt idx="52">
                  <c:v>-2.4</c:v>
                </c:pt>
                <c:pt idx="53">
                  <c:v>-2.35</c:v>
                </c:pt>
                <c:pt idx="54">
                  <c:v>-2.2999999999999998</c:v>
                </c:pt>
                <c:pt idx="55">
                  <c:v>-2.25</c:v>
                </c:pt>
                <c:pt idx="56">
                  <c:v>-2.2000000000000002</c:v>
                </c:pt>
                <c:pt idx="57">
                  <c:v>-2.15</c:v>
                </c:pt>
                <c:pt idx="58">
                  <c:v>-2.1</c:v>
                </c:pt>
                <c:pt idx="59">
                  <c:v>-2.0499999999999998</c:v>
                </c:pt>
                <c:pt idx="60">
                  <c:v>-2</c:v>
                </c:pt>
                <c:pt idx="61">
                  <c:v>-1.95</c:v>
                </c:pt>
                <c:pt idx="62">
                  <c:v>-1.9</c:v>
                </c:pt>
                <c:pt idx="63">
                  <c:v>-1.85</c:v>
                </c:pt>
                <c:pt idx="64">
                  <c:v>-1.8</c:v>
                </c:pt>
                <c:pt idx="65">
                  <c:v>-1.75</c:v>
                </c:pt>
                <c:pt idx="66">
                  <c:v>-1.7</c:v>
                </c:pt>
                <c:pt idx="67">
                  <c:v>-1.65</c:v>
                </c:pt>
                <c:pt idx="68">
                  <c:v>-1.6</c:v>
                </c:pt>
                <c:pt idx="69">
                  <c:v>-1.55</c:v>
                </c:pt>
                <c:pt idx="70">
                  <c:v>-1.5</c:v>
                </c:pt>
                <c:pt idx="71">
                  <c:v>-1.45</c:v>
                </c:pt>
                <c:pt idx="72">
                  <c:v>-1.4</c:v>
                </c:pt>
                <c:pt idx="73">
                  <c:v>-1.35</c:v>
                </c:pt>
                <c:pt idx="74">
                  <c:v>-1.3</c:v>
                </c:pt>
                <c:pt idx="75">
                  <c:v>-1.25</c:v>
                </c:pt>
                <c:pt idx="76">
                  <c:v>-1.2</c:v>
                </c:pt>
                <c:pt idx="77">
                  <c:v>-1.1499999999999999</c:v>
                </c:pt>
                <c:pt idx="78">
                  <c:v>-1.1000000000000001</c:v>
                </c:pt>
                <c:pt idx="79">
                  <c:v>-1.05</c:v>
                </c:pt>
                <c:pt idx="80">
                  <c:v>-1</c:v>
                </c:pt>
                <c:pt idx="81">
                  <c:v>-0.95</c:v>
                </c:pt>
                <c:pt idx="82">
                  <c:v>-0.9</c:v>
                </c:pt>
                <c:pt idx="83">
                  <c:v>-0.85</c:v>
                </c:pt>
                <c:pt idx="84">
                  <c:v>-0.8</c:v>
                </c:pt>
                <c:pt idx="85">
                  <c:v>-0.75</c:v>
                </c:pt>
                <c:pt idx="86">
                  <c:v>-0.7</c:v>
                </c:pt>
                <c:pt idx="87">
                  <c:v>-0.65</c:v>
                </c:pt>
                <c:pt idx="88">
                  <c:v>-0.6</c:v>
                </c:pt>
                <c:pt idx="89">
                  <c:v>-0.55000000000000004</c:v>
                </c:pt>
                <c:pt idx="90">
                  <c:v>-0.5</c:v>
                </c:pt>
                <c:pt idx="91">
                  <c:v>-0.45</c:v>
                </c:pt>
                <c:pt idx="92">
                  <c:v>-0.4</c:v>
                </c:pt>
                <c:pt idx="93">
                  <c:v>-0.35</c:v>
                </c:pt>
                <c:pt idx="94">
                  <c:v>-0.3</c:v>
                </c:pt>
                <c:pt idx="95">
                  <c:v>-0.25</c:v>
                </c:pt>
                <c:pt idx="96">
                  <c:v>-0.2</c:v>
                </c:pt>
                <c:pt idx="97">
                  <c:v>-0.15</c:v>
                </c:pt>
                <c:pt idx="98">
                  <c:v>-0.1</c:v>
                </c:pt>
                <c:pt idx="99">
                  <c:v>-0.05</c:v>
                </c:pt>
                <c:pt idx="100">
                  <c:v>0</c:v>
                </c:pt>
                <c:pt idx="101">
                  <c:v>0.05</c:v>
                </c:pt>
                <c:pt idx="102">
                  <c:v>0.1</c:v>
                </c:pt>
                <c:pt idx="103">
                  <c:v>0.15</c:v>
                </c:pt>
                <c:pt idx="104">
                  <c:v>0.2</c:v>
                </c:pt>
                <c:pt idx="105">
                  <c:v>0.25</c:v>
                </c:pt>
                <c:pt idx="106">
                  <c:v>0.3</c:v>
                </c:pt>
                <c:pt idx="107">
                  <c:v>0.35</c:v>
                </c:pt>
                <c:pt idx="108">
                  <c:v>0.4</c:v>
                </c:pt>
                <c:pt idx="109">
                  <c:v>0.45</c:v>
                </c:pt>
                <c:pt idx="110">
                  <c:v>0.5</c:v>
                </c:pt>
                <c:pt idx="111">
                  <c:v>0.55000000000000004</c:v>
                </c:pt>
                <c:pt idx="112">
                  <c:v>0.6</c:v>
                </c:pt>
                <c:pt idx="113">
                  <c:v>0.65</c:v>
                </c:pt>
                <c:pt idx="114">
                  <c:v>0.7</c:v>
                </c:pt>
                <c:pt idx="115">
                  <c:v>0.75</c:v>
                </c:pt>
                <c:pt idx="116">
                  <c:v>0.8</c:v>
                </c:pt>
                <c:pt idx="117">
                  <c:v>0.85</c:v>
                </c:pt>
                <c:pt idx="118">
                  <c:v>0.9</c:v>
                </c:pt>
                <c:pt idx="119">
                  <c:v>0.95</c:v>
                </c:pt>
                <c:pt idx="120">
                  <c:v>1</c:v>
                </c:pt>
                <c:pt idx="121">
                  <c:v>1.05</c:v>
                </c:pt>
                <c:pt idx="122">
                  <c:v>1.1000000000000001</c:v>
                </c:pt>
                <c:pt idx="123">
                  <c:v>1.1499999999999999</c:v>
                </c:pt>
                <c:pt idx="124">
                  <c:v>1.2</c:v>
                </c:pt>
                <c:pt idx="125">
                  <c:v>1.25</c:v>
                </c:pt>
                <c:pt idx="126">
                  <c:v>1.3</c:v>
                </c:pt>
                <c:pt idx="127">
                  <c:v>1.35</c:v>
                </c:pt>
                <c:pt idx="128">
                  <c:v>1.4</c:v>
                </c:pt>
                <c:pt idx="129">
                  <c:v>1.45</c:v>
                </c:pt>
                <c:pt idx="130">
                  <c:v>1.5</c:v>
                </c:pt>
                <c:pt idx="131">
                  <c:v>1.55</c:v>
                </c:pt>
                <c:pt idx="132">
                  <c:v>1.6</c:v>
                </c:pt>
                <c:pt idx="133">
                  <c:v>1.65</c:v>
                </c:pt>
                <c:pt idx="134">
                  <c:v>1.7</c:v>
                </c:pt>
                <c:pt idx="135">
                  <c:v>1.75</c:v>
                </c:pt>
                <c:pt idx="136">
                  <c:v>1.8</c:v>
                </c:pt>
                <c:pt idx="137">
                  <c:v>1.85</c:v>
                </c:pt>
                <c:pt idx="138">
                  <c:v>1.9</c:v>
                </c:pt>
                <c:pt idx="139">
                  <c:v>1.95</c:v>
                </c:pt>
                <c:pt idx="140">
                  <c:v>2</c:v>
                </c:pt>
                <c:pt idx="141">
                  <c:v>2.0499999999999998</c:v>
                </c:pt>
                <c:pt idx="142">
                  <c:v>2.1</c:v>
                </c:pt>
                <c:pt idx="143">
                  <c:v>2.15</c:v>
                </c:pt>
                <c:pt idx="144">
                  <c:v>2.2000000000000002</c:v>
                </c:pt>
                <c:pt idx="145">
                  <c:v>2.25</c:v>
                </c:pt>
                <c:pt idx="146">
                  <c:v>2.2999999999999998</c:v>
                </c:pt>
                <c:pt idx="147">
                  <c:v>2.35</c:v>
                </c:pt>
                <c:pt idx="148">
                  <c:v>2.4</c:v>
                </c:pt>
                <c:pt idx="149">
                  <c:v>2.4500000000000002</c:v>
                </c:pt>
                <c:pt idx="150">
                  <c:v>2.5</c:v>
                </c:pt>
                <c:pt idx="151">
                  <c:v>2.5499999999999998</c:v>
                </c:pt>
                <c:pt idx="152">
                  <c:v>2.6</c:v>
                </c:pt>
                <c:pt idx="153">
                  <c:v>2.65</c:v>
                </c:pt>
                <c:pt idx="154">
                  <c:v>2.7</c:v>
                </c:pt>
                <c:pt idx="155">
                  <c:v>2.75</c:v>
                </c:pt>
                <c:pt idx="156">
                  <c:v>2.8</c:v>
                </c:pt>
                <c:pt idx="157">
                  <c:v>2.85</c:v>
                </c:pt>
                <c:pt idx="158">
                  <c:v>2.9</c:v>
                </c:pt>
                <c:pt idx="159">
                  <c:v>2.95</c:v>
                </c:pt>
                <c:pt idx="160">
                  <c:v>3</c:v>
                </c:pt>
                <c:pt idx="161">
                  <c:v>3.05</c:v>
                </c:pt>
                <c:pt idx="162">
                  <c:v>3.1</c:v>
                </c:pt>
                <c:pt idx="163">
                  <c:v>3.15</c:v>
                </c:pt>
                <c:pt idx="164">
                  <c:v>3.2</c:v>
                </c:pt>
                <c:pt idx="165">
                  <c:v>3.25</c:v>
                </c:pt>
                <c:pt idx="166">
                  <c:v>3.3</c:v>
                </c:pt>
                <c:pt idx="167">
                  <c:v>3.35</c:v>
                </c:pt>
                <c:pt idx="168">
                  <c:v>3.4</c:v>
                </c:pt>
              </c:numCache>
            </c:numRef>
          </c:xVal>
          <c:yVal>
            <c:numRef>
              <c:f>'CDCL (2)'!$D$4:$D$1000</c:f>
              <c:numCache>
                <c:formatCode>General</c:formatCode>
                <c:ptCount val="997"/>
                <c:pt idx="0">
                  <c:v>-0.38109999999999999</c:v>
                </c:pt>
                <c:pt idx="1">
                  <c:v>-0.37940000000000002</c:v>
                </c:pt>
                <c:pt idx="2">
                  <c:v>-0.37780000000000002</c:v>
                </c:pt>
                <c:pt idx="3">
                  <c:v>-0.37619999999999998</c:v>
                </c:pt>
                <c:pt idx="4">
                  <c:v>-0.37469999999999998</c:v>
                </c:pt>
                <c:pt idx="5">
                  <c:v>-0.37319999999999998</c:v>
                </c:pt>
                <c:pt idx="6">
                  <c:v>-0.37169999999999997</c:v>
                </c:pt>
                <c:pt idx="7">
                  <c:v>-0.37030000000000002</c:v>
                </c:pt>
                <c:pt idx="8">
                  <c:v>-0.36890000000000001</c:v>
                </c:pt>
                <c:pt idx="9">
                  <c:v>-0.36749999999999999</c:v>
                </c:pt>
                <c:pt idx="10">
                  <c:v>-0.36630000000000001</c:v>
                </c:pt>
                <c:pt idx="11">
                  <c:v>-0.36509999999999998</c:v>
                </c:pt>
                <c:pt idx="12">
                  <c:v>-0.36409999999999998</c:v>
                </c:pt>
                <c:pt idx="13">
                  <c:v>-0.36320000000000002</c:v>
                </c:pt>
                <c:pt idx="14">
                  <c:v>-0.36280000000000001</c:v>
                </c:pt>
                <c:pt idx="15">
                  <c:v>-0.3629</c:v>
                </c:pt>
                <c:pt idx="16">
                  <c:v>-0.36270000000000002</c:v>
                </c:pt>
                <c:pt idx="17">
                  <c:v>-0.36120000000000002</c:v>
                </c:pt>
                <c:pt idx="18">
                  <c:v>-0.35959999999999998</c:v>
                </c:pt>
                <c:pt idx="19">
                  <c:v>-0.3579</c:v>
                </c:pt>
                <c:pt idx="20">
                  <c:v>-0.35610000000000003</c:v>
                </c:pt>
                <c:pt idx="21">
                  <c:v>-0.3543</c:v>
                </c:pt>
                <c:pt idx="22">
                  <c:v>-0.35239999999999999</c:v>
                </c:pt>
                <c:pt idx="23">
                  <c:v>-0.35049999999999998</c:v>
                </c:pt>
                <c:pt idx="24">
                  <c:v>-0.34839999999999999</c:v>
                </c:pt>
                <c:pt idx="25">
                  <c:v>-0.34639999999999999</c:v>
                </c:pt>
                <c:pt idx="26">
                  <c:v>-0.34420000000000001</c:v>
                </c:pt>
                <c:pt idx="27">
                  <c:v>-0.34189999999999998</c:v>
                </c:pt>
                <c:pt idx="28">
                  <c:v>-0.33950000000000002</c:v>
                </c:pt>
                <c:pt idx="29">
                  <c:v>-0.33700000000000002</c:v>
                </c:pt>
                <c:pt idx="30">
                  <c:v>-0.33429999999999999</c:v>
                </c:pt>
                <c:pt idx="31">
                  <c:v>-0.33150000000000002</c:v>
                </c:pt>
                <c:pt idx="32">
                  <c:v>-0.32840000000000003</c:v>
                </c:pt>
                <c:pt idx="33">
                  <c:v>-0.32519999999999999</c:v>
                </c:pt>
                <c:pt idx="34">
                  <c:v>-0.32190000000000002</c:v>
                </c:pt>
                <c:pt idx="35">
                  <c:v>-0.31819999999999998</c:v>
                </c:pt>
                <c:pt idx="36">
                  <c:v>-0.31440000000000001</c:v>
                </c:pt>
                <c:pt idx="37">
                  <c:v>-0.31040000000000001</c:v>
                </c:pt>
                <c:pt idx="38">
                  <c:v>-0.30609999999999998</c:v>
                </c:pt>
                <c:pt idx="39">
                  <c:v>-0.30149999999999999</c:v>
                </c:pt>
                <c:pt idx="40">
                  <c:v>-0.29670000000000002</c:v>
                </c:pt>
                <c:pt idx="41">
                  <c:v>-0.29170000000000001</c:v>
                </c:pt>
                <c:pt idx="42">
                  <c:v>-0.2863</c:v>
                </c:pt>
                <c:pt idx="43">
                  <c:v>-0.28070000000000001</c:v>
                </c:pt>
                <c:pt idx="44">
                  <c:v>-0.27479999999999999</c:v>
                </c:pt>
                <c:pt idx="45">
                  <c:v>-0.26850000000000002</c:v>
                </c:pt>
                <c:pt idx="46">
                  <c:v>-0.26200000000000001</c:v>
                </c:pt>
                <c:pt idx="47">
                  <c:v>-0.25509999999999999</c:v>
                </c:pt>
                <c:pt idx="48">
                  <c:v>-0.24790000000000001</c:v>
                </c:pt>
                <c:pt idx="49">
                  <c:v>-0.2404</c:v>
                </c:pt>
                <c:pt idx="50">
                  <c:v>-0.2326</c:v>
                </c:pt>
                <c:pt idx="51">
                  <c:v>-0.22450000000000001</c:v>
                </c:pt>
                <c:pt idx="52">
                  <c:v>-0.2162</c:v>
                </c:pt>
                <c:pt idx="53">
                  <c:v>-0.20749999999999999</c:v>
                </c:pt>
                <c:pt idx="54">
                  <c:v>-0.1986</c:v>
                </c:pt>
                <c:pt idx="55">
                  <c:v>-0.18940000000000001</c:v>
                </c:pt>
                <c:pt idx="56">
                  <c:v>-0.18</c:v>
                </c:pt>
                <c:pt idx="57">
                  <c:v>-0.17030000000000001</c:v>
                </c:pt>
                <c:pt idx="58">
                  <c:v>-0.1605</c:v>
                </c:pt>
                <c:pt idx="59">
                  <c:v>-0.15029999999999999</c:v>
                </c:pt>
                <c:pt idx="60">
                  <c:v>-0.1401</c:v>
                </c:pt>
                <c:pt idx="61">
                  <c:v>-0.12959999999999999</c:v>
                </c:pt>
                <c:pt idx="62">
                  <c:v>-0.1191</c:v>
                </c:pt>
                <c:pt idx="63">
                  <c:v>-0.1086</c:v>
                </c:pt>
                <c:pt idx="64">
                  <c:v>-9.8000000000000004E-2</c:v>
                </c:pt>
                <c:pt idx="65">
                  <c:v>-8.7499999999999994E-2</c:v>
                </c:pt>
                <c:pt idx="66">
                  <c:v>-7.7100000000000002E-2</c:v>
                </c:pt>
                <c:pt idx="67">
                  <c:v>-6.6699999999999995E-2</c:v>
                </c:pt>
                <c:pt idx="68">
                  <c:v>-5.6399999999999999E-2</c:v>
                </c:pt>
                <c:pt idx="69">
                  <c:v>-4.6100000000000002E-2</c:v>
                </c:pt>
                <c:pt idx="70">
                  <c:v>-3.56E-2</c:v>
                </c:pt>
                <c:pt idx="71">
                  <c:v>-2.4899999999999999E-2</c:v>
                </c:pt>
                <c:pt idx="72">
                  <c:v>-1.4E-2</c:v>
                </c:pt>
                <c:pt idx="73">
                  <c:v>-2.8E-3</c:v>
                </c:pt>
                <c:pt idx="74">
                  <c:v>8.3999999999999995E-3</c:v>
                </c:pt>
                <c:pt idx="75">
                  <c:v>1.9699999999999999E-2</c:v>
                </c:pt>
                <c:pt idx="76">
                  <c:v>3.0800000000000001E-2</c:v>
                </c:pt>
                <c:pt idx="77">
                  <c:v>4.2099999999999999E-2</c:v>
                </c:pt>
                <c:pt idx="78">
                  <c:v>5.33E-2</c:v>
                </c:pt>
                <c:pt idx="79">
                  <c:v>6.4500000000000002E-2</c:v>
                </c:pt>
                <c:pt idx="80">
                  <c:v>7.5700000000000003E-2</c:v>
                </c:pt>
                <c:pt idx="81">
                  <c:v>8.6900000000000005E-2</c:v>
                </c:pt>
                <c:pt idx="82">
                  <c:v>9.8100000000000007E-2</c:v>
                </c:pt>
                <c:pt idx="83">
                  <c:v>0.10920000000000001</c:v>
                </c:pt>
                <c:pt idx="84">
                  <c:v>0.1203</c:v>
                </c:pt>
                <c:pt idx="85">
                  <c:v>0.1313</c:v>
                </c:pt>
                <c:pt idx="86">
                  <c:v>0.14230000000000001</c:v>
                </c:pt>
                <c:pt idx="87">
                  <c:v>0.15329999999999999</c:v>
                </c:pt>
                <c:pt idx="88">
                  <c:v>0.16420000000000001</c:v>
                </c:pt>
                <c:pt idx="89">
                  <c:v>0.17519999999999999</c:v>
                </c:pt>
                <c:pt idx="90">
                  <c:v>0.186</c:v>
                </c:pt>
                <c:pt idx="91">
                  <c:v>0.19689999999999999</c:v>
                </c:pt>
                <c:pt idx="92">
                  <c:v>0.2077</c:v>
                </c:pt>
                <c:pt idx="93">
                  <c:v>0.2185</c:v>
                </c:pt>
                <c:pt idx="94">
                  <c:v>0.2293</c:v>
                </c:pt>
                <c:pt idx="95">
                  <c:v>0.24010000000000001</c:v>
                </c:pt>
                <c:pt idx="96">
                  <c:v>0.25090000000000001</c:v>
                </c:pt>
                <c:pt idx="97">
                  <c:v>0.26169999999999999</c:v>
                </c:pt>
                <c:pt idx="98">
                  <c:v>0.27239999999999998</c:v>
                </c:pt>
                <c:pt idx="99">
                  <c:v>0.28320000000000001</c:v>
                </c:pt>
                <c:pt idx="100">
                  <c:v>0.29389999999999999</c:v>
                </c:pt>
                <c:pt idx="101">
                  <c:v>0.30470000000000003</c:v>
                </c:pt>
                <c:pt idx="102">
                  <c:v>0.3155</c:v>
                </c:pt>
                <c:pt idx="103">
                  <c:v>0.32619999999999999</c:v>
                </c:pt>
                <c:pt idx="104">
                  <c:v>0.33700000000000002</c:v>
                </c:pt>
                <c:pt idx="105">
                  <c:v>0.34770000000000001</c:v>
                </c:pt>
                <c:pt idx="106">
                  <c:v>0.35849999999999999</c:v>
                </c:pt>
                <c:pt idx="107">
                  <c:v>0.36930000000000002</c:v>
                </c:pt>
                <c:pt idx="108">
                  <c:v>0.38009999999999999</c:v>
                </c:pt>
                <c:pt idx="109">
                  <c:v>0.39090000000000003</c:v>
                </c:pt>
                <c:pt idx="110">
                  <c:v>0.4017</c:v>
                </c:pt>
                <c:pt idx="111">
                  <c:v>0.41249999999999998</c:v>
                </c:pt>
                <c:pt idx="112">
                  <c:v>0.4229</c:v>
                </c:pt>
                <c:pt idx="113">
                  <c:v>0.43319999999999997</c:v>
                </c:pt>
                <c:pt idx="114">
                  <c:v>0.44390000000000002</c:v>
                </c:pt>
                <c:pt idx="115">
                  <c:v>0.4546</c:v>
                </c:pt>
                <c:pt idx="116">
                  <c:v>0.46529999999999999</c:v>
                </c:pt>
                <c:pt idx="117">
                  <c:v>0.47599999999999998</c:v>
                </c:pt>
                <c:pt idx="118">
                  <c:v>0.4869</c:v>
                </c:pt>
                <c:pt idx="119">
                  <c:v>0.49780000000000002</c:v>
                </c:pt>
                <c:pt idx="120">
                  <c:v>0.50870000000000004</c:v>
                </c:pt>
                <c:pt idx="121">
                  <c:v>0.51959999999999995</c:v>
                </c:pt>
                <c:pt idx="122">
                  <c:v>0.53049999999999997</c:v>
                </c:pt>
                <c:pt idx="123">
                  <c:v>0.5413</c:v>
                </c:pt>
                <c:pt idx="124">
                  <c:v>0.55220000000000002</c:v>
                </c:pt>
                <c:pt idx="125">
                  <c:v>0.56320000000000003</c:v>
                </c:pt>
                <c:pt idx="126">
                  <c:v>0.57420000000000004</c:v>
                </c:pt>
                <c:pt idx="127">
                  <c:v>0.58520000000000005</c:v>
                </c:pt>
                <c:pt idx="128">
                  <c:v>0.59619999999999995</c:v>
                </c:pt>
                <c:pt idx="129">
                  <c:v>0.60719999999999996</c:v>
                </c:pt>
                <c:pt idx="130">
                  <c:v>0.61809999999999998</c:v>
                </c:pt>
                <c:pt idx="131">
                  <c:v>0.629</c:v>
                </c:pt>
                <c:pt idx="132">
                  <c:v>0.63959999999999995</c:v>
                </c:pt>
                <c:pt idx="133">
                  <c:v>0.65010000000000001</c:v>
                </c:pt>
                <c:pt idx="134">
                  <c:v>0.6603</c:v>
                </c:pt>
                <c:pt idx="135">
                  <c:v>0.67030000000000001</c:v>
                </c:pt>
                <c:pt idx="136">
                  <c:v>0.67979999999999996</c:v>
                </c:pt>
                <c:pt idx="137">
                  <c:v>0.68899999999999995</c:v>
                </c:pt>
                <c:pt idx="138">
                  <c:v>0.69779999999999998</c:v>
                </c:pt>
                <c:pt idx="139">
                  <c:v>0.70620000000000005</c:v>
                </c:pt>
                <c:pt idx="140">
                  <c:v>0.71440000000000003</c:v>
                </c:pt>
                <c:pt idx="141">
                  <c:v>0.72250000000000003</c:v>
                </c:pt>
                <c:pt idx="142">
                  <c:v>0.73060000000000003</c:v>
                </c:pt>
                <c:pt idx="143">
                  <c:v>0.7389</c:v>
                </c:pt>
                <c:pt idx="144">
                  <c:v>0.74750000000000005</c:v>
                </c:pt>
                <c:pt idx="145">
                  <c:v>0.75649999999999995</c:v>
                </c:pt>
                <c:pt idx="146">
                  <c:v>0.76590000000000003</c:v>
                </c:pt>
                <c:pt idx="147">
                  <c:v>0.77569999999999995</c:v>
                </c:pt>
                <c:pt idx="148">
                  <c:v>0.78580000000000005</c:v>
                </c:pt>
                <c:pt idx="149">
                  <c:v>0.79610000000000003</c:v>
                </c:pt>
                <c:pt idx="150">
                  <c:v>0.80649999999999999</c:v>
                </c:pt>
                <c:pt idx="151">
                  <c:v>0.81669999999999998</c:v>
                </c:pt>
                <c:pt idx="152">
                  <c:v>0.8266</c:v>
                </c:pt>
                <c:pt idx="153">
                  <c:v>0.83599999999999997</c:v>
                </c:pt>
                <c:pt idx="154">
                  <c:v>0.84489999999999998</c:v>
                </c:pt>
                <c:pt idx="155">
                  <c:v>0.85309999999999997</c:v>
                </c:pt>
                <c:pt idx="156">
                  <c:v>0.86080000000000001</c:v>
                </c:pt>
                <c:pt idx="157">
                  <c:v>0.86770000000000003</c:v>
                </c:pt>
                <c:pt idx="158">
                  <c:v>0.874</c:v>
                </c:pt>
                <c:pt idx="159">
                  <c:v>0.87960000000000005</c:v>
                </c:pt>
                <c:pt idx="160">
                  <c:v>0.88460000000000005</c:v>
                </c:pt>
                <c:pt idx="161">
                  <c:v>0.88900000000000001</c:v>
                </c:pt>
                <c:pt idx="162">
                  <c:v>0.89280000000000004</c:v>
                </c:pt>
                <c:pt idx="163">
                  <c:v>0.89600000000000002</c:v>
                </c:pt>
                <c:pt idx="164">
                  <c:v>0.89859999999999995</c:v>
                </c:pt>
                <c:pt idx="165">
                  <c:v>0.90069999999999995</c:v>
                </c:pt>
                <c:pt idx="166">
                  <c:v>0.90210000000000001</c:v>
                </c:pt>
                <c:pt idx="167">
                  <c:v>0.90290000000000004</c:v>
                </c:pt>
                <c:pt idx="168">
                  <c:v>0.90259999999999996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5A0-4621-A262-65E07AB91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8813760"/>
        <c:axId val="1467257952"/>
      </c:scatterChart>
      <c:valAx>
        <c:axId val="1468813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257952"/>
        <c:crosses val="autoZero"/>
        <c:crossBetween val="midCat"/>
      </c:valAx>
      <c:valAx>
        <c:axId val="146725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8813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 XFOIL'!$B$1</c:f>
              <c:strCache>
                <c:ptCount val="1"/>
                <c:pt idx="0">
                  <c:v>CL1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2403008087938851"/>
                  <c:y val="-0.1315224579978350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 XFOIL'!$A$2:$A$13</c:f>
              <c:numCache>
                <c:formatCode>0.00E+00</c:formatCode>
                <c:ptCount val="12"/>
                <c:pt idx="0">
                  <c:v>3000000</c:v>
                </c:pt>
                <c:pt idx="1">
                  <c:v>5000000</c:v>
                </c:pt>
                <c:pt idx="2">
                  <c:v>10000000</c:v>
                </c:pt>
                <c:pt idx="3">
                  <c:v>20000000</c:v>
                </c:pt>
                <c:pt idx="4">
                  <c:v>40000000</c:v>
                </c:pt>
                <c:pt idx="5">
                  <c:v>60000000</c:v>
                </c:pt>
              </c:numCache>
            </c:numRef>
          </c:xVal>
          <c:yVal>
            <c:numRef>
              <c:f>'CDCL(Re) XFOIL'!$B$2:$B$12</c:f>
              <c:numCache>
                <c:formatCode>General</c:formatCode>
                <c:ptCount val="11"/>
                <c:pt idx="0">
                  <c:v>-7.4000000000000003E-3</c:v>
                </c:pt>
                <c:pt idx="1">
                  <c:v>-2.8E-3</c:v>
                </c:pt>
                <c:pt idx="2">
                  <c:v>-8.9999999999999993E-3</c:v>
                </c:pt>
                <c:pt idx="3">
                  <c:v>-4.4000000000000003E-3</c:v>
                </c:pt>
                <c:pt idx="4">
                  <c:v>-2.0000000000000001E-4</c:v>
                </c:pt>
                <c:pt idx="5">
                  <c:v>-0.01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31-478A-94A3-7D577AD613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0082911"/>
        <c:axId val="1600096351"/>
      </c:scatterChart>
      <c:valAx>
        <c:axId val="1600082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96351"/>
        <c:crosses val="autoZero"/>
        <c:crossBetween val="midCat"/>
      </c:valAx>
      <c:valAx>
        <c:axId val="1600096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82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 XFOIL'!$C$1</c:f>
              <c:strCache>
                <c:ptCount val="1"/>
                <c:pt idx="0">
                  <c:v>CD1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8733237123494612"/>
                  <c:y val="-0.2401356572001533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 XFOIL'!$A$2:$A$13</c:f>
              <c:numCache>
                <c:formatCode>0.00E+00</c:formatCode>
                <c:ptCount val="12"/>
                <c:pt idx="0">
                  <c:v>3000000</c:v>
                </c:pt>
                <c:pt idx="1">
                  <c:v>5000000</c:v>
                </c:pt>
                <c:pt idx="2">
                  <c:v>10000000</c:v>
                </c:pt>
                <c:pt idx="3">
                  <c:v>20000000</c:v>
                </c:pt>
                <c:pt idx="4">
                  <c:v>40000000</c:v>
                </c:pt>
                <c:pt idx="5">
                  <c:v>60000000</c:v>
                </c:pt>
              </c:numCache>
            </c:numRef>
          </c:xVal>
          <c:yVal>
            <c:numRef>
              <c:f>'CDCL(Re) XFOIL'!$C$2:$C$12</c:f>
              <c:numCache>
                <c:formatCode>General</c:formatCode>
                <c:ptCount val="11"/>
                <c:pt idx="0">
                  <c:v>9.8999999999999991E-3</c:v>
                </c:pt>
                <c:pt idx="1">
                  <c:v>9.6299999999999997E-3</c:v>
                </c:pt>
                <c:pt idx="2">
                  <c:v>9.2499999999999995E-3</c:v>
                </c:pt>
                <c:pt idx="3">
                  <c:v>8.5299999999999994E-3</c:v>
                </c:pt>
                <c:pt idx="4">
                  <c:v>7.3600000000000002E-3</c:v>
                </c:pt>
                <c:pt idx="5">
                  <c:v>6.3700000000000007E-3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DF-4525-B66A-20A6320FAC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1331551"/>
        <c:axId val="1609938751"/>
      </c:scatterChart>
      <c:valAx>
        <c:axId val="1691331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938751"/>
        <c:crosses val="autoZero"/>
        <c:crossBetween val="midCat"/>
      </c:valAx>
      <c:valAx>
        <c:axId val="1609938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1331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 XFOIL'!$D$1</c:f>
              <c:strCache>
                <c:ptCount val="1"/>
                <c:pt idx="0">
                  <c:v>CL2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2461856418891035"/>
                  <c:y val="-0.3185456998757641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 XFOIL'!$A$2:$A$13</c:f>
              <c:numCache>
                <c:formatCode>0.00E+00</c:formatCode>
                <c:ptCount val="12"/>
                <c:pt idx="0">
                  <c:v>3000000</c:v>
                </c:pt>
                <c:pt idx="1">
                  <c:v>5000000</c:v>
                </c:pt>
                <c:pt idx="2">
                  <c:v>10000000</c:v>
                </c:pt>
                <c:pt idx="3">
                  <c:v>20000000</c:v>
                </c:pt>
                <c:pt idx="4">
                  <c:v>40000000</c:v>
                </c:pt>
                <c:pt idx="5">
                  <c:v>60000000</c:v>
                </c:pt>
              </c:numCache>
            </c:numRef>
          </c:xVal>
          <c:yVal>
            <c:numRef>
              <c:f>'CDCL(Re) XFOIL'!$D$2:$D$12</c:f>
              <c:numCache>
                <c:formatCode>General</c:formatCode>
                <c:ptCount val="11"/>
                <c:pt idx="0">
                  <c:v>0.28660000000000002</c:v>
                </c:pt>
                <c:pt idx="1">
                  <c:v>0.26169999999999999</c:v>
                </c:pt>
                <c:pt idx="2">
                  <c:v>0.2266</c:v>
                </c:pt>
                <c:pt idx="3">
                  <c:v>0.1895</c:v>
                </c:pt>
                <c:pt idx="4">
                  <c:v>0.13919999999999999</c:v>
                </c:pt>
                <c:pt idx="5">
                  <c:v>0.15340000000000001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A0-4EA9-A8CE-28153DC2AE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8372479"/>
        <c:axId val="1598362879"/>
      </c:scatterChart>
      <c:valAx>
        <c:axId val="15983724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8362879"/>
        <c:crosses val="autoZero"/>
        <c:crossBetween val="midCat"/>
      </c:valAx>
      <c:valAx>
        <c:axId val="1598362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83724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 XFOIL'!$E$1</c:f>
              <c:strCache>
                <c:ptCount val="1"/>
                <c:pt idx="0">
                  <c:v>CD2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24084534887684494"/>
                  <c:y val="0.2421682307898611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 XFOIL'!$A$2:$A$13</c:f>
              <c:numCache>
                <c:formatCode>0.00E+00</c:formatCode>
                <c:ptCount val="12"/>
                <c:pt idx="0">
                  <c:v>3000000</c:v>
                </c:pt>
                <c:pt idx="1">
                  <c:v>5000000</c:v>
                </c:pt>
                <c:pt idx="2">
                  <c:v>10000000</c:v>
                </c:pt>
                <c:pt idx="3">
                  <c:v>20000000</c:v>
                </c:pt>
                <c:pt idx="4">
                  <c:v>40000000</c:v>
                </c:pt>
                <c:pt idx="5">
                  <c:v>60000000</c:v>
                </c:pt>
              </c:numCache>
            </c:numRef>
          </c:xVal>
          <c:yVal>
            <c:numRef>
              <c:f>'CDCL(Re) XFOIL'!$E$2:$E$12</c:f>
              <c:numCache>
                <c:formatCode>General</c:formatCode>
                <c:ptCount val="11"/>
                <c:pt idx="0">
                  <c:v>8.9499999999999996E-3</c:v>
                </c:pt>
                <c:pt idx="1">
                  <c:v>8.8500000000000002E-3</c:v>
                </c:pt>
                <c:pt idx="2">
                  <c:v>8.6E-3</c:v>
                </c:pt>
                <c:pt idx="3">
                  <c:v>8.0999999999999996E-3</c:v>
                </c:pt>
                <c:pt idx="4">
                  <c:v>7.1000000000000004E-3</c:v>
                </c:pt>
                <c:pt idx="5">
                  <c:v>6.1000000000000004E-3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43B-4928-870E-80E0F68763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9374671"/>
        <c:axId val="1609381391"/>
      </c:scatterChart>
      <c:valAx>
        <c:axId val="1609374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381391"/>
        <c:crosses val="autoZero"/>
        <c:crossBetween val="midCat"/>
      </c:valAx>
      <c:valAx>
        <c:axId val="160938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374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 XFOIL'!$G$1</c:f>
              <c:strCache>
                <c:ptCount val="1"/>
                <c:pt idx="0">
                  <c:v>CD3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3.7626473161443054E-2"/>
                  <c:y val="0.1970943467967456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 XFOIL'!$A$2:$A$13</c:f>
              <c:numCache>
                <c:formatCode>0.00E+00</c:formatCode>
                <c:ptCount val="12"/>
                <c:pt idx="0">
                  <c:v>3000000</c:v>
                </c:pt>
                <c:pt idx="1">
                  <c:v>5000000</c:v>
                </c:pt>
                <c:pt idx="2">
                  <c:v>10000000</c:v>
                </c:pt>
                <c:pt idx="3">
                  <c:v>20000000</c:v>
                </c:pt>
                <c:pt idx="4">
                  <c:v>40000000</c:v>
                </c:pt>
                <c:pt idx="5">
                  <c:v>60000000</c:v>
                </c:pt>
              </c:numCache>
            </c:numRef>
          </c:xVal>
          <c:yVal>
            <c:numRef>
              <c:f>'CDCL(Re) XFOIL'!$G$2:$G$12</c:f>
              <c:numCache>
                <c:formatCode>General</c:formatCode>
                <c:ptCount val="11"/>
                <c:pt idx="0">
                  <c:v>9.7699999999999992E-3</c:v>
                </c:pt>
                <c:pt idx="1">
                  <c:v>9.5700000000000004E-3</c:v>
                </c:pt>
                <c:pt idx="2">
                  <c:v>9.1500000000000001E-3</c:v>
                </c:pt>
                <c:pt idx="3">
                  <c:v>8.539999999999999E-3</c:v>
                </c:pt>
                <c:pt idx="4">
                  <c:v>7.4800000000000005E-3</c:v>
                </c:pt>
                <c:pt idx="5">
                  <c:v>6.4400000000000004E-3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878-4945-BEFD-84BD923B71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8685215"/>
        <c:axId val="1698674655"/>
      </c:scatterChart>
      <c:valAx>
        <c:axId val="16986852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8674655"/>
        <c:crosses val="autoZero"/>
        <c:crossBetween val="midCat"/>
      </c:valAx>
      <c:valAx>
        <c:axId val="1698674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86852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 XFOIL'!$F$1</c:f>
              <c:strCache>
                <c:ptCount val="1"/>
                <c:pt idx="0">
                  <c:v>CL3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25993905560566538"/>
                  <c:y val="0.1595435469999806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 XFOIL'!$A$2:$A$13</c:f>
              <c:numCache>
                <c:formatCode>0.00E+00</c:formatCode>
                <c:ptCount val="12"/>
                <c:pt idx="0">
                  <c:v>3000000</c:v>
                </c:pt>
                <c:pt idx="1">
                  <c:v>5000000</c:v>
                </c:pt>
                <c:pt idx="2">
                  <c:v>10000000</c:v>
                </c:pt>
                <c:pt idx="3">
                  <c:v>20000000</c:v>
                </c:pt>
                <c:pt idx="4">
                  <c:v>40000000</c:v>
                </c:pt>
                <c:pt idx="5">
                  <c:v>60000000</c:v>
                </c:pt>
              </c:numCache>
            </c:numRef>
          </c:xVal>
          <c:yVal>
            <c:numRef>
              <c:f>'CDCL(Re) XFOIL'!$F$2:$F$12</c:f>
              <c:numCache>
                <c:formatCode>General</c:formatCode>
                <c:ptCount val="11"/>
                <c:pt idx="0">
                  <c:v>0.59570000000000001</c:v>
                </c:pt>
                <c:pt idx="1">
                  <c:v>0.60719999999999996</c:v>
                </c:pt>
                <c:pt idx="2">
                  <c:v>0.60980000000000001</c:v>
                </c:pt>
                <c:pt idx="3">
                  <c:v>0.60970000000000002</c:v>
                </c:pt>
                <c:pt idx="4">
                  <c:v>0.60719999999999996</c:v>
                </c:pt>
                <c:pt idx="5">
                  <c:v>0.60029999999999994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16-496C-87AD-C958B0CE7F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0896975"/>
        <c:axId val="1609385231"/>
      </c:scatterChart>
      <c:valAx>
        <c:axId val="1600896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385231"/>
        <c:crosses val="autoZero"/>
        <c:crossBetween val="midCat"/>
      </c:valAx>
      <c:valAx>
        <c:axId val="1609385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896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2791416746887829"/>
                  <c:y val="0.4754232267432502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 XFOIL'!$A$3:$A$13</c:f>
              <c:numCache>
                <c:formatCode>0.00E+00</c:formatCode>
                <c:ptCount val="11"/>
                <c:pt idx="0">
                  <c:v>5000000</c:v>
                </c:pt>
                <c:pt idx="1">
                  <c:v>10000000</c:v>
                </c:pt>
                <c:pt idx="2">
                  <c:v>20000000</c:v>
                </c:pt>
                <c:pt idx="3">
                  <c:v>40000000</c:v>
                </c:pt>
                <c:pt idx="4">
                  <c:v>60000000</c:v>
                </c:pt>
              </c:numCache>
            </c:numRef>
          </c:xVal>
          <c:yVal>
            <c:numRef>
              <c:f>'CDCL(Re)'!#REF!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'CDCL(Re)'!#REF!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5A83-452D-A81F-B52415476D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0082911"/>
        <c:axId val="1600096351"/>
      </c:scatterChart>
      <c:valAx>
        <c:axId val="1600082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96351"/>
        <c:crosses val="autoZero"/>
        <c:crossBetween val="midCat"/>
      </c:valAx>
      <c:valAx>
        <c:axId val="1600096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82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 XFOIL'!$I$1</c:f>
              <c:strCache>
                <c:ptCount val="1"/>
                <c:pt idx="0">
                  <c:v>CLAF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8.43390027339571E-2"/>
                  <c:y val="-0.383191960274984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 XFOIL'!$A$3:$A$11</c:f>
              <c:numCache>
                <c:formatCode>0.00E+00</c:formatCode>
                <c:ptCount val="9"/>
                <c:pt idx="0">
                  <c:v>5000000</c:v>
                </c:pt>
                <c:pt idx="1">
                  <c:v>10000000</c:v>
                </c:pt>
                <c:pt idx="2">
                  <c:v>20000000</c:v>
                </c:pt>
                <c:pt idx="3">
                  <c:v>40000000</c:v>
                </c:pt>
                <c:pt idx="4">
                  <c:v>60000000</c:v>
                </c:pt>
              </c:numCache>
            </c:numRef>
          </c:xVal>
          <c:yVal>
            <c:numRef>
              <c:f>'CDCL(Re) XFOIL'!$I$3:$I$10</c:f>
              <c:numCache>
                <c:formatCode>General</c:formatCode>
                <c:ptCount val="8"/>
                <c:pt idx="0">
                  <c:v>0.92921657518387979</c:v>
                </c:pt>
                <c:pt idx="1">
                  <c:v>0.92921657518387979</c:v>
                </c:pt>
                <c:pt idx="2">
                  <c:v>0.92921657518387979</c:v>
                </c:pt>
                <c:pt idx="3">
                  <c:v>0.92921657518387979</c:v>
                </c:pt>
                <c:pt idx="4">
                  <c:v>0.92921657518387979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F3E-4E7B-AD6C-B1D73B4684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5867951"/>
        <c:axId val="1615854991"/>
      </c:scatterChart>
      <c:valAx>
        <c:axId val="16158679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854991"/>
        <c:crosses val="autoZero"/>
        <c:crossBetween val="midCat"/>
      </c:valAx>
      <c:valAx>
        <c:axId val="1615854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8679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2231404007926798E-2"/>
          <c:y val="2.5723407491559668E-2"/>
          <c:w val="0.95722838926075227"/>
          <c:h val="0.9327766837240025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Variables!$N$4:$N$12</c:f>
              <c:numCache>
                <c:formatCode>General</c:formatCode>
                <c:ptCount val="9"/>
                <c:pt idx="0">
                  <c:v>0</c:v>
                </c:pt>
                <c:pt idx="1">
                  <c:v>9.1440000000000001</c:v>
                </c:pt>
                <c:pt idx="2">
                  <c:v>9.1440000000000001</c:v>
                </c:pt>
                <c:pt idx="3">
                  <c:v>0</c:v>
                </c:pt>
                <c:pt idx="4">
                  <c:v>0</c:v>
                </c:pt>
                <c:pt idx="5">
                  <c:v>-9.1440000000000001</c:v>
                </c:pt>
                <c:pt idx="6">
                  <c:v>-9.1440000000000001</c:v>
                </c:pt>
                <c:pt idx="7">
                  <c:v>0</c:v>
                </c:pt>
              </c:numCache>
            </c:numRef>
          </c:xVal>
          <c:yVal>
            <c:numRef>
              <c:f>Variables!$O$4:$O$12</c:f>
              <c:numCache>
                <c:formatCode>General</c:formatCode>
                <c:ptCount val="9"/>
                <c:pt idx="0">
                  <c:v>0</c:v>
                </c:pt>
                <c:pt idx="1">
                  <c:v>6.1128237391097633</c:v>
                </c:pt>
                <c:pt idx="2">
                  <c:v>7.5803786627998573</c:v>
                </c:pt>
                <c:pt idx="3">
                  <c:v>5.6444420141926699</c:v>
                </c:pt>
                <c:pt idx="4">
                  <c:v>0</c:v>
                </c:pt>
                <c:pt idx="5">
                  <c:v>6.1128237391097633</c:v>
                </c:pt>
                <c:pt idx="6">
                  <c:v>7.5803786627998573</c:v>
                </c:pt>
                <c:pt idx="7">
                  <c:v>5.6444420141926699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6-4B19-BD62-114D14CA9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2505199"/>
        <c:axId val="1142488879"/>
      </c:scatterChart>
      <c:valAx>
        <c:axId val="1142505199"/>
        <c:scaling>
          <c:orientation val="minMax"/>
          <c:max val="10"/>
          <c:min val="-1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2488879"/>
        <c:crosses val="autoZero"/>
        <c:crossBetween val="midCat"/>
      </c:valAx>
      <c:valAx>
        <c:axId val="1142488879"/>
        <c:scaling>
          <c:orientation val="maxMin"/>
          <c:max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25051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'Tail Sizing'!$C$34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'Tail Sizing'!$B$35:$B$108</c:f>
              <c:numCache>
                <c:formatCode>General</c:formatCode>
                <c:ptCount val="74"/>
                <c:pt idx="0">
                  <c:v>0</c:v>
                </c:pt>
                <c:pt idx="1">
                  <c:v>9.1440000000000001</c:v>
                </c:pt>
                <c:pt idx="2">
                  <c:v>9.1440000000000001</c:v>
                </c:pt>
                <c:pt idx="3">
                  <c:v>0</c:v>
                </c:pt>
                <c:pt idx="4">
                  <c:v>0</c:v>
                </c:pt>
                <c:pt idx="5">
                  <c:v>-9.1440000000000001</c:v>
                </c:pt>
                <c:pt idx="6">
                  <c:v>-9.1440000000000001</c:v>
                </c:pt>
                <c:pt idx="7">
                  <c:v>0</c:v>
                </c:pt>
                <c:pt idx="8">
                  <c:v>#N/A</c:v>
                </c:pt>
                <c:pt idx="9">
                  <c:v>1.2192000000000001</c:v>
                </c:pt>
                <c:pt idx="10">
                  <c:v>5.0273253779648801</c:v>
                </c:pt>
                <c:pt idx="11">
                  <c:v>5.0273253779648801</c:v>
                </c:pt>
                <c:pt idx="12">
                  <c:v>1.2192000000000001</c:v>
                </c:pt>
                <c:pt idx="13">
                  <c:v>1.2192000000000001</c:v>
                </c:pt>
                <c:pt idx="14">
                  <c:v>#N/A</c:v>
                </c:pt>
                <c:pt idx="15">
                  <c:v>-1.2192000000000001</c:v>
                </c:pt>
                <c:pt idx="16">
                  <c:v>-5.0273253779648801</c:v>
                </c:pt>
                <c:pt idx="17">
                  <c:v>-5.0273253779648801</c:v>
                </c:pt>
                <c:pt idx="18">
                  <c:v>-1.2192000000000001</c:v>
                </c:pt>
                <c:pt idx="19">
                  <c:v>-1.2192000000000001</c:v>
                </c:pt>
                <c:pt idx="20">
                  <c:v>#N/A</c:v>
                </c:pt>
                <c:pt idx="21">
                  <c:v>1.2192000000000001</c:v>
                </c:pt>
                <c:pt idx="22">
                  <c:v>2.5230640554045864</c:v>
                </c:pt>
                <c:pt idx="23">
                  <c:v>2.5230640554045864</c:v>
                </c:pt>
                <c:pt idx="24">
                  <c:v>1.2192000000000001</c:v>
                </c:pt>
                <c:pt idx="25">
                  <c:v>1.2192000000000001</c:v>
                </c:pt>
                <c:pt idx="26">
                  <c:v>#N/A</c:v>
                </c:pt>
                <c:pt idx="27">
                  <c:v>-1.2192000000000001</c:v>
                </c:pt>
                <c:pt idx="28">
                  <c:v>-2.5230640554045864</c:v>
                </c:pt>
                <c:pt idx="29">
                  <c:v>-2.5230640554045864</c:v>
                </c:pt>
                <c:pt idx="30">
                  <c:v>-1.2192000000000001</c:v>
                </c:pt>
                <c:pt idx="31">
                  <c:v>-1.2192000000000001</c:v>
                </c:pt>
                <c:pt idx="32">
                  <c:v>#N/A</c:v>
                </c:pt>
                <c:pt idx="33">
                  <c:v>9.1440000000000001</c:v>
                </c:pt>
              </c:numCache>
            </c:numRef>
          </c:xVal>
          <c:yVal>
            <c:numRef>
              <c:f>'Tail Sizing'!$C$35:$C$108</c:f>
              <c:numCache>
                <c:formatCode>General</c:formatCode>
                <c:ptCount val="74"/>
                <c:pt idx="0">
                  <c:v>0</c:v>
                </c:pt>
                <c:pt idx="1">
                  <c:v>6.1128237391097633</c:v>
                </c:pt>
                <c:pt idx="2">
                  <c:v>7.5803786627998573</c:v>
                </c:pt>
                <c:pt idx="3">
                  <c:v>5.6444420141926699</c:v>
                </c:pt>
                <c:pt idx="4">
                  <c:v>0</c:v>
                </c:pt>
                <c:pt idx="5">
                  <c:v>6.1128237391097633</c:v>
                </c:pt>
                <c:pt idx="6">
                  <c:v>7.5803786627998573</c:v>
                </c:pt>
                <c:pt idx="7">
                  <c:v>5.6444420141926699</c:v>
                </c:pt>
                <c:pt idx="8">
                  <c:v>#N/A</c:v>
                </c:pt>
                <c:pt idx="9">
                  <c:v>5.9051198146194182</c:v>
                </c:pt>
                <c:pt idx="10">
                  <c:v>8.5600160918301889</c:v>
                </c:pt>
                <c:pt idx="11">
                  <c:v>10.010730521531096</c:v>
                </c:pt>
                <c:pt idx="12">
                  <c:v>9.5319058888716857</c:v>
                </c:pt>
                <c:pt idx="13">
                  <c:v>5.9051198146194182</c:v>
                </c:pt>
                <c:pt idx="14">
                  <c:v>#N/A</c:v>
                </c:pt>
                <c:pt idx="15">
                  <c:v>5.9051198146194182</c:v>
                </c:pt>
                <c:pt idx="16">
                  <c:v>8.5600160918301889</c:v>
                </c:pt>
                <c:pt idx="17">
                  <c:v>10.010730521531096</c:v>
                </c:pt>
                <c:pt idx="18">
                  <c:v>9.5319058888716857</c:v>
                </c:pt>
                <c:pt idx="19">
                  <c:v>5.9051198146194182</c:v>
                </c:pt>
                <c:pt idx="20">
                  <c:v>#N/A</c:v>
                </c:pt>
                <c:pt idx="21">
                  <c:v>4.1924773438242759</c:v>
                </c:pt>
                <c:pt idx="22">
                  <c:v>7.2103864464338159</c:v>
                </c:pt>
                <c:pt idx="23">
                  <c:v>9.3888112820946255</c:v>
                </c:pt>
                <c:pt idx="24">
                  <c:v>9.6385394329762999</c:v>
                </c:pt>
                <c:pt idx="25">
                  <c:v>4.1924773438242759</c:v>
                </c:pt>
                <c:pt idx="26">
                  <c:v>#N/A</c:v>
                </c:pt>
                <c:pt idx="27">
                  <c:v>4.1924773438242759</c:v>
                </c:pt>
                <c:pt idx="28">
                  <c:v>7.2103864464338159</c:v>
                </c:pt>
                <c:pt idx="29">
                  <c:v>9.3888112820946255</c:v>
                </c:pt>
                <c:pt idx="30">
                  <c:v>9.6385394329762999</c:v>
                </c:pt>
                <c:pt idx="31">
                  <c:v>4.1924773438242759</c:v>
                </c:pt>
                <c:pt idx="32">
                  <c:v>#N/A</c:v>
                </c:pt>
                <c:pt idx="33">
                  <c:v>6.1128237391097633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35-4797-9E1F-E374696966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651199"/>
        <c:axId val="1704643039"/>
      </c:scatterChart>
      <c:valAx>
        <c:axId val="1704651199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643039"/>
        <c:crosses val="autoZero"/>
        <c:crossBetween val="midCat"/>
      </c:valAx>
      <c:valAx>
        <c:axId val="1704643039"/>
        <c:scaling>
          <c:orientation val="maxMin"/>
          <c:max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6511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7" Type="http://schemas.openxmlformats.org/officeDocument/2006/relationships/chart" Target="../charts/chart9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5" Type="http://schemas.openxmlformats.org/officeDocument/2006/relationships/chart" Target="../charts/chart21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0</xdr:colOff>
      <xdr:row>1</xdr:row>
      <xdr:rowOff>4760</xdr:rowOff>
    </xdr:from>
    <xdr:to>
      <xdr:col>28</xdr:col>
      <xdr:colOff>609599</xdr:colOff>
      <xdr:row>31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E2FE8F-EDA4-4F7D-922B-80A3ED1CFD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238125</xdr:colOff>
      <xdr:row>36</xdr:row>
      <xdr:rowOff>71437</xdr:rowOff>
    </xdr:from>
    <xdr:to>
      <xdr:col>28</xdr:col>
      <xdr:colOff>542925</xdr:colOff>
      <xdr:row>50</xdr:row>
      <xdr:rowOff>147637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E9EE7C5-4FCB-0636-0F14-0E3B6D8548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28575</xdr:colOff>
      <xdr:row>1</xdr:row>
      <xdr:rowOff>0</xdr:rowOff>
    </xdr:from>
    <xdr:to>
      <xdr:col>15</xdr:col>
      <xdr:colOff>19050</xdr:colOff>
      <xdr:row>10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B71494E-2872-0C36-604A-56705D6D73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66674</xdr:colOff>
      <xdr:row>1</xdr:row>
      <xdr:rowOff>0</xdr:rowOff>
    </xdr:from>
    <xdr:to>
      <xdr:col>19</xdr:col>
      <xdr:colOff>590549</xdr:colOff>
      <xdr:row>10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770413E-EFE8-BA75-A40D-142DFADAB7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38100</xdr:colOff>
      <xdr:row>10</xdr:row>
      <xdr:rowOff>90487</xdr:rowOff>
    </xdr:from>
    <xdr:to>
      <xdr:col>15</xdr:col>
      <xdr:colOff>19050</xdr:colOff>
      <xdr:row>21</xdr:row>
      <xdr:rowOff>9525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4256D3D-B65D-FCCB-9900-EDDF942FAD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95250</xdr:colOff>
      <xdr:row>10</xdr:row>
      <xdr:rowOff>90486</xdr:rowOff>
    </xdr:from>
    <xdr:to>
      <xdr:col>19</xdr:col>
      <xdr:colOff>590550</xdr:colOff>
      <xdr:row>20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279CDD6-207C-44D1-22FA-702D64588E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104775</xdr:colOff>
      <xdr:row>21</xdr:row>
      <xdr:rowOff>52387</xdr:rowOff>
    </xdr:from>
    <xdr:to>
      <xdr:col>19</xdr:col>
      <xdr:colOff>581025</xdr:colOff>
      <xdr:row>31</xdr:row>
      <xdr:rowOff>57150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84DE342-B415-5BFE-5211-EA5A36FEDF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28574</xdr:colOff>
      <xdr:row>21</xdr:row>
      <xdr:rowOff>61912</xdr:rowOff>
    </xdr:from>
    <xdr:to>
      <xdr:col>15</xdr:col>
      <xdr:colOff>57149</xdr:colOff>
      <xdr:row>31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D86E280-518A-A6B8-9A48-64C7B12658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39687</xdr:colOff>
      <xdr:row>5</xdr:row>
      <xdr:rowOff>20637</xdr:rowOff>
    </xdr:from>
    <xdr:to>
      <xdr:col>27</xdr:col>
      <xdr:colOff>15875</xdr:colOff>
      <xdr:row>15</xdr:row>
      <xdr:rowOff>104775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7D2189DC-782C-10B5-BE12-E96DC160B0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0</xdr:colOff>
      <xdr:row>1</xdr:row>
      <xdr:rowOff>4760</xdr:rowOff>
    </xdr:from>
    <xdr:to>
      <xdr:col>28</xdr:col>
      <xdr:colOff>609599</xdr:colOff>
      <xdr:row>31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661E9F9-3BB5-4FC8-89BA-7216DC0368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238125</xdr:colOff>
      <xdr:row>36</xdr:row>
      <xdr:rowOff>71437</xdr:rowOff>
    </xdr:from>
    <xdr:to>
      <xdr:col>28</xdr:col>
      <xdr:colOff>542925</xdr:colOff>
      <xdr:row>50</xdr:row>
      <xdr:rowOff>147637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D9E552E-C01B-46E1-9950-8D00444F44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38100</xdr:colOff>
      <xdr:row>3</xdr:row>
      <xdr:rowOff>66675</xdr:rowOff>
    </xdr:from>
    <xdr:to>
      <xdr:col>27</xdr:col>
      <xdr:colOff>28575</xdr:colOff>
      <xdr:row>14</xdr:row>
      <xdr:rowOff>52388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ADCE9A2-CE8B-4639-9E6D-5DB1B068FE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52387</xdr:colOff>
      <xdr:row>14</xdr:row>
      <xdr:rowOff>147637</xdr:rowOff>
    </xdr:from>
    <xdr:to>
      <xdr:col>27</xdr:col>
      <xdr:colOff>28575</xdr:colOff>
      <xdr:row>25</xdr:row>
      <xdr:rowOff>47625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B744E5FD-1B9C-46BA-997E-E9EEF5A49A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536575</xdr:colOff>
      <xdr:row>4</xdr:row>
      <xdr:rowOff>95250</xdr:rowOff>
    </xdr:from>
    <xdr:to>
      <xdr:col>13</xdr:col>
      <xdr:colOff>231775</xdr:colOff>
      <xdr:row>19</xdr:row>
      <xdr:rowOff>76200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4E83D30A-7DC3-7DC2-32BB-8179B9E232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0</xdr:colOff>
      <xdr:row>1</xdr:row>
      <xdr:rowOff>4760</xdr:rowOff>
    </xdr:from>
    <xdr:to>
      <xdr:col>28</xdr:col>
      <xdr:colOff>609599</xdr:colOff>
      <xdr:row>31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58CF601-98BF-4B7F-89E7-1FFD39D26C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238125</xdr:colOff>
      <xdr:row>36</xdr:row>
      <xdr:rowOff>71437</xdr:rowOff>
    </xdr:from>
    <xdr:to>
      <xdr:col>28</xdr:col>
      <xdr:colOff>542925</xdr:colOff>
      <xdr:row>50</xdr:row>
      <xdr:rowOff>147637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ED0D546-F448-4681-AD55-C933F124E5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28575</xdr:colOff>
      <xdr:row>1</xdr:row>
      <xdr:rowOff>0</xdr:rowOff>
    </xdr:from>
    <xdr:to>
      <xdr:col>15</xdr:col>
      <xdr:colOff>19050</xdr:colOff>
      <xdr:row>10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F1325A3-00B4-4D09-9A85-151381E86F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66674</xdr:colOff>
      <xdr:row>1</xdr:row>
      <xdr:rowOff>0</xdr:rowOff>
    </xdr:from>
    <xdr:to>
      <xdr:col>19</xdr:col>
      <xdr:colOff>590549</xdr:colOff>
      <xdr:row>10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08E458A-C647-4E0D-9AAA-FAA993001D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38100</xdr:colOff>
      <xdr:row>10</xdr:row>
      <xdr:rowOff>90487</xdr:rowOff>
    </xdr:from>
    <xdr:to>
      <xdr:col>15</xdr:col>
      <xdr:colOff>19050</xdr:colOff>
      <xdr:row>21</xdr:row>
      <xdr:rowOff>9525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A5D53AC-A1D6-4236-91FF-956CBDBAC5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95250</xdr:colOff>
      <xdr:row>10</xdr:row>
      <xdr:rowOff>90486</xdr:rowOff>
    </xdr:from>
    <xdr:to>
      <xdr:col>19</xdr:col>
      <xdr:colOff>590550</xdr:colOff>
      <xdr:row>20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76ADCFA-6729-4AE2-B2FC-221ABFE7AF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104775</xdr:colOff>
      <xdr:row>21</xdr:row>
      <xdr:rowOff>52387</xdr:rowOff>
    </xdr:from>
    <xdr:to>
      <xdr:col>19</xdr:col>
      <xdr:colOff>581025</xdr:colOff>
      <xdr:row>31</xdr:row>
      <xdr:rowOff>57150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4778D3A-A8EF-47DF-A69C-0705625DF6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28574</xdr:colOff>
      <xdr:row>21</xdr:row>
      <xdr:rowOff>61912</xdr:rowOff>
    </xdr:from>
    <xdr:to>
      <xdr:col>15</xdr:col>
      <xdr:colOff>57149</xdr:colOff>
      <xdr:row>31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6BD756E-BECC-430B-BB34-0DA5B83EF0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38100</xdr:colOff>
      <xdr:row>3</xdr:row>
      <xdr:rowOff>66675</xdr:rowOff>
    </xdr:from>
    <xdr:to>
      <xdr:col>27</xdr:col>
      <xdr:colOff>28575</xdr:colOff>
      <xdr:row>14</xdr:row>
      <xdr:rowOff>52388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3C5B446C-4754-4CBB-B4AE-FF9C313C18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22</xdr:col>
      <xdr:colOff>52387</xdr:colOff>
      <xdr:row>14</xdr:row>
      <xdr:rowOff>147637</xdr:rowOff>
    </xdr:from>
    <xdr:to>
      <xdr:col>27</xdr:col>
      <xdr:colOff>28575</xdr:colOff>
      <xdr:row>25</xdr:row>
      <xdr:rowOff>47625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02B3160-B566-4BD5-8C99-785E893DE9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27013</xdr:colOff>
      <xdr:row>1</xdr:row>
      <xdr:rowOff>25177</xdr:rowOff>
    </xdr:from>
    <xdr:to>
      <xdr:col>27</xdr:col>
      <xdr:colOff>632503</xdr:colOff>
      <xdr:row>60</xdr:row>
      <xdr:rowOff>54694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67A4D06-61F8-08AB-43F1-4BAE7BBA7E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99472</xdr:colOff>
      <xdr:row>11</xdr:row>
      <xdr:rowOff>168703</xdr:rowOff>
    </xdr:from>
    <xdr:to>
      <xdr:col>15</xdr:col>
      <xdr:colOff>420291</xdr:colOff>
      <xdr:row>31</xdr:row>
      <xdr:rowOff>84177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447219F-934A-156E-BD68-6C148784AA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homas Sheridan" id="{C11C23B8-CB5D-42BA-AE8D-C435545CC870}" userId="4487364ff61c488f" providerId="Windows Live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24" xr16:uid="{54512741-9BC1-415B-90CD-F8F3BFFB9610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21" xr16:uid="{70051973-DDA5-42FB-B5A3-6817DC023ED9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20" xr16:uid="{2310FB47-C9BE-4BCD-B212-7F70F87DF97C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19" xr16:uid="{5E626DA1-B71D-4518-ACD8-887ED03C41E0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30" xr16:uid="{32924950-C2B6-4466-A3DF-A3D7DA2F331E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29" xr16:uid="{256965EB-0326-4850-9ABF-9E613CE7943E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6" xr16:uid="{9C1D235A-1AB6-4CB7-82FF-41C8D8FC3B04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23" xr16:uid="{4EE3C64C-A497-45FD-A298-BDC298923841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8" xr16:uid="{AC53C253-50A3-4668-97C8-ECAABA457AE0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7" xr16:uid="{19C3D463-B252-4E55-87E9-7B4FF77E1C11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25" xr16:uid="{1F6DEB45-3449-40E8-A21D-A849F2CFF071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2" xr16:uid="{00149619-50EF-4650-8207-7BB7A34667F7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7" xr16:uid="{1DC7261B-E1E4-4690-925D-85E51E2C6513}" autoFormatId="16" applyNumberFormats="0" applyBorderFormats="0" applyFontFormats="0" applyPatternFormats="0" applyAlignmentFormats="0" applyWidthHeightFormats="0">
  <queryTableRefresh nextId="13">
    <queryTableFields count="12">
      <queryTableField id="1" name="alpha" tableColumnId="1"/>
      <queryTableField id="2" name="CL" tableColumnId="2"/>
      <queryTableField id="3" name="CD" tableColumnId="3"/>
      <queryTableField id="4" name="CDp" tableColumnId="4"/>
      <queryTableField id="5" name="Cm" tableColumnId="5"/>
      <queryTableField id="6" name="Top Xtr" tableColumnId="6"/>
      <queryTableField id="7" name="Bot Xtr" tableColumnId="7"/>
      <queryTableField id="8" name="Cpmin" tableColumnId="8"/>
      <queryTableField id="9" name="Chinge" tableColumnId="9"/>
      <queryTableField id="10" name="XCp" tableColumnId="10"/>
      <queryTableField id="11" name="Column11" tableColumnId="11"/>
      <queryTableField id="12" name="Column12" tableColumnId="12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16" xr16:uid="{4720DE74-E4A6-44B3-A002-A606A8D48766}" autoFormatId="16" applyNumberFormats="0" applyBorderFormats="0" applyFontFormats="0" applyPatternFormats="0" applyAlignmentFormats="0" applyWidthHeightFormats="0">
  <queryTableRefresh nextId="5">
    <queryTableFields count="4">
      <queryTableField id="1" name="alpha" tableColumnId="1"/>
      <queryTableField id="2" name="CL" tableColumnId="2"/>
      <queryTableField id="3" name="CD" tableColumnId="3"/>
      <queryTableField id="4" name="CM" tableColumnId="4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13" xr16:uid="{E8922265-0FA9-4B5F-A96B-421EB9D83779}" autoFormatId="16" applyNumberFormats="0" applyBorderFormats="0" applyFontFormats="0" applyPatternFormats="0" applyAlignmentFormats="0" applyWidthHeightFormats="0">
  <queryTableRefresh nextId="5">
    <queryTableFields count="4">
      <queryTableField id="1" name="alpha" tableColumnId="1"/>
      <queryTableField id="2" name="CL" tableColumnId="2"/>
      <queryTableField id="3" name="CD" tableColumnId="3"/>
      <queryTableField id="4" name="CM" tableColumnId="4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2" xr16:uid="{8D849317-8242-432B-8A2A-80439A1DBA23}" autoFormatId="16" applyNumberFormats="0" applyBorderFormats="0" applyFontFormats="0" applyPatternFormats="0" applyAlignmentFormats="0" applyWidthHeightFormats="0">
  <queryTableRefresh nextId="5">
    <queryTableFields count="4">
      <queryTableField id="1" name="alpha" tableColumnId="1"/>
      <queryTableField id="2" name="CL" tableColumnId="2"/>
      <queryTableField id="3" name="CD" tableColumnId="3"/>
      <queryTableField id="4" name="CM" tableColumnId="4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1" xr16:uid="{FFD09AD7-B5CC-4DFA-AED5-CF1672E6059D}" autoFormatId="16" applyNumberFormats="0" applyBorderFormats="0" applyFontFormats="0" applyPatternFormats="0" applyAlignmentFormats="0" applyWidthHeightFormats="0">
  <queryTableRefresh nextId="5">
    <queryTableFields count="4">
      <queryTableField id="1" name="alpha" tableColumnId="1"/>
      <queryTableField id="2" name="CL" tableColumnId="2"/>
      <queryTableField id="3" name="CD" tableColumnId="3"/>
      <queryTableField id="4" name="CM" tableColumnId="4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0" xr16:uid="{41D91986-97F1-440F-A21C-B4B6A417467E}" autoFormatId="16" applyNumberFormats="0" applyBorderFormats="0" applyFontFormats="0" applyPatternFormats="0" applyAlignmentFormats="0" applyWidthHeightFormats="0">
  <queryTableRefresh nextId="5">
    <queryTableFields count="4">
      <queryTableField id="1" name="alpha" tableColumnId="1"/>
      <queryTableField id="2" name="CL" tableColumnId="2"/>
      <queryTableField id="3" name="CD" tableColumnId="3"/>
      <queryTableField id="4" name="CM" tableColumnId="4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7" xr16:uid="{E5F73852-661F-41F9-904B-48762CEBC951}" autoFormatId="16" applyNumberFormats="0" applyBorderFormats="0" applyFontFormats="0" applyPatternFormats="0" applyAlignmentFormats="0" applyWidthHeightFormats="0">
  <queryTableRefresh nextId="5">
    <queryTableFields count="4">
      <queryTableField id="1" name="alpha" tableColumnId="1"/>
      <queryTableField id="2" name="CL" tableColumnId="2"/>
      <queryTableField id="3" name="CD" tableColumnId="3"/>
      <queryTableField id="4" name="CM" tableColumnId="4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D3AB2BD9-8986-4105-A334-9A24E492BFBD}" autoFormatId="16" applyNumberFormats="0" applyBorderFormats="0" applyFontFormats="0" applyPatternFormats="0" applyAlignmentFormats="0" applyWidthHeightFormats="0">
  <queryTableRefresh nextId="5">
    <queryTableFields count="4">
      <queryTableField id="1" name="alpha" tableColumnId="1"/>
      <queryTableField id="2" name="CL" tableColumnId="2"/>
      <queryTableField id="3" name="CD" tableColumnId="3"/>
      <queryTableField id="4" name="CM" tableColumnId="4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B5CA7BE6-4EF0-46FF-BECF-E225455454D7}" autoFormatId="16" applyNumberFormats="0" applyBorderFormats="0" applyFontFormats="0" applyPatternFormats="0" applyAlignmentFormats="0" applyWidthHeightFormats="0">
  <queryTableRefresh nextId="5">
    <queryTableFields count="4">
      <queryTableField id="1" name="alpha" tableColumnId="1"/>
      <queryTableField id="2" name="CL" tableColumnId="2"/>
      <queryTableField id="3" name="CD" tableColumnId="3"/>
      <queryTableField id="4" name="CM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4B15645-54D1-4066-A2AB-33EF9AF9AA0E}" name="T1_Re200_000_M0_84_N5_0_XtrTop_5__XtrBot_5" displayName="T1_Re200_000_M0_84_N5_0_XtrTop_5__XtrBot_5" ref="A1:L57" tableType="queryTable" totalsRowShown="0">
  <autoFilter ref="A1:L57" xr:uid="{54B15645-54D1-4066-A2AB-33EF9AF9AA0E}"/>
  <tableColumns count="12">
    <tableColumn id="1" xr3:uid="{6BF7524C-9B06-4496-9065-F08E7B4EABCD}" uniqueName="1" name="alpha" queryTableFieldId="1"/>
    <tableColumn id="2" xr3:uid="{D8D2BE8F-4772-4E45-82B9-0291BAA42626}" uniqueName="2" name="CL" queryTableFieldId="2"/>
    <tableColumn id="3" xr3:uid="{1EB0A299-37B0-4247-9493-6C57B2951D2F}" uniqueName="3" name="CD" queryTableFieldId="3"/>
    <tableColumn id="4" xr3:uid="{7A13FD83-32B7-44F2-A92F-BC7C51E7CAE4}" uniqueName="4" name="CDp" queryTableFieldId="4"/>
    <tableColumn id="5" xr3:uid="{5BF7507A-67A5-4DA8-AD98-60FA32E895F5}" uniqueName="5" name="Cm" queryTableFieldId="5"/>
    <tableColumn id="6" xr3:uid="{4A3B524F-94C4-4909-92FB-D150DC33E8CA}" uniqueName="6" name="Top Xtr" queryTableFieldId="6"/>
    <tableColumn id="7" xr3:uid="{486DA360-43B3-4BD7-87AE-AE883F2C79C2}" uniqueName="7" name="Bot Xtr" queryTableFieldId="7"/>
    <tableColumn id="8" xr3:uid="{8EF80812-BFAF-45BD-9501-E3AD05B12C5F}" uniqueName="8" name="Cpmin" queryTableFieldId="8"/>
    <tableColumn id="9" xr3:uid="{940970EB-844A-49FA-9E0E-AC85A9B31605}" uniqueName="9" name="Chinge" queryTableFieldId="9"/>
    <tableColumn id="10" xr3:uid="{6240CE2F-4A25-4EA1-995C-7CD82AEA31DD}" uniqueName="10" name="XCp" queryTableFieldId="10"/>
    <tableColumn id="11" xr3:uid="{4E49BB3F-90CA-4B1F-997C-1E216E6C0C17}" uniqueName="11" name="Column11" queryTableFieldId="11"/>
    <tableColumn id="12" xr3:uid="{90AA7441-0039-4D31-949F-B08A2CD6E106}" uniqueName="12" name="Column12" queryTableFieldId="1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9CB7A64-4573-4A4F-812C-836E3C49F42C}" name="T1_Re160_000_M0_84_N5_0_XtrTop_5__XtrBot_5" displayName="T1_Re160_000_M0_84_N5_0_XtrTop_5__XtrBot_5" ref="A1:L60" tableType="queryTable" totalsRowShown="0">
  <autoFilter ref="A1:L60" xr:uid="{B9CB7A64-4573-4A4F-812C-836E3C49F42C}"/>
  <tableColumns count="12">
    <tableColumn id="1" xr3:uid="{FAAB94FC-F3B1-4727-83CB-433E3725AE92}" uniqueName="1" name="alpha" queryTableFieldId="1"/>
    <tableColumn id="2" xr3:uid="{6A7B47EF-A31E-4F67-84D3-DC2E490B3576}" uniqueName="2" name="CL" queryTableFieldId="2"/>
    <tableColumn id="3" xr3:uid="{DD3B1653-E799-4F2D-9915-FDDFF2CBAA5A}" uniqueName="3" name="CD" queryTableFieldId="3"/>
    <tableColumn id="4" xr3:uid="{93EAD8BF-5B61-494B-A535-838F80E46627}" uniqueName="4" name="CDp" queryTableFieldId="4"/>
    <tableColumn id="5" xr3:uid="{2B50A433-7A0D-4CE3-842C-CB7BD0E622A3}" uniqueName="5" name="Cm" queryTableFieldId="5"/>
    <tableColumn id="6" xr3:uid="{5531131B-5321-4BB3-9149-F2EE1F400DCB}" uniqueName="6" name="Top Xtr" queryTableFieldId="6"/>
    <tableColumn id="7" xr3:uid="{37402863-CDE0-485A-B90D-1F90BABB31FF}" uniqueName="7" name="Bot Xtr" queryTableFieldId="7"/>
    <tableColumn id="8" xr3:uid="{10CD87EB-DB73-4BD8-BC69-57AC2DE4632E}" uniqueName="8" name="Cpmin" queryTableFieldId="8"/>
    <tableColumn id="9" xr3:uid="{37E621A3-6D08-45F0-91D1-26FEDCDCB64B}" uniqueName="9" name="Chinge" queryTableFieldId="9"/>
    <tableColumn id="10" xr3:uid="{546679B2-3AB4-436C-8F83-FBE480E28357}" uniqueName="10" name="XCp" queryTableFieldId="10"/>
    <tableColumn id="11" xr3:uid="{A676009C-B205-4666-BCB7-7C7C58B32ED9}" uniqueName="11" name="Column11" queryTableFieldId="11"/>
    <tableColumn id="12" xr3:uid="{FB38B45B-1646-4E6F-9502-B78B22400691}" uniqueName="12" name="Column12" queryTableFieldId="1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8B40310-D0FA-4F03-98E2-0EE98820A3C7}" name="T1_Re120_000_M0_84_N5_0_XtrTop_5__XtrBot_5" displayName="T1_Re120_000_M0_84_N5_0_XtrTop_5__XtrBot_5" ref="A1:L62" tableType="queryTable" totalsRowShown="0">
  <autoFilter ref="A1:L62" xr:uid="{B8B40310-D0FA-4F03-98E2-0EE98820A3C7}"/>
  <tableColumns count="12">
    <tableColumn id="1" xr3:uid="{EFCE8120-1266-4424-B158-1C2BA67C5298}" uniqueName="1" name="alpha" queryTableFieldId="1"/>
    <tableColumn id="2" xr3:uid="{0FE2B028-7D25-438E-B1D1-58B1F5E9735F}" uniqueName="2" name="CL" queryTableFieldId="2"/>
    <tableColumn id="3" xr3:uid="{7000605D-2F8D-4C25-8BAA-D398549BAAD5}" uniqueName="3" name="CD" queryTableFieldId="3"/>
    <tableColumn id="4" xr3:uid="{D265BB84-B890-4C8B-B47C-C703D66AD130}" uniqueName="4" name="CDp" queryTableFieldId="4"/>
    <tableColumn id="5" xr3:uid="{3B73AEF9-DB9D-418D-8E5A-0A34DF85D5D8}" uniqueName="5" name="Cm" queryTableFieldId="5"/>
    <tableColumn id="6" xr3:uid="{93684C4A-173E-45F7-9302-9F31A2C1D6CA}" uniqueName="6" name="Top Xtr" queryTableFieldId="6"/>
    <tableColumn id="7" xr3:uid="{18540D67-31F7-4404-8EFE-C9A246FE47CF}" uniqueName="7" name="Bot Xtr" queryTableFieldId="7"/>
    <tableColumn id="8" xr3:uid="{A7CC6D5D-DF37-4F0C-A8A6-360D8C308C26}" uniqueName="8" name="Cpmin" queryTableFieldId="8"/>
    <tableColumn id="9" xr3:uid="{69BEF20C-3823-4A45-900F-AE7C8C756249}" uniqueName="9" name="Chinge" queryTableFieldId="9"/>
    <tableColumn id="10" xr3:uid="{8BE316C3-C8D1-4060-84E1-8CC7485879C0}" uniqueName="10" name="XCp" queryTableFieldId="10"/>
    <tableColumn id="11" xr3:uid="{E58C69C2-A44F-4D55-8FF7-47DFBAA0101D}" uniqueName="11" name="Column11" queryTableFieldId="11"/>
    <tableColumn id="12" xr3:uid="{85588EEC-DB7E-4756-B898-7A9C5FB3FA94}" uniqueName="12" name="Column12" queryTableFieldId="1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9EF957-4F86-4C52-9777-BBBE41F85F0D}" name="T1_Re100_000_M0_84_N5_0_XtrTop_5__XtrBot_5" displayName="T1_Re100_000_M0_84_N5_0_XtrTop_5__XtrBot_5" ref="A1:L69" tableType="queryTable" totalsRowShown="0">
  <autoFilter ref="A1:L69" xr:uid="{249EF957-4F86-4C52-9777-BBBE41F85F0D}"/>
  <tableColumns count="12">
    <tableColumn id="1" xr3:uid="{D86F6596-F4B9-49E2-A14E-9C457BE6F7D6}" uniqueName="1" name="alpha" queryTableFieldId="1"/>
    <tableColumn id="2" xr3:uid="{3FF3182A-1ACA-434F-9D99-E5D36B063572}" uniqueName="2" name="CL" queryTableFieldId="2"/>
    <tableColumn id="3" xr3:uid="{51984151-CAAD-4691-91C8-1EE0820A5385}" uniqueName="3" name="CD" queryTableFieldId="3"/>
    <tableColumn id="4" xr3:uid="{58660D3B-8D88-4ED7-BC2C-6C441F03FF32}" uniqueName="4" name="CDp" queryTableFieldId="4"/>
    <tableColumn id="5" xr3:uid="{396D3421-41B1-4955-9D0A-EC0C17257078}" uniqueName="5" name="Cm" queryTableFieldId="5"/>
    <tableColumn id="6" xr3:uid="{7C1F0D1A-5889-4F96-85EE-5B32C4E3B3AE}" uniqueName="6" name="Top Xtr" queryTableFieldId="6"/>
    <tableColumn id="7" xr3:uid="{B3A6425B-E28A-4D28-A0CA-86F8B6A9ED23}" uniqueName="7" name="Bot Xtr" queryTableFieldId="7"/>
    <tableColumn id="8" xr3:uid="{0495DA52-9245-4D90-8608-2C30E4185BC2}" uniqueName="8" name="Cpmin" queryTableFieldId="8"/>
    <tableColumn id="9" xr3:uid="{D73BA8B9-7699-4CA5-A279-0AA7489309BD}" uniqueName="9" name="Chinge" queryTableFieldId="9"/>
    <tableColumn id="10" xr3:uid="{13F66558-6200-4FD3-B702-6F8A17312AA0}" uniqueName="10" name="XCp" queryTableFieldId="10"/>
    <tableColumn id="11" xr3:uid="{8FBB5082-3F76-43D4-A797-6C9189FAEDC5}" uniqueName="11" name="Column11" queryTableFieldId="11"/>
    <tableColumn id="12" xr3:uid="{1FF7AF95-9826-4514-A300-502CF208244F}" uniqueName="12" name="Column12" queryTableFieldId="1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86CFBE4-7C3A-4DAB-87D0-5C82997299E5}" name="T1_Re80_000_M0_84_N5_0_XtrTop_5__XtrBot_5" displayName="T1_Re80_000_M0_84_N5_0_XtrTop_5__XtrBot_5" ref="A1:L70" tableType="queryTable" totalsRowShown="0">
  <autoFilter ref="A1:L70" xr:uid="{986CFBE4-7C3A-4DAB-87D0-5C82997299E5}"/>
  <tableColumns count="12">
    <tableColumn id="1" xr3:uid="{452B89E2-CC79-4E0A-8739-A196C7392644}" uniqueName="1" name="alpha" queryTableFieldId="1"/>
    <tableColumn id="2" xr3:uid="{AE8BCCC3-A6E5-4981-A2CB-C25F11898A2C}" uniqueName="2" name="CL" queryTableFieldId="2"/>
    <tableColumn id="3" xr3:uid="{5215A2A9-73B4-4D00-9A16-C871A0E43220}" uniqueName="3" name="CD" queryTableFieldId="3"/>
    <tableColumn id="4" xr3:uid="{B02042D8-DBD1-4E05-96BA-08098E14C92A}" uniqueName="4" name="CDp" queryTableFieldId="4"/>
    <tableColumn id="5" xr3:uid="{5830B7DD-E337-47D5-86F5-9346E7460366}" uniqueName="5" name="Cm" queryTableFieldId="5"/>
    <tableColumn id="6" xr3:uid="{1B67CC27-57D5-4931-ACC0-EA13E45ABA56}" uniqueName="6" name="Top Xtr" queryTableFieldId="6"/>
    <tableColumn id="7" xr3:uid="{E4CB9EB3-3106-49B3-BC79-6D3E0C89151C}" uniqueName="7" name="Bot Xtr" queryTableFieldId="7"/>
    <tableColumn id="8" xr3:uid="{568EE509-22A1-4DBC-9909-8B068CB7D47C}" uniqueName="8" name="Cpmin" queryTableFieldId="8"/>
    <tableColumn id="9" xr3:uid="{873F607E-739F-4A07-A2EE-BAAF3204DB68}" uniqueName="9" name="Chinge" queryTableFieldId="9"/>
    <tableColumn id="10" xr3:uid="{747361B3-8CB3-4EA4-834E-05AAF460A849}" uniqueName="10" name="XCp" queryTableFieldId="10"/>
    <tableColumn id="11" xr3:uid="{EB89D3E0-D91D-4476-AEFE-56E5277878E5}" uniqueName="11" name="Column11" queryTableFieldId="11"/>
    <tableColumn id="12" xr3:uid="{BB384D4D-FFCB-43EB-BF8F-912FA5917DB1}" uniqueName="12" name="Column12" queryTableFieldId="1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53D156F-CC49-48A7-8475-769278FFD9CE}" name="T1_Re60_000_M0_84_N5_0_XtrTop_5__XtrBot_5" displayName="T1_Re60_000_M0_84_N5_0_XtrTop_5__XtrBot_5" ref="A1:L69" tableType="queryTable" totalsRowShown="0">
  <autoFilter ref="A1:L69" xr:uid="{253D156F-CC49-48A7-8475-769278FFD9CE}"/>
  <tableColumns count="12">
    <tableColumn id="1" xr3:uid="{0C338738-F63B-4A98-8231-1746BDFFFDE0}" uniqueName="1" name="alpha" queryTableFieldId="1"/>
    <tableColumn id="2" xr3:uid="{5E711572-B594-4A43-8261-605CCE8E99FD}" uniqueName="2" name="CL" queryTableFieldId="2"/>
    <tableColumn id="3" xr3:uid="{277D69A7-B2BE-440F-AA12-64BD0FD3F5EA}" uniqueName="3" name="CD" queryTableFieldId="3"/>
    <tableColumn id="4" xr3:uid="{33C65E22-5E1E-44FC-924B-C77DDC327FB9}" uniqueName="4" name="CDp" queryTableFieldId="4"/>
    <tableColumn id="5" xr3:uid="{9329D2C9-76A4-46F3-BB7E-3FE04E53EE52}" uniqueName="5" name="Cm" queryTableFieldId="5"/>
    <tableColumn id="6" xr3:uid="{F7D5F611-EF12-436E-8D58-3A97A113DB2D}" uniqueName="6" name="Top Xtr" queryTableFieldId="6"/>
    <tableColumn id="7" xr3:uid="{12EB9F63-7D11-4081-AE2E-5D7EFD056079}" uniqueName="7" name="Bot Xtr" queryTableFieldId="7"/>
    <tableColumn id="8" xr3:uid="{5FEBED00-FCEE-40B7-B692-D97863EAD7EC}" uniqueName="8" name="Cpmin" queryTableFieldId="8"/>
    <tableColumn id="9" xr3:uid="{FB76BD35-5237-4028-9AC4-EC2F7DC13B0E}" uniqueName="9" name="Chinge" queryTableFieldId="9"/>
    <tableColumn id="10" xr3:uid="{D8E6D08A-9161-4FF7-8188-DB8BF99DE3F7}" uniqueName="10" name="XCp" queryTableFieldId="10"/>
    <tableColumn id="11" xr3:uid="{88794D3B-4682-499F-8679-F72BD64FFC7F}" uniqueName="11" name="Column11" queryTableFieldId="11"/>
    <tableColumn id="12" xr3:uid="{A9C150CF-FCBD-4EAD-BC24-EA7163D515B9}" uniqueName="12" name="Column12" queryTableFieldId="12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4DAA871-94AF-4B9B-A050-A1B98654E75E}" name="T1_Re40_000_M0_84_N5_0_XtrTop_5__XtrBot_5" displayName="T1_Re40_000_M0_84_N5_0_XtrTop_5__XtrBot_5" ref="A1:L79" tableType="queryTable" totalsRowShown="0">
  <autoFilter ref="A1:L79" xr:uid="{D4DAA871-94AF-4B9B-A050-A1B98654E75E}"/>
  <tableColumns count="12">
    <tableColumn id="1" xr3:uid="{DE06899A-F214-4149-A972-635471886943}" uniqueName="1" name="alpha" queryTableFieldId="1"/>
    <tableColumn id="2" xr3:uid="{565F9204-0831-490A-B223-5CB04D26B331}" uniqueName="2" name="CL" queryTableFieldId="2"/>
    <tableColumn id="3" xr3:uid="{B79A39FF-3C5E-45A1-8C01-CF93ED5B5AC3}" uniqueName="3" name="CD" queryTableFieldId="3"/>
    <tableColumn id="4" xr3:uid="{D4555F19-0DC7-4509-B952-CDA826C16BA9}" uniqueName="4" name="CDp" queryTableFieldId="4"/>
    <tableColumn id="5" xr3:uid="{C1CD0295-B0FE-42BD-949E-F695E95449B3}" uniqueName="5" name="Cm" queryTableFieldId="5"/>
    <tableColumn id="6" xr3:uid="{DC76A404-4953-44F7-851A-556274CF6EDA}" uniqueName="6" name="Top Xtr" queryTableFieldId="6"/>
    <tableColumn id="7" xr3:uid="{4F5EBFAF-8152-4507-B852-5064151BE0B3}" uniqueName="7" name="Bot Xtr" queryTableFieldId="7"/>
    <tableColumn id="8" xr3:uid="{4D34EE99-F9F7-4ABB-8D5A-B9F3E575B985}" uniqueName="8" name="Cpmin" queryTableFieldId="8"/>
    <tableColumn id="9" xr3:uid="{D3D30248-293A-4514-97F7-3B6FBEE6746E}" uniqueName="9" name="Chinge" queryTableFieldId="9"/>
    <tableColumn id="10" xr3:uid="{99AA2A4A-373C-42BD-9E9C-C9303110F26D}" uniqueName="10" name="XCp" queryTableFieldId="10"/>
    <tableColumn id="11" xr3:uid="{7B3B91EE-7E20-4008-9DC5-98D19AE84859}" uniqueName="11" name="Column11" queryTableFieldId="11"/>
    <tableColumn id="12" xr3:uid="{3D6C9B98-6DBB-4104-9A8C-D984999A49F0}" uniqueName="12" name="Column12" queryTableFieldId="12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BA975CA-52C8-433E-896A-263B412A559A}" name="T1_Re20_000_M0_84_N5_0_XtrTop_5__XtrBot_5" displayName="T1_Re20_000_M0_84_N5_0_XtrTop_5__XtrBot_5" ref="A1:L107" tableType="queryTable" totalsRowShown="0">
  <autoFilter ref="A1:L107" xr:uid="{1BA975CA-52C8-433E-896A-263B412A559A}"/>
  <tableColumns count="12">
    <tableColumn id="1" xr3:uid="{EF5FA5A2-1ABA-4AB2-B7E9-41D56EF203D3}" uniqueName="1" name="alpha" queryTableFieldId="1"/>
    <tableColumn id="2" xr3:uid="{C4B5DB4B-2CC6-4C4B-B4F3-8F3167D3B3C6}" uniqueName="2" name="CL" queryTableFieldId="2"/>
    <tableColumn id="3" xr3:uid="{99C1980F-85E0-4C0F-A60C-00CC5DE3F048}" uniqueName="3" name="CD" queryTableFieldId="3"/>
    <tableColumn id="4" xr3:uid="{9269F5EF-E5EE-4899-8CD9-F6F94D241FAB}" uniqueName="4" name="CDp" queryTableFieldId="4"/>
    <tableColumn id="5" xr3:uid="{DFFA97FD-5BB7-40D1-A9AF-D8A3088D3434}" uniqueName="5" name="Cm" queryTableFieldId="5"/>
    <tableColumn id="6" xr3:uid="{CE591BA3-4BD2-49FC-8333-0A8425460B99}" uniqueName="6" name="Top Xtr" queryTableFieldId="6"/>
    <tableColumn id="7" xr3:uid="{9727FE01-04DE-4D10-95BD-CB57D2D636A8}" uniqueName="7" name="Bot Xtr" queryTableFieldId="7"/>
    <tableColumn id="8" xr3:uid="{7B058070-BFED-4E1D-B624-5A18F2603702}" uniqueName="8" name="Cpmin" queryTableFieldId="8"/>
    <tableColumn id="9" xr3:uid="{922D1911-755E-4F54-AD40-49DD38A9C596}" uniqueName="9" name="Chinge" queryTableFieldId="9"/>
    <tableColumn id="10" xr3:uid="{060B5FF6-B01E-4DEA-9A57-E1F06AEAE6F6}" uniqueName="10" name="XCp" queryTableFieldId="10"/>
    <tableColumn id="11" xr3:uid="{4BA2D3A4-C8DF-4CCB-9C50-5018FE44E143}" uniqueName="11" name="Column11" queryTableFieldId="11"/>
    <tableColumn id="12" xr3:uid="{BBF7238F-AA23-45E1-9103-B2305206DC52}" uniqueName="12" name="Column12" queryTableFieldId="12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D7F3495-75CE-4368-A2B2-20C0A9FA5342}" name="T1_Re10_000_M0_84_N5_0_XtrTop_5__XtrBot_5" displayName="T1_Re10_000_M0_84_N5_0_XtrTop_5__XtrBot_5" ref="A1:L115" tableType="queryTable" totalsRowShown="0">
  <autoFilter ref="A1:L115" xr:uid="{8D7F3495-75CE-4368-A2B2-20C0A9FA5342}"/>
  <tableColumns count="12">
    <tableColumn id="1" xr3:uid="{00E810EF-D2B1-42B4-B204-76EC6AE2C205}" uniqueName="1" name="alpha" queryTableFieldId="1"/>
    <tableColumn id="2" xr3:uid="{70C9FA2F-3633-41FE-89C6-BAAF43A3E535}" uniqueName="2" name="CL" queryTableFieldId="2"/>
    <tableColumn id="3" xr3:uid="{CFE28878-884C-4089-9F3F-4426883A4750}" uniqueName="3" name="CD" queryTableFieldId="3"/>
    <tableColumn id="4" xr3:uid="{D97976DC-632C-4A2A-8842-B60510C1AFF8}" uniqueName="4" name="CDp" queryTableFieldId="4"/>
    <tableColumn id="5" xr3:uid="{29380125-68DB-4731-9D1A-BFFBAEA2A8C7}" uniqueName="5" name="Cm" queryTableFieldId="5"/>
    <tableColumn id="6" xr3:uid="{57762D14-5C77-4484-9905-57DA6373A1DF}" uniqueName="6" name="Top Xtr" queryTableFieldId="6"/>
    <tableColumn id="7" xr3:uid="{180B66A5-C365-42C0-B701-3B982C1FFEC3}" uniqueName="7" name="Bot Xtr" queryTableFieldId="7"/>
    <tableColumn id="8" xr3:uid="{D69B4961-B858-44F6-B402-EAC5829D6F11}" uniqueName="8" name="Cpmin" queryTableFieldId="8"/>
    <tableColumn id="9" xr3:uid="{0974E642-024B-447F-8F95-CBBB406950D1}" uniqueName="9" name="Chinge" queryTableFieldId="9"/>
    <tableColumn id="10" xr3:uid="{FA6AF31E-5D0E-4528-A9A5-701F96602B0B}" uniqueName="10" name="XCp" queryTableFieldId="10"/>
    <tableColumn id="11" xr3:uid="{43D4E45E-3F88-424A-9AFF-BE11DA391C78}" uniqueName="11" name="Column11" queryTableFieldId="11"/>
    <tableColumn id="12" xr3:uid="{A2E5D090-E4E3-4A27-BC9F-CB3690AE3D70}" uniqueName="12" name="Column12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F47DAC3-912F-4A68-BAF9-F868CC7B4F58}" name="T1_Re5_000_M0_84_N5_0_XtrTop_5__XtrBot_5" displayName="T1_Re5_000_M0_84_N5_0_XtrTop_5__XtrBot_5" ref="A1:L172" tableType="queryTable" totalsRowShown="0">
  <autoFilter ref="A1:L172" xr:uid="{0F47DAC3-912F-4A68-BAF9-F868CC7B4F58}"/>
  <tableColumns count="12">
    <tableColumn id="1" xr3:uid="{8FDAED38-4B30-41A2-8E60-E827A43C0878}" uniqueName="1" name="alpha" queryTableFieldId="1"/>
    <tableColumn id="2" xr3:uid="{2D2496BE-786F-40B6-AB5A-48D9D233C4FD}" uniqueName="2" name="CL" queryTableFieldId="2"/>
    <tableColumn id="3" xr3:uid="{D627BE44-9FF4-4527-8568-EDFC9835A039}" uniqueName="3" name="CD" queryTableFieldId="3"/>
    <tableColumn id="4" xr3:uid="{DA865BB6-F71D-4D1E-99F0-1AAAA75F6763}" uniqueName="4" name="CDp" queryTableFieldId="4"/>
    <tableColumn id="5" xr3:uid="{89012802-CFE8-4B2D-8397-6AD9D91EAB45}" uniqueName="5" name="Cm" queryTableFieldId="5"/>
    <tableColumn id="6" xr3:uid="{8809C486-A8A8-4160-AC5E-251988A2484A}" uniqueName="6" name="Top Xtr" queryTableFieldId="6"/>
    <tableColumn id="7" xr3:uid="{B5C44D59-05F2-4E8F-A190-A5E823DC7C3A}" uniqueName="7" name="Bot Xtr" queryTableFieldId="7"/>
    <tableColumn id="8" xr3:uid="{89F92E9A-BCB1-4D53-8FE9-04F1F09E471F}" uniqueName="8" name="Cpmin" queryTableFieldId="8"/>
    <tableColumn id="9" xr3:uid="{18E1ACFE-713B-4842-9654-EFF5F1427A35}" uniqueName="9" name="Chinge" queryTableFieldId="9"/>
    <tableColumn id="10" xr3:uid="{E205F0D8-8C8A-4F15-B89E-924C3B2422D7}" uniqueName="10" name="XCp" queryTableFieldId="10"/>
    <tableColumn id="11" xr3:uid="{50E76F0D-50F2-4C38-B18A-099D48DCAE7C}" uniqueName="11" name="Column11" queryTableFieldId="11"/>
    <tableColumn id="12" xr3:uid="{F0114F65-26C8-4192-A68B-CFE641420B50}" uniqueName="12" name="Column12" queryTableFieldId="12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2A5BCE1-01C8-4385-951D-F085E48354C1}" name="T1_Re3_000_M0_84_N5_0_XtrTop_5__XtrBot_5" displayName="T1_Re3_000_M0_84_N5_0_XtrTop_5__XtrBot_5" ref="A1:L203" tableType="queryTable" totalsRowShown="0">
  <autoFilter ref="A1:L203" xr:uid="{F2A5BCE1-01C8-4385-951D-F085E48354C1}"/>
  <tableColumns count="12">
    <tableColumn id="1" xr3:uid="{033C7F56-5638-4FD0-8369-4968AA99A8CA}" uniqueName="1" name="alpha" queryTableFieldId="1"/>
    <tableColumn id="2" xr3:uid="{A57DD59F-254D-471C-B562-7612BEDEE2E4}" uniqueName="2" name="CL" queryTableFieldId="2"/>
    <tableColumn id="3" xr3:uid="{37E92E9C-D076-4615-9800-BE9C51D3F9F1}" uniqueName="3" name="CD" queryTableFieldId="3"/>
    <tableColumn id="4" xr3:uid="{F7A9D68F-E9F8-4F8A-B910-3270785F5BD6}" uniqueName="4" name="CDp" queryTableFieldId="4"/>
    <tableColumn id="5" xr3:uid="{FAAE4A2E-F246-43BE-8617-2789BC401AF4}" uniqueName="5" name="Cm" queryTableFieldId="5"/>
    <tableColumn id="6" xr3:uid="{2F43E06E-FDBE-4164-8728-066E24C4B5BC}" uniqueName="6" name="Top Xtr" queryTableFieldId="6"/>
    <tableColumn id="7" xr3:uid="{5380BBEF-F5F2-4969-8ADF-24D55D06D02B}" uniqueName="7" name="Bot Xtr" queryTableFieldId="7"/>
    <tableColumn id="8" xr3:uid="{FF32E657-5806-4C08-AE20-BED87E5570F6}" uniqueName="8" name="Cpmin" queryTableFieldId="8"/>
    <tableColumn id="9" xr3:uid="{FCBB947B-3205-4F26-96F4-C30741B880FE}" uniqueName="9" name="Chinge" queryTableFieldId="9"/>
    <tableColumn id="10" xr3:uid="{A1E23468-66FB-46A5-88BD-2F50B7871BAD}" uniqueName="10" name="XCp" queryTableFieldId="10"/>
    <tableColumn id="11" xr3:uid="{889FA60F-BE77-47A4-A26B-234A81C5822E}" uniqueName="11" name="Column11" queryTableFieldId="11"/>
    <tableColumn id="12" xr3:uid="{EDE90CE8-C75E-4AB6-A9A2-283EFD2DAF8F}" uniqueName="12" name="Column12" queryTableFieldId="12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7729895-1499-43DD-B659-2653A527A231}" name="T1_Re2_000_M0_84_N5_0_XtrTop_5__XtrBot_5" displayName="T1_Re2_000_M0_84_N5_0_XtrTop_5__XtrBot_5" ref="A1:L204" tableType="queryTable" totalsRowShown="0">
  <autoFilter ref="A1:L204" xr:uid="{97729895-1499-43DD-B659-2653A527A231}"/>
  <tableColumns count="12">
    <tableColumn id="1" xr3:uid="{E0BCFCD8-E76C-43BA-AA1C-2F2F41586547}" uniqueName="1" name="alpha" queryTableFieldId="1"/>
    <tableColumn id="2" xr3:uid="{79F4A4DC-D18F-4E74-B217-649BD8B1707F}" uniqueName="2" name="CL" queryTableFieldId="2"/>
    <tableColumn id="3" xr3:uid="{6354D1E9-082D-42E0-BCC3-C506B09AB3B2}" uniqueName="3" name="CD" queryTableFieldId="3"/>
    <tableColumn id="4" xr3:uid="{623CA244-AEAC-448E-8BCD-C2E931E0CBD0}" uniqueName="4" name="CDp" queryTableFieldId="4"/>
    <tableColumn id="5" xr3:uid="{EC6B9AAE-FC5A-4E8C-9FC9-7B0D11C5EE56}" uniqueName="5" name="Cm" queryTableFieldId="5"/>
    <tableColumn id="6" xr3:uid="{331F68DC-1506-4CE9-9E38-F3D22BE51EDB}" uniqueName="6" name="Top Xtr" queryTableFieldId="6"/>
    <tableColumn id="7" xr3:uid="{A5244A06-449B-47D5-AD17-CCF59697B3F4}" uniqueName="7" name="Bot Xtr" queryTableFieldId="7"/>
    <tableColumn id="8" xr3:uid="{822410BF-1849-4CC2-A575-B2F91D52AAEC}" uniqueName="8" name="Cpmin" queryTableFieldId="8"/>
    <tableColumn id="9" xr3:uid="{407EF867-A37F-476C-BCD5-4796F91E11BC}" uniqueName="9" name="Chinge" queryTableFieldId="9"/>
    <tableColumn id="10" xr3:uid="{A8FE7D35-9DD9-4B7C-B676-5450E90E854D}" uniqueName="10" name="XCp" queryTableFieldId="10"/>
    <tableColumn id="11" xr3:uid="{DACC7FE0-A9A0-47DB-8B04-5C5EA6837AA6}" uniqueName="11" name="Column11" queryTableFieldId="11"/>
    <tableColumn id="12" xr3:uid="{250130D0-26CC-4B1F-8F4C-F9E330942640}" uniqueName="12" name="Column12" queryTableFieldId="12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7CA6B6B-9688-430F-A689-8C3796B84966}" name="T1_Re1_000_M0_84_N5_0_XtrTop_5__XtrBot_5" displayName="T1_Re1_000_M0_84_N5_0_XtrTop_5__XtrBot_5" ref="A1:L204" tableType="queryTable" totalsRowShown="0">
  <autoFilter ref="A1:L204" xr:uid="{F7CA6B6B-9688-430F-A689-8C3796B84966}"/>
  <tableColumns count="12">
    <tableColumn id="1" xr3:uid="{0CFC3C68-98D2-4800-AA61-88832C61CFF5}" uniqueName="1" name="alpha" queryTableFieldId="1"/>
    <tableColumn id="2" xr3:uid="{07E37800-BC18-4665-82C6-B806C53E2B21}" uniqueName="2" name="CL" queryTableFieldId="2"/>
    <tableColumn id="3" xr3:uid="{1916DEF3-FA89-401B-BDC5-7B06A322B274}" uniqueName="3" name="CD" queryTableFieldId="3"/>
    <tableColumn id="4" xr3:uid="{05DE8B3D-9D05-43A7-9569-6F2B36B03942}" uniqueName="4" name="CDp" queryTableFieldId="4"/>
    <tableColumn id="5" xr3:uid="{681AFD50-A655-4A53-9FC3-80F7B135AD9E}" uniqueName="5" name="Cm" queryTableFieldId="5"/>
    <tableColumn id="6" xr3:uid="{84AF75BF-4D62-4A61-B154-259F52BC04A0}" uniqueName="6" name="Top Xtr" queryTableFieldId="6"/>
    <tableColumn id="7" xr3:uid="{AA4001BE-180A-4142-9CC5-088CBA934BCD}" uniqueName="7" name="Bot Xtr" queryTableFieldId="7"/>
    <tableColumn id="8" xr3:uid="{53EC7AB9-D814-4064-9666-1AF0E344677D}" uniqueName="8" name="Cpmin" queryTableFieldId="8"/>
    <tableColumn id="9" xr3:uid="{11CEB505-CCA1-4BEE-A5CC-BDE617E1AC79}" uniqueName="9" name="Chinge" queryTableFieldId="9"/>
    <tableColumn id="10" xr3:uid="{454BE0AF-D930-419B-8E16-65851D00D0B9}" uniqueName="10" name="XCp" queryTableFieldId="10"/>
    <tableColumn id="11" xr3:uid="{95AFB32B-FC62-4921-9906-87CE89485C10}" uniqueName="11" name="Column11" queryTableFieldId="11"/>
    <tableColumn id="12" xr3:uid="{E6571F28-75E9-4794-BB4C-EB71B7A94336}" uniqueName="12" name="Column12" queryTableFieldId="12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F7F1AD16-39F0-4F05-9C39-EEDF26565D9F}" name="polar8__3" displayName="polar8__3" ref="A1:D41" tableType="queryTable" totalsRowShown="0">
  <autoFilter ref="A1:D41" xr:uid="{F7F1AD16-39F0-4F05-9C39-EEDF26565D9F}"/>
  <tableColumns count="4">
    <tableColumn id="1" xr3:uid="{2040493B-D2D9-4AAF-9BE1-09A69D86F96E}" uniqueName="1" name="alpha" queryTableFieldId="1"/>
    <tableColumn id="2" xr3:uid="{6C8F8674-E33C-461A-B85B-B3F0A5CEAA40}" uniqueName="2" name="CL" queryTableFieldId="2"/>
    <tableColumn id="3" xr3:uid="{5270676E-9E83-45BA-BCBA-02428BC6B5F8}" uniqueName="3" name="CD" queryTableFieldId="3"/>
    <tableColumn id="4" xr3:uid="{8830902D-2484-4582-9E05-CF2DE6CD5477}" uniqueName="4" name="CM" queryTableFieldId="4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C7C15EE-06EA-46BC-9FBF-2FA86B8BBD26}" name="polar7" displayName="polar7" ref="A1:D41" tableType="queryTable" totalsRowShown="0">
  <autoFilter ref="A1:D41" xr:uid="{7C7C15EE-06EA-46BC-9FBF-2FA86B8BBD26}"/>
  <tableColumns count="4">
    <tableColumn id="1" xr3:uid="{464CBBE4-C29F-4165-A092-50C9DFAD5533}" uniqueName="1" name="alpha" queryTableFieldId="1"/>
    <tableColumn id="2" xr3:uid="{E792C2D3-D07A-40D0-8B8D-27BE5863B0AD}" uniqueName="2" name="CL" queryTableFieldId="2"/>
    <tableColumn id="3" xr3:uid="{48B3D886-3FD4-434F-8625-F46134F27057}" uniqueName="3" name="CD" queryTableFieldId="3"/>
    <tableColumn id="4" xr3:uid="{C013D6A7-3DF5-455A-8DCB-50F93C4ABDBD}" uniqueName="4" name="CM" queryTableFieldId="4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4812696-6EBE-415B-B2E5-02038EFAD765}" name="polar6" displayName="polar6" ref="A1:D41" tableType="queryTable" totalsRowShown="0">
  <autoFilter ref="A1:D41" xr:uid="{54812696-6EBE-415B-B2E5-02038EFAD765}"/>
  <tableColumns count="4">
    <tableColumn id="1" xr3:uid="{1DC55CE5-8DCA-45A6-8715-C86317E66C7C}" uniqueName="1" name="alpha" queryTableFieldId="1"/>
    <tableColumn id="2" xr3:uid="{7A4ED16A-299F-4F40-B69D-A1D47E7A74EE}" uniqueName="2" name="CL" queryTableFieldId="2"/>
    <tableColumn id="3" xr3:uid="{E872A4CD-8550-4713-839F-C0957B93A7A3}" uniqueName="3" name="CD" queryTableFieldId="3"/>
    <tableColumn id="4" xr3:uid="{A543D460-C58B-4282-8A34-9F97746426C5}" uniqueName="4" name="CM" queryTableFieldId="4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1CE6A672-F331-491C-861D-524E5F117F51}" name="polar5" displayName="polar5" ref="A1:D41" tableType="queryTable" totalsRowShown="0">
  <autoFilter ref="A1:D41" xr:uid="{1CE6A672-F331-491C-861D-524E5F117F51}"/>
  <tableColumns count="4">
    <tableColumn id="1" xr3:uid="{5C87C7C8-DCC7-4824-B880-64B33DE0841F}" uniqueName="1" name="alpha" queryTableFieldId="1"/>
    <tableColumn id="2" xr3:uid="{0B439FFE-ED82-4A74-AFE8-BF556A6CBA7E}" uniqueName="2" name="CL" queryTableFieldId="2"/>
    <tableColumn id="3" xr3:uid="{82D52298-F761-409A-8106-9219C4E02120}" uniqueName="3" name="CD" queryTableFieldId="3"/>
    <tableColumn id="4" xr3:uid="{CFBC1BEC-18CB-4D49-A3A0-E40D87FAFA5D}" uniqueName="4" name="CM" queryTableFieldId="4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D083EBDA-DF3C-42FC-B3E6-4FD363A53FB8}" name="polar4__3" displayName="polar4__3" ref="A1:D41" tableType="queryTable" totalsRowShown="0">
  <autoFilter ref="A1:D41" xr:uid="{D083EBDA-DF3C-42FC-B3E6-4FD363A53FB8}"/>
  <tableColumns count="4">
    <tableColumn id="1" xr3:uid="{9523D261-1EDC-45E5-8810-EEEAB04344BC}" uniqueName="1" name="alpha" queryTableFieldId="1"/>
    <tableColumn id="2" xr3:uid="{04E4EDF4-3A07-46D1-AE00-6507DDCC7218}" uniqueName="2" name="CL" queryTableFieldId="2"/>
    <tableColumn id="3" xr3:uid="{341AE69A-858B-487A-BB14-72BFCDC0A8EA}" uniqueName="3" name="CD" queryTableFieldId="3"/>
    <tableColumn id="4" xr3:uid="{5D8E006D-916F-4BA0-9B68-5CB4727282A6}" uniqueName="4" name="CM" queryTableFieldId="4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8384CE3E-2463-4F14-B48F-9A7449F31050}" name="polar3" displayName="polar3" ref="A1:D41" tableType="queryTable" totalsRowShown="0">
  <autoFilter ref="A1:D41" xr:uid="{8384CE3E-2463-4F14-B48F-9A7449F31050}"/>
  <tableColumns count="4">
    <tableColumn id="1" xr3:uid="{CB9DAB1B-2A34-4631-A149-0FA98977486A}" uniqueName="1" name="alpha" queryTableFieldId="1"/>
    <tableColumn id="2" xr3:uid="{4889EF73-26DA-4AC0-B947-324716DFD897}" uniqueName="2" name="CL" queryTableFieldId="2"/>
    <tableColumn id="3" xr3:uid="{27651A2E-34AA-4E3C-9457-0114A87DE415}" uniqueName="3" name="CD" queryTableFieldId="3"/>
    <tableColumn id="4" xr3:uid="{4C29BD95-6D1F-4B3D-9E33-D32555BD0427}" uniqueName="4" name="CM" queryTableFieldId="4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AA7E5C8-C72C-45B9-952A-0D6D557B0525}" name="polar2__3" displayName="polar2__3" ref="A1:D41" tableType="queryTable" totalsRowShown="0">
  <autoFilter ref="A1:D41" xr:uid="{8AA7E5C8-C72C-45B9-952A-0D6D557B0525}"/>
  <tableColumns count="4">
    <tableColumn id="1" xr3:uid="{E38B5E69-3A98-484F-AB9D-7ADD19EB826B}" uniqueName="1" name="alpha" queryTableFieldId="1"/>
    <tableColumn id="2" xr3:uid="{D40CC95E-9818-4A4A-917E-8AB1AE32F5E1}" uniqueName="2" name="CL" queryTableFieldId="2"/>
    <tableColumn id="3" xr3:uid="{7809A406-9035-45B9-A306-2A4FF372EA44}" uniqueName="3" name="CD" queryTableFieldId="3"/>
    <tableColumn id="4" xr3:uid="{407279DE-6E40-4A8D-917E-1EDBC1A357D1}" uniqueName="4" name="CM" queryTableFieldId="4"/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2A809E-E1B3-4EC8-AB58-B5ED3B569878}" name="polar1__3" displayName="polar1__3" ref="A1:D41" tableType="queryTable" totalsRowShown="0">
  <autoFilter ref="A1:D41" xr:uid="{9F2A809E-E1B3-4EC8-AB58-B5ED3B569878}"/>
  <tableColumns count="4">
    <tableColumn id="1" xr3:uid="{F893874F-DD96-4783-9C52-7EDEA7D95D47}" uniqueName="1" name="alpha" queryTableFieldId="1"/>
    <tableColumn id="2" xr3:uid="{1547D0C7-5994-47FA-AB97-161263C4B15D}" uniqueName="2" name="CL" queryTableFieldId="2"/>
    <tableColumn id="3" xr3:uid="{AD6C5511-D691-4E96-90A1-1DC5BD374114}" uniqueName="3" name="CD" queryTableFieldId="3"/>
    <tableColumn id="4" xr3:uid="{55173D50-592E-43D4-B2EC-BEB3326A4621}" uniqueName="4" name="CM" queryTableFieldId="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19" dT="2025-07-13T04:05:06.30" personId="{C11C23B8-CB5D-42BA-AE8D-C435545CC870}" id="{02C1A877-2FC5-4DAB-9FE1-C0965CFE203E}">
    <text>Default 0.05</text>
  </threadedComment>
  <threadedComment ref="G20" dT="2025-07-13T04:05:13.47" personId="{C11C23B8-CB5D-42BA-AE8D-C435545CC870}" id="{170C91B2-D880-4D03-8787-559C82B60C33}">
    <text>Default 0.2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19" dT="2025-07-13T04:05:06.30" personId="{C11C23B8-CB5D-42BA-AE8D-C435545CC870}" id="{F21D8311-FE19-409F-95BA-82A21FC5EEDE}">
    <text>Default 0.05</text>
  </threadedComment>
  <threadedComment ref="G20" dT="2025-07-13T04:05:13.47" personId="{C11C23B8-CB5D-42BA-AE8D-C435545CC870}" id="{AB873CAA-763D-43CF-A1A4-28B028F20BDE}">
    <text>Default 0.2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19" dT="2025-07-13T04:05:06.30" personId="{C11C23B8-CB5D-42BA-AE8D-C435545CC870}" id="{63AEECDB-C046-4516-974E-533411165E55}">
    <text>Default 0.05</text>
  </threadedComment>
  <threadedComment ref="G20" dT="2025-07-13T04:05:13.47" personId="{C11C23B8-CB5D-42BA-AE8D-C435545CC870}" id="{7B5CB482-35CC-4D2D-9A25-BD7B294630E5}">
    <text>Default 0.2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microsoft.com/office/2017/10/relationships/threadedComment" Target="../threadedComments/threadedComment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microsoft.com/office/2017/10/relationships/threadedComment" Target="../threadedComments/threadedComment2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Relationship Id="rId4" Type="http://schemas.microsoft.com/office/2017/10/relationships/threadedComment" Target="../threadedComments/threadedComment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82A02-A698-4DEE-A32F-F9BF737AA4F8}">
  <sheetPr codeName="Sheet19"/>
  <dimension ref="A1:L55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-1.45</v>
      </c>
      <c r="B2">
        <v>-4.1000000000000003E-3</v>
      </c>
      <c r="C2">
        <v>4.4000000000000003E-3</v>
      </c>
      <c r="D2">
        <v>9.1E-4</v>
      </c>
      <c r="E2">
        <v>-7.8100000000000003E-2</v>
      </c>
      <c r="F2">
        <v>0.05</v>
      </c>
      <c r="G2">
        <v>7.7999999999999996E-3</v>
      </c>
      <c r="H2">
        <v>-2.9087000000000001</v>
      </c>
      <c r="I2">
        <v>0</v>
      </c>
      <c r="J2">
        <v>0</v>
      </c>
      <c r="K2">
        <v>0</v>
      </c>
      <c r="L2">
        <v>-18.804300000000001</v>
      </c>
    </row>
    <row r="3" spans="1:12" x14ac:dyDescent="0.35">
      <c r="A3">
        <v>-1.4</v>
      </c>
      <c r="B3">
        <v>8.3000000000000001E-3</v>
      </c>
      <c r="C3">
        <v>4.3800000000000002E-3</v>
      </c>
      <c r="D3">
        <v>8.5999999999999998E-4</v>
      </c>
      <c r="E3">
        <v>-7.7799999999999994E-2</v>
      </c>
      <c r="F3">
        <v>0.05</v>
      </c>
      <c r="G3">
        <v>8.3000000000000001E-3</v>
      </c>
      <c r="H3">
        <v>-2.7469000000000001</v>
      </c>
      <c r="I3">
        <v>0</v>
      </c>
      <c r="J3">
        <v>0</v>
      </c>
      <c r="K3">
        <v>0</v>
      </c>
      <c r="L3">
        <v>9.7117000000000004</v>
      </c>
    </row>
    <row r="4" spans="1:12" x14ac:dyDescent="0.35">
      <c r="A4">
        <v>-1.35</v>
      </c>
      <c r="B4">
        <v>2.0500000000000001E-2</v>
      </c>
      <c r="C4">
        <v>4.3600000000000002E-3</v>
      </c>
      <c r="D4">
        <v>8.4000000000000003E-4</v>
      </c>
      <c r="E4">
        <v>-7.7600000000000002E-2</v>
      </c>
      <c r="F4">
        <v>0.05</v>
      </c>
      <c r="G4">
        <v>8.6E-3</v>
      </c>
      <c r="H4">
        <v>-2.59</v>
      </c>
      <c r="I4">
        <v>0</v>
      </c>
      <c r="J4">
        <v>0</v>
      </c>
      <c r="K4">
        <v>0</v>
      </c>
      <c r="L4">
        <v>4.0494000000000003</v>
      </c>
    </row>
    <row r="5" spans="1:12" x14ac:dyDescent="0.35">
      <c r="A5">
        <v>-1.3</v>
      </c>
      <c r="B5">
        <v>3.2599999999999997E-2</v>
      </c>
      <c r="C5">
        <v>4.3499999999999997E-3</v>
      </c>
      <c r="D5">
        <v>8.1999999999999998E-4</v>
      </c>
      <c r="E5">
        <v>-7.7399999999999997E-2</v>
      </c>
      <c r="F5">
        <v>0.05</v>
      </c>
      <c r="G5">
        <v>8.8000000000000005E-3</v>
      </c>
      <c r="H5">
        <v>-2.4401000000000002</v>
      </c>
      <c r="I5">
        <v>0</v>
      </c>
      <c r="J5">
        <v>0</v>
      </c>
      <c r="K5">
        <v>0</v>
      </c>
      <c r="L5">
        <v>2.6311</v>
      </c>
    </row>
    <row r="6" spans="1:12" x14ac:dyDescent="0.35">
      <c r="A6">
        <v>-1.25</v>
      </c>
      <c r="B6">
        <v>4.4600000000000001E-2</v>
      </c>
      <c r="C6">
        <v>4.3499999999999997E-3</v>
      </c>
      <c r="D6">
        <v>8.0999999999999996E-4</v>
      </c>
      <c r="E6">
        <v>-7.7200000000000005E-2</v>
      </c>
      <c r="F6">
        <v>0.05</v>
      </c>
      <c r="G6">
        <v>8.8999999999999999E-3</v>
      </c>
      <c r="H6">
        <v>-2.2985000000000002</v>
      </c>
      <c r="I6">
        <v>0</v>
      </c>
      <c r="J6">
        <v>0</v>
      </c>
      <c r="K6">
        <v>0</v>
      </c>
      <c r="L6">
        <v>1.986</v>
      </c>
    </row>
    <row r="7" spans="1:12" x14ac:dyDescent="0.35">
      <c r="A7">
        <v>-1.2</v>
      </c>
      <c r="B7">
        <v>5.6500000000000002E-2</v>
      </c>
      <c r="C7">
        <v>4.3400000000000001E-3</v>
      </c>
      <c r="D7">
        <v>8.0000000000000004E-4</v>
      </c>
      <c r="E7">
        <v>-7.7100000000000002E-2</v>
      </c>
      <c r="F7">
        <v>0.05</v>
      </c>
      <c r="G7">
        <v>9.1000000000000004E-3</v>
      </c>
      <c r="H7">
        <v>-2.1644000000000001</v>
      </c>
      <c r="I7">
        <v>0</v>
      </c>
      <c r="J7">
        <v>0</v>
      </c>
      <c r="K7">
        <v>0</v>
      </c>
      <c r="L7">
        <v>1.6172</v>
      </c>
    </row>
    <row r="8" spans="1:12" x14ac:dyDescent="0.35">
      <c r="A8">
        <v>-1.1499999999999999</v>
      </c>
      <c r="B8">
        <v>6.83E-2</v>
      </c>
      <c r="C8">
        <v>4.3400000000000001E-3</v>
      </c>
      <c r="D8">
        <v>7.9000000000000001E-4</v>
      </c>
      <c r="E8">
        <v>-7.6899999999999996E-2</v>
      </c>
      <c r="F8">
        <v>0.05</v>
      </c>
      <c r="G8">
        <v>9.1999999999999998E-3</v>
      </c>
      <c r="H8">
        <v>-2.0371999999999999</v>
      </c>
      <c r="I8">
        <v>0</v>
      </c>
      <c r="J8">
        <v>0</v>
      </c>
      <c r="K8">
        <v>0</v>
      </c>
      <c r="L8">
        <v>1.3784000000000001</v>
      </c>
    </row>
    <row r="9" spans="1:12" x14ac:dyDescent="0.35">
      <c r="A9">
        <v>-1.1000000000000001</v>
      </c>
      <c r="B9">
        <v>8.0100000000000005E-2</v>
      </c>
      <c r="C9">
        <v>4.3299999999999996E-3</v>
      </c>
      <c r="D9">
        <v>7.7999999999999999E-4</v>
      </c>
      <c r="E9">
        <v>-7.6799999999999993E-2</v>
      </c>
      <c r="F9">
        <v>0.05</v>
      </c>
      <c r="G9">
        <v>9.2999999999999992E-3</v>
      </c>
      <c r="H9">
        <v>-1.9162999999999999</v>
      </c>
      <c r="I9">
        <v>0</v>
      </c>
      <c r="J9">
        <v>0</v>
      </c>
      <c r="K9">
        <v>0</v>
      </c>
      <c r="L9">
        <v>1.2113</v>
      </c>
    </row>
    <row r="10" spans="1:12" x14ac:dyDescent="0.35">
      <c r="A10">
        <v>-1</v>
      </c>
      <c r="B10">
        <v>0.1031</v>
      </c>
      <c r="C10">
        <v>4.3499999999999997E-3</v>
      </c>
      <c r="D10">
        <v>7.6000000000000004E-4</v>
      </c>
      <c r="E10">
        <v>-7.6600000000000001E-2</v>
      </c>
      <c r="F10">
        <v>3.3599999999999998E-2</v>
      </c>
      <c r="G10">
        <v>9.4000000000000004E-3</v>
      </c>
      <c r="H10">
        <v>-1.6935</v>
      </c>
      <c r="I10">
        <v>0</v>
      </c>
      <c r="J10">
        <v>0</v>
      </c>
      <c r="K10">
        <v>0</v>
      </c>
      <c r="L10">
        <v>0.99409999999999998</v>
      </c>
    </row>
    <row r="11" spans="1:12" x14ac:dyDescent="0.35">
      <c r="A11">
        <v>-0.95</v>
      </c>
      <c r="B11">
        <v>0.1147</v>
      </c>
      <c r="C11">
        <v>4.3400000000000001E-3</v>
      </c>
      <c r="D11">
        <v>7.6000000000000004E-4</v>
      </c>
      <c r="E11">
        <v>-7.6499999999999999E-2</v>
      </c>
      <c r="F11">
        <v>3.2899999999999999E-2</v>
      </c>
      <c r="G11">
        <v>9.4999999999999998E-3</v>
      </c>
      <c r="H11">
        <v>-1.5886</v>
      </c>
      <c r="I11">
        <v>0</v>
      </c>
      <c r="J11">
        <v>0</v>
      </c>
      <c r="K11">
        <v>0</v>
      </c>
      <c r="L11">
        <v>0.91849999999999998</v>
      </c>
    </row>
    <row r="12" spans="1:12" x14ac:dyDescent="0.35">
      <c r="A12">
        <v>-0.9</v>
      </c>
      <c r="B12">
        <v>0.12609999999999999</v>
      </c>
      <c r="C12">
        <v>4.3499999999999997E-3</v>
      </c>
      <c r="D12">
        <v>7.6000000000000004E-4</v>
      </c>
      <c r="E12">
        <v>-7.6399999999999996E-2</v>
      </c>
      <c r="F12">
        <v>3.2300000000000002E-2</v>
      </c>
      <c r="G12">
        <v>9.4999999999999998E-3</v>
      </c>
      <c r="H12">
        <v>-1.4882</v>
      </c>
      <c r="I12">
        <v>0</v>
      </c>
      <c r="J12">
        <v>0</v>
      </c>
      <c r="K12">
        <v>0</v>
      </c>
      <c r="L12">
        <v>0.85709999999999997</v>
      </c>
    </row>
    <row r="13" spans="1:12" x14ac:dyDescent="0.35">
      <c r="A13">
        <v>-0.85</v>
      </c>
      <c r="B13">
        <v>0.1376</v>
      </c>
      <c r="C13">
        <v>4.3499999999999997E-3</v>
      </c>
      <c r="D13">
        <v>7.5000000000000002E-4</v>
      </c>
      <c r="E13">
        <v>-7.6399999999999996E-2</v>
      </c>
      <c r="F13">
        <v>3.1600000000000003E-2</v>
      </c>
      <c r="G13">
        <v>9.5999999999999992E-3</v>
      </c>
      <c r="H13">
        <v>-1.3920999999999999</v>
      </c>
      <c r="I13">
        <v>0</v>
      </c>
      <c r="J13">
        <v>0</v>
      </c>
      <c r="K13">
        <v>0</v>
      </c>
      <c r="L13">
        <v>0.80610000000000004</v>
      </c>
    </row>
    <row r="14" spans="1:12" x14ac:dyDescent="0.35">
      <c r="A14">
        <v>-0.8</v>
      </c>
      <c r="B14">
        <v>0.14899999999999999</v>
      </c>
      <c r="C14">
        <v>4.3499999999999997E-3</v>
      </c>
      <c r="D14">
        <v>7.5000000000000002E-4</v>
      </c>
      <c r="E14">
        <v>-7.6300000000000007E-2</v>
      </c>
      <c r="F14">
        <v>3.1E-2</v>
      </c>
      <c r="G14">
        <v>9.5999999999999992E-3</v>
      </c>
      <c r="H14">
        <v>-1.2999000000000001</v>
      </c>
      <c r="I14">
        <v>0</v>
      </c>
      <c r="J14">
        <v>0</v>
      </c>
      <c r="K14">
        <v>0</v>
      </c>
      <c r="L14">
        <v>0.76319999999999999</v>
      </c>
    </row>
    <row r="15" spans="1:12" x14ac:dyDescent="0.35">
      <c r="A15">
        <v>-0.75</v>
      </c>
      <c r="B15">
        <v>0.1603</v>
      </c>
      <c r="C15">
        <v>4.3499999999999997E-3</v>
      </c>
      <c r="D15">
        <v>7.5000000000000002E-4</v>
      </c>
      <c r="E15">
        <v>-7.6300000000000007E-2</v>
      </c>
      <c r="F15">
        <v>3.04E-2</v>
      </c>
      <c r="G15">
        <v>9.5999999999999992E-3</v>
      </c>
      <c r="H15">
        <v>-1.2115</v>
      </c>
      <c r="I15">
        <v>0</v>
      </c>
      <c r="J15">
        <v>0</v>
      </c>
      <c r="K15">
        <v>0</v>
      </c>
      <c r="L15">
        <v>0.72660000000000002</v>
      </c>
    </row>
    <row r="16" spans="1:12" x14ac:dyDescent="0.35">
      <c r="A16">
        <v>-0.7</v>
      </c>
      <c r="B16">
        <v>0.1716</v>
      </c>
      <c r="C16">
        <v>4.3499999999999997E-3</v>
      </c>
      <c r="D16">
        <v>7.5000000000000002E-4</v>
      </c>
      <c r="E16">
        <v>-7.6300000000000007E-2</v>
      </c>
      <c r="F16">
        <v>2.9700000000000001E-2</v>
      </c>
      <c r="G16">
        <v>9.7000000000000003E-3</v>
      </c>
      <c r="H16">
        <v>-1.1266</v>
      </c>
      <c r="I16">
        <v>0</v>
      </c>
      <c r="J16">
        <v>0</v>
      </c>
      <c r="K16">
        <v>0</v>
      </c>
      <c r="L16">
        <v>0.69489999999999996</v>
      </c>
    </row>
    <row r="17" spans="1:12" x14ac:dyDescent="0.35">
      <c r="A17">
        <v>-0.65</v>
      </c>
      <c r="B17">
        <v>0.18290000000000001</v>
      </c>
      <c r="C17">
        <v>4.3499999999999997E-3</v>
      </c>
      <c r="D17">
        <v>7.5000000000000002E-4</v>
      </c>
      <c r="E17">
        <v>-7.6300000000000007E-2</v>
      </c>
      <c r="F17">
        <v>2.9100000000000001E-2</v>
      </c>
      <c r="G17">
        <v>9.7000000000000003E-3</v>
      </c>
      <c r="H17">
        <v>-1.0449999999999999</v>
      </c>
      <c r="I17">
        <v>0</v>
      </c>
      <c r="J17">
        <v>0</v>
      </c>
      <c r="K17">
        <v>0</v>
      </c>
      <c r="L17">
        <v>0.6673</v>
      </c>
    </row>
    <row r="18" spans="1:12" x14ac:dyDescent="0.35">
      <c r="A18">
        <v>-0.6</v>
      </c>
      <c r="B18">
        <v>0.19420000000000001</v>
      </c>
      <c r="C18">
        <v>4.3499999999999997E-3</v>
      </c>
      <c r="D18">
        <v>7.5000000000000002E-4</v>
      </c>
      <c r="E18">
        <v>-7.6300000000000007E-2</v>
      </c>
      <c r="F18">
        <v>2.8500000000000001E-2</v>
      </c>
      <c r="G18">
        <v>9.7999999999999997E-3</v>
      </c>
      <c r="H18">
        <v>-0.9667</v>
      </c>
      <c r="I18">
        <v>0</v>
      </c>
      <c r="J18">
        <v>0</v>
      </c>
      <c r="K18">
        <v>0</v>
      </c>
      <c r="L18">
        <v>0.64300000000000002</v>
      </c>
    </row>
    <row r="19" spans="1:12" x14ac:dyDescent="0.35">
      <c r="A19">
        <v>-0.55000000000000004</v>
      </c>
      <c r="B19">
        <v>0.20549999999999999</v>
      </c>
      <c r="C19">
        <v>4.3499999999999997E-3</v>
      </c>
      <c r="D19">
        <v>7.5000000000000002E-4</v>
      </c>
      <c r="E19">
        <v>-7.6300000000000007E-2</v>
      </c>
      <c r="F19">
        <v>3.0599999999999999E-2</v>
      </c>
      <c r="G19">
        <v>9.7999999999999997E-3</v>
      </c>
      <c r="H19">
        <v>-0.89180000000000004</v>
      </c>
      <c r="I19">
        <v>0</v>
      </c>
      <c r="J19">
        <v>0</v>
      </c>
      <c r="K19">
        <v>0</v>
      </c>
      <c r="L19">
        <v>0.62139999999999995</v>
      </c>
    </row>
    <row r="20" spans="1:12" x14ac:dyDescent="0.35">
      <c r="A20">
        <v>-0.5</v>
      </c>
      <c r="B20">
        <v>0.2167</v>
      </c>
      <c r="C20">
        <v>4.3499999999999997E-3</v>
      </c>
      <c r="D20">
        <v>7.5000000000000002E-4</v>
      </c>
      <c r="E20">
        <v>-7.6300000000000007E-2</v>
      </c>
      <c r="F20">
        <v>3.0700000000000002E-2</v>
      </c>
      <c r="G20">
        <v>9.7999999999999997E-3</v>
      </c>
      <c r="H20">
        <v>-0.81879999999999997</v>
      </c>
      <c r="I20">
        <v>0</v>
      </c>
      <c r="J20">
        <v>0</v>
      </c>
      <c r="K20">
        <v>0</v>
      </c>
      <c r="L20">
        <v>0.60209999999999997</v>
      </c>
    </row>
    <row r="21" spans="1:12" x14ac:dyDescent="0.35">
      <c r="A21">
        <v>-0.45</v>
      </c>
      <c r="B21">
        <v>0.22789999999999999</v>
      </c>
      <c r="C21">
        <v>4.3499999999999997E-3</v>
      </c>
      <c r="D21">
        <v>7.5000000000000002E-4</v>
      </c>
      <c r="E21">
        <v>-7.6300000000000007E-2</v>
      </c>
      <c r="F21">
        <v>3.0200000000000001E-2</v>
      </c>
      <c r="G21">
        <v>9.9000000000000008E-3</v>
      </c>
      <c r="H21">
        <v>-0.74870000000000003</v>
      </c>
      <c r="I21">
        <v>0</v>
      </c>
      <c r="J21">
        <v>0</v>
      </c>
      <c r="K21">
        <v>0</v>
      </c>
      <c r="L21">
        <v>0.58479999999999999</v>
      </c>
    </row>
    <row r="22" spans="1:12" x14ac:dyDescent="0.35">
      <c r="A22">
        <v>-0.4</v>
      </c>
      <c r="B22">
        <v>0.23910000000000001</v>
      </c>
      <c r="C22">
        <v>4.3600000000000002E-3</v>
      </c>
      <c r="D22">
        <v>7.5000000000000002E-4</v>
      </c>
      <c r="E22">
        <v>-7.6300000000000007E-2</v>
      </c>
      <c r="F22">
        <v>2.9499999999999998E-2</v>
      </c>
      <c r="G22">
        <v>9.9000000000000008E-3</v>
      </c>
      <c r="H22">
        <v>-0.68110000000000004</v>
      </c>
      <c r="I22">
        <v>0</v>
      </c>
      <c r="J22">
        <v>0</v>
      </c>
      <c r="K22">
        <v>0</v>
      </c>
      <c r="L22">
        <v>0.56910000000000005</v>
      </c>
    </row>
    <row r="23" spans="1:12" x14ac:dyDescent="0.35">
      <c r="A23">
        <v>-0.35</v>
      </c>
      <c r="B23">
        <v>0.25030000000000002</v>
      </c>
      <c r="C23">
        <v>4.3600000000000002E-3</v>
      </c>
      <c r="D23">
        <v>7.5000000000000002E-4</v>
      </c>
      <c r="E23">
        <v>-7.6300000000000007E-2</v>
      </c>
      <c r="F23">
        <v>2.87E-2</v>
      </c>
      <c r="G23">
        <v>9.9000000000000008E-3</v>
      </c>
      <c r="H23">
        <v>-0.6159</v>
      </c>
      <c r="I23">
        <v>0</v>
      </c>
      <c r="J23">
        <v>0</v>
      </c>
      <c r="K23">
        <v>0</v>
      </c>
      <c r="L23">
        <v>0.55489999999999995</v>
      </c>
    </row>
    <row r="24" spans="1:12" x14ac:dyDescent="0.35">
      <c r="A24">
        <v>-0.3</v>
      </c>
      <c r="B24">
        <v>0.26140000000000002</v>
      </c>
      <c r="C24">
        <v>4.3600000000000002E-3</v>
      </c>
      <c r="D24">
        <v>7.6000000000000004E-4</v>
      </c>
      <c r="E24">
        <v>-7.6300000000000007E-2</v>
      </c>
      <c r="F24">
        <v>2.7900000000000001E-2</v>
      </c>
      <c r="G24">
        <v>9.9000000000000008E-3</v>
      </c>
      <c r="H24">
        <v>-0.55300000000000005</v>
      </c>
      <c r="I24">
        <v>0</v>
      </c>
      <c r="J24">
        <v>0</v>
      </c>
      <c r="K24">
        <v>0</v>
      </c>
      <c r="L24">
        <v>0.54190000000000005</v>
      </c>
    </row>
    <row r="25" spans="1:12" x14ac:dyDescent="0.35">
      <c r="A25">
        <v>-0.25</v>
      </c>
      <c r="B25">
        <v>0.27260000000000001</v>
      </c>
      <c r="C25">
        <v>4.3699999999999998E-3</v>
      </c>
      <c r="D25">
        <v>7.6000000000000004E-4</v>
      </c>
      <c r="E25">
        <v>-7.6300000000000007E-2</v>
      </c>
      <c r="F25">
        <v>2.6700000000000002E-2</v>
      </c>
      <c r="G25">
        <v>0.01</v>
      </c>
      <c r="H25">
        <v>-0.51729999999999998</v>
      </c>
      <c r="I25">
        <v>0</v>
      </c>
      <c r="J25">
        <v>0</v>
      </c>
      <c r="K25">
        <v>0</v>
      </c>
      <c r="L25">
        <v>0.53</v>
      </c>
    </row>
    <row r="26" spans="1:12" x14ac:dyDescent="0.35">
      <c r="A26">
        <v>-0.2</v>
      </c>
      <c r="B26">
        <v>0.28370000000000001</v>
      </c>
      <c r="C26">
        <v>4.3699999999999998E-3</v>
      </c>
      <c r="D26">
        <v>7.6000000000000004E-4</v>
      </c>
      <c r="E26">
        <v>-7.6399999999999996E-2</v>
      </c>
      <c r="F26">
        <v>2.41E-2</v>
      </c>
      <c r="G26">
        <v>0.01</v>
      </c>
      <c r="H26">
        <v>-0.52229999999999999</v>
      </c>
      <c r="I26">
        <v>0</v>
      </c>
      <c r="J26">
        <v>0</v>
      </c>
      <c r="K26">
        <v>0</v>
      </c>
      <c r="L26">
        <v>0.51910000000000001</v>
      </c>
    </row>
    <row r="27" spans="1:12" x14ac:dyDescent="0.35">
      <c r="A27">
        <v>-0.15</v>
      </c>
      <c r="B27">
        <v>0.2949</v>
      </c>
      <c r="C27">
        <v>4.3699999999999998E-3</v>
      </c>
      <c r="D27">
        <v>7.6999999999999996E-4</v>
      </c>
      <c r="E27">
        <v>-7.6399999999999996E-2</v>
      </c>
      <c r="F27">
        <v>2.3400000000000001E-2</v>
      </c>
      <c r="G27">
        <v>0.01</v>
      </c>
      <c r="H27">
        <v>-0.52729999999999999</v>
      </c>
      <c r="I27">
        <v>0</v>
      </c>
      <c r="J27">
        <v>0</v>
      </c>
      <c r="K27">
        <v>0</v>
      </c>
      <c r="L27">
        <v>0.50890000000000002</v>
      </c>
    </row>
    <row r="28" spans="1:12" x14ac:dyDescent="0.35">
      <c r="A28">
        <v>-0.1</v>
      </c>
      <c r="B28">
        <v>0.30599999999999999</v>
      </c>
      <c r="C28">
        <v>4.3800000000000002E-3</v>
      </c>
      <c r="D28">
        <v>7.6999999999999996E-4</v>
      </c>
      <c r="E28">
        <v>-7.6399999999999996E-2</v>
      </c>
      <c r="F28">
        <v>2.3300000000000001E-2</v>
      </c>
      <c r="G28">
        <v>0.01</v>
      </c>
      <c r="H28">
        <v>-0.5323</v>
      </c>
      <c r="I28">
        <v>0</v>
      </c>
      <c r="J28">
        <v>0</v>
      </c>
      <c r="K28">
        <v>0</v>
      </c>
      <c r="L28">
        <v>0.49959999999999999</v>
      </c>
    </row>
    <row r="29" spans="1:12" x14ac:dyDescent="0.35">
      <c r="A29">
        <v>0.05</v>
      </c>
      <c r="B29">
        <v>0.33939999999999998</v>
      </c>
      <c r="C29">
        <v>4.3899999999999998E-3</v>
      </c>
      <c r="D29">
        <v>7.9000000000000001E-4</v>
      </c>
      <c r="E29">
        <v>-7.6499999999999999E-2</v>
      </c>
      <c r="F29">
        <v>2.3199999999999998E-2</v>
      </c>
      <c r="G29">
        <v>1.01E-2</v>
      </c>
      <c r="H29">
        <v>-0.54790000000000005</v>
      </c>
      <c r="I29">
        <v>0</v>
      </c>
      <c r="J29">
        <v>0</v>
      </c>
      <c r="K29">
        <v>0</v>
      </c>
      <c r="L29">
        <v>0.47510000000000002</v>
      </c>
    </row>
    <row r="30" spans="1:12" x14ac:dyDescent="0.35">
      <c r="A30">
        <v>0.1</v>
      </c>
      <c r="B30">
        <v>0.35060000000000002</v>
      </c>
      <c r="C30">
        <v>4.4000000000000003E-3</v>
      </c>
      <c r="D30">
        <v>7.9000000000000001E-4</v>
      </c>
      <c r="E30">
        <v>-7.6499999999999999E-2</v>
      </c>
      <c r="F30">
        <v>2.3099999999999999E-2</v>
      </c>
      <c r="G30">
        <v>1.0699999999999999E-2</v>
      </c>
      <c r="H30">
        <v>-0.55320000000000003</v>
      </c>
      <c r="I30">
        <v>0</v>
      </c>
      <c r="J30">
        <v>0</v>
      </c>
      <c r="K30">
        <v>0</v>
      </c>
      <c r="L30">
        <v>0.46800000000000003</v>
      </c>
    </row>
    <row r="31" spans="1:12" x14ac:dyDescent="0.35">
      <c r="A31">
        <v>0.15</v>
      </c>
      <c r="B31">
        <v>0.36170000000000002</v>
      </c>
      <c r="C31">
        <v>4.4000000000000003E-3</v>
      </c>
      <c r="D31">
        <v>8.0000000000000004E-4</v>
      </c>
      <c r="E31">
        <v>-7.6499999999999999E-2</v>
      </c>
      <c r="F31">
        <v>2.3099999999999999E-2</v>
      </c>
      <c r="G31">
        <v>1.1299999999999999E-2</v>
      </c>
      <c r="H31">
        <v>-0.55859999999999999</v>
      </c>
      <c r="I31">
        <v>0</v>
      </c>
      <c r="J31">
        <v>0</v>
      </c>
      <c r="K31">
        <v>0</v>
      </c>
      <c r="L31">
        <v>0.46129999999999999</v>
      </c>
    </row>
    <row r="32" spans="1:12" x14ac:dyDescent="0.35">
      <c r="A32">
        <v>0.2</v>
      </c>
      <c r="B32">
        <v>0.37290000000000001</v>
      </c>
      <c r="C32">
        <v>4.4099999999999999E-3</v>
      </c>
      <c r="D32">
        <v>8.0999999999999996E-4</v>
      </c>
      <c r="E32">
        <v>-7.6600000000000001E-2</v>
      </c>
      <c r="F32">
        <v>2.3E-2</v>
      </c>
      <c r="G32">
        <v>1.2E-2</v>
      </c>
      <c r="H32">
        <v>-0.56399999999999995</v>
      </c>
      <c r="I32">
        <v>0</v>
      </c>
      <c r="J32">
        <v>0</v>
      </c>
      <c r="K32">
        <v>0</v>
      </c>
      <c r="L32">
        <v>0.45500000000000002</v>
      </c>
    </row>
    <row r="33" spans="1:12" x14ac:dyDescent="0.35">
      <c r="A33">
        <v>0.25</v>
      </c>
      <c r="B33">
        <v>0.38400000000000001</v>
      </c>
      <c r="C33">
        <v>4.4200000000000003E-3</v>
      </c>
      <c r="D33">
        <v>8.1999999999999998E-4</v>
      </c>
      <c r="E33">
        <v>-7.6600000000000001E-2</v>
      </c>
      <c r="F33">
        <v>2.1299999999999999E-2</v>
      </c>
      <c r="G33">
        <v>1.2699999999999999E-2</v>
      </c>
      <c r="H33">
        <v>-0.56940000000000002</v>
      </c>
      <c r="I33">
        <v>0</v>
      </c>
      <c r="J33">
        <v>0</v>
      </c>
      <c r="K33">
        <v>0</v>
      </c>
      <c r="L33">
        <v>0.44900000000000001</v>
      </c>
    </row>
    <row r="34" spans="1:12" x14ac:dyDescent="0.35">
      <c r="A34">
        <v>0.3</v>
      </c>
      <c r="B34">
        <v>0.39500000000000002</v>
      </c>
      <c r="C34">
        <v>4.4400000000000004E-3</v>
      </c>
      <c r="D34">
        <v>8.3000000000000001E-4</v>
      </c>
      <c r="E34">
        <v>-7.6499999999999999E-2</v>
      </c>
      <c r="F34">
        <v>1.49E-2</v>
      </c>
      <c r="G34">
        <v>1.35E-2</v>
      </c>
      <c r="H34">
        <v>-0.57469999999999999</v>
      </c>
      <c r="I34">
        <v>0</v>
      </c>
      <c r="J34">
        <v>0</v>
      </c>
      <c r="K34">
        <v>0</v>
      </c>
      <c r="L34">
        <v>0.44340000000000002</v>
      </c>
    </row>
    <row r="35" spans="1:12" x14ac:dyDescent="0.35">
      <c r="A35">
        <v>0.35</v>
      </c>
      <c r="B35">
        <v>0.40620000000000001</v>
      </c>
      <c r="C35">
        <v>4.4400000000000004E-3</v>
      </c>
      <c r="D35">
        <v>8.4000000000000003E-4</v>
      </c>
      <c r="E35">
        <v>-7.6499999999999999E-2</v>
      </c>
      <c r="F35">
        <v>1.4200000000000001E-2</v>
      </c>
      <c r="G35">
        <v>1.4500000000000001E-2</v>
      </c>
      <c r="H35">
        <v>-0.58030000000000004</v>
      </c>
      <c r="I35">
        <v>0</v>
      </c>
      <c r="J35">
        <v>0</v>
      </c>
      <c r="K35">
        <v>0</v>
      </c>
      <c r="L35">
        <v>0.438</v>
      </c>
    </row>
    <row r="36" spans="1:12" x14ac:dyDescent="0.35">
      <c r="A36">
        <v>0.4</v>
      </c>
      <c r="B36">
        <v>0.41739999999999999</v>
      </c>
      <c r="C36">
        <v>4.45E-3</v>
      </c>
      <c r="D36">
        <v>8.4999999999999995E-4</v>
      </c>
      <c r="E36">
        <v>-7.6499999999999999E-2</v>
      </c>
      <c r="F36">
        <v>1.37E-2</v>
      </c>
      <c r="G36">
        <v>1.54E-2</v>
      </c>
      <c r="H36">
        <v>-0.58589999999999998</v>
      </c>
      <c r="I36">
        <v>0</v>
      </c>
      <c r="J36">
        <v>0</v>
      </c>
      <c r="K36">
        <v>0</v>
      </c>
      <c r="L36">
        <v>0.43290000000000001</v>
      </c>
    </row>
    <row r="37" spans="1:12" x14ac:dyDescent="0.35">
      <c r="A37">
        <v>0.45</v>
      </c>
      <c r="B37">
        <v>0.42859999999999998</v>
      </c>
      <c r="C37">
        <v>4.45E-3</v>
      </c>
      <c r="D37">
        <v>8.5999999999999998E-4</v>
      </c>
      <c r="E37">
        <v>-7.6499999999999999E-2</v>
      </c>
      <c r="F37">
        <v>1.37E-2</v>
      </c>
      <c r="G37">
        <v>1.6400000000000001E-2</v>
      </c>
      <c r="H37">
        <v>-0.63100000000000001</v>
      </c>
      <c r="I37">
        <v>0</v>
      </c>
      <c r="J37">
        <v>0</v>
      </c>
      <c r="K37">
        <v>0</v>
      </c>
      <c r="L37">
        <v>0.42809999999999998</v>
      </c>
    </row>
    <row r="38" spans="1:12" x14ac:dyDescent="0.35">
      <c r="A38">
        <v>0.5</v>
      </c>
      <c r="B38">
        <v>0.43990000000000001</v>
      </c>
      <c r="C38">
        <v>4.4600000000000004E-3</v>
      </c>
      <c r="D38">
        <v>8.7000000000000001E-4</v>
      </c>
      <c r="E38">
        <v>-7.6499999999999999E-2</v>
      </c>
      <c r="F38">
        <v>1.3599999999999999E-2</v>
      </c>
      <c r="G38">
        <v>1.7299999999999999E-2</v>
      </c>
      <c r="H38">
        <v>-0.68640000000000001</v>
      </c>
      <c r="I38">
        <v>0</v>
      </c>
      <c r="J38">
        <v>0</v>
      </c>
      <c r="K38">
        <v>0</v>
      </c>
      <c r="L38">
        <v>0.42349999999999999</v>
      </c>
    </row>
    <row r="39" spans="1:12" x14ac:dyDescent="0.35">
      <c r="A39">
        <v>0.55000000000000004</v>
      </c>
      <c r="B39">
        <v>0.4511</v>
      </c>
      <c r="C39">
        <v>4.47E-3</v>
      </c>
      <c r="D39">
        <v>8.8000000000000003E-4</v>
      </c>
      <c r="E39">
        <v>-7.6499999999999999E-2</v>
      </c>
      <c r="F39">
        <v>1.34E-2</v>
      </c>
      <c r="G39">
        <v>1.83E-2</v>
      </c>
      <c r="H39">
        <v>-0.74350000000000005</v>
      </c>
      <c r="I39">
        <v>0</v>
      </c>
      <c r="J39">
        <v>0</v>
      </c>
      <c r="K39">
        <v>0</v>
      </c>
      <c r="L39">
        <v>0.41909999999999997</v>
      </c>
    </row>
    <row r="40" spans="1:12" x14ac:dyDescent="0.35">
      <c r="A40">
        <v>0.6</v>
      </c>
      <c r="B40">
        <v>0.46239999999999998</v>
      </c>
      <c r="C40">
        <v>4.4799999999999996E-3</v>
      </c>
      <c r="D40">
        <v>8.8999999999999995E-4</v>
      </c>
      <c r="E40">
        <v>-7.6499999999999999E-2</v>
      </c>
      <c r="F40">
        <v>1.3100000000000001E-2</v>
      </c>
      <c r="G40">
        <v>1.8700000000000001E-2</v>
      </c>
      <c r="H40">
        <v>-0.80220000000000002</v>
      </c>
      <c r="I40">
        <v>0</v>
      </c>
      <c r="J40">
        <v>0</v>
      </c>
      <c r="K40">
        <v>0</v>
      </c>
      <c r="L40">
        <v>0.41489999999999999</v>
      </c>
    </row>
    <row r="41" spans="1:12" x14ac:dyDescent="0.35">
      <c r="A41">
        <v>0.65</v>
      </c>
      <c r="B41">
        <v>0.47370000000000001</v>
      </c>
      <c r="C41">
        <v>4.4900000000000001E-3</v>
      </c>
      <c r="D41">
        <v>8.9999999999999998E-4</v>
      </c>
      <c r="E41">
        <v>-7.6399999999999996E-2</v>
      </c>
      <c r="F41">
        <v>1.23E-2</v>
      </c>
      <c r="G41">
        <v>1.89E-2</v>
      </c>
      <c r="H41">
        <v>-0.86209999999999998</v>
      </c>
      <c r="I41">
        <v>0</v>
      </c>
      <c r="J41">
        <v>0</v>
      </c>
      <c r="K41">
        <v>0</v>
      </c>
      <c r="L41">
        <v>0.4108</v>
      </c>
    </row>
    <row r="42" spans="1:12" x14ac:dyDescent="0.35">
      <c r="A42">
        <v>0.7</v>
      </c>
      <c r="B42">
        <v>0.48499999999999999</v>
      </c>
      <c r="C42">
        <v>4.4999999999999997E-3</v>
      </c>
      <c r="D42">
        <v>9.2000000000000003E-4</v>
      </c>
      <c r="E42">
        <v>-7.6399999999999996E-2</v>
      </c>
      <c r="F42">
        <v>1.15E-2</v>
      </c>
      <c r="G42">
        <v>1.9800000000000002E-2</v>
      </c>
      <c r="H42">
        <v>-0.92400000000000004</v>
      </c>
      <c r="I42">
        <v>0</v>
      </c>
      <c r="J42">
        <v>0</v>
      </c>
      <c r="K42">
        <v>0</v>
      </c>
      <c r="L42">
        <v>0.40689999999999998</v>
      </c>
    </row>
    <row r="43" spans="1:12" x14ac:dyDescent="0.35">
      <c r="A43">
        <v>0.75</v>
      </c>
      <c r="B43">
        <v>0.49630000000000002</v>
      </c>
      <c r="C43">
        <v>4.5100000000000001E-3</v>
      </c>
      <c r="D43">
        <v>9.3999999999999997E-4</v>
      </c>
      <c r="E43">
        <v>-7.6300000000000007E-2</v>
      </c>
      <c r="F43">
        <v>1.0699999999999999E-2</v>
      </c>
      <c r="G43">
        <v>2.12E-2</v>
      </c>
      <c r="H43">
        <v>-0.9879</v>
      </c>
      <c r="I43">
        <v>0</v>
      </c>
      <c r="J43">
        <v>0</v>
      </c>
      <c r="K43">
        <v>0</v>
      </c>
      <c r="L43">
        <v>0.4032</v>
      </c>
    </row>
    <row r="44" spans="1:12" x14ac:dyDescent="0.35">
      <c r="A44">
        <v>0.85</v>
      </c>
      <c r="B44">
        <v>0.51910000000000001</v>
      </c>
      <c r="C44">
        <v>4.5300000000000002E-3</v>
      </c>
      <c r="D44">
        <v>9.7000000000000005E-4</v>
      </c>
      <c r="E44">
        <v>-7.6200000000000004E-2</v>
      </c>
      <c r="F44">
        <v>9.2999999999999992E-3</v>
      </c>
      <c r="G44">
        <v>2.93E-2</v>
      </c>
      <c r="H44">
        <v>-1.1228</v>
      </c>
      <c r="I44">
        <v>0</v>
      </c>
      <c r="J44">
        <v>0</v>
      </c>
      <c r="K44">
        <v>0</v>
      </c>
      <c r="L44">
        <v>0.3962</v>
      </c>
    </row>
    <row r="45" spans="1:12" x14ac:dyDescent="0.35">
      <c r="A45">
        <v>0.9</v>
      </c>
      <c r="B45">
        <v>0.53059999999999996</v>
      </c>
      <c r="C45">
        <v>4.5399999999999998E-3</v>
      </c>
      <c r="D45">
        <v>9.7999999999999997E-4</v>
      </c>
      <c r="E45">
        <v>-7.6100000000000001E-2</v>
      </c>
      <c r="F45">
        <v>8.6E-3</v>
      </c>
      <c r="G45">
        <v>2.9899999999999999E-2</v>
      </c>
      <c r="H45">
        <v>-1.1943999999999999</v>
      </c>
      <c r="I45">
        <v>0</v>
      </c>
      <c r="J45">
        <v>0</v>
      </c>
      <c r="K45">
        <v>0</v>
      </c>
      <c r="L45">
        <v>0.39279999999999998</v>
      </c>
    </row>
    <row r="46" spans="1:12" x14ac:dyDescent="0.35">
      <c r="A46">
        <v>0.95</v>
      </c>
      <c r="B46">
        <v>0.54220000000000002</v>
      </c>
      <c r="C46">
        <v>4.5500000000000002E-3</v>
      </c>
      <c r="D46">
        <v>1E-3</v>
      </c>
      <c r="E46">
        <v>-7.6100000000000001E-2</v>
      </c>
      <c r="F46">
        <v>8.0999999999999996E-3</v>
      </c>
      <c r="G46">
        <v>3.3300000000000003E-2</v>
      </c>
      <c r="H46">
        <v>-1.2689999999999999</v>
      </c>
      <c r="I46">
        <v>0</v>
      </c>
      <c r="J46">
        <v>0</v>
      </c>
      <c r="K46">
        <v>0</v>
      </c>
      <c r="L46">
        <v>0.3896</v>
      </c>
    </row>
    <row r="47" spans="1:12" x14ac:dyDescent="0.35">
      <c r="A47">
        <v>1</v>
      </c>
      <c r="B47">
        <v>0.55379999999999996</v>
      </c>
      <c r="C47">
        <v>4.5599999999999998E-3</v>
      </c>
      <c r="D47">
        <v>1.01E-3</v>
      </c>
      <c r="E47">
        <v>-7.5999999999999998E-2</v>
      </c>
      <c r="F47">
        <v>7.4999999999999997E-3</v>
      </c>
      <c r="G47">
        <v>3.6999999999999998E-2</v>
      </c>
      <c r="H47">
        <v>-1.3466</v>
      </c>
      <c r="I47">
        <v>0</v>
      </c>
      <c r="J47">
        <v>0</v>
      </c>
      <c r="K47">
        <v>0</v>
      </c>
      <c r="L47">
        <v>0.38640000000000002</v>
      </c>
    </row>
    <row r="48" spans="1:12" x14ac:dyDescent="0.35">
      <c r="A48">
        <v>1.05</v>
      </c>
      <c r="B48">
        <v>0.5655</v>
      </c>
      <c r="C48">
        <v>4.5700000000000003E-3</v>
      </c>
      <c r="D48">
        <v>1.0300000000000001E-3</v>
      </c>
      <c r="E48">
        <v>-7.5899999999999995E-2</v>
      </c>
      <c r="F48">
        <v>7.1000000000000004E-3</v>
      </c>
      <c r="G48">
        <v>3.9300000000000002E-2</v>
      </c>
      <c r="H48">
        <v>-1.4272</v>
      </c>
      <c r="I48">
        <v>0</v>
      </c>
      <c r="J48">
        <v>0</v>
      </c>
      <c r="K48">
        <v>0</v>
      </c>
      <c r="L48">
        <v>0.38340000000000002</v>
      </c>
    </row>
    <row r="49" spans="1:12" x14ac:dyDescent="0.35">
      <c r="A49">
        <v>1.1000000000000001</v>
      </c>
      <c r="B49">
        <v>0.57720000000000005</v>
      </c>
      <c r="C49">
        <v>4.5799999999999999E-3</v>
      </c>
      <c r="D49">
        <v>1.0499999999999999E-3</v>
      </c>
      <c r="E49">
        <v>-7.5700000000000003E-2</v>
      </c>
      <c r="F49">
        <v>7.0000000000000001E-3</v>
      </c>
      <c r="G49">
        <v>4.0500000000000001E-2</v>
      </c>
      <c r="H49">
        <v>-1.5107999999999999</v>
      </c>
      <c r="I49">
        <v>0</v>
      </c>
      <c r="J49">
        <v>0</v>
      </c>
      <c r="K49">
        <v>0</v>
      </c>
      <c r="L49">
        <v>0.38040000000000002</v>
      </c>
    </row>
    <row r="50" spans="1:12" x14ac:dyDescent="0.35">
      <c r="A50">
        <v>1.1499999999999999</v>
      </c>
      <c r="B50">
        <v>0.58899999999999997</v>
      </c>
      <c r="C50">
        <v>4.5799999999999999E-3</v>
      </c>
      <c r="D50">
        <v>1.07E-3</v>
      </c>
      <c r="E50">
        <v>-7.5600000000000001E-2</v>
      </c>
      <c r="F50">
        <v>6.8999999999999999E-3</v>
      </c>
      <c r="G50">
        <v>0.05</v>
      </c>
      <c r="H50">
        <v>-1.5972999999999999</v>
      </c>
      <c r="I50">
        <v>0</v>
      </c>
      <c r="J50">
        <v>0</v>
      </c>
      <c r="K50">
        <v>0</v>
      </c>
      <c r="L50">
        <v>0.37759999999999999</v>
      </c>
    </row>
    <row r="51" spans="1:12" x14ac:dyDescent="0.35">
      <c r="A51">
        <v>1.2</v>
      </c>
      <c r="B51">
        <v>0.6008</v>
      </c>
      <c r="C51">
        <v>4.5900000000000003E-3</v>
      </c>
      <c r="D51">
        <v>1.08E-3</v>
      </c>
      <c r="E51">
        <v>-7.5499999999999998E-2</v>
      </c>
      <c r="F51">
        <v>6.8999999999999999E-3</v>
      </c>
      <c r="G51">
        <v>0.05</v>
      </c>
      <c r="H51">
        <v>-1.7126999999999999</v>
      </c>
      <c r="I51">
        <v>0</v>
      </c>
      <c r="J51">
        <v>0</v>
      </c>
      <c r="K51">
        <v>0</v>
      </c>
      <c r="L51">
        <v>0.37480000000000002</v>
      </c>
    </row>
    <row r="52" spans="1:12" x14ac:dyDescent="0.35">
      <c r="A52">
        <v>1.25</v>
      </c>
      <c r="B52">
        <v>0.61270000000000002</v>
      </c>
      <c r="C52">
        <v>4.6299999999999996E-3</v>
      </c>
      <c r="D52">
        <v>1.09E-3</v>
      </c>
      <c r="E52">
        <v>-7.5300000000000006E-2</v>
      </c>
      <c r="F52">
        <v>6.7999999999999996E-3</v>
      </c>
      <c r="G52">
        <v>1.8100000000000002E-2</v>
      </c>
      <c r="H52">
        <v>-1.8392999999999999</v>
      </c>
      <c r="I52">
        <v>0</v>
      </c>
      <c r="J52">
        <v>0</v>
      </c>
      <c r="K52">
        <v>0</v>
      </c>
      <c r="L52">
        <v>0.372</v>
      </c>
    </row>
    <row r="53" spans="1:12" x14ac:dyDescent="0.35">
      <c r="A53">
        <v>1.3</v>
      </c>
      <c r="B53">
        <v>0.62470000000000003</v>
      </c>
      <c r="C53">
        <v>4.6499999999999996E-3</v>
      </c>
      <c r="D53">
        <v>1.1100000000000001E-3</v>
      </c>
      <c r="E53">
        <v>-7.51E-2</v>
      </c>
      <c r="F53">
        <v>6.7999999999999996E-3</v>
      </c>
      <c r="G53">
        <v>1.84E-2</v>
      </c>
      <c r="H53">
        <v>-1.9712000000000001</v>
      </c>
      <c r="I53">
        <v>0</v>
      </c>
      <c r="J53">
        <v>0</v>
      </c>
      <c r="K53">
        <v>0</v>
      </c>
      <c r="L53">
        <v>0.36930000000000002</v>
      </c>
    </row>
    <row r="54" spans="1:12" x14ac:dyDescent="0.35">
      <c r="A54">
        <v>1.35</v>
      </c>
      <c r="B54">
        <v>0.63670000000000004</v>
      </c>
      <c r="C54">
        <v>4.6600000000000001E-3</v>
      </c>
      <c r="D54">
        <v>1.1299999999999999E-3</v>
      </c>
      <c r="E54">
        <v>-7.4899999999999994E-2</v>
      </c>
      <c r="F54">
        <v>6.7000000000000002E-3</v>
      </c>
      <c r="G54">
        <v>1.8800000000000001E-2</v>
      </c>
      <c r="H54">
        <v>-2.1114999999999999</v>
      </c>
      <c r="I54">
        <v>0</v>
      </c>
      <c r="J54">
        <v>0</v>
      </c>
      <c r="K54">
        <v>0</v>
      </c>
      <c r="L54">
        <v>0.36670000000000003</v>
      </c>
    </row>
    <row r="55" spans="1:12" x14ac:dyDescent="0.35">
      <c r="A55">
        <v>1.4</v>
      </c>
      <c r="B55">
        <v>0.64890000000000003</v>
      </c>
      <c r="C55">
        <v>4.6699999999999997E-3</v>
      </c>
      <c r="D55">
        <v>1.16E-3</v>
      </c>
      <c r="E55">
        <v>-7.46E-2</v>
      </c>
      <c r="F55">
        <v>6.7000000000000002E-3</v>
      </c>
      <c r="G55">
        <v>2.01E-2</v>
      </c>
      <c r="H55">
        <v>-2.2608999999999999</v>
      </c>
      <c r="I55">
        <v>0</v>
      </c>
      <c r="J55">
        <v>0</v>
      </c>
      <c r="K55">
        <v>0</v>
      </c>
      <c r="L55">
        <v>0.36409999999999998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9D254-7EF4-49D9-BCB5-BAB2D96F73B8}">
  <sheetPr codeName="Sheet20"/>
  <dimension ref="A1:L58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-1.5</v>
      </c>
      <c r="B2">
        <v>-1.7600000000000001E-2</v>
      </c>
      <c r="C2">
        <v>4.6299999999999996E-3</v>
      </c>
      <c r="D2">
        <v>1.07E-3</v>
      </c>
      <c r="E2">
        <v>-7.8200000000000006E-2</v>
      </c>
      <c r="F2">
        <v>0.05</v>
      </c>
      <c r="G2">
        <v>6.7000000000000002E-3</v>
      </c>
      <c r="H2">
        <v>-3.0924</v>
      </c>
      <c r="I2">
        <v>0</v>
      </c>
      <c r="J2">
        <v>0</v>
      </c>
      <c r="K2">
        <v>0</v>
      </c>
      <c r="L2">
        <v>-4.2195999999999998</v>
      </c>
    </row>
    <row r="3" spans="1:12" x14ac:dyDescent="0.35">
      <c r="A3">
        <v>-1.45</v>
      </c>
      <c r="B3">
        <v>-5.1000000000000004E-3</v>
      </c>
      <c r="C3">
        <v>4.5599999999999998E-3</v>
      </c>
      <c r="D3">
        <v>9.7000000000000005E-4</v>
      </c>
      <c r="E3">
        <v>-7.7899999999999997E-2</v>
      </c>
      <c r="F3">
        <v>0.05</v>
      </c>
      <c r="G3">
        <v>7.7000000000000002E-3</v>
      </c>
      <c r="H3">
        <v>-2.8849999999999998</v>
      </c>
      <c r="I3">
        <v>0</v>
      </c>
      <c r="J3">
        <v>0</v>
      </c>
      <c r="K3">
        <v>0</v>
      </c>
      <c r="L3">
        <v>-14.9367</v>
      </c>
    </row>
    <row r="4" spans="1:12" x14ac:dyDescent="0.35">
      <c r="A4">
        <v>-1.4</v>
      </c>
      <c r="B4">
        <v>7.1999999999999998E-3</v>
      </c>
      <c r="C4">
        <v>4.5199999999999997E-3</v>
      </c>
      <c r="D4">
        <v>9.2000000000000003E-4</v>
      </c>
      <c r="E4">
        <v>-7.7600000000000002E-2</v>
      </c>
      <c r="F4">
        <v>0.05</v>
      </c>
      <c r="G4">
        <v>8.2000000000000007E-3</v>
      </c>
      <c r="H4">
        <v>-2.7328000000000001</v>
      </c>
      <c r="I4">
        <v>0</v>
      </c>
      <c r="J4">
        <v>0</v>
      </c>
      <c r="K4">
        <v>0</v>
      </c>
      <c r="L4">
        <v>11.0937</v>
      </c>
    </row>
    <row r="5" spans="1:12" x14ac:dyDescent="0.35">
      <c r="A5">
        <v>-1.35</v>
      </c>
      <c r="B5">
        <v>1.9400000000000001E-2</v>
      </c>
      <c r="C5">
        <v>4.4999999999999997E-3</v>
      </c>
      <c r="D5">
        <v>8.8000000000000003E-4</v>
      </c>
      <c r="E5">
        <v>-7.7399999999999997E-2</v>
      </c>
      <c r="F5">
        <v>0.05</v>
      </c>
      <c r="G5">
        <v>8.5000000000000006E-3</v>
      </c>
      <c r="H5">
        <v>-2.5853999999999999</v>
      </c>
      <c r="I5">
        <v>0</v>
      </c>
      <c r="J5">
        <v>0</v>
      </c>
      <c r="K5">
        <v>0</v>
      </c>
      <c r="L5">
        <v>4.2526000000000002</v>
      </c>
    </row>
    <row r="6" spans="1:12" x14ac:dyDescent="0.35">
      <c r="A6">
        <v>-1.3</v>
      </c>
      <c r="B6">
        <v>3.15E-2</v>
      </c>
      <c r="C6">
        <v>4.4900000000000001E-3</v>
      </c>
      <c r="D6">
        <v>8.5999999999999998E-4</v>
      </c>
      <c r="E6">
        <v>-7.7200000000000005E-2</v>
      </c>
      <c r="F6">
        <v>0.05</v>
      </c>
      <c r="G6">
        <v>8.6999999999999994E-3</v>
      </c>
      <c r="H6">
        <v>-2.4390999999999998</v>
      </c>
      <c r="I6">
        <v>0</v>
      </c>
      <c r="J6">
        <v>0</v>
      </c>
      <c r="K6">
        <v>0</v>
      </c>
      <c r="L6">
        <v>2.7077</v>
      </c>
    </row>
    <row r="7" spans="1:12" x14ac:dyDescent="0.35">
      <c r="A7">
        <v>-1.25</v>
      </c>
      <c r="B7">
        <v>4.3499999999999997E-2</v>
      </c>
      <c r="C7">
        <v>4.4799999999999996E-3</v>
      </c>
      <c r="D7">
        <v>8.4000000000000003E-4</v>
      </c>
      <c r="E7">
        <v>-7.6999999999999999E-2</v>
      </c>
      <c r="F7">
        <v>0.05</v>
      </c>
      <c r="G7">
        <v>8.8999999999999999E-3</v>
      </c>
      <c r="H7">
        <v>-2.2991999999999999</v>
      </c>
      <c r="I7">
        <v>0</v>
      </c>
      <c r="J7">
        <v>0</v>
      </c>
      <c r="K7">
        <v>0</v>
      </c>
      <c r="L7">
        <v>2.0253999999999999</v>
      </c>
    </row>
    <row r="8" spans="1:12" x14ac:dyDescent="0.35">
      <c r="A8">
        <v>-1.2</v>
      </c>
      <c r="B8">
        <v>5.5399999999999998E-2</v>
      </c>
      <c r="C8">
        <v>4.47E-3</v>
      </c>
      <c r="D8">
        <v>8.3000000000000001E-4</v>
      </c>
      <c r="E8">
        <v>-7.6799999999999993E-2</v>
      </c>
      <c r="F8">
        <v>0.05</v>
      </c>
      <c r="G8">
        <v>8.9999999999999993E-3</v>
      </c>
      <c r="H8">
        <v>-2.1659999999999999</v>
      </c>
      <c r="I8">
        <v>0</v>
      </c>
      <c r="J8">
        <v>0</v>
      </c>
      <c r="K8">
        <v>0</v>
      </c>
      <c r="L8">
        <v>1.6409</v>
      </c>
    </row>
    <row r="9" spans="1:12" x14ac:dyDescent="0.35">
      <c r="A9">
        <v>-1.1499999999999999</v>
      </c>
      <c r="B9">
        <v>6.7199999999999996E-2</v>
      </c>
      <c r="C9">
        <v>4.47E-3</v>
      </c>
      <c r="D9">
        <v>8.1999999999999998E-4</v>
      </c>
      <c r="E9">
        <v>-7.6700000000000004E-2</v>
      </c>
      <c r="F9">
        <v>0.05</v>
      </c>
      <c r="G9">
        <v>9.1000000000000004E-3</v>
      </c>
      <c r="H9">
        <v>-2.0394000000000001</v>
      </c>
      <c r="I9">
        <v>0</v>
      </c>
      <c r="J9">
        <v>0</v>
      </c>
      <c r="K9">
        <v>0</v>
      </c>
      <c r="L9">
        <v>1.3940999999999999</v>
      </c>
    </row>
    <row r="10" spans="1:12" x14ac:dyDescent="0.35">
      <c r="A10">
        <v>-1.1000000000000001</v>
      </c>
      <c r="B10">
        <v>7.8899999999999998E-2</v>
      </c>
      <c r="C10">
        <v>4.4600000000000004E-3</v>
      </c>
      <c r="D10">
        <v>8.0999999999999996E-4</v>
      </c>
      <c r="E10">
        <v>-7.6600000000000001E-2</v>
      </c>
      <c r="F10">
        <v>0.05</v>
      </c>
      <c r="G10">
        <v>9.1999999999999998E-3</v>
      </c>
      <c r="H10">
        <v>-1.9188000000000001</v>
      </c>
      <c r="I10">
        <v>0</v>
      </c>
      <c r="J10">
        <v>0</v>
      </c>
      <c r="K10">
        <v>0</v>
      </c>
      <c r="L10">
        <v>1.2222999999999999</v>
      </c>
    </row>
    <row r="11" spans="1:12" x14ac:dyDescent="0.35">
      <c r="A11">
        <v>-1.05</v>
      </c>
      <c r="B11">
        <v>9.06E-2</v>
      </c>
      <c r="C11">
        <v>4.4600000000000004E-3</v>
      </c>
      <c r="D11">
        <v>8.0000000000000004E-4</v>
      </c>
      <c r="E11">
        <v>-7.6499999999999999E-2</v>
      </c>
      <c r="F11">
        <v>0.05</v>
      </c>
      <c r="G11">
        <v>9.2999999999999992E-3</v>
      </c>
      <c r="H11">
        <v>-1.8038000000000001</v>
      </c>
      <c r="I11">
        <v>0</v>
      </c>
      <c r="J11">
        <v>0</v>
      </c>
      <c r="K11">
        <v>0</v>
      </c>
      <c r="L11">
        <v>1.0958000000000001</v>
      </c>
    </row>
    <row r="12" spans="1:12" x14ac:dyDescent="0.35">
      <c r="A12">
        <v>-1</v>
      </c>
      <c r="B12">
        <v>0.1022</v>
      </c>
      <c r="C12">
        <v>4.4600000000000004E-3</v>
      </c>
      <c r="D12">
        <v>8.0000000000000004E-4</v>
      </c>
      <c r="E12">
        <v>-7.6399999999999996E-2</v>
      </c>
      <c r="F12">
        <v>0.05</v>
      </c>
      <c r="G12">
        <v>9.4000000000000004E-3</v>
      </c>
      <c r="H12">
        <v>-1.694</v>
      </c>
      <c r="I12">
        <v>0</v>
      </c>
      <c r="J12">
        <v>0</v>
      </c>
      <c r="K12">
        <v>0</v>
      </c>
      <c r="L12">
        <v>0.99880000000000002</v>
      </c>
    </row>
    <row r="13" spans="1:12" x14ac:dyDescent="0.35">
      <c r="A13">
        <v>-0.95</v>
      </c>
      <c r="B13">
        <v>0.1138</v>
      </c>
      <c r="C13">
        <v>4.45E-3</v>
      </c>
      <c r="D13">
        <v>7.9000000000000001E-4</v>
      </c>
      <c r="E13">
        <v>-7.6300000000000007E-2</v>
      </c>
      <c r="F13">
        <v>0.05</v>
      </c>
      <c r="G13">
        <v>9.4000000000000004E-3</v>
      </c>
      <c r="H13">
        <v>-1.5891</v>
      </c>
      <c r="I13">
        <v>0</v>
      </c>
      <c r="J13">
        <v>0</v>
      </c>
      <c r="K13">
        <v>0</v>
      </c>
      <c r="L13">
        <v>0.92200000000000004</v>
      </c>
    </row>
    <row r="14" spans="1:12" x14ac:dyDescent="0.35">
      <c r="A14">
        <v>-0.9</v>
      </c>
      <c r="B14">
        <v>0.12529999999999999</v>
      </c>
      <c r="C14">
        <v>4.45E-3</v>
      </c>
      <c r="D14">
        <v>7.9000000000000001E-4</v>
      </c>
      <c r="E14">
        <v>-7.6300000000000007E-2</v>
      </c>
      <c r="F14">
        <v>0.05</v>
      </c>
      <c r="G14">
        <v>9.4999999999999998E-3</v>
      </c>
      <c r="H14">
        <v>-1.4885999999999999</v>
      </c>
      <c r="I14">
        <v>0</v>
      </c>
      <c r="J14">
        <v>0</v>
      </c>
      <c r="K14">
        <v>0</v>
      </c>
      <c r="L14">
        <v>0.85980000000000001</v>
      </c>
    </row>
    <row r="15" spans="1:12" x14ac:dyDescent="0.35">
      <c r="A15">
        <v>-0.85</v>
      </c>
      <c r="B15">
        <v>0.13639999999999999</v>
      </c>
      <c r="C15">
        <v>4.47E-3</v>
      </c>
      <c r="D15">
        <v>7.7999999999999999E-4</v>
      </c>
      <c r="E15">
        <v>-7.6100000000000001E-2</v>
      </c>
      <c r="F15">
        <v>3.4099999999999998E-2</v>
      </c>
      <c r="G15">
        <v>9.4999999999999998E-3</v>
      </c>
      <c r="H15">
        <v>-1.3947000000000001</v>
      </c>
      <c r="I15">
        <v>0</v>
      </c>
      <c r="J15">
        <v>0</v>
      </c>
      <c r="K15">
        <v>0</v>
      </c>
      <c r="L15">
        <v>0.80910000000000004</v>
      </c>
    </row>
    <row r="16" spans="1:12" x14ac:dyDescent="0.35">
      <c r="A16">
        <v>-0.8</v>
      </c>
      <c r="B16">
        <v>0.14779999999999999</v>
      </c>
      <c r="C16">
        <v>4.47E-3</v>
      </c>
      <c r="D16">
        <v>7.7999999999999999E-4</v>
      </c>
      <c r="E16">
        <v>-7.6100000000000001E-2</v>
      </c>
      <c r="F16">
        <v>3.32E-2</v>
      </c>
      <c r="G16">
        <v>9.5999999999999992E-3</v>
      </c>
      <c r="H16">
        <v>-1.3026</v>
      </c>
      <c r="I16">
        <v>0</v>
      </c>
      <c r="J16">
        <v>0</v>
      </c>
      <c r="K16">
        <v>0</v>
      </c>
      <c r="L16">
        <v>0.76559999999999995</v>
      </c>
    </row>
    <row r="17" spans="1:12" x14ac:dyDescent="0.35">
      <c r="A17">
        <v>-0.75</v>
      </c>
      <c r="B17">
        <v>0.15909999999999999</v>
      </c>
      <c r="C17">
        <v>4.47E-3</v>
      </c>
      <c r="D17">
        <v>7.7999999999999999E-4</v>
      </c>
      <c r="E17">
        <v>-7.6100000000000001E-2</v>
      </c>
      <c r="F17">
        <v>3.2500000000000001E-2</v>
      </c>
      <c r="G17">
        <v>9.5999999999999992E-3</v>
      </c>
      <c r="H17">
        <v>-1.2142999999999999</v>
      </c>
      <c r="I17">
        <v>0</v>
      </c>
      <c r="J17">
        <v>0</v>
      </c>
      <c r="K17">
        <v>0</v>
      </c>
      <c r="L17">
        <v>0.72860000000000003</v>
      </c>
    </row>
    <row r="18" spans="1:12" x14ac:dyDescent="0.35">
      <c r="A18">
        <v>-0.7</v>
      </c>
      <c r="B18">
        <v>0.1704</v>
      </c>
      <c r="C18">
        <v>4.47E-3</v>
      </c>
      <c r="D18">
        <v>7.6999999999999996E-4</v>
      </c>
      <c r="E18">
        <v>-7.5999999999999998E-2</v>
      </c>
      <c r="F18">
        <v>3.1800000000000002E-2</v>
      </c>
      <c r="G18">
        <v>9.7000000000000003E-3</v>
      </c>
      <c r="H18">
        <v>-1.1294999999999999</v>
      </c>
      <c r="I18">
        <v>0</v>
      </c>
      <c r="J18">
        <v>0</v>
      </c>
      <c r="K18">
        <v>0</v>
      </c>
      <c r="L18">
        <v>0.6966</v>
      </c>
    </row>
    <row r="19" spans="1:12" x14ac:dyDescent="0.35">
      <c r="A19">
        <v>-0.65</v>
      </c>
      <c r="B19">
        <v>0.1817</v>
      </c>
      <c r="C19">
        <v>4.4799999999999996E-3</v>
      </c>
      <c r="D19">
        <v>7.6999999999999996E-4</v>
      </c>
      <c r="E19">
        <v>-7.5999999999999998E-2</v>
      </c>
      <c r="F19">
        <v>3.1099999999999999E-2</v>
      </c>
      <c r="G19">
        <v>9.7000000000000003E-3</v>
      </c>
      <c r="H19">
        <v>-1.048</v>
      </c>
      <c r="I19">
        <v>0</v>
      </c>
      <c r="J19">
        <v>0</v>
      </c>
      <c r="K19">
        <v>0</v>
      </c>
      <c r="L19">
        <v>0.66879999999999995</v>
      </c>
    </row>
    <row r="20" spans="1:12" x14ac:dyDescent="0.35">
      <c r="A20">
        <v>-0.6</v>
      </c>
      <c r="B20">
        <v>0.193</v>
      </c>
      <c r="C20">
        <v>4.4799999999999996E-3</v>
      </c>
      <c r="D20">
        <v>7.6999999999999996E-4</v>
      </c>
      <c r="E20">
        <v>-7.5999999999999998E-2</v>
      </c>
      <c r="F20">
        <v>3.0300000000000001E-2</v>
      </c>
      <c r="G20">
        <v>9.7000000000000003E-3</v>
      </c>
      <c r="H20">
        <v>-0.9698</v>
      </c>
      <c r="I20">
        <v>0</v>
      </c>
      <c r="J20">
        <v>0</v>
      </c>
      <c r="K20">
        <v>0</v>
      </c>
      <c r="L20">
        <v>0.64419999999999999</v>
      </c>
    </row>
    <row r="21" spans="1:12" x14ac:dyDescent="0.35">
      <c r="A21">
        <v>-0.55000000000000004</v>
      </c>
      <c r="B21">
        <v>0.20430000000000001</v>
      </c>
      <c r="C21">
        <v>4.47E-3</v>
      </c>
      <c r="D21">
        <v>7.6999999999999996E-4</v>
      </c>
      <c r="E21">
        <v>-7.5999999999999998E-2</v>
      </c>
      <c r="F21">
        <v>3.2599999999999997E-2</v>
      </c>
      <c r="G21">
        <v>9.7999999999999997E-3</v>
      </c>
      <c r="H21">
        <v>-0.89470000000000005</v>
      </c>
      <c r="I21">
        <v>0</v>
      </c>
      <c r="J21">
        <v>0</v>
      </c>
      <c r="K21">
        <v>0</v>
      </c>
      <c r="L21">
        <v>0.62239999999999995</v>
      </c>
    </row>
    <row r="22" spans="1:12" x14ac:dyDescent="0.35">
      <c r="A22">
        <v>-0.5</v>
      </c>
      <c r="B22">
        <v>0.2155</v>
      </c>
      <c r="C22">
        <v>4.47E-3</v>
      </c>
      <c r="D22">
        <v>7.6999999999999996E-4</v>
      </c>
      <c r="E22">
        <v>-7.5999999999999998E-2</v>
      </c>
      <c r="F22">
        <v>3.2800000000000003E-2</v>
      </c>
      <c r="G22">
        <v>9.7999999999999997E-3</v>
      </c>
      <c r="H22">
        <v>-0.82169999999999999</v>
      </c>
      <c r="I22">
        <v>0</v>
      </c>
      <c r="J22">
        <v>0</v>
      </c>
      <c r="K22">
        <v>0</v>
      </c>
      <c r="L22">
        <v>0.60299999999999998</v>
      </c>
    </row>
    <row r="23" spans="1:12" x14ac:dyDescent="0.35">
      <c r="A23">
        <v>-0.45</v>
      </c>
      <c r="B23">
        <v>0.22670000000000001</v>
      </c>
      <c r="C23">
        <v>4.4799999999999996E-3</v>
      </c>
      <c r="D23">
        <v>7.6999999999999996E-4</v>
      </c>
      <c r="E23">
        <v>-7.5999999999999998E-2</v>
      </c>
      <c r="F23">
        <v>3.2300000000000002E-2</v>
      </c>
      <c r="G23">
        <v>9.9000000000000008E-3</v>
      </c>
      <c r="H23">
        <v>-0.75160000000000005</v>
      </c>
      <c r="I23">
        <v>0</v>
      </c>
      <c r="J23">
        <v>0</v>
      </c>
      <c r="K23">
        <v>0</v>
      </c>
      <c r="L23">
        <v>0.58550000000000002</v>
      </c>
    </row>
    <row r="24" spans="1:12" x14ac:dyDescent="0.35">
      <c r="A24">
        <v>-0.4</v>
      </c>
      <c r="B24">
        <v>0.23780000000000001</v>
      </c>
      <c r="C24">
        <v>4.4799999999999996E-3</v>
      </c>
      <c r="D24">
        <v>7.7999999999999999E-4</v>
      </c>
      <c r="E24">
        <v>-7.5999999999999998E-2</v>
      </c>
      <c r="F24">
        <v>3.15E-2</v>
      </c>
      <c r="G24">
        <v>9.9000000000000008E-3</v>
      </c>
      <c r="H24">
        <v>-0.68410000000000004</v>
      </c>
      <c r="I24">
        <v>0</v>
      </c>
      <c r="J24">
        <v>0</v>
      </c>
      <c r="K24">
        <v>0</v>
      </c>
      <c r="L24">
        <v>0.56979999999999997</v>
      </c>
    </row>
    <row r="25" spans="1:12" x14ac:dyDescent="0.35">
      <c r="A25">
        <v>-0.35</v>
      </c>
      <c r="B25">
        <v>0.249</v>
      </c>
      <c r="C25">
        <v>4.4900000000000001E-3</v>
      </c>
      <c r="D25">
        <v>7.7999999999999999E-4</v>
      </c>
      <c r="E25">
        <v>-7.5999999999999998E-2</v>
      </c>
      <c r="F25">
        <v>3.0700000000000002E-2</v>
      </c>
      <c r="G25">
        <v>9.9000000000000008E-3</v>
      </c>
      <c r="H25">
        <v>-0.61899999999999999</v>
      </c>
      <c r="I25">
        <v>0</v>
      </c>
      <c r="J25">
        <v>0</v>
      </c>
      <c r="K25">
        <v>0</v>
      </c>
      <c r="L25">
        <v>0.5554</v>
      </c>
    </row>
    <row r="26" spans="1:12" x14ac:dyDescent="0.35">
      <c r="A26">
        <v>-0.3</v>
      </c>
      <c r="B26">
        <v>0.2601</v>
      </c>
      <c r="C26">
        <v>4.4900000000000001E-3</v>
      </c>
      <c r="D26">
        <v>7.7999999999999999E-4</v>
      </c>
      <c r="E26">
        <v>-7.6100000000000001E-2</v>
      </c>
      <c r="F26">
        <v>2.9700000000000001E-2</v>
      </c>
      <c r="G26">
        <v>9.9000000000000008E-3</v>
      </c>
      <c r="H26">
        <v>-0.55610000000000004</v>
      </c>
      <c r="I26">
        <v>0</v>
      </c>
      <c r="J26">
        <v>0</v>
      </c>
      <c r="K26">
        <v>0</v>
      </c>
      <c r="L26">
        <v>0.54239999999999999</v>
      </c>
    </row>
    <row r="27" spans="1:12" x14ac:dyDescent="0.35">
      <c r="A27">
        <v>-0.25</v>
      </c>
      <c r="B27">
        <v>0.2712</v>
      </c>
      <c r="C27">
        <v>4.4900000000000001E-3</v>
      </c>
      <c r="D27">
        <v>7.9000000000000001E-4</v>
      </c>
      <c r="E27">
        <v>-7.6100000000000001E-2</v>
      </c>
      <c r="F27">
        <v>2.87E-2</v>
      </c>
      <c r="G27">
        <v>0.01</v>
      </c>
      <c r="H27">
        <v>-0.51659999999999995</v>
      </c>
      <c r="I27">
        <v>0</v>
      </c>
      <c r="J27">
        <v>0</v>
      </c>
      <c r="K27">
        <v>0</v>
      </c>
      <c r="L27">
        <v>0.53039999999999998</v>
      </c>
    </row>
    <row r="28" spans="1:12" x14ac:dyDescent="0.35">
      <c r="A28">
        <v>-0.2</v>
      </c>
      <c r="B28">
        <v>0.2823</v>
      </c>
      <c r="C28">
        <v>4.4999999999999997E-3</v>
      </c>
      <c r="D28">
        <v>7.9000000000000001E-4</v>
      </c>
      <c r="E28">
        <v>-7.6100000000000001E-2</v>
      </c>
      <c r="F28">
        <v>2.75E-2</v>
      </c>
      <c r="G28">
        <v>0.01</v>
      </c>
      <c r="H28">
        <v>-0.52159999999999995</v>
      </c>
      <c r="I28">
        <v>0</v>
      </c>
      <c r="J28">
        <v>0</v>
      </c>
      <c r="K28">
        <v>0</v>
      </c>
      <c r="L28">
        <v>0.51939999999999997</v>
      </c>
    </row>
    <row r="29" spans="1:12" x14ac:dyDescent="0.35">
      <c r="A29">
        <v>-0.15</v>
      </c>
      <c r="B29">
        <v>0.29339999999999999</v>
      </c>
      <c r="C29">
        <v>4.4999999999999997E-3</v>
      </c>
      <c r="D29">
        <v>7.9000000000000001E-4</v>
      </c>
      <c r="E29">
        <v>-7.6100000000000001E-2</v>
      </c>
      <c r="F29">
        <v>2.5100000000000001E-2</v>
      </c>
      <c r="G29">
        <v>0.01</v>
      </c>
      <c r="H29">
        <v>-0.52649999999999997</v>
      </c>
      <c r="I29">
        <v>0</v>
      </c>
      <c r="J29">
        <v>0</v>
      </c>
      <c r="K29">
        <v>0</v>
      </c>
      <c r="L29">
        <v>0.50919999999999999</v>
      </c>
    </row>
    <row r="30" spans="1:12" x14ac:dyDescent="0.35">
      <c r="A30">
        <v>-0.1</v>
      </c>
      <c r="B30">
        <v>0.30449999999999999</v>
      </c>
      <c r="C30">
        <v>4.5100000000000001E-3</v>
      </c>
      <c r="D30">
        <v>8.0000000000000004E-4</v>
      </c>
      <c r="E30">
        <v>-7.6100000000000001E-2</v>
      </c>
      <c r="F30">
        <v>2.3400000000000001E-2</v>
      </c>
      <c r="G30">
        <v>1.01E-2</v>
      </c>
      <c r="H30">
        <v>-0.53159999999999996</v>
      </c>
      <c r="I30">
        <v>0</v>
      </c>
      <c r="J30">
        <v>0</v>
      </c>
      <c r="K30">
        <v>0</v>
      </c>
      <c r="L30">
        <v>0.49980000000000002</v>
      </c>
    </row>
    <row r="31" spans="1:12" x14ac:dyDescent="0.35">
      <c r="A31">
        <v>-0.05</v>
      </c>
      <c r="B31">
        <v>0.31569999999999998</v>
      </c>
      <c r="C31">
        <v>4.5100000000000001E-3</v>
      </c>
      <c r="D31">
        <v>8.0000000000000004E-4</v>
      </c>
      <c r="E31">
        <v>-7.6100000000000001E-2</v>
      </c>
      <c r="F31">
        <v>2.3300000000000001E-2</v>
      </c>
      <c r="G31">
        <v>1.01E-2</v>
      </c>
      <c r="H31">
        <v>-0.53669999999999995</v>
      </c>
      <c r="I31">
        <v>0</v>
      </c>
      <c r="J31">
        <v>0</v>
      </c>
      <c r="K31">
        <v>0</v>
      </c>
      <c r="L31">
        <v>0.49099999999999999</v>
      </c>
    </row>
    <row r="32" spans="1:12" x14ac:dyDescent="0.35">
      <c r="A32">
        <v>0</v>
      </c>
      <c r="B32">
        <v>0.32679999999999998</v>
      </c>
      <c r="C32">
        <v>4.5199999999999997E-3</v>
      </c>
      <c r="D32">
        <v>8.0999999999999996E-4</v>
      </c>
      <c r="E32">
        <v>-7.6200000000000004E-2</v>
      </c>
      <c r="F32">
        <v>2.3300000000000001E-2</v>
      </c>
      <c r="G32">
        <v>1.0200000000000001E-2</v>
      </c>
      <c r="H32">
        <v>-0.54190000000000005</v>
      </c>
      <c r="I32">
        <v>0</v>
      </c>
      <c r="J32">
        <v>0</v>
      </c>
      <c r="K32">
        <v>0</v>
      </c>
      <c r="L32">
        <v>0.4829</v>
      </c>
    </row>
    <row r="33" spans="1:12" x14ac:dyDescent="0.35">
      <c r="A33">
        <v>0.05</v>
      </c>
      <c r="B33">
        <v>0.33789999999999998</v>
      </c>
      <c r="C33">
        <v>4.5199999999999997E-3</v>
      </c>
      <c r="D33">
        <v>8.1999999999999998E-4</v>
      </c>
      <c r="E33">
        <v>-7.6200000000000004E-2</v>
      </c>
      <c r="F33">
        <v>2.3199999999999998E-2</v>
      </c>
      <c r="G33">
        <v>1.0699999999999999E-2</v>
      </c>
      <c r="H33">
        <v>-0.54710000000000003</v>
      </c>
      <c r="I33">
        <v>0</v>
      </c>
      <c r="J33">
        <v>0</v>
      </c>
      <c r="K33">
        <v>0</v>
      </c>
      <c r="L33">
        <v>0.47520000000000001</v>
      </c>
    </row>
    <row r="34" spans="1:12" x14ac:dyDescent="0.35">
      <c r="A34">
        <v>0.1</v>
      </c>
      <c r="B34">
        <v>0.34899999999999998</v>
      </c>
      <c r="C34">
        <v>4.5300000000000002E-3</v>
      </c>
      <c r="D34">
        <v>8.1999999999999998E-4</v>
      </c>
      <c r="E34">
        <v>-7.6200000000000004E-2</v>
      </c>
      <c r="F34">
        <v>2.3199999999999998E-2</v>
      </c>
      <c r="G34">
        <v>1.14E-2</v>
      </c>
      <c r="H34">
        <v>-0.5524</v>
      </c>
      <c r="I34">
        <v>0</v>
      </c>
      <c r="J34">
        <v>0</v>
      </c>
      <c r="K34">
        <v>0</v>
      </c>
      <c r="L34">
        <v>0.46810000000000002</v>
      </c>
    </row>
    <row r="35" spans="1:12" x14ac:dyDescent="0.35">
      <c r="A35">
        <v>0.15</v>
      </c>
      <c r="B35">
        <v>0.36020000000000002</v>
      </c>
      <c r="C35">
        <v>4.5300000000000002E-3</v>
      </c>
      <c r="D35">
        <v>8.3000000000000001E-4</v>
      </c>
      <c r="E35">
        <v>-7.6200000000000004E-2</v>
      </c>
      <c r="F35">
        <v>2.3099999999999999E-2</v>
      </c>
      <c r="G35">
        <v>1.2E-2</v>
      </c>
      <c r="H35">
        <v>-0.55779999999999996</v>
      </c>
      <c r="I35">
        <v>0</v>
      </c>
      <c r="J35">
        <v>0</v>
      </c>
      <c r="K35">
        <v>0</v>
      </c>
      <c r="L35">
        <v>0.46129999999999999</v>
      </c>
    </row>
    <row r="36" spans="1:12" x14ac:dyDescent="0.35">
      <c r="A36">
        <v>0.2</v>
      </c>
      <c r="B36">
        <v>0.37130000000000002</v>
      </c>
      <c r="C36">
        <v>4.5399999999999998E-3</v>
      </c>
      <c r="D36">
        <v>8.4000000000000003E-4</v>
      </c>
      <c r="E36">
        <v>-7.6300000000000007E-2</v>
      </c>
      <c r="F36">
        <v>2.3099999999999999E-2</v>
      </c>
      <c r="G36">
        <v>1.2800000000000001E-2</v>
      </c>
      <c r="H36">
        <v>-0.56320000000000003</v>
      </c>
      <c r="I36">
        <v>0</v>
      </c>
      <c r="J36">
        <v>0</v>
      </c>
      <c r="K36">
        <v>0</v>
      </c>
      <c r="L36">
        <v>0.45500000000000002</v>
      </c>
    </row>
    <row r="37" spans="1:12" x14ac:dyDescent="0.35">
      <c r="A37">
        <v>0.25</v>
      </c>
      <c r="B37">
        <v>0.38250000000000001</v>
      </c>
      <c r="C37">
        <v>4.5399999999999998E-3</v>
      </c>
      <c r="D37">
        <v>8.4000000000000003E-4</v>
      </c>
      <c r="E37">
        <v>-7.6300000000000007E-2</v>
      </c>
      <c r="F37">
        <v>2.3E-2</v>
      </c>
      <c r="G37">
        <v>1.3599999999999999E-2</v>
      </c>
      <c r="H37">
        <v>-0.56859999999999999</v>
      </c>
      <c r="I37">
        <v>0</v>
      </c>
      <c r="J37">
        <v>0</v>
      </c>
      <c r="K37">
        <v>0</v>
      </c>
      <c r="L37">
        <v>0.44900000000000001</v>
      </c>
    </row>
    <row r="38" spans="1:12" x14ac:dyDescent="0.35">
      <c r="A38">
        <v>0.3</v>
      </c>
      <c r="B38">
        <v>0.39350000000000002</v>
      </c>
      <c r="C38">
        <v>4.5599999999999998E-3</v>
      </c>
      <c r="D38">
        <v>8.4999999999999995E-4</v>
      </c>
      <c r="E38">
        <v>-7.6300000000000007E-2</v>
      </c>
      <c r="F38">
        <v>2.1000000000000001E-2</v>
      </c>
      <c r="G38">
        <v>1.4500000000000001E-2</v>
      </c>
      <c r="H38">
        <v>-0.57399999999999995</v>
      </c>
      <c r="I38">
        <v>0</v>
      </c>
      <c r="J38">
        <v>0</v>
      </c>
      <c r="K38">
        <v>0</v>
      </c>
      <c r="L38">
        <v>0.44340000000000002</v>
      </c>
    </row>
    <row r="39" spans="1:12" x14ac:dyDescent="0.35">
      <c r="A39">
        <v>0.35</v>
      </c>
      <c r="B39">
        <v>0.40460000000000002</v>
      </c>
      <c r="C39">
        <v>4.5700000000000003E-3</v>
      </c>
      <c r="D39">
        <v>8.5999999999999998E-4</v>
      </c>
      <c r="E39">
        <v>-7.6200000000000004E-2</v>
      </c>
      <c r="F39">
        <v>1.9199999999999998E-2</v>
      </c>
      <c r="G39">
        <v>1.5599999999999999E-2</v>
      </c>
      <c r="H39">
        <v>-0.57950000000000002</v>
      </c>
      <c r="I39">
        <v>0</v>
      </c>
      <c r="J39">
        <v>0</v>
      </c>
      <c r="K39">
        <v>0</v>
      </c>
      <c r="L39">
        <v>0.438</v>
      </c>
    </row>
    <row r="40" spans="1:12" x14ac:dyDescent="0.35">
      <c r="A40">
        <v>0.4</v>
      </c>
      <c r="B40">
        <v>0.41570000000000001</v>
      </c>
      <c r="C40">
        <v>4.5799999999999999E-3</v>
      </c>
      <c r="D40">
        <v>8.8000000000000003E-4</v>
      </c>
      <c r="E40">
        <v>-7.6200000000000004E-2</v>
      </c>
      <c r="F40">
        <v>1.49E-2</v>
      </c>
      <c r="G40">
        <v>1.66E-2</v>
      </c>
      <c r="H40">
        <v>-0.58509999999999995</v>
      </c>
      <c r="I40">
        <v>0</v>
      </c>
      <c r="J40">
        <v>0</v>
      </c>
      <c r="K40">
        <v>0</v>
      </c>
      <c r="L40">
        <v>0.43290000000000001</v>
      </c>
    </row>
    <row r="41" spans="1:12" x14ac:dyDescent="0.35">
      <c r="A41">
        <v>0.45</v>
      </c>
      <c r="B41">
        <v>0.42699999999999999</v>
      </c>
      <c r="C41">
        <v>4.5799999999999999E-3</v>
      </c>
      <c r="D41">
        <v>8.8999999999999995E-4</v>
      </c>
      <c r="E41">
        <v>-7.6200000000000004E-2</v>
      </c>
      <c r="F41">
        <v>1.38E-2</v>
      </c>
      <c r="G41">
        <v>1.77E-2</v>
      </c>
      <c r="H41">
        <v>-0.62639999999999996</v>
      </c>
      <c r="I41">
        <v>0</v>
      </c>
      <c r="J41">
        <v>0</v>
      </c>
      <c r="K41">
        <v>0</v>
      </c>
      <c r="L41">
        <v>0.42809999999999998</v>
      </c>
    </row>
    <row r="42" spans="1:12" x14ac:dyDescent="0.35">
      <c r="A42">
        <v>0.8</v>
      </c>
      <c r="B42">
        <v>0.50590000000000002</v>
      </c>
      <c r="C42">
        <v>4.6499999999999996E-3</v>
      </c>
      <c r="D42">
        <v>9.7999999999999997E-4</v>
      </c>
      <c r="E42">
        <v>-7.5999999999999998E-2</v>
      </c>
      <c r="F42">
        <v>1.09E-2</v>
      </c>
      <c r="G42">
        <v>2.9399999999999999E-2</v>
      </c>
      <c r="H42">
        <v>-1.0495000000000001</v>
      </c>
      <c r="I42">
        <v>0</v>
      </c>
      <c r="J42">
        <v>0</v>
      </c>
      <c r="K42">
        <v>0</v>
      </c>
      <c r="L42">
        <v>0.39950000000000002</v>
      </c>
    </row>
    <row r="43" spans="1:12" x14ac:dyDescent="0.35">
      <c r="A43">
        <v>0.85</v>
      </c>
      <c r="B43">
        <v>0.51729999999999998</v>
      </c>
      <c r="C43">
        <v>4.6600000000000001E-3</v>
      </c>
      <c r="D43">
        <v>1E-3</v>
      </c>
      <c r="E43">
        <v>-7.5899999999999995E-2</v>
      </c>
      <c r="F43">
        <v>1.01E-2</v>
      </c>
      <c r="G43">
        <v>3.1399999999999997E-2</v>
      </c>
      <c r="H43">
        <v>-1.1177999999999999</v>
      </c>
      <c r="I43">
        <v>0</v>
      </c>
      <c r="J43">
        <v>0</v>
      </c>
      <c r="K43">
        <v>0</v>
      </c>
      <c r="L43">
        <v>0.39600000000000002</v>
      </c>
    </row>
    <row r="44" spans="1:12" x14ac:dyDescent="0.35">
      <c r="A44">
        <v>0.9</v>
      </c>
      <c r="B44">
        <v>0.52880000000000005</v>
      </c>
      <c r="C44">
        <v>4.6699999999999997E-3</v>
      </c>
      <c r="D44">
        <v>1.0200000000000001E-3</v>
      </c>
      <c r="E44">
        <v>-7.5800000000000006E-2</v>
      </c>
      <c r="F44">
        <v>9.4000000000000004E-3</v>
      </c>
      <c r="G44">
        <v>3.4799999999999998E-2</v>
      </c>
      <c r="H44">
        <v>-1.1888000000000001</v>
      </c>
      <c r="I44">
        <v>0</v>
      </c>
      <c r="J44">
        <v>0</v>
      </c>
      <c r="K44">
        <v>0</v>
      </c>
      <c r="L44">
        <v>0.39269999999999999</v>
      </c>
    </row>
    <row r="45" spans="1:12" x14ac:dyDescent="0.35">
      <c r="A45">
        <v>0.95</v>
      </c>
      <c r="B45">
        <v>0.5403</v>
      </c>
      <c r="C45">
        <v>4.6800000000000001E-3</v>
      </c>
      <c r="D45">
        <v>1.0300000000000001E-3</v>
      </c>
      <c r="E45">
        <v>-7.5700000000000003E-2</v>
      </c>
      <c r="F45">
        <v>8.8000000000000005E-3</v>
      </c>
      <c r="G45">
        <v>3.8399999999999997E-2</v>
      </c>
      <c r="H45">
        <v>-1.2625999999999999</v>
      </c>
      <c r="I45">
        <v>0</v>
      </c>
      <c r="J45">
        <v>0</v>
      </c>
      <c r="K45">
        <v>0</v>
      </c>
      <c r="L45">
        <v>0.38950000000000001</v>
      </c>
    </row>
    <row r="46" spans="1:12" x14ac:dyDescent="0.35">
      <c r="A46">
        <v>1</v>
      </c>
      <c r="B46">
        <v>0.55189999999999995</v>
      </c>
      <c r="C46">
        <v>4.6800000000000001E-3</v>
      </c>
      <c r="D46">
        <v>1.0499999999999999E-3</v>
      </c>
      <c r="E46">
        <v>-7.5600000000000001E-2</v>
      </c>
      <c r="F46">
        <v>8.2000000000000007E-3</v>
      </c>
      <c r="G46">
        <v>0.05</v>
      </c>
      <c r="H46">
        <v>-1.3392999999999999</v>
      </c>
      <c r="I46">
        <v>0</v>
      </c>
      <c r="J46">
        <v>0</v>
      </c>
      <c r="K46">
        <v>0</v>
      </c>
      <c r="L46">
        <v>0.38629999999999998</v>
      </c>
    </row>
    <row r="47" spans="1:12" x14ac:dyDescent="0.35">
      <c r="A47">
        <v>1.05</v>
      </c>
      <c r="B47">
        <v>0.5635</v>
      </c>
      <c r="C47">
        <v>4.6899999999999997E-3</v>
      </c>
      <c r="D47">
        <v>1.07E-3</v>
      </c>
      <c r="E47">
        <v>-7.5499999999999998E-2</v>
      </c>
      <c r="F47">
        <v>7.6E-3</v>
      </c>
      <c r="G47">
        <v>0.05</v>
      </c>
      <c r="H47">
        <v>-1.4198999999999999</v>
      </c>
      <c r="I47">
        <v>0</v>
      </c>
      <c r="J47">
        <v>0</v>
      </c>
      <c r="K47">
        <v>0</v>
      </c>
      <c r="L47">
        <v>0.38329999999999997</v>
      </c>
    </row>
    <row r="48" spans="1:12" x14ac:dyDescent="0.35">
      <c r="A48">
        <v>1.1000000000000001</v>
      </c>
      <c r="B48">
        <v>0.57520000000000004</v>
      </c>
      <c r="C48">
        <v>4.7000000000000002E-3</v>
      </c>
      <c r="D48">
        <v>1.09E-3</v>
      </c>
      <c r="E48">
        <v>-7.5399999999999995E-2</v>
      </c>
      <c r="F48">
        <v>7.1000000000000004E-3</v>
      </c>
      <c r="G48">
        <v>0.05</v>
      </c>
      <c r="H48">
        <v>-1.5037</v>
      </c>
      <c r="I48">
        <v>0</v>
      </c>
      <c r="J48">
        <v>0</v>
      </c>
      <c r="K48">
        <v>0</v>
      </c>
      <c r="L48">
        <v>0.38030000000000003</v>
      </c>
    </row>
    <row r="49" spans="1:12" x14ac:dyDescent="0.35">
      <c r="A49">
        <v>1.1499999999999999</v>
      </c>
      <c r="B49">
        <v>0.58699999999999997</v>
      </c>
      <c r="C49">
        <v>4.7200000000000002E-3</v>
      </c>
      <c r="D49">
        <v>1.1000000000000001E-3</v>
      </c>
      <c r="E49">
        <v>-7.5300000000000006E-2</v>
      </c>
      <c r="F49">
        <v>7.0000000000000001E-3</v>
      </c>
      <c r="G49">
        <v>0.05</v>
      </c>
      <c r="H49">
        <v>-1.5906</v>
      </c>
      <c r="I49">
        <v>0</v>
      </c>
      <c r="J49">
        <v>0</v>
      </c>
      <c r="K49">
        <v>0</v>
      </c>
      <c r="L49">
        <v>0.37740000000000001</v>
      </c>
    </row>
    <row r="50" spans="1:12" x14ac:dyDescent="0.35">
      <c r="A50">
        <v>1.2</v>
      </c>
      <c r="B50">
        <v>0.5988</v>
      </c>
      <c r="C50">
        <v>4.7299999999999998E-3</v>
      </c>
      <c r="D50">
        <v>1.1199999999999999E-3</v>
      </c>
      <c r="E50">
        <v>-7.51E-2</v>
      </c>
      <c r="F50">
        <v>6.8999999999999999E-3</v>
      </c>
      <c r="G50">
        <v>0.05</v>
      </c>
      <c r="H50">
        <v>-1.6993</v>
      </c>
      <c r="I50">
        <v>0</v>
      </c>
      <c r="J50">
        <v>0</v>
      </c>
      <c r="K50">
        <v>0</v>
      </c>
      <c r="L50">
        <v>0.37459999999999999</v>
      </c>
    </row>
    <row r="51" spans="1:12" x14ac:dyDescent="0.35">
      <c r="A51">
        <v>1.25</v>
      </c>
      <c r="B51">
        <v>0.61060000000000003</v>
      </c>
      <c r="C51">
        <v>4.7699999999999999E-3</v>
      </c>
      <c r="D51">
        <v>1.14E-3</v>
      </c>
      <c r="E51">
        <v>-7.4899999999999994E-2</v>
      </c>
      <c r="F51">
        <v>6.7999999999999996E-3</v>
      </c>
      <c r="G51">
        <v>2.8899999999999999E-2</v>
      </c>
      <c r="H51">
        <v>-1.8243</v>
      </c>
      <c r="I51">
        <v>0</v>
      </c>
      <c r="J51">
        <v>0</v>
      </c>
      <c r="K51">
        <v>0</v>
      </c>
      <c r="L51">
        <v>0.37180000000000002</v>
      </c>
    </row>
    <row r="52" spans="1:12" x14ac:dyDescent="0.35">
      <c r="A52">
        <v>1.3</v>
      </c>
      <c r="B52">
        <v>0.62260000000000004</v>
      </c>
      <c r="C52">
        <v>4.7800000000000004E-3</v>
      </c>
      <c r="D52">
        <v>1.16E-3</v>
      </c>
      <c r="E52">
        <v>-7.4700000000000003E-2</v>
      </c>
      <c r="F52">
        <v>6.7999999999999996E-3</v>
      </c>
      <c r="G52">
        <v>2.8899999999999999E-2</v>
      </c>
      <c r="H52">
        <v>-1.9548000000000001</v>
      </c>
      <c r="I52">
        <v>0</v>
      </c>
      <c r="J52">
        <v>0</v>
      </c>
      <c r="K52">
        <v>0</v>
      </c>
      <c r="L52">
        <v>0.36919999999999997</v>
      </c>
    </row>
    <row r="53" spans="1:12" x14ac:dyDescent="0.35">
      <c r="A53">
        <v>1.35</v>
      </c>
      <c r="B53">
        <v>0.63460000000000005</v>
      </c>
      <c r="C53">
        <v>4.79E-3</v>
      </c>
      <c r="D53">
        <v>1.1800000000000001E-3</v>
      </c>
      <c r="E53">
        <v>-7.4499999999999997E-2</v>
      </c>
      <c r="F53">
        <v>6.7000000000000002E-3</v>
      </c>
      <c r="G53">
        <v>2.9000000000000001E-2</v>
      </c>
      <c r="H53">
        <v>-2.0939999999999999</v>
      </c>
      <c r="I53">
        <v>0</v>
      </c>
      <c r="J53">
        <v>0</v>
      </c>
      <c r="K53">
        <v>0</v>
      </c>
      <c r="L53">
        <v>0.36649999999999999</v>
      </c>
    </row>
    <row r="54" spans="1:12" x14ac:dyDescent="0.35">
      <c r="A54">
        <v>1.4</v>
      </c>
      <c r="B54">
        <v>0.64670000000000005</v>
      </c>
      <c r="C54">
        <v>4.81E-3</v>
      </c>
      <c r="D54">
        <v>1.1999999999999999E-3</v>
      </c>
      <c r="E54">
        <v>-7.4300000000000005E-2</v>
      </c>
      <c r="F54">
        <v>6.7000000000000002E-3</v>
      </c>
      <c r="G54">
        <v>2.9000000000000001E-2</v>
      </c>
      <c r="H54">
        <v>-2.2421000000000002</v>
      </c>
      <c r="I54">
        <v>0</v>
      </c>
      <c r="J54">
        <v>0</v>
      </c>
      <c r="K54">
        <v>0</v>
      </c>
      <c r="L54">
        <v>0.3639</v>
      </c>
    </row>
    <row r="55" spans="1:12" x14ac:dyDescent="0.35">
      <c r="A55">
        <v>1.45</v>
      </c>
      <c r="B55">
        <v>0.65900000000000003</v>
      </c>
      <c r="C55">
        <v>4.8199999999999996E-3</v>
      </c>
      <c r="D55">
        <v>1.2199999999999999E-3</v>
      </c>
      <c r="E55">
        <v>-7.3999999999999996E-2</v>
      </c>
      <c r="F55">
        <v>6.6E-3</v>
      </c>
      <c r="G55">
        <v>2.9000000000000001E-2</v>
      </c>
      <c r="H55">
        <v>-2.4005999999999998</v>
      </c>
      <c r="I55">
        <v>0</v>
      </c>
      <c r="J55">
        <v>0</v>
      </c>
      <c r="K55">
        <v>0</v>
      </c>
      <c r="L55">
        <v>0.3614</v>
      </c>
    </row>
    <row r="56" spans="1:12" x14ac:dyDescent="0.35">
      <c r="A56">
        <v>1.5</v>
      </c>
      <c r="B56">
        <v>0.67130000000000001</v>
      </c>
      <c r="C56">
        <v>4.8300000000000001E-3</v>
      </c>
      <c r="D56">
        <v>1.25E-3</v>
      </c>
      <c r="E56">
        <v>-7.3800000000000004E-2</v>
      </c>
      <c r="F56">
        <v>6.6E-3</v>
      </c>
      <c r="G56">
        <v>2.9399999999999999E-2</v>
      </c>
      <c r="H56">
        <v>-2.5720999999999998</v>
      </c>
      <c r="I56">
        <v>0</v>
      </c>
      <c r="J56">
        <v>0</v>
      </c>
      <c r="K56">
        <v>0</v>
      </c>
      <c r="L56">
        <v>0.3589</v>
      </c>
    </row>
    <row r="57" spans="1:12" x14ac:dyDescent="0.35">
      <c r="A57">
        <v>1.55</v>
      </c>
      <c r="B57">
        <v>0.68379999999999996</v>
      </c>
      <c r="C57">
        <v>4.8500000000000001E-3</v>
      </c>
      <c r="D57">
        <v>1.2700000000000001E-3</v>
      </c>
      <c r="E57">
        <v>-7.3400000000000007E-2</v>
      </c>
      <c r="F57">
        <v>6.4999999999999997E-3</v>
      </c>
      <c r="G57">
        <v>3.5700000000000003E-2</v>
      </c>
      <c r="H57">
        <v>-2.762</v>
      </c>
      <c r="I57">
        <v>0</v>
      </c>
      <c r="J57">
        <v>0</v>
      </c>
      <c r="K57">
        <v>0</v>
      </c>
      <c r="L57">
        <v>0.35639999999999999</v>
      </c>
    </row>
    <row r="58" spans="1:12" x14ac:dyDescent="0.35">
      <c r="A58">
        <v>1.6</v>
      </c>
      <c r="B58">
        <v>0.69650000000000001</v>
      </c>
      <c r="C58">
        <v>4.8500000000000001E-3</v>
      </c>
      <c r="D58">
        <v>1.31E-3</v>
      </c>
      <c r="E58">
        <v>-7.3099999999999998E-2</v>
      </c>
      <c r="F58">
        <v>6.4000000000000003E-3</v>
      </c>
      <c r="G58">
        <v>0.05</v>
      </c>
      <c r="H58">
        <v>-2.9866000000000001</v>
      </c>
      <c r="I58">
        <v>0</v>
      </c>
      <c r="J58">
        <v>0</v>
      </c>
      <c r="K58">
        <v>0</v>
      </c>
      <c r="L58">
        <v>0.3538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8318D-0D51-49FD-9405-5B306D58503C}">
  <sheetPr codeName="Sheet21"/>
  <dimension ref="A1:L60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-1.65</v>
      </c>
      <c r="B2">
        <v>-5.3100000000000001E-2</v>
      </c>
      <c r="C2">
        <v>5.5900000000000004E-3</v>
      </c>
      <c r="D2">
        <v>2.0999999999999999E-3</v>
      </c>
      <c r="E2">
        <v>-7.8799999999999995E-2</v>
      </c>
      <c r="F2">
        <v>0.05</v>
      </c>
      <c r="G2">
        <v>4.4999999999999997E-3</v>
      </c>
      <c r="H2">
        <v>-3.3111999999999999</v>
      </c>
      <c r="I2">
        <v>0</v>
      </c>
      <c r="J2">
        <v>0</v>
      </c>
      <c r="K2">
        <v>0</v>
      </c>
      <c r="L2">
        <v>-1.2395</v>
      </c>
    </row>
    <row r="3" spans="1:12" x14ac:dyDescent="0.35">
      <c r="A3">
        <v>-1.6</v>
      </c>
      <c r="B3">
        <v>-4.2200000000000001E-2</v>
      </c>
      <c r="C3">
        <v>5.2900000000000004E-3</v>
      </c>
      <c r="D3">
        <v>1.74E-3</v>
      </c>
      <c r="E3">
        <v>-7.85E-2</v>
      </c>
      <c r="F3">
        <v>0.05</v>
      </c>
      <c r="G3">
        <v>4.7000000000000002E-3</v>
      </c>
      <c r="H3">
        <v>-3.2953000000000001</v>
      </c>
      <c r="I3">
        <v>0</v>
      </c>
      <c r="J3">
        <v>0</v>
      </c>
      <c r="K3">
        <v>0</v>
      </c>
      <c r="L3">
        <v>-1.6188</v>
      </c>
    </row>
    <row r="4" spans="1:12" x14ac:dyDescent="0.35">
      <c r="A4">
        <v>-1.55</v>
      </c>
      <c r="B4">
        <v>-3.09E-2</v>
      </c>
      <c r="C4">
        <v>5.0299999999999997E-3</v>
      </c>
      <c r="D4">
        <v>1.42E-3</v>
      </c>
      <c r="E4">
        <v>-7.8200000000000006E-2</v>
      </c>
      <c r="F4">
        <v>0.05</v>
      </c>
      <c r="G4">
        <v>5.3E-3</v>
      </c>
      <c r="H4">
        <v>-3.2387999999999999</v>
      </c>
      <c r="I4">
        <v>0</v>
      </c>
      <c r="J4">
        <v>0</v>
      </c>
      <c r="K4">
        <v>0</v>
      </c>
      <c r="L4">
        <v>-2.2959000000000001</v>
      </c>
    </row>
    <row r="5" spans="1:12" x14ac:dyDescent="0.35">
      <c r="A5">
        <v>-1.5</v>
      </c>
      <c r="B5">
        <v>-1.8800000000000001E-2</v>
      </c>
      <c r="C5">
        <v>4.8500000000000001E-3</v>
      </c>
      <c r="D5">
        <v>1.1900000000000001E-3</v>
      </c>
      <c r="E5">
        <v>-7.7899999999999997E-2</v>
      </c>
      <c r="F5">
        <v>0.05</v>
      </c>
      <c r="G5">
        <v>6.4999999999999997E-3</v>
      </c>
      <c r="H5">
        <v>-3.0739000000000001</v>
      </c>
      <c r="I5">
        <v>0</v>
      </c>
      <c r="J5">
        <v>0</v>
      </c>
      <c r="K5">
        <v>0</v>
      </c>
      <c r="L5">
        <v>-3.9003000000000001</v>
      </c>
    </row>
    <row r="6" spans="1:12" x14ac:dyDescent="0.35">
      <c r="A6">
        <v>-1.45</v>
      </c>
      <c r="B6">
        <v>-6.4999999999999997E-3</v>
      </c>
      <c r="C6">
        <v>4.7699999999999999E-3</v>
      </c>
      <c r="D6">
        <v>1.07E-3</v>
      </c>
      <c r="E6">
        <v>-7.7600000000000002E-2</v>
      </c>
      <c r="F6">
        <v>0.05</v>
      </c>
      <c r="G6">
        <v>7.4999999999999997E-3</v>
      </c>
      <c r="H6">
        <v>-2.8532999999999999</v>
      </c>
      <c r="I6">
        <v>0</v>
      </c>
      <c r="J6">
        <v>0</v>
      </c>
      <c r="K6">
        <v>0</v>
      </c>
      <c r="L6">
        <v>-11.7232</v>
      </c>
    </row>
    <row r="7" spans="1:12" x14ac:dyDescent="0.35">
      <c r="A7">
        <v>-1.4</v>
      </c>
      <c r="B7">
        <v>5.7999999999999996E-3</v>
      </c>
      <c r="C7">
        <v>4.7200000000000002E-3</v>
      </c>
      <c r="D7">
        <v>1E-3</v>
      </c>
      <c r="E7">
        <v>-7.7299999999999994E-2</v>
      </c>
      <c r="F7">
        <v>0.05</v>
      </c>
      <c r="G7">
        <v>8.0999999999999996E-3</v>
      </c>
      <c r="H7">
        <v>-2.7012999999999998</v>
      </c>
      <c r="I7">
        <v>0</v>
      </c>
      <c r="J7">
        <v>0</v>
      </c>
      <c r="K7">
        <v>0</v>
      </c>
      <c r="L7">
        <v>13.7111</v>
      </c>
    </row>
    <row r="8" spans="1:12" x14ac:dyDescent="0.35">
      <c r="A8">
        <v>-1.35</v>
      </c>
      <c r="B8">
        <v>1.7899999999999999E-2</v>
      </c>
      <c r="C8">
        <v>4.6899999999999997E-3</v>
      </c>
      <c r="D8">
        <v>9.5E-4</v>
      </c>
      <c r="E8">
        <v>-7.7100000000000002E-2</v>
      </c>
      <c r="F8">
        <v>0.05</v>
      </c>
      <c r="G8">
        <v>8.3999999999999995E-3</v>
      </c>
      <c r="H8">
        <v>-2.5720999999999998</v>
      </c>
      <c r="I8">
        <v>0</v>
      </c>
      <c r="J8">
        <v>0</v>
      </c>
      <c r="K8">
        <v>0</v>
      </c>
      <c r="L8">
        <v>4.5640000000000001</v>
      </c>
    </row>
    <row r="9" spans="1:12" x14ac:dyDescent="0.35">
      <c r="A9">
        <v>-1.3</v>
      </c>
      <c r="B9">
        <v>0.03</v>
      </c>
      <c r="C9">
        <v>4.6800000000000001E-3</v>
      </c>
      <c r="D9">
        <v>9.2000000000000003E-4</v>
      </c>
      <c r="E9">
        <v>-7.6899999999999996E-2</v>
      </c>
      <c r="F9">
        <v>0.05</v>
      </c>
      <c r="G9">
        <v>8.6E-3</v>
      </c>
      <c r="H9">
        <v>-2.4339</v>
      </c>
      <c r="I9">
        <v>0</v>
      </c>
      <c r="J9">
        <v>0</v>
      </c>
      <c r="K9">
        <v>0</v>
      </c>
      <c r="L9">
        <v>2.82</v>
      </c>
    </row>
    <row r="10" spans="1:12" x14ac:dyDescent="0.35">
      <c r="A10">
        <v>-1.25</v>
      </c>
      <c r="B10">
        <v>4.2000000000000003E-2</v>
      </c>
      <c r="C10">
        <v>4.6600000000000001E-3</v>
      </c>
      <c r="D10">
        <v>8.8999999999999995E-4</v>
      </c>
      <c r="E10">
        <v>-7.6700000000000004E-2</v>
      </c>
      <c r="F10">
        <v>0.05</v>
      </c>
      <c r="G10">
        <v>8.8000000000000005E-3</v>
      </c>
      <c r="H10">
        <v>-2.2976999999999999</v>
      </c>
      <c r="I10">
        <v>0</v>
      </c>
      <c r="J10">
        <v>0</v>
      </c>
      <c r="K10">
        <v>0</v>
      </c>
      <c r="L10">
        <v>2.0819999999999999</v>
      </c>
    </row>
    <row r="11" spans="1:12" x14ac:dyDescent="0.35">
      <c r="A11">
        <v>-1.2</v>
      </c>
      <c r="B11">
        <v>5.3900000000000003E-2</v>
      </c>
      <c r="C11">
        <v>4.6600000000000001E-3</v>
      </c>
      <c r="D11">
        <v>8.8000000000000003E-4</v>
      </c>
      <c r="E11">
        <v>-7.6499999999999999E-2</v>
      </c>
      <c r="F11">
        <v>0.05</v>
      </c>
      <c r="G11">
        <v>8.8999999999999999E-3</v>
      </c>
      <c r="H11">
        <v>-2.1665999999999999</v>
      </c>
      <c r="I11">
        <v>0</v>
      </c>
      <c r="J11">
        <v>0</v>
      </c>
      <c r="K11">
        <v>0</v>
      </c>
      <c r="L11">
        <v>1.6745000000000001</v>
      </c>
    </row>
    <row r="12" spans="1:12" x14ac:dyDescent="0.35">
      <c r="A12">
        <v>-1.1499999999999999</v>
      </c>
      <c r="B12">
        <v>6.5699999999999995E-2</v>
      </c>
      <c r="C12">
        <v>4.6499999999999996E-3</v>
      </c>
      <c r="D12">
        <v>8.5999999999999998E-4</v>
      </c>
      <c r="E12">
        <v>-7.6399999999999996E-2</v>
      </c>
      <c r="F12">
        <v>0.05</v>
      </c>
      <c r="G12">
        <v>8.9999999999999993E-3</v>
      </c>
      <c r="H12">
        <v>-2.0411999999999999</v>
      </c>
      <c r="I12">
        <v>0</v>
      </c>
      <c r="J12">
        <v>0</v>
      </c>
      <c r="K12">
        <v>0</v>
      </c>
      <c r="L12">
        <v>1.4160999999999999</v>
      </c>
    </row>
    <row r="13" spans="1:12" x14ac:dyDescent="0.35">
      <c r="A13">
        <v>-1.1000000000000001</v>
      </c>
      <c r="B13">
        <v>7.7399999999999997E-2</v>
      </c>
      <c r="C13">
        <v>4.64E-3</v>
      </c>
      <c r="D13">
        <v>8.4999999999999995E-4</v>
      </c>
      <c r="E13">
        <v>-7.6300000000000007E-2</v>
      </c>
      <c r="F13">
        <v>0.05</v>
      </c>
      <c r="G13">
        <v>9.1000000000000004E-3</v>
      </c>
      <c r="H13">
        <v>-1.9214</v>
      </c>
      <c r="I13">
        <v>0</v>
      </c>
      <c r="J13">
        <v>0</v>
      </c>
      <c r="K13">
        <v>0</v>
      </c>
      <c r="L13">
        <v>1.2377</v>
      </c>
    </row>
    <row r="14" spans="1:12" x14ac:dyDescent="0.35">
      <c r="A14">
        <v>-1.05</v>
      </c>
      <c r="B14">
        <v>8.8999999999999996E-2</v>
      </c>
      <c r="C14">
        <v>4.64E-3</v>
      </c>
      <c r="D14">
        <v>8.4999999999999995E-4</v>
      </c>
      <c r="E14">
        <v>-7.6100000000000001E-2</v>
      </c>
      <c r="F14">
        <v>0.05</v>
      </c>
      <c r="G14">
        <v>9.1999999999999998E-3</v>
      </c>
      <c r="H14">
        <v>-1.8069</v>
      </c>
      <c r="I14">
        <v>0</v>
      </c>
      <c r="J14">
        <v>0</v>
      </c>
      <c r="K14">
        <v>0</v>
      </c>
      <c r="L14">
        <v>1.1071</v>
      </c>
    </row>
    <row r="15" spans="1:12" x14ac:dyDescent="0.35">
      <c r="A15">
        <v>-1</v>
      </c>
      <c r="B15">
        <v>0.10059999999999999</v>
      </c>
      <c r="C15">
        <v>4.6299999999999996E-3</v>
      </c>
      <c r="D15">
        <v>8.4000000000000003E-4</v>
      </c>
      <c r="E15">
        <v>-7.6100000000000001E-2</v>
      </c>
      <c r="F15">
        <v>0.05</v>
      </c>
      <c r="G15">
        <v>9.2999999999999992E-3</v>
      </c>
      <c r="H15">
        <v>-1.6975</v>
      </c>
      <c r="I15">
        <v>0</v>
      </c>
      <c r="J15">
        <v>0</v>
      </c>
      <c r="K15">
        <v>0</v>
      </c>
      <c r="L15">
        <v>1.0074000000000001</v>
      </c>
    </row>
    <row r="16" spans="1:12" x14ac:dyDescent="0.35">
      <c r="A16">
        <v>-0.95</v>
      </c>
      <c r="B16">
        <v>0.11219999999999999</v>
      </c>
      <c r="C16">
        <v>4.6299999999999996E-3</v>
      </c>
      <c r="D16">
        <v>8.3000000000000001E-4</v>
      </c>
      <c r="E16">
        <v>-7.5999999999999998E-2</v>
      </c>
      <c r="F16">
        <v>0.05</v>
      </c>
      <c r="G16">
        <v>9.4000000000000004E-3</v>
      </c>
      <c r="H16">
        <v>-1.5928</v>
      </c>
      <c r="I16">
        <v>0</v>
      </c>
      <c r="J16">
        <v>0</v>
      </c>
      <c r="K16">
        <v>0</v>
      </c>
      <c r="L16">
        <v>0.92869999999999997</v>
      </c>
    </row>
    <row r="17" spans="1:12" x14ac:dyDescent="0.35">
      <c r="A17">
        <v>-0.9</v>
      </c>
      <c r="B17">
        <v>0.1236</v>
      </c>
      <c r="C17">
        <v>4.6299999999999996E-3</v>
      </c>
      <c r="D17">
        <v>8.3000000000000001E-4</v>
      </c>
      <c r="E17">
        <v>-7.5899999999999995E-2</v>
      </c>
      <c r="F17">
        <v>0.05</v>
      </c>
      <c r="G17">
        <v>9.4000000000000004E-3</v>
      </c>
      <c r="H17">
        <v>-1.4925999999999999</v>
      </c>
      <c r="I17">
        <v>0</v>
      </c>
      <c r="J17">
        <v>0</v>
      </c>
      <c r="K17">
        <v>0</v>
      </c>
      <c r="L17">
        <v>0.86509999999999998</v>
      </c>
    </row>
    <row r="18" spans="1:12" x14ac:dyDescent="0.35">
      <c r="A18">
        <v>-0.85</v>
      </c>
      <c r="B18">
        <v>0.1351</v>
      </c>
      <c r="C18">
        <v>4.6299999999999996E-3</v>
      </c>
      <c r="D18">
        <v>8.1999999999999998E-4</v>
      </c>
      <c r="E18">
        <v>-7.5899999999999995E-2</v>
      </c>
      <c r="F18">
        <v>0.05</v>
      </c>
      <c r="G18">
        <v>9.4999999999999998E-3</v>
      </c>
      <c r="H18">
        <v>-1.3965000000000001</v>
      </c>
      <c r="I18">
        <v>0</v>
      </c>
      <c r="J18">
        <v>0</v>
      </c>
      <c r="K18">
        <v>0</v>
      </c>
      <c r="L18">
        <v>0.8125</v>
      </c>
    </row>
    <row r="19" spans="1:12" x14ac:dyDescent="0.35">
      <c r="A19">
        <v>-0.8</v>
      </c>
      <c r="B19">
        <v>0.14649999999999999</v>
      </c>
      <c r="C19">
        <v>4.6299999999999996E-3</v>
      </c>
      <c r="D19">
        <v>8.1999999999999998E-4</v>
      </c>
      <c r="E19">
        <v>-7.5800000000000006E-2</v>
      </c>
      <c r="F19">
        <v>0.05</v>
      </c>
      <c r="G19">
        <v>9.5999999999999992E-3</v>
      </c>
      <c r="H19">
        <v>-1.3044</v>
      </c>
      <c r="I19">
        <v>0</v>
      </c>
      <c r="J19">
        <v>0</v>
      </c>
      <c r="K19">
        <v>0</v>
      </c>
      <c r="L19">
        <v>0.76839999999999997</v>
      </c>
    </row>
    <row r="20" spans="1:12" x14ac:dyDescent="0.35">
      <c r="A20">
        <v>-0.75</v>
      </c>
      <c r="B20">
        <v>0.1578</v>
      </c>
      <c r="C20">
        <v>4.62E-3</v>
      </c>
      <c r="D20">
        <v>8.0999999999999996E-4</v>
      </c>
      <c r="E20">
        <v>-7.5800000000000006E-2</v>
      </c>
      <c r="F20">
        <v>0.05</v>
      </c>
      <c r="G20">
        <v>9.5999999999999992E-3</v>
      </c>
      <c r="H20">
        <v>-1.2159</v>
      </c>
      <c r="I20">
        <v>0</v>
      </c>
      <c r="J20">
        <v>0</v>
      </c>
      <c r="K20">
        <v>0</v>
      </c>
      <c r="L20">
        <v>0.73080000000000001</v>
      </c>
    </row>
    <row r="21" spans="1:12" x14ac:dyDescent="0.35">
      <c r="A21">
        <v>-0.7</v>
      </c>
      <c r="B21">
        <v>0.1691</v>
      </c>
      <c r="C21">
        <v>4.62E-3</v>
      </c>
      <c r="D21">
        <v>8.0999999999999996E-4</v>
      </c>
      <c r="E21">
        <v>-7.5800000000000006E-2</v>
      </c>
      <c r="F21">
        <v>0.05</v>
      </c>
      <c r="G21">
        <v>9.5999999999999992E-3</v>
      </c>
      <c r="H21">
        <v>-1.131</v>
      </c>
      <c r="I21">
        <v>0</v>
      </c>
      <c r="J21">
        <v>0</v>
      </c>
      <c r="K21">
        <v>0</v>
      </c>
      <c r="L21">
        <v>0.69840000000000002</v>
      </c>
    </row>
    <row r="22" spans="1:12" x14ac:dyDescent="0.35">
      <c r="A22">
        <v>-0.65</v>
      </c>
      <c r="B22">
        <v>0.18010000000000001</v>
      </c>
      <c r="C22">
        <v>4.6499999999999996E-3</v>
      </c>
      <c r="D22">
        <v>8.0999999999999996E-4</v>
      </c>
      <c r="E22">
        <v>-7.5700000000000003E-2</v>
      </c>
      <c r="F22">
        <v>3.4500000000000003E-2</v>
      </c>
      <c r="G22">
        <v>9.7000000000000003E-3</v>
      </c>
      <c r="H22">
        <v>-1.0517000000000001</v>
      </c>
      <c r="I22">
        <v>0</v>
      </c>
      <c r="J22">
        <v>0</v>
      </c>
      <c r="K22">
        <v>0</v>
      </c>
      <c r="L22">
        <v>0.67069999999999996</v>
      </c>
    </row>
    <row r="23" spans="1:12" x14ac:dyDescent="0.35">
      <c r="A23">
        <v>-0.6</v>
      </c>
      <c r="B23">
        <v>0.1913</v>
      </c>
      <c r="C23">
        <v>4.6499999999999996E-3</v>
      </c>
      <c r="D23">
        <v>8.0999999999999996E-4</v>
      </c>
      <c r="E23">
        <v>-7.5700000000000003E-2</v>
      </c>
      <c r="F23">
        <v>3.3099999999999997E-2</v>
      </c>
      <c r="G23">
        <v>9.7000000000000003E-3</v>
      </c>
      <c r="H23">
        <v>-0.97350000000000003</v>
      </c>
      <c r="I23">
        <v>0</v>
      </c>
      <c r="J23">
        <v>0</v>
      </c>
      <c r="K23">
        <v>0</v>
      </c>
      <c r="L23">
        <v>0.64580000000000004</v>
      </c>
    </row>
    <row r="24" spans="1:12" x14ac:dyDescent="0.35">
      <c r="A24">
        <v>-0.55000000000000004</v>
      </c>
      <c r="B24">
        <v>0.2029</v>
      </c>
      <c r="C24">
        <v>4.62E-3</v>
      </c>
      <c r="D24">
        <v>8.0999999999999996E-4</v>
      </c>
      <c r="E24">
        <v>-7.5700000000000003E-2</v>
      </c>
      <c r="F24">
        <v>0.05</v>
      </c>
      <c r="G24">
        <v>9.7999999999999997E-3</v>
      </c>
      <c r="H24">
        <v>-0.89690000000000003</v>
      </c>
      <c r="I24">
        <v>0</v>
      </c>
      <c r="J24">
        <v>0</v>
      </c>
      <c r="K24">
        <v>0</v>
      </c>
      <c r="L24">
        <v>0.62350000000000005</v>
      </c>
    </row>
    <row r="25" spans="1:12" x14ac:dyDescent="0.35">
      <c r="A25">
        <v>-0.5</v>
      </c>
      <c r="B25">
        <v>0.21410000000000001</v>
      </c>
      <c r="C25">
        <v>4.62E-3</v>
      </c>
      <c r="D25">
        <v>8.0999999999999996E-4</v>
      </c>
      <c r="E25">
        <v>-7.5700000000000003E-2</v>
      </c>
      <c r="F25">
        <v>0.05</v>
      </c>
      <c r="G25">
        <v>9.7999999999999997E-3</v>
      </c>
      <c r="H25">
        <v>-0.82399999999999995</v>
      </c>
      <c r="I25">
        <v>0</v>
      </c>
      <c r="J25">
        <v>0</v>
      </c>
      <c r="K25">
        <v>0</v>
      </c>
      <c r="L25">
        <v>0.60389999999999999</v>
      </c>
    </row>
    <row r="26" spans="1:12" x14ac:dyDescent="0.35">
      <c r="A26">
        <v>-0.45</v>
      </c>
      <c r="B26">
        <v>0.2253</v>
      </c>
      <c r="C26">
        <v>4.62E-3</v>
      </c>
      <c r="D26">
        <v>8.0999999999999996E-4</v>
      </c>
      <c r="E26">
        <v>-7.5700000000000003E-2</v>
      </c>
      <c r="F26">
        <v>0.05</v>
      </c>
      <c r="G26">
        <v>9.7999999999999997E-3</v>
      </c>
      <c r="H26">
        <v>-0.75370000000000004</v>
      </c>
      <c r="I26">
        <v>0</v>
      </c>
      <c r="J26">
        <v>0</v>
      </c>
      <c r="K26">
        <v>0</v>
      </c>
      <c r="L26">
        <v>0.58630000000000004</v>
      </c>
    </row>
    <row r="27" spans="1:12" x14ac:dyDescent="0.35">
      <c r="A27">
        <v>-0.4</v>
      </c>
      <c r="B27">
        <v>0.23649999999999999</v>
      </c>
      <c r="C27">
        <v>4.62E-3</v>
      </c>
      <c r="D27">
        <v>8.0999999999999996E-4</v>
      </c>
      <c r="E27">
        <v>-7.5800000000000006E-2</v>
      </c>
      <c r="F27">
        <v>0.05</v>
      </c>
      <c r="G27">
        <v>9.9000000000000008E-3</v>
      </c>
      <c r="H27">
        <v>-0.68600000000000005</v>
      </c>
      <c r="I27">
        <v>0</v>
      </c>
      <c r="J27">
        <v>0</v>
      </c>
      <c r="K27">
        <v>0</v>
      </c>
      <c r="L27">
        <v>0.57040000000000002</v>
      </c>
    </row>
    <row r="28" spans="1:12" x14ac:dyDescent="0.35">
      <c r="A28">
        <v>-0.35</v>
      </c>
      <c r="B28">
        <v>0.2472</v>
      </c>
      <c r="C28">
        <v>4.6499999999999996E-3</v>
      </c>
      <c r="D28">
        <v>8.0999999999999996E-4</v>
      </c>
      <c r="E28">
        <v>-7.5700000000000003E-2</v>
      </c>
      <c r="F28">
        <v>3.3500000000000002E-2</v>
      </c>
      <c r="G28">
        <v>9.9000000000000008E-3</v>
      </c>
      <c r="H28">
        <v>-0.62280000000000002</v>
      </c>
      <c r="I28">
        <v>0</v>
      </c>
      <c r="J28">
        <v>0</v>
      </c>
      <c r="K28">
        <v>0</v>
      </c>
      <c r="L28">
        <v>0.55620000000000003</v>
      </c>
    </row>
    <row r="29" spans="1:12" x14ac:dyDescent="0.35">
      <c r="A29">
        <v>-0.3</v>
      </c>
      <c r="B29">
        <v>0.25829999999999997</v>
      </c>
      <c r="C29">
        <v>4.6600000000000001E-3</v>
      </c>
      <c r="D29">
        <v>8.1999999999999998E-4</v>
      </c>
      <c r="E29">
        <v>-7.5700000000000003E-2</v>
      </c>
      <c r="F29">
        <v>3.2399999999999998E-2</v>
      </c>
      <c r="G29">
        <v>9.9000000000000008E-3</v>
      </c>
      <c r="H29">
        <v>-0.56000000000000005</v>
      </c>
      <c r="I29">
        <v>0</v>
      </c>
      <c r="J29">
        <v>0</v>
      </c>
      <c r="K29">
        <v>0</v>
      </c>
      <c r="L29">
        <v>0.54300000000000004</v>
      </c>
    </row>
    <row r="30" spans="1:12" x14ac:dyDescent="0.35">
      <c r="A30">
        <v>-0.25</v>
      </c>
      <c r="B30">
        <v>0.26939999999999997</v>
      </c>
      <c r="C30">
        <v>4.6699999999999997E-3</v>
      </c>
      <c r="D30">
        <v>8.1999999999999998E-4</v>
      </c>
      <c r="E30">
        <v>-7.5700000000000003E-2</v>
      </c>
      <c r="F30">
        <v>3.1300000000000001E-2</v>
      </c>
      <c r="G30">
        <v>0.01</v>
      </c>
      <c r="H30">
        <v>-0.51570000000000005</v>
      </c>
      <c r="I30">
        <v>0</v>
      </c>
      <c r="J30">
        <v>0</v>
      </c>
      <c r="K30">
        <v>0</v>
      </c>
      <c r="L30">
        <v>0.53090000000000004</v>
      </c>
    </row>
    <row r="31" spans="1:12" x14ac:dyDescent="0.35">
      <c r="A31">
        <v>-0.2</v>
      </c>
      <c r="B31">
        <v>0.28050000000000003</v>
      </c>
      <c r="C31">
        <v>4.6699999999999997E-3</v>
      </c>
      <c r="D31">
        <v>8.3000000000000001E-4</v>
      </c>
      <c r="E31">
        <v>-7.5700000000000003E-2</v>
      </c>
      <c r="F31">
        <v>3.0099999999999998E-2</v>
      </c>
      <c r="G31">
        <v>0.01</v>
      </c>
      <c r="H31">
        <v>-0.52059999999999995</v>
      </c>
      <c r="I31">
        <v>0</v>
      </c>
      <c r="J31">
        <v>0</v>
      </c>
      <c r="K31">
        <v>0</v>
      </c>
      <c r="L31">
        <v>0.51980000000000004</v>
      </c>
    </row>
    <row r="32" spans="1:12" x14ac:dyDescent="0.35">
      <c r="A32">
        <v>-0.15</v>
      </c>
      <c r="B32">
        <v>0.29149999999999998</v>
      </c>
      <c r="C32">
        <v>4.6800000000000001E-3</v>
      </c>
      <c r="D32">
        <v>8.3000000000000001E-4</v>
      </c>
      <c r="E32">
        <v>-7.5700000000000003E-2</v>
      </c>
      <c r="F32">
        <v>2.9000000000000001E-2</v>
      </c>
      <c r="G32">
        <v>1.01E-2</v>
      </c>
      <c r="H32">
        <v>-0.52559999999999996</v>
      </c>
      <c r="I32">
        <v>0</v>
      </c>
      <c r="J32">
        <v>0</v>
      </c>
      <c r="K32">
        <v>0</v>
      </c>
      <c r="L32">
        <v>0.50960000000000005</v>
      </c>
    </row>
    <row r="33" spans="1:12" x14ac:dyDescent="0.35">
      <c r="A33">
        <v>-0.1</v>
      </c>
      <c r="B33">
        <v>0.30259999999999998</v>
      </c>
      <c r="C33">
        <v>4.6800000000000001E-3</v>
      </c>
      <c r="D33">
        <v>8.4000000000000003E-4</v>
      </c>
      <c r="E33">
        <v>-7.5700000000000003E-2</v>
      </c>
      <c r="F33">
        <v>2.69E-2</v>
      </c>
      <c r="G33">
        <v>1.01E-2</v>
      </c>
      <c r="H33">
        <v>-0.53059999999999996</v>
      </c>
      <c r="I33">
        <v>0</v>
      </c>
      <c r="J33">
        <v>0</v>
      </c>
      <c r="K33">
        <v>0</v>
      </c>
      <c r="L33">
        <v>0.50009999999999999</v>
      </c>
    </row>
    <row r="34" spans="1:12" x14ac:dyDescent="0.35">
      <c r="A34">
        <v>-0.05</v>
      </c>
      <c r="B34">
        <v>0.31369999999999998</v>
      </c>
      <c r="C34">
        <v>4.6899999999999997E-3</v>
      </c>
      <c r="D34">
        <v>8.4000000000000003E-4</v>
      </c>
      <c r="E34">
        <v>-7.5800000000000006E-2</v>
      </c>
      <c r="F34">
        <v>2.3900000000000001E-2</v>
      </c>
      <c r="G34">
        <v>1.03E-2</v>
      </c>
      <c r="H34">
        <v>-0.53569999999999995</v>
      </c>
      <c r="I34">
        <v>0</v>
      </c>
      <c r="J34">
        <v>0</v>
      </c>
      <c r="K34">
        <v>0</v>
      </c>
      <c r="L34">
        <v>0.49130000000000001</v>
      </c>
    </row>
    <row r="35" spans="1:12" x14ac:dyDescent="0.35">
      <c r="A35">
        <v>0</v>
      </c>
      <c r="B35">
        <v>0.32479999999999998</v>
      </c>
      <c r="C35">
        <v>4.6899999999999997E-3</v>
      </c>
      <c r="D35">
        <v>8.4999999999999995E-4</v>
      </c>
      <c r="E35">
        <v>-7.5800000000000006E-2</v>
      </c>
      <c r="F35">
        <v>2.3400000000000001E-2</v>
      </c>
      <c r="G35">
        <v>1.09E-2</v>
      </c>
      <c r="H35">
        <v>-0.54079999999999995</v>
      </c>
      <c r="I35">
        <v>0</v>
      </c>
      <c r="J35">
        <v>0</v>
      </c>
      <c r="K35">
        <v>0</v>
      </c>
      <c r="L35">
        <v>0.48309999999999997</v>
      </c>
    </row>
    <row r="36" spans="1:12" x14ac:dyDescent="0.35">
      <c r="A36">
        <v>0.05</v>
      </c>
      <c r="B36">
        <v>0.33589999999999998</v>
      </c>
      <c r="C36">
        <v>4.7000000000000002E-3</v>
      </c>
      <c r="D36">
        <v>8.4999999999999995E-4</v>
      </c>
      <c r="E36">
        <v>-7.5800000000000006E-2</v>
      </c>
      <c r="F36">
        <v>2.3300000000000001E-2</v>
      </c>
      <c r="G36">
        <v>1.1599999999999999E-2</v>
      </c>
      <c r="H36">
        <v>-0.54610000000000003</v>
      </c>
      <c r="I36">
        <v>0</v>
      </c>
      <c r="J36">
        <v>0</v>
      </c>
      <c r="K36">
        <v>0</v>
      </c>
      <c r="L36">
        <v>0.47539999999999999</v>
      </c>
    </row>
    <row r="37" spans="1:12" x14ac:dyDescent="0.35">
      <c r="A37">
        <v>0.1</v>
      </c>
      <c r="B37">
        <v>0.34699999999999998</v>
      </c>
      <c r="C37">
        <v>4.7000000000000002E-3</v>
      </c>
      <c r="D37">
        <v>8.5999999999999998E-4</v>
      </c>
      <c r="E37">
        <v>-7.5800000000000006E-2</v>
      </c>
      <c r="F37">
        <v>2.3300000000000001E-2</v>
      </c>
      <c r="G37">
        <v>1.23E-2</v>
      </c>
      <c r="H37">
        <v>-0.55130000000000001</v>
      </c>
      <c r="I37">
        <v>0</v>
      </c>
      <c r="J37">
        <v>0</v>
      </c>
      <c r="K37">
        <v>0</v>
      </c>
      <c r="L37">
        <v>0.46820000000000001</v>
      </c>
    </row>
    <row r="38" spans="1:12" x14ac:dyDescent="0.35">
      <c r="A38">
        <v>0.15</v>
      </c>
      <c r="B38">
        <v>0.35809999999999997</v>
      </c>
      <c r="C38">
        <v>4.7099999999999998E-3</v>
      </c>
      <c r="D38">
        <v>8.7000000000000001E-4</v>
      </c>
      <c r="E38">
        <v>-7.5800000000000006E-2</v>
      </c>
      <c r="F38">
        <v>2.3199999999999998E-2</v>
      </c>
      <c r="G38">
        <v>1.3100000000000001E-2</v>
      </c>
      <c r="H38">
        <v>-0.55669999999999997</v>
      </c>
      <c r="I38">
        <v>0</v>
      </c>
      <c r="J38">
        <v>0</v>
      </c>
      <c r="K38">
        <v>0</v>
      </c>
      <c r="L38">
        <v>0.46139999999999998</v>
      </c>
    </row>
    <row r="39" spans="1:12" x14ac:dyDescent="0.35">
      <c r="A39">
        <v>0.2</v>
      </c>
      <c r="B39">
        <v>0.36919999999999997</v>
      </c>
      <c r="C39">
        <v>4.7099999999999998E-3</v>
      </c>
      <c r="D39">
        <v>8.7000000000000001E-4</v>
      </c>
      <c r="E39">
        <v>-7.5800000000000006E-2</v>
      </c>
      <c r="F39">
        <v>2.3199999999999998E-2</v>
      </c>
      <c r="G39">
        <v>1.4E-2</v>
      </c>
      <c r="H39">
        <v>-0.56210000000000004</v>
      </c>
      <c r="I39">
        <v>0</v>
      </c>
      <c r="J39">
        <v>0</v>
      </c>
      <c r="K39">
        <v>0</v>
      </c>
      <c r="L39">
        <v>0.4551</v>
      </c>
    </row>
    <row r="40" spans="1:12" x14ac:dyDescent="0.35">
      <c r="A40">
        <v>0.25</v>
      </c>
      <c r="B40">
        <v>0.38040000000000002</v>
      </c>
      <c r="C40">
        <v>4.7200000000000002E-3</v>
      </c>
      <c r="D40">
        <v>8.8000000000000003E-4</v>
      </c>
      <c r="E40">
        <v>-7.5899999999999995E-2</v>
      </c>
      <c r="F40">
        <v>2.3099999999999999E-2</v>
      </c>
      <c r="G40">
        <v>1.49E-2</v>
      </c>
      <c r="H40">
        <v>-0.5675</v>
      </c>
      <c r="I40">
        <v>0</v>
      </c>
      <c r="J40">
        <v>0</v>
      </c>
      <c r="K40">
        <v>0</v>
      </c>
      <c r="L40">
        <v>0.44900000000000001</v>
      </c>
    </row>
    <row r="41" spans="1:12" x14ac:dyDescent="0.35">
      <c r="A41">
        <v>0.3</v>
      </c>
      <c r="B41">
        <v>0.39150000000000001</v>
      </c>
      <c r="C41">
        <v>4.7200000000000002E-3</v>
      </c>
      <c r="D41">
        <v>8.8999999999999995E-4</v>
      </c>
      <c r="E41">
        <v>-7.5899999999999995E-2</v>
      </c>
      <c r="F41">
        <v>2.3E-2</v>
      </c>
      <c r="G41">
        <v>1.6E-2</v>
      </c>
      <c r="H41">
        <v>-0.57289999999999996</v>
      </c>
      <c r="I41">
        <v>0</v>
      </c>
      <c r="J41">
        <v>0</v>
      </c>
      <c r="K41">
        <v>0</v>
      </c>
      <c r="L41">
        <v>0.44340000000000002</v>
      </c>
    </row>
    <row r="42" spans="1:12" x14ac:dyDescent="0.35">
      <c r="A42">
        <v>0.35</v>
      </c>
      <c r="B42">
        <v>0.4027</v>
      </c>
      <c r="C42">
        <v>4.7299999999999998E-3</v>
      </c>
      <c r="D42">
        <v>8.9999999999999998E-4</v>
      </c>
      <c r="E42">
        <v>-7.5899999999999995E-2</v>
      </c>
      <c r="F42">
        <v>2.29E-2</v>
      </c>
      <c r="G42">
        <v>1.72E-2</v>
      </c>
      <c r="H42">
        <v>-0.57850000000000001</v>
      </c>
      <c r="I42">
        <v>0</v>
      </c>
      <c r="J42">
        <v>0</v>
      </c>
      <c r="K42">
        <v>0</v>
      </c>
      <c r="L42">
        <v>0.438</v>
      </c>
    </row>
    <row r="43" spans="1:12" x14ac:dyDescent="0.35">
      <c r="A43">
        <v>0.4</v>
      </c>
      <c r="B43">
        <v>0.41370000000000001</v>
      </c>
      <c r="C43">
        <v>4.7400000000000003E-3</v>
      </c>
      <c r="D43">
        <v>9.1E-4</v>
      </c>
      <c r="E43">
        <v>-7.5800000000000006E-2</v>
      </c>
      <c r="F43">
        <v>2.12E-2</v>
      </c>
      <c r="G43">
        <v>1.84E-2</v>
      </c>
      <c r="H43">
        <v>-0.58399999999999996</v>
      </c>
      <c r="I43">
        <v>0</v>
      </c>
      <c r="J43">
        <v>0</v>
      </c>
      <c r="K43">
        <v>0</v>
      </c>
      <c r="L43">
        <v>0.43290000000000001</v>
      </c>
    </row>
    <row r="44" spans="1:12" x14ac:dyDescent="0.35">
      <c r="A44">
        <v>0.45</v>
      </c>
      <c r="B44">
        <v>0.42470000000000002</v>
      </c>
      <c r="C44">
        <v>4.7600000000000003E-3</v>
      </c>
      <c r="D44">
        <v>9.3000000000000005E-4</v>
      </c>
      <c r="E44">
        <v>-7.5800000000000006E-2</v>
      </c>
      <c r="F44">
        <v>1.61E-2</v>
      </c>
      <c r="G44">
        <v>1.8700000000000001E-2</v>
      </c>
      <c r="H44">
        <v>-0.62029999999999996</v>
      </c>
      <c r="I44">
        <v>0</v>
      </c>
      <c r="J44">
        <v>0</v>
      </c>
      <c r="K44">
        <v>0</v>
      </c>
      <c r="L44">
        <v>0.42799999999999999</v>
      </c>
    </row>
    <row r="45" spans="1:12" x14ac:dyDescent="0.35">
      <c r="A45">
        <v>0.5</v>
      </c>
      <c r="B45">
        <v>0.43590000000000001</v>
      </c>
      <c r="C45">
        <v>4.7699999999999999E-3</v>
      </c>
      <c r="D45">
        <v>9.3999999999999997E-4</v>
      </c>
      <c r="E45">
        <v>-7.5800000000000006E-2</v>
      </c>
      <c r="F45">
        <v>1.43E-2</v>
      </c>
      <c r="G45">
        <v>2.01E-2</v>
      </c>
      <c r="H45">
        <v>-0.67530000000000001</v>
      </c>
      <c r="I45">
        <v>0</v>
      </c>
      <c r="J45">
        <v>0</v>
      </c>
      <c r="K45">
        <v>0</v>
      </c>
      <c r="L45">
        <v>0.4234</v>
      </c>
    </row>
    <row r="46" spans="1:12" x14ac:dyDescent="0.35">
      <c r="A46">
        <v>0.55000000000000004</v>
      </c>
      <c r="B46">
        <v>0.4471</v>
      </c>
      <c r="C46">
        <v>4.7800000000000004E-3</v>
      </c>
      <c r="D46">
        <v>9.5E-4</v>
      </c>
      <c r="E46">
        <v>-7.5800000000000006E-2</v>
      </c>
      <c r="F46">
        <v>1.38E-2</v>
      </c>
      <c r="G46">
        <v>2.23E-2</v>
      </c>
      <c r="H46">
        <v>-0.73209999999999997</v>
      </c>
      <c r="I46">
        <v>0</v>
      </c>
      <c r="J46">
        <v>0</v>
      </c>
      <c r="K46">
        <v>0</v>
      </c>
      <c r="L46">
        <v>0.41889999999999999</v>
      </c>
    </row>
    <row r="47" spans="1:12" x14ac:dyDescent="0.35">
      <c r="A47">
        <v>0.6</v>
      </c>
      <c r="B47">
        <v>0.45839999999999997</v>
      </c>
      <c r="C47">
        <v>4.7800000000000004E-3</v>
      </c>
      <c r="D47">
        <v>9.6000000000000002E-4</v>
      </c>
      <c r="E47">
        <v>-7.5700000000000003E-2</v>
      </c>
      <c r="F47">
        <v>1.37E-2</v>
      </c>
      <c r="G47">
        <v>2.4199999999999999E-2</v>
      </c>
      <c r="H47">
        <v>-0.79069999999999996</v>
      </c>
      <c r="I47">
        <v>0</v>
      </c>
      <c r="J47">
        <v>0</v>
      </c>
      <c r="K47">
        <v>0</v>
      </c>
      <c r="L47">
        <v>0.41470000000000001</v>
      </c>
    </row>
    <row r="48" spans="1:12" x14ac:dyDescent="0.35">
      <c r="A48">
        <v>0.65</v>
      </c>
      <c r="B48">
        <v>0.46970000000000001</v>
      </c>
      <c r="C48">
        <v>4.79E-3</v>
      </c>
      <c r="D48">
        <v>9.7000000000000005E-4</v>
      </c>
      <c r="E48">
        <v>-7.5700000000000003E-2</v>
      </c>
      <c r="F48">
        <v>1.3599999999999999E-2</v>
      </c>
      <c r="G48">
        <v>2.5999999999999999E-2</v>
      </c>
      <c r="H48">
        <v>-0.85119999999999996</v>
      </c>
      <c r="I48">
        <v>0</v>
      </c>
      <c r="J48">
        <v>0</v>
      </c>
      <c r="K48">
        <v>0</v>
      </c>
      <c r="L48">
        <v>0.41060000000000002</v>
      </c>
    </row>
    <row r="49" spans="1:12" x14ac:dyDescent="0.35">
      <c r="A49">
        <v>0.7</v>
      </c>
      <c r="B49">
        <v>0.48099999999999998</v>
      </c>
      <c r="C49">
        <v>4.79E-3</v>
      </c>
      <c r="D49">
        <v>9.8999999999999999E-4</v>
      </c>
      <c r="E49">
        <v>-7.5700000000000003E-2</v>
      </c>
      <c r="F49">
        <v>1.34E-2</v>
      </c>
      <c r="G49">
        <v>2.8899999999999999E-2</v>
      </c>
      <c r="H49">
        <v>-0.91349999999999998</v>
      </c>
      <c r="I49">
        <v>0</v>
      </c>
      <c r="J49">
        <v>0</v>
      </c>
      <c r="K49">
        <v>0</v>
      </c>
      <c r="L49">
        <v>0.40670000000000001</v>
      </c>
    </row>
    <row r="50" spans="1:12" x14ac:dyDescent="0.35">
      <c r="A50">
        <v>0.75</v>
      </c>
      <c r="B50">
        <v>0.49230000000000002</v>
      </c>
      <c r="C50">
        <v>4.81E-3</v>
      </c>
      <c r="D50">
        <v>1E-3</v>
      </c>
      <c r="E50">
        <v>-7.5600000000000001E-2</v>
      </c>
      <c r="F50">
        <v>1.32E-2</v>
      </c>
      <c r="G50">
        <v>0.03</v>
      </c>
      <c r="H50">
        <v>-0.97789999999999999</v>
      </c>
      <c r="I50">
        <v>0</v>
      </c>
      <c r="J50">
        <v>0</v>
      </c>
      <c r="K50">
        <v>0</v>
      </c>
      <c r="L50">
        <v>0.40300000000000002</v>
      </c>
    </row>
    <row r="51" spans="1:12" x14ac:dyDescent="0.35">
      <c r="A51">
        <v>0.8</v>
      </c>
      <c r="B51">
        <v>0.50360000000000005</v>
      </c>
      <c r="C51">
        <v>4.8199999999999996E-3</v>
      </c>
      <c r="D51">
        <v>1.0200000000000001E-3</v>
      </c>
      <c r="E51">
        <v>-7.5600000000000001E-2</v>
      </c>
      <c r="F51">
        <v>1.23E-2</v>
      </c>
      <c r="G51">
        <v>3.4099999999999998E-2</v>
      </c>
      <c r="H51">
        <v>-1.0438000000000001</v>
      </c>
      <c r="I51">
        <v>0</v>
      </c>
      <c r="J51">
        <v>0</v>
      </c>
      <c r="K51">
        <v>0</v>
      </c>
      <c r="L51">
        <v>0.39939999999999998</v>
      </c>
    </row>
    <row r="52" spans="1:12" x14ac:dyDescent="0.35">
      <c r="A52">
        <v>0.85</v>
      </c>
      <c r="B52">
        <v>0.51490000000000002</v>
      </c>
      <c r="C52">
        <v>4.8300000000000001E-3</v>
      </c>
      <c r="D52">
        <v>1.0399999999999999E-3</v>
      </c>
      <c r="E52">
        <v>-7.5499999999999998E-2</v>
      </c>
      <c r="F52">
        <v>1.14E-2</v>
      </c>
      <c r="G52">
        <v>3.7900000000000003E-2</v>
      </c>
      <c r="H52">
        <v>-1.1115999999999999</v>
      </c>
      <c r="I52">
        <v>0</v>
      </c>
      <c r="J52">
        <v>0</v>
      </c>
      <c r="K52">
        <v>0</v>
      </c>
      <c r="L52">
        <v>0.39589999999999997</v>
      </c>
    </row>
    <row r="53" spans="1:12" x14ac:dyDescent="0.35">
      <c r="A53">
        <v>0.9</v>
      </c>
      <c r="B53">
        <v>0.52629999999999999</v>
      </c>
      <c r="C53">
        <v>4.8300000000000001E-3</v>
      </c>
      <c r="D53">
        <v>1.06E-3</v>
      </c>
      <c r="E53">
        <v>-7.5399999999999995E-2</v>
      </c>
      <c r="F53">
        <v>1.06E-2</v>
      </c>
      <c r="G53">
        <v>0.05</v>
      </c>
      <c r="H53">
        <v>-1.1814</v>
      </c>
      <c r="I53">
        <v>0</v>
      </c>
      <c r="J53">
        <v>0</v>
      </c>
      <c r="K53">
        <v>0</v>
      </c>
      <c r="L53">
        <v>0.3926</v>
      </c>
    </row>
    <row r="54" spans="1:12" x14ac:dyDescent="0.35">
      <c r="A54">
        <v>0.95</v>
      </c>
      <c r="B54">
        <v>0.53779999999999994</v>
      </c>
      <c r="C54">
        <v>4.8500000000000001E-3</v>
      </c>
      <c r="D54">
        <v>1.08E-3</v>
      </c>
      <c r="E54">
        <v>-7.5300000000000006E-2</v>
      </c>
      <c r="F54">
        <v>9.7999999999999997E-3</v>
      </c>
      <c r="G54">
        <v>0.05</v>
      </c>
      <c r="H54">
        <v>-1.2545999999999999</v>
      </c>
      <c r="I54">
        <v>0</v>
      </c>
      <c r="J54">
        <v>0</v>
      </c>
      <c r="K54">
        <v>0</v>
      </c>
      <c r="L54">
        <v>0.38929999999999998</v>
      </c>
    </row>
    <row r="55" spans="1:12" x14ac:dyDescent="0.35">
      <c r="A55">
        <v>1</v>
      </c>
      <c r="B55">
        <v>0.54930000000000001</v>
      </c>
      <c r="C55">
        <v>4.8599999999999997E-3</v>
      </c>
      <c r="D55">
        <v>1.1000000000000001E-3</v>
      </c>
      <c r="E55">
        <v>-7.5200000000000003E-2</v>
      </c>
      <c r="F55">
        <v>9.1000000000000004E-3</v>
      </c>
      <c r="G55">
        <v>0.05</v>
      </c>
      <c r="H55">
        <v>-1.331</v>
      </c>
      <c r="I55">
        <v>0</v>
      </c>
      <c r="J55">
        <v>0</v>
      </c>
      <c r="K55">
        <v>0</v>
      </c>
      <c r="L55">
        <v>0.3861</v>
      </c>
    </row>
    <row r="56" spans="1:12" x14ac:dyDescent="0.35">
      <c r="A56">
        <v>1.05</v>
      </c>
      <c r="B56">
        <v>0.56089999999999995</v>
      </c>
      <c r="C56">
        <v>4.8799999999999998E-3</v>
      </c>
      <c r="D56">
        <v>1.1199999999999999E-3</v>
      </c>
      <c r="E56">
        <v>-7.51E-2</v>
      </c>
      <c r="F56">
        <v>8.5000000000000006E-3</v>
      </c>
      <c r="G56">
        <v>0.05</v>
      </c>
      <c r="H56">
        <v>-1.4109</v>
      </c>
      <c r="I56">
        <v>0</v>
      </c>
      <c r="J56">
        <v>0</v>
      </c>
      <c r="K56">
        <v>0</v>
      </c>
      <c r="L56">
        <v>0.3831</v>
      </c>
    </row>
    <row r="57" spans="1:12" x14ac:dyDescent="0.35">
      <c r="A57">
        <v>1.1000000000000001</v>
      </c>
      <c r="B57">
        <v>0.57250000000000001</v>
      </c>
      <c r="C57">
        <v>4.8900000000000002E-3</v>
      </c>
      <c r="D57">
        <v>1.14E-3</v>
      </c>
      <c r="E57">
        <v>-7.4899999999999994E-2</v>
      </c>
      <c r="F57">
        <v>7.9000000000000008E-3</v>
      </c>
      <c r="G57">
        <v>0.05</v>
      </c>
      <c r="H57">
        <v>-1.4943</v>
      </c>
      <c r="I57">
        <v>0</v>
      </c>
      <c r="J57">
        <v>0</v>
      </c>
      <c r="K57">
        <v>0</v>
      </c>
      <c r="L57">
        <v>0.38009999999999999</v>
      </c>
    </row>
    <row r="58" spans="1:12" x14ac:dyDescent="0.35">
      <c r="A58">
        <v>1.1499999999999999</v>
      </c>
      <c r="B58">
        <v>0.58420000000000005</v>
      </c>
      <c r="C58">
        <v>4.8999999999999998E-3</v>
      </c>
      <c r="D58">
        <v>1.15E-3</v>
      </c>
      <c r="E58">
        <v>-7.4800000000000005E-2</v>
      </c>
      <c r="F58">
        <v>7.3000000000000001E-3</v>
      </c>
      <c r="G58">
        <v>0.05</v>
      </c>
      <c r="H58">
        <v>-1.5814999999999999</v>
      </c>
      <c r="I58">
        <v>0</v>
      </c>
      <c r="J58">
        <v>0</v>
      </c>
      <c r="K58">
        <v>0</v>
      </c>
      <c r="L58">
        <v>0.37719999999999998</v>
      </c>
    </row>
    <row r="59" spans="1:12" x14ac:dyDescent="0.35">
      <c r="A59">
        <v>1.2</v>
      </c>
      <c r="B59">
        <v>0.59599999999999997</v>
      </c>
      <c r="C59">
        <v>4.9199999999999999E-3</v>
      </c>
      <c r="D59">
        <v>1.17E-3</v>
      </c>
      <c r="E59">
        <v>-7.46E-2</v>
      </c>
      <c r="F59">
        <v>7.0000000000000001E-3</v>
      </c>
      <c r="G59">
        <v>0.05</v>
      </c>
      <c r="H59">
        <v>-1.6813</v>
      </c>
      <c r="I59">
        <v>0</v>
      </c>
      <c r="J59">
        <v>0</v>
      </c>
      <c r="K59">
        <v>0</v>
      </c>
      <c r="L59">
        <v>0.37440000000000001</v>
      </c>
    </row>
    <row r="60" spans="1:12" x14ac:dyDescent="0.35">
      <c r="A60">
        <v>1.25</v>
      </c>
      <c r="B60">
        <v>0.60780000000000001</v>
      </c>
      <c r="C60">
        <v>4.9300000000000004E-3</v>
      </c>
      <c r="D60">
        <v>1.1900000000000001E-3</v>
      </c>
      <c r="E60">
        <v>-7.4499999999999997E-2</v>
      </c>
      <c r="F60">
        <v>6.8999999999999999E-3</v>
      </c>
      <c r="G60">
        <v>0.05</v>
      </c>
      <c r="H60">
        <v>-1.8053999999999999</v>
      </c>
      <c r="I60">
        <v>0</v>
      </c>
      <c r="J60">
        <v>0</v>
      </c>
      <c r="K60">
        <v>0</v>
      </c>
      <c r="L60">
        <v>0.37169999999999997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32248-9F2B-42CD-A492-F92B7CB3F24A}">
  <sheetPr codeName="Sheet22"/>
  <dimension ref="A1:L67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-1.65</v>
      </c>
      <c r="B2">
        <v>-5.3699999999999998E-2</v>
      </c>
      <c r="C2">
        <v>5.7600000000000004E-3</v>
      </c>
      <c r="D2">
        <v>2.1900000000000001E-3</v>
      </c>
      <c r="E2">
        <v>-7.8600000000000003E-2</v>
      </c>
      <c r="F2">
        <v>0.05</v>
      </c>
      <c r="G2">
        <v>4.4999999999999997E-3</v>
      </c>
      <c r="H2">
        <v>-3.2698</v>
      </c>
      <c r="I2">
        <v>0</v>
      </c>
      <c r="J2">
        <v>0</v>
      </c>
      <c r="K2">
        <v>0</v>
      </c>
      <c r="L2">
        <v>-1.2189000000000001</v>
      </c>
    </row>
    <row r="3" spans="1:12" x14ac:dyDescent="0.35">
      <c r="A3">
        <v>-1.6</v>
      </c>
      <c r="B3">
        <v>-4.2900000000000001E-2</v>
      </c>
      <c r="C3">
        <v>5.45E-3</v>
      </c>
      <c r="D3">
        <v>1.83E-3</v>
      </c>
      <c r="E3">
        <v>-7.8299999999999995E-2</v>
      </c>
      <c r="F3">
        <v>0.05</v>
      </c>
      <c r="G3">
        <v>4.7000000000000002E-3</v>
      </c>
      <c r="H3">
        <v>-3.2574999999999998</v>
      </c>
      <c r="I3">
        <v>0</v>
      </c>
      <c r="J3">
        <v>0</v>
      </c>
      <c r="K3">
        <v>0</v>
      </c>
      <c r="L3">
        <v>-1.5840000000000001</v>
      </c>
    </row>
    <row r="4" spans="1:12" x14ac:dyDescent="0.35">
      <c r="A4">
        <v>-1.55</v>
      </c>
      <c r="B4">
        <v>-3.1600000000000003E-2</v>
      </c>
      <c r="C4">
        <v>5.1900000000000002E-3</v>
      </c>
      <c r="D4">
        <v>1.5E-3</v>
      </c>
      <c r="E4">
        <v>-7.8E-2</v>
      </c>
      <c r="F4">
        <v>0.05</v>
      </c>
      <c r="G4">
        <v>5.1999999999999998E-3</v>
      </c>
      <c r="H4">
        <v>-3.2061999999999999</v>
      </c>
      <c r="I4">
        <v>0</v>
      </c>
      <c r="J4">
        <v>0</v>
      </c>
      <c r="K4">
        <v>0</v>
      </c>
      <c r="L4">
        <v>-2.2296999999999998</v>
      </c>
    </row>
    <row r="5" spans="1:12" x14ac:dyDescent="0.35">
      <c r="A5">
        <v>-1.5</v>
      </c>
      <c r="B5">
        <v>-1.9699999999999999E-2</v>
      </c>
      <c r="C5">
        <v>5.0099999999999997E-3</v>
      </c>
      <c r="D5">
        <v>1.2600000000000001E-3</v>
      </c>
      <c r="E5">
        <v>-7.7700000000000005E-2</v>
      </c>
      <c r="F5">
        <v>0.05</v>
      </c>
      <c r="G5">
        <v>6.3E-3</v>
      </c>
      <c r="H5">
        <v>-3.0581999999999998</v>
      </c>
      <c r="I5">
        <v>0</v>
      </c>
      <c r="J5">
        <v>0</v>
      </c>
      <c r="K5">
        <v>0</v>
      </c>
      <c r="L5">
        <v>-3.7160000000000002</v>
      </c>
    </row>
    <row r="6" spans="1:12" x14ac:dyDescent="0.35">
      <c r="A6">
        <v>-1.45</v>
      </c>
      <c r="B6">
        <v>-7.4000000000000003E-3</v>
      </c>
      <c r="C6">
        <v>4.9100000000000003E-3</v>
      </c>
      <c r="D6">
        <v>1.14E-3</v>
      </c>
      <c r="E6">
        <v>-7.7399999999999997E-2</v>
      </c>
      <c r="F6">
        <v>0.05</v>
      </c>
      <c r="G6">
        <v>7.4000000000000003E-3</v>
      </c>
      <c r="H6">
        <v>-2.8451</v>
      </c>
      <c r="I6">
        <v>0</v>
      </c>
      <c r="J6">
        <v>0</v>
      </c>
      <c r="K6">
        <v>0</v>
      </c>
      <c r="L6">
        <v>-10.259399999999999</v>
      </c>
    </row>
    <row r="7" spans="1:12" x14ac:dyDescent="0.35">
      <c r="A7">
        <v>-1.4</v>
      </c>
      <c r="B7">
        <v>4.7999999999999996E-3</v>
      </c>
      <c r="C7">
        <v>4.8599999999999997E-3</v>
      </c>
      <c r="D7">
        <v>1.06E-3</v>
      </c>
      <c r="E7">
        <v>-7.7100000000000002E-2</v>
      </c>
      <c r="F7">
        <v>0.05</v>
      </c>
      <c r="G7">
        <v>8.0000000000000002E-3</v>
      </c>
      <c r="H7">
        <v>-2.6741999999999999</v>
      </c>
      <c r="I7">
        <v>0</v>
      </c>
      <c r="J7">
        <v>0</v>
      </c>
      <c r="K7">
        <v>0</v>
      </c>
      <c r="L7">
        <v>16.214400000000001</v>
      </c>
    </row>
    <row r="8" spans="1:12" x14ac:dyDescent="0.35">
      <c r="A8">
        <v>-1.35</v>
      </c>
      <c r="B8">
        <v>1.7000000000000001E-2</v>
      </c>
      <c r="C8">
        <v>4.8199999999999996E-3</v>
      </c>
      <c r="D8">
        <v>9.8999999999999999E-4</v>
      </c>
      <c r="E8">
        <v>-7.6899999999999996E-2</v>
      </c>
      <c r="F8">
        <v>0.05</v>
      </c>
      <c r="G8">
        <v>8.3000000000000001E-3</v>
      </c>
      <c r="H8">
        <v>-2.5581999999999998</v>
      </c>
      <c r="I8">
        <v>0</v>
      </c>
      <c r="J8">
        <v>0</v>
      </c>
      <c r="K8">
        <v>0</v>
      </c>
      <c r="L8">
        <v>4.7971000000000004</v>
      </c>
    </row>
    <row r="9" spans="1:12" x14ac:dyDescent="0.35">
      <c r="A9">
        <v>-1.3</v>
      </c>
      <c r="B9">
        <v>2.9000000000000001E-2</v>
      </c>
      <c r="C9">
        <v>4.7999999999999996E-3</v>
      </c>
      <c r="D9">
        <v>9.6000000000000002E-4</v>
      </c>
      <c r="E9">
        <v>-7.6700000000000004E-2</v>
      </c>
      <c r="F9">
        <v>0.05</v>
      </c>
      <c r="G9">
        <v>8.5000000000000006E-3</v>
      </c>
      <c r="H9">
        <v>-2.4272999999999998</v>
      </c>
      <c r="I9">
        <v>0</v>
      </c>
      <c r="J9">
        <v>0</v>
      </c>
      <c r="K9">
        <v>0</v>
      </c>
      <c r="L9">
        <v>2.9003000000000001</v>
      </c>
    </row>
    <row r="10" spans="1:12" x14ac:dyDescent="0.35">
      <c r="A10">
        <v>-1.25</v>
      </c>
      <c r="B10">
        <v>4.1000000000000002E-2</v>
      </c>
      <c r="C10">
        <v>4.79E-3</v>
      </c>
      <c r="D10">
        <v>9.3000000000000005E-4</v>
      </c>
      <c r="E10">
        <v>-7.6499999999999999E-2</v>
      </c>
      <c r="F10">
        <v>0.05</v>
      </c>
      <c r="G10">
        <v>8.6999999999999994E-3</v>
      </c>
      <c r="H10">
        <v>-2.2949000000000002</v>
      </c>
      <c r="I10">
        <v>0</v>
      </c>
      <c r="J10">
        <v>0</v>
      </c>
      <c r="K10">
        <v>0</v>
      </c>
      <c r="L10">
        <v>2.1215999999999999</v>
      </c>
    </row>
    <row r="11" spans="1:12" x14ac:dyDescent="0.35">
      <c r="A11">
        <v>-1.2</v>
      </c>
      <c r="B11">
        <v>5.28E-2</v>
      </c>
      <c r="C11">
        <v>4.7800000000000004E-3</v>
      </c>
      <c r="D11">
        <v>9.1E-4</v>
      </c>
      <c r="E11">
        <v>-7.6300000000000007E-2</v>
      </c>
      <c r="F11">
        <v>0.05</v>
      </c>
      <c r="G11">
        <v>8.8999999999999999E-3</v>
      </c>
      <c r="H11">
        <v>-2.1657999999999999</v>
      </c>
      <c r="I11">
        <v>0</v>
      </c>
      <c r="J11">
        <v>0</v>
      </c>
      <c r="K11">
        <v>0</v>
      </c>
      <c r="L11">
        <v>1.6978</v>
      </c>
    </row>
    <row r="12" spans="1:12" x14ac:dyDescent="0.35">
      <c r="A12">
        <v>-1.1499999999999999</v>
      </c>
      <c r="B12">
        <v>6.4600000000000005E-2</v>
      </c>
      <c r="C12">
        <v>4.7699999999999999E-3</v>
      </c>
      <c r="D12">
        <v>8.9999999999999998E-4</v>
      </c>
      <c r="E12">
        <v>-7.6200000000000004E-2</v>
      </c>
      <c r="F12">
        <v>0.05</v>
      </c>
      <c r="G12">
        <v>8.9999999999999993E-3</v>
      </c>
      <c r="H12">
        <v>-2.0415000000000001</v>
      </c>
      <c r="I12">
        <v>0</v>
      </c>
      <c r="J12">
        <v>0</v>
      </c>
      <c r="K12">
        <v>0</v>
      </c>
      <c r="L12">
        <v>1.4313</v>
      </c>
    </row>
    <row r="13" spans="1:12" x14ac:dyDescent="0.35">
      <c r="A13">
        <v>-1.1000000000000001</v>
      </c>
      <c r="B13">
        <v>7.6300000000000007E-2</v>
      </c>
      <c r="C13">
        <v>4.7600000000000003E-3</v>
      </c>
      <c r="D13">
        <v>8.8000000000000003E-4</v>
      </c>
      <c r="E13">
        <v>-7.5999999999999998E-2</v>
      </c>
      <c r="F13">
        <v>0.05</v>
      </c>
      <c r="G13">
        <v>9.1000000000000004E-3</v>
      </c>
      <c r="H13">
        <v>-1.9225000000000001</v>
      </c>
      <c r="I13">
        <v>0</v>
      </c>
      <c r="J13">
        <v>0</v>
      </c>
      <c r="K13">
        <v>0</v>
      </c>
      <c r="L13">
        <v>1.2483</v>
      </c>
    </row>
    <row r="14" spans="1:12" x14ac:dyDescent="0.35">
      <c r="A14">
        <v>-1.05</v>
      </c>
      <c r="B14">
        <v>8.7999999999999995E-2</v>
      </c>
      <c r="C14">
        <v>4.7600000000000003E-3</v>
      </c>
      <c r="D14">
        <v>8.7000000000000001E-4</v>
      </c>
      <c r="E14">
        <v>-7.5899999999999995E-2</v>
      </c>
      <c r="F14">
        <v>0.05</v>
      </c>
      <c r="G14">
        <v>9.1999999999999998E-3</v>
      </c>
      <c r="H14">
        <v>-1.8085</v>
      </c>
      <c r="I14">
        <v>0</v>
      </c>
      <c r="J14">
        <v>0</v>
      </c>
      <c r="K14">
        <v>0</v>
      </c>
      <c r="L14">
        <v>1.1148</v>
      </c>
    </row>
    <row r="15" spans="1:12" x14ac:dyDescent="0.35">
      <c r="A15">
        <v>-1</v>
      </c>
      <c r="B15">
        <v>9.9599999999999994E-2</v>
      </c>
      <c r="C15">
        <v>4.7499999999999999E-3</v>
      </c>
      <c r="D15">
        <v>8.7000000000000001E-4</v>
      </c>
      <c r="E15">
        <v>-7.5800000000000006E-2</v>
      </c>
      <c r="F15">
        <v>0.05</v>
      </c>
      <c r="G15">
        <v>9.2999999999999992E-3</v>
      </c>
      <c r="H15">
        <v>-1.6994</v>
      </c>
      <c r="I15">
        <v>0</v>
      </c>
      <c r="J15">
        <v>0</v>
      </c>
      <c r="K15">
        <v>0</v>
      </c>
      <c r="L15">
        <v>1.0132000000000001</v>
      </c>
    </row>
    <row r="16" spans="1:12" x14ac:dyDescent="0.35">
      <c r="A16">
        <v>-0.95</v>
      </c>
      <c r="B16">
        <v>0.1111</v>
      </c>
      <c r="C16">
        <v>4.7499999999999999E-3</v>
      </c>
      <c r="D16">
        <v>8.5999999999999998E-4</v>
      </c>
      <c r="E16">
        <v>-7.5800000000000006E-2</v>
      </c>
      <c r="F16">
        <v>0.05</v>
      </c>
      <c r="G16">
        <v>9.4000000000000004E-3</v>
      </c>
      <c r="H16">
        <v>-1.595</v>
      </c>
      <c r="I16">
        <v>0</v>
      </c>
      <c r="J16">
        <v>0</v>
      </c>
      <c r="K16">
        <v>0</v>
      </c>
      <c r="L16">
        <v>0.93320000000000003</v>
      </c>
    </row>
    <row r="17" spans="1:12" x14ac:dyDescent="0.35">
      <c r="A17">
        <v>-0.9</v>
      </c>
      <c r="B17">
        <v>0.1226</v>
      </c>
      <c r="C17">
        <v>4.7499999999999999E-3</v>
      </c>
      <c r="D17">
        <v>8.4999999999999995E-4</v>
      </c>
      <c r="E17">
        <v>-7.5700000000000003E-2</v>
      </c>
      <c r="F17">
        <v>0.05</v>
      </c>
      <c r="G17">
        <v>9.4000000000000004E-3</v>
      </c>
      <c r="H17">
        <v>-1.4948999999999999</v>
      </c>
      <c r="I17">
        <v>0</v>
      </c>
      <c r="J17">
        <v>0</v>
      </c>
      <c r="K17">
        <v>0</v>
      </c>
      <c r="L17">
        <v>0.86860000000000004</v>
      </c>
    </row>
    <row r="18" spans="1:12" x14ac:dyDescent="0.35">
      <c r="A18">
        <v>-0.85</v>
      </c>
      <c r="B18">
        <v>0.13400000000000001</v>
      </c>
      <c r="C18">
        <v>4.7400000000000003E-3</v>
      </c>
      <c r="D18">
        <v>8.4999999999999995E-4</v>
      </c>
      <c r="E18">
        <v>-7.5600000000000001E-2</v>
      </c>
      <c r="F18">
        <v>0.05</v>
      </c>
      <c r="G18">
        <v>9.4999999999999998E-3</v>
      </c>
      <c r="H18">
        <v>-1.399</v>
      </c>
      <c r="I18">
        <v>0</v>
      </c>
      <c r="J18">
        <v>0</v>
      </c>
      <c r="K18">
        <v>0</v>
      </c>
      <c r="L18">
        <v>0.81540000000000001</v>
      </c>
    </row>
    <row r="19" spans="1:12" x14ac:dyDescent="0.35">
      <c r="A19">
        <v>-0.8</v>
      </c>
      <c r="B19">
        <v>0.1454</v>
      </c>
      <c r="C19">
        <v>4.7400000000000003E-3</v>
      </c>
      <c r="D19">
        <v>8.4000000000000003E-4</v>
      </c>
      <c r="E19">
        <v>-7.5600000000000001E-2</v>
      </c>
      <c r="F19">
        <v>0.05</v>
      </c>
      <c r="G19">
        <v>9.4999999999999998E-3</v>
      </c>
      <c r="H19">
        <v>-1.3069999999999999</v>
      </c>
      <c r="I19">
        <v>0</v>
      </c>
      <c r="J19">
        <v>0</v>
      </c>
      <c r="K19">
        <v>0</v>
      </c>
      <c r="L19">
        <v>0.77080000000000004</v>
      </c>
    </row>
    <row r="20" spans="1:12" x14ac:dyDescent="0.35">
      <c r="A20">
        <v>-0.75</v>
      </c>
      <c r="B20">
        <v>0.15670000000000001</v>
      </c>
      <c r="C20">
        <v>4.7400000000000003E-3</v>
      </c>
      <c r="D20">
        <v>8.4000000000000003E-4</v>
      </c>
      <c r="E20">
        <v>-7.5600000000000001E-2</v>
      </c>
      <c r="F20">
        <v>0.05</v>
      </c>
      <c r="G20">
        <v>9.5999999999999992E-3</v>
      </c>
      <c r="H20">
        <v>-1.2185999999999999</v>
      </c>
      <c r="I20">
        <v>0</v>
      </c>
      <c r="J20">
        <v>0</v>
      </c>
      <c r="K20">
        <v>0</v>
      </c>
      <c r="L20">
        <v>0.73280000000000001</v>
      </c>
    </row>
    <row r="21" spans="1:12" x14ac:dyDescent="0.35">
      <c r="A21">
        <v>-0.7</v>
      </c>
      <c r="B21">
        <v>0.16800000000000001</v>
      </c>
      <c r="C21">
        <v>4.7400000000000003E-3</v>
      </c>
      <c r="D21">
        <v>8.4000000000000003E-4</v>
      </c>
      <c r="E21">
        <v>-7.5499999999999998E-2</v>
      </c>
      <c r="F21">
        <v>0.05</v>
      </c>
      <c r="G21">
        <v>9.5999999999999992E-3</v>
      </c>
      <c r="H21">
        <v>-1.1337999999999999</v>
      </c>
      <c r="I21">
        <v>0</v>
      </c>
      <c r="J21">
        <v>0</v>
      </c>
      <c r="K21">
        <v>0</v>
      </c>
      <c r="L21">
        <v>0.70009999999999994</v>
      </c>
    </row>
    <row r="22" spans="1:12" x14ac:dyDescent="0.35">
      <c r="A22">
        <v>-0.65</v>
      </c>
      <c r="B22">
        <v>0.17929999999999999</v>
      </c>
      <c r="C22">
        <v>4.7400000000000003E-3</v>
      </c>
      <c r="D22">
        <v>8.4000000000000003E-4</v>
      </c>
      <c r="E22">
        <v>-7.5499999999999998E-2</v>
      </c>
      <c r="F22">
        <v>0.05</v>
      </c>
      <c r="G22">
        <v>9.7000000000000003E-3</v>
      </c>
      <c r="H22">
        <v>-1.0523</v>
      </c>
      <c r="I22">
        <v>0</v>
      </c>
      <c r="J22">
        <v>0</v>
      </c>
      <c r="K22">
        <v>0</v>
      </c>
      <c r="L22">
        <v>0.67159999999999997</v>
      </c>
    </row>
    <row r="23" spans="1:12" x14ac:dyDescent="0.35">
      <c r="A23">
        <v>-0.6</v>
      </c>
      <c r="B23">
        <v>0.1905</v>
      </c>
      <c r="C23">
        <v>4.7400000000000003E-3</v>
      </c>
      <c r="D23">
        <v>8.3000000000000001E-4</v>
      </c>
      <c r="E23">
        <v>-7.5499999999999998E-2</v>
      </c>
      <c r="F23">
        <v>0.05</v>
      </c>
      <c r="G23">
        <v>9.7000000000000003E-3</v>
      </c>
      <c r="H23">
        <v>-0.97399999999999998</v>
      </c>
      <c r="I23">
        <v>0</v>
      </c>
      <c r="J23">
        <v>0</v>
      </c>
      <c r="K23">
        <v>0</v>
      </c>
      <c r="L23">
        <v>0.64659999999999995</v>
      </c>
    </row>
    <row r="24" spans="1:12" x14ac:dyDescent="0.35">
      <c r="A24">
        <v>-0.55000000000000004</v>
      </c>
      <c r="B24">
        <v>0.20169999999999999</v>
      </c>
      <c r="C24">
        <v>4.7400000000000003E-3</v>
      </c>
      <c r="D24">
        <v>8.3000000000000001E-4</v>
      </c>
      <c r="E24">
        <v>-7.5499999999999998E-2</v>
      </c>
      <c r="F24">
        <v>0.05</v>
      </c>
      <c r="G24">
        <v>9.7999999999999997E-3</v>
      </c>
      <c r="H24">
        <v>-0.89990000000000003</v>
      </c>
      <c r="I24">
        <v>0</v>
      </c>
      <c r="J24">
        <v>0</v>
      </c>
      <c r="K24">
        <v>0</v>
      </c>
      <c r="L24">
        <v>0.62450000000000006</v>
      </c>
    </row>
    <row r="25" spans="1:12" x14ac:dyDescent="0.35">
      <c r="A25">
        <v>-0.5</v>
      </c>
      <c r="B25">
        <v>0.21290000000000001</v>
      </c>
      <c r="C25">
        <v>4.7400000000000003E-3</v>
      </c>
      <c r="D25">
        <v>8.3000000000000001E-4</v>
      </c>
      <c r="E25">
        <v>-7.5499999999999998E-2</v>
      </c>
      <c r="F25">
        <v>0.05</v>
      </c>
      <c r="G25">
        <v>9.7999999999999997E-3</v>
      </c>
      <c r="H25">
        <v>-0.82689999999999997</v>
      </c>
      <c r="I25">
        <v>0</v>
      </c>
      <c r="J25">
        <v>0</v>
      </c>
      <c r="K25">
        <v>0</v>
      </c>
      <c r="L25">
        <v>0.60470000000000002</v>
      </c>
    </row>
    <row r="26" spans="1:12" x14ac:dyDescent="0.35">
      <c r="A26">
        <v>-0.45</v>
      </c>
      <c r="B26">
        <v>0.22409999999999999</v>
      </c>
      <c r="C26">
        <v>4.7400000000000003E-3</v>
      </c>
      <c r="D26">
        <v>8.3000000000000001E-4</v>
      </c>
      <c r="E26">
        <v>-7.5499999999999998E-2</v>
      </c>
      <c r="F26">
        <v>0.05</v>
      </c>
      <c r="G26">
        <v>9.9000000000000008E-3</v>
      </c>
      <c r="H26">
        <v>-0.75670000000000004</v>
      </c>
      <c r="I26">
        <v>0</v>
      </c>
      <c r="J26">
        <v>0</v>
      </c>
      <c r="K26">
        <v>0</v>
      </c>
      <c r="L26">
        <v>0.58699999999999997</v>
      </c>
    </row>
    <row r="27" spans="1:12" x14ac:dyDescent="0.35">
      <c r="A27">
        <v>-0.4</v>
      </c>
      <c r="B27">
        <v>0.23530000000000001</v>
      </c>
      <c r="C27">
        <v>4.7400000000000003E-3</v>
      </c>
      <c r="D27">
        <v>8.3000000000000001E-4</v>
      </c>
      <c r="E27">
        <v>-7.5499999999999998E-2</v>
      </c>
      <c r="F27">
        <v>0.05</v>
      </c>
      <c r="G27">
        <v>9.9000000000000008E-3</v>
      </c>
      <c r="H27">
        <v>-0.68889999999999996</v>
      </c>
      <c r="I27">
        <v>0</v>
      </c>
      <c r="J27">
        <v>0</v>
      </c>
      <c r="K27">
        <v>0</v>
      </c>
      <c r="L27">
        <v>0.57099999999999995</v>
      </c>
    </row>
    <row r="28" spans="1:12" x14ac:dyDescent="0.35">
      <c r="A28">
        <v>-0.35</v>
      </c>
      <c r="B28">
        <v>0.24640000000000001</v>
      </c>
      <c r="C28">
        <v>4.7400000000000003E-3</v>
      </c>
      <c r="D28">
        <v>8.4000000000000003E-4</v>
      </c>
      <c r="E28">
        <v>-7.5499999999999998E-2</v>
      </c>
      <c r="F28">
        <v>0.05</v>
      </c>
      <c r="G28">
        <v>9.9000000000000008E-3</v>
      </c>
      <c r="H28">
        <v>-0.62360000000000004</v>
      </c>
      <c r="I28">
        <v>0</v>
      </c>
      <c r="J28">
        <v>0</v>
      </c>
      <c r="K28">
        <v>0</v>
      </c>
      <c r="L28">
        <v>0.55649999999999999</v>
      </c>
    </row>
    <row r="29" spans="1:12" x14ac:dyDescent="0.35">
      <c r="A29">
        <v>-0.25</v>
      </c>
      <c r="B29">
        <v>0.26819999999999999</v>
      </c>
      <c r="C29">
        <v>4.7800000000000004E-3</v>
      </c>
      <c r="D29">
        <v>8.4000000000000003E-4</v>
      </c>
      <c r="E29">
        <v>-7.5499999999999998E-2</v>
      </c>
      <c r="F29">
        <v>3.3099999999999997E-2</v>
      </c>
      <c r="G29">
        <v>0.01</v>
      </c>
      <c r="H29">
        <v>-0.5151</v>
      </c>
      <c r="I29">
        <v>0</v>
      </c>
      <c r="J29">
        <v>0</v>
      </c>
      <c r="K29">
        <v>0</v>
      </c>
      <c r="L29">
        <v>0.53129999999999999</v>
      </c>
    </row>
    <row r="30" spans="1:12" x14ac:dyDescent="0.35">
      <c r="A30">
        <v>-0.2</v>
      </c>
      <c r="B30">
        <v>0.27929999999999999</v>
      </c>
      <c r="C30">
        <v>4.7800000000000004E-3</v>
      </c>
      <c r="D30">
        <v>8.4999999999999995E-4</v>
      </c>
      <c r="E30">
        <v>-7.5499999999999998E-2</v>
      </c>
      <c r="F30">
        <v>3.1800000000000002E-2</v>
      </c>
      <c r="G30">
        <v>0.01</v>
      </c>
      <c r="H30">
        <v>-0.52</v>
      </c>
      <c r="I30">
        <v>0</v>
      </c>
      <c r="J30">
        <v>0</v>
      </c>
      <c r="K30">
        <v>0</v>
      </c>
      <c r="L30">
        <v>0.52010000000000001</v>
      </c>
    </row>
    <row r="31" spans="1:12" x14ac:dyDescent="0.35">
      <c r="A31">
        <v>-0.15</v>
      </c>
      <c r="B31">
        <v>0.2903</v>
      </c>
      <c r="C31">
        <v>4.79E-3</v>
      </c>
      <c r="D31">
        <v>8.4999999999999995E-4</v>
      </c>
      <c r="E31">
        <v>-7.5499999999999998E-2</v>
      </c>
      <c r="F31">
        <v>3.0599999999999999E-2</v>
      </c>
      <c r="G31">
        <v>1.01E-2</v>
      </c>
      <c r="H31">
        <v>-0.52490000000000003</v>
      </c>
      <c r="I31">
        <v>0</v>
      </c>
      <c r="J31">
        <v>0</v>
      </c>
      <c r="K31">
        <v>0</v>
      </c>
      <c r="L31">
        <v>0.50990000000000002</v>
      </c>
    </row>
    <row r="32" spans="1:12" x14ac:dyDescent="0.35">
      <c r="A32">
        <v>-0.1</v>
      </c>
      <c r="B32">
        <v>0.30130000000000001</v>
      </c>
      <c r="C32">
        <v>4.7999999999999996E-3</v>
      </c>
      <c r="D32">
        <v>8.5999999999999998E-4</v>
      </c>
      <c r="E32">
        <v>-7.5499999999999998E-2</v>
      </c>
      <c r="F32">
        <v>2.93E-2</v>
      </c>
      <c r="G32">
        <v>1.0200000000000001E-2</v>
      </c>
      <c r="H32">
        <v>-0.52990000000000004</v>
      </c>
      <c r="I32">
        <v>0</v>
      </c>
      <c r="J32">
        <v>0</v>
      </c>
      <c r="K32">
        <v>0</v>
      </c>
      <c r="L32">
        <v>0.50029999999999997</v>
      </c>
    </row>
    <row r="33" spans="1:12" x14ac:dyDescent="0.35">
      <c r="A33">
        <v>-0.05</v>
      </c>
      <c r="B33">
        <v>0.31240000000000001</v>
      </c>
      <c r="C33">
        <v>4.81E-3</v>
      </c>
      <c r="D33">
        <v>8.7000000000000001E-4</v>
      </c>
      <c r="E33">
        <v>-7.5499999999999998E-2</v>
      </c>
      <c r="F33">
        <v>2.7E-2</v>
      </c>
      <c r="G33">
        <v>1.0800000000000001E-2</v>
      </c>
      <c r="H33">
        <v>-0.53500000000000003</v>
      </c>
      <c r="I33">
        <v>0</v>
      </c>
      <c r="J33">
        <v>0</v>
      </c>
      <c r="K33">
        <v>0</v>
      </c>
      <c r="L33">
        <v>0.49149999999999999</v>
      </c>
    </row>
    <row r="34" spans="1:12" x14ac:dyDescent="0.35">
      <c r="A34">
        <v>0</v>
      </c>
      <c r="B34">
        <v>0.32340000000000002</v>
      </c>
      <c r="C34">
        <v>4.81E-3</v>
      </c>
      <c r="D34">
        <v>8.7000000000000001E-4</v>
      </c>
      <c r="E34">
        <v>-7.5499999999999998E-2</v>
      </c>
      <c r="F34">
        <v>2.3900000000000001E-2</v>
      </c>
      <c r="G34">
        <v>1.15E-2</v>
      </c>
      <c r="H34">
        <v>-0.54010000000000002</v>
      </c>
      <c r="I34">
        <v>0</v>
      </c>
      <c r="J34">
        <v>0</v>
      </c>
      <c r="K34">
        <v>0</v>
      </c>
      <c r="L34">
        <v>0.48320000000000002</v>
      </c>
    </row>
    <row r="35" spans="1:12" x14ac:dyDescent="0.35">
      <c r="A35">
        <v>0.05</v>
      </c>
      <c r="B35">
        <v>0.33450000000000002</v>
      </c>
      <c r="C35">
        <v>4.8199999999999996E-3</v>
      </c>
      <c r="D35">
        <v>8.8000000000000003E-4</v>
      </c>
      <c r="E35">
        <v>-7.5499999999999998E-2</v>
      </c>
      <c r="F35">
        <v>2.3400000000000001E-2</v>
      </c>
      <c r="G35">
        <v>1.2200000000000001E-2</v>
      </c>
      <c r="H35">
        <v>-0.5454</v>
      </c>
      <c r="I35">
        <v>0</v>
      </c>
      <c r="J35">
        <v>0</v>
      </c>
      <c r="K35">
        <v>0</v>
      </c>
      <c r="L35">
        <v>0.47549999999999998</v>
      </c>
    </row>
    <row r="36" spans="1:12" x14ac:dyDescent="0.35">
      <c r="A36">
        <v>0.1</v>
      </c>
      <c r="B36">
        <v>0.34560000000000002</v>
      </c>
      <c r="C36">
        <v>4.8199999999999996E-3</v>
      </c>
      <c r="D36">
        <v>8.8000000000000003E-4</v>
      </c>
      <c r="E36">
        <v>-7.5499999999999998E-2</v>
      </c>
      <c r="F36">
        <v>2.3300000000000001E-2</v>
      </c>
      <c r="G36">
        <v>1.2999999999999999E-2</v>
      </c>
      <c r="H36">
        <v>-0.55059999999999998</v>
      </c>
      <c r="I36">
        <v>0</v>
      </c>
      <c r="J36">
        <v>0</v>
      </c>
      <c r="K36">
        <v>0</v>
      </c>
      <c r="L36">
        <v>0.46829999999999999</v>
      </c>
    </row>
    <row r="37" spans="1:12" x14ac:dyDescent="0.35">
      <c r="A37">
        <v>0.15</v>
      </c>
      <c r="B37">
        <v>0.35670000000000002</v>
      </c>
      <c r="C37">
        <v>4.8300000000000001E-3</v>
      </c>
      <c r="D37">
        <v>8.8999999999999995E-4</v>
      </c>
      <c r="E37">
        <v>-7.5600000000000001E-2</v>
      </c>
      <c r="F37">
        <v>2.3300000000000001E-2</v>
      </c>
      <c r="G37">
        <v>1.38E-2</v>
      </c>
      <c r="H37">
        <v>-0.55600000000000005</v>
      </c>
      <c r="I37">
        <v>0</v>
      </c>
      <c r="J37">
        <v>0</v>
      </c>
      <c r="K37">
        <v>0</v>
      </c>
      <c r="L37">
        <v>0.46150000000000002</v>
      </c>
    </row>
    <row r="38" spans="1:12" x14ac:dyDescent="0.35">
      <c r="A38">
        <v>0.2</v>
      </c>
      <c r="B38">
        <v>0.36780000000000002</v>
      </c>
      <c r="C38">
        <v>4.8300000000000001E-3</v>
      </c>
      <c r="D38">
        <v>8.9999999999999998E-4</v>
      </c>
      <c r="E38">
        <v>-7.5600000000000001E-2</v>
      </c>
      <c r="F38">
        <v>2.3199999999999998E-2</v>
      </c>
      <c r="G38">
        <v>1.4800000000000001E-2</v>
      </c>
      <c r="H38">
        <v>-0.56140000000000001</v>
      </c>
      <c r="I38">
        <v>0</v>
      </c>
      <c r="J38">
        <v>0</v>
      </c>
      <c r="K38">
        <v>0</v>
      </c>
      <c r="L38">
        <v>0.4551</v>
      </c>
    </row>
    <row r="39" spans="1:12" x14ac:dyDescent="0.35">
      <c r="A39">
        <v>0.25</v>
      </c>
      <c r="B39">
        <v>0.37890000000000001</v>
      </c>
      <c r="C39">
        <v>4.8300000000000001E-3</v>
      </c>
      <c r="D39">
        <v>9.1E-4</v>
      </c>
      <c r="E39">
        <v>-7.5600000000000001E-2</v>
      </c>
      <c r="F39">
        <v>2.3099999999999999E-2</v>
      </c>
      <c r="G39">
        <v>1.5800000000000002E-2</v>
      </c>
      <c r="H39">
        <v>-0.56679999999999997</v>
      </c>
      <c r="I39">
        <v>0</v>
      </c>
      <c r="J39">
        <v>0</v>
      </c>
      <c r="K39">
        <v>0</v>
      </c>
      <c r="L39">
        <v>0.4491</v>
      </c>
    </row>
    <row r="40" spans="1:12" x14ac:dyDescent="0.35">
      <c r="A40">
        <v>0.3</v>
      </c>
      <c r="B40">
        <v>0.3901</v>
      </c>
      <c r="C40">
        <v>4.8399999999999997E-3</v>
      </c>
      <c r="D40">
        <v>9.2000000000000003E-4</v>
      </c>
      <c r="E40">
        <v>-7.5600000000000001E-2</v>
      </c>
      <c r="F40">
        <v>2.3099999999999999E-2</v>
      </c>
      <c r="G40">
        <v>1.7000000000000001E-2</v>
      </c>
      <c r="H40">
        <v>-0.57220000000000004</v>
      </c>
      <c r="I40">
        <v>0</v>
      </c>
      <c r="J40">
        <v>0</v>
      </c>
      <c r="K40">
        <v>0</v>
      </c>
      <c r="L40">
        <v>0.44340000000000002</v>
      </c>
    </row>
    <row r="41" spans="1:12" x14ac:dyDescent="0.35">
      <c r="A41">
        <v>0.35</v>
      </c>
      <c r="B41">
        <v>0.4012</v>
      </c>
      <c r="C41">
        <v>4.8399999999999997E-3</v>
      </c>
      <c r="D41">
        <v>9.3000000000000005E-4</v>
      </c>
      <c r="E41">
        <v>-7.5600000000000001E-2</v>
      </c>
      <c r="F41">
        <v>2.3E-2</v>
      </c>
      <c r="G41">
        <v>1.83E-2</v>
      </c>
      <c r="H41">
        <v>-0.57769999999999999</v>
      </c>
      <c r="I41">
        <v>0</v>
      </c>
      <c r="J41">
        <v>0</v>
      </c>
      <c r="K41">
        <v>0</v>
      </c>
      <c r="L41">
        <v>0.438</v>
      </c>
    </row>
    <row r="42" spans="1:12" x14ac:dyDescent="0.35">
      <c r="A42">
        <v>0.4</v>
      </c>
      <c r="B42">
        <v>0.41239999999999999</v>
      </c>
      <c r="C42">
        <v>4.8500000000000001E-3</v>
      </c>
      <c r="D42">
        <v>9.3999999999999997E-4</v>
      </c>
      <c r="E42">
        <v>-7.5600000000000001E-2</v>
      </c>
      <c r="F42">
        <v>2.2800000000000001E-2</v>
      </c>
      <c r="G42">
        <v>1.8800000000000001E-2</v>
      </c>
      <c r="H42">
        <v>-0.58330000000000004</v>
      </c>
      <c r="I42">
        <v>0</v>
      </c>
      <c r="J42">
        <v>0</v>
      </c>
      <c r="K42">
        <v>0</v>
      </c>
      <c r="L42">
        <v>0.43280000000000002</v>
      </c>
    </row>
    <row r="43" spans="1:12" x14ac:dyDescent="0.35">
      <c r="A43">
        <v>0.45</v>
      </c>
      <c r="B43">
        <v>0.4234</v>
      </c>
      <c r="C43">
        <v>4.8700000000000002E-3</v>
      </c>
      <c r="D43">
        <v>9.5E-4</v>
      </c>
      <c r="E43">
        <v>-7.5499999999999998E-2</v>
      </c>
      <c r="F43">
        <v>2.01E-2</v>
      </c>
      <c r="G43">
        <v>2.06E-2</v>
      </c>
      <c r="H43">
        <v>-0.61770000000000003</v>
      </c>
      <c r="I43">
        <v>0</v>
      </c>
      <c r="J43">
        <v>0</v>
      </c>
      <c r="K43">
        <v>0</v>
      </c>
      <c r="L43">
        <v>0.42799999999999999</v>
      </c>
    </row>
    <row r="44" spans="1:12" x14ac:dyDescent="0.35">
      <c r="A44">
        <v>0.5</v>
      </c>
      <c r="B44">
        <v>0.43440000000000001</v>
      </c>
      <c r="C44">
        <v>4.8799999999999998E-3</v>
      </c>
      <c r="D44">
        <v>9.7000000000000005E-4</v>
      </c>
      <c r="E44">
        <v>-7.5499999999999998E-2</v>
      </c>
      <c r="F44">
        <v>1.5699999999999999E-2</v>
      </c>
      <c r="G44">
        <v>2.3E-2</v>
      </c>
      <c r="H44">
        <v>-0.67110000000000003</v>
      </c>
      <c r="I44">
        <v>0</v>
      </c>
      <c r="J44">
        <v>0</v>
      </c>
      <c r="K44">
        <v>0</v>
      </c>
      <c r="L44">
        <v>0.42330000000000001</v>
      </c>
    </row>
    <row r="45" spans="1:12" x14ac:dyDescent="0.35">
      <c r="A45">
        <v>0.55000000000000004</v>
      </c>
      <c r="B45">
        <v>0.4456</v>
      </c>
      <c r="C45">
        <v>4.8900000000000002E-3</v>
      </c>
      <c r="D45">
        <v>9.7999999999999997E-4</v>
      </c>
      <c r="E45">
        <v>-7.5499999999999998E-2</v>
      </c>
      <c r="F45">
        <v>1.44E-2</v>
      </c>
      <c r="G45">
        <v>2.52E-2</v>
      </c>
      <c r="H45">
        <v>-0.72770000000000001</v>
      </c>
      <c r="I45">
        <v>0</v>
      </c>
      <c r="J45">
        <v>0</v>
      </c>
      <c r="K45">
        <v>0</v>
      </c>
      <c r="L45">
        <v>0.41889999999999999</v>
      </c>
    </row>
    <row r="46" spans="1:12" x14ac:dyDescent="0.35">
      <c r="A46">
        <v>0.6</v>
      </c>
      <c r="B46">
        <v>0.45689999999999997</v>
      </c>
      <c r="C46">
        <v>4.8999999999999998E-3</v>
      </c>
      <c r="D46">
        <v>9.8999999999999999E-4</v>
      </c>
      <c r="E46">
        <v>-7.5499999999999998E-2</v>
      </c>
      <c r="F46">
        <v>1.38E-2</v>
      </c>
      <c r="G46">
        <v>2.7199999999999998E-2</v>
      </c>
      <c r="H46">
        <v>-0.78610000000000002</v>
      </c>
      <c r="I46">
        <v>0</v>
      </c>
      <c r="J46">
        <v>0</v>
      </c>
      <c r="K46">
        <v>0</v>
      </c>
      <c r="L46">
        <v>0.41460000000000002</v>
      </c>
    </row>
    <row r="47" spans="1:12" x14ac:dyDescent="0.35">
      <c r="A47">
        <v>0.65</v>
      </c>
      <c r="B47">
        <v>0.46810000000000002</v>
      </c>
      <c r="C47">
        <v>4.8999999999999998E-3</v>
      </c>
      <c r="D47">
        <v>1E-3</v>
      </c>
      <c r="E47">
        <v>-7.5399999999999995E-2</v>
      </c>
      <c r="F47">
        <v>1.37E-2</v>
      </c>
      <c r="G47">
        <v>2.87E-2</v>
      </c>
      <c r="H47">
        <v>-0.84630000000000005</v>
      </c>
      <c r="I47">
        <v>0</v>
      </c>
      <c r="J47">
        <v>0</v>
      </c>
      <c r="K47">
        <v>0</v>
      </c>
      <c r="L47">
        <v>0.41060000000000002</v>
      </c>
    </row>
    <row r="48" spans="1:12" x14ac:dyDescent="0.35">
      <c r="A48">
        <v>0.7</v>
      </c>
      <c r="B48">
        <v>0.47939999999999999</v>
      </c>
      <c r="C48">
        <v>4.9100000000000003E-3</v>
      </c>
      <c r="D48">
        <v>1.0200000000000001E-3</v>
      </c>
      <c r="E48">
        <v>-7.5399999999999995E-2</v>
      </c>
      <c r="F48">
        <v>1.35E-2</v>
      </c>
      <c r="G48">
        <v>2.9399999999999999E-2</v>
      </c>
      <c r="H48">
        <v>-0.90859999999999996</v>
      </c>
      <c r="I48">
        <v>0</v>
      </c>
      <c r="J48">
        <v>0</v>
      </c>
      <c r="K48">
        <v>0</v>
      </c>
      <c r="L48">
        <v>0.40670000000000001</v>
      </c>
    </row>
    <row r="49" spans="1:12" x14ac:dyDescent="0.35">
      <c r="A49">
        <v>0.75</v>
      </c>
      <c r="B49">
        <v>0.49070000000000003</v>
      </c>
      <c r="C49">
        <v>4.9199999999999999E-3</v>
      </c>
      <c r="D49">
        <v>1.0300000000000001E-3</v>
      </c>
      <c r="E49">
        <v>-7.5300000000000006E-2</v>
      </c>
      <c r="F49">
        <v>1.34E-2</v>
      </c>
      <c r="G49">
        <v>3.4500000000000003E-2</v>
      </c>
      <c r="H49">
        <v>-0.97289999999999999</v>
      </c>
      <c r="I49">
        <v>0</v>
      </c>
      <c r="J49">
        <v>0</v>
      </c>
      <c r="K49">
        <v>0</v>
      </c>
      <c r="L49">
        <v>0.40289999999999998</v>
      </c>
    </row>
    <row r="50" spans="1:12" x14ac:dyDescent="0.35">
      <c r="A50">
        <v>0.8</v>
      </c>
      <c r="B50">
        <v>0.50209999999999999</v>
      </c>
      <c r="C50">
        <v>4.9300000000000004E-3</v>
      </c>
      <c r="D50">
        <v>1.0499999999999999E-3</v>
      </c>
      <c r="E50">
        <v>-7.5300000000000006E-2</v>
      </c>
      <c r="F50">
        <v>1.3100000000000001E-2</v>
      </c>
      <c r="G50">
        <v>3.8399999999999997E-2</v>
      </c>
      <c r="H50">
        <v>-1.0391999999999999</v>
      </c>
      <c r="I50">
        <v>0</v>
      </c>
      <c r="J50">
        <v>0</v>
      </c>
      <c r="K50">
        <v>0</v>
      </c>
      <c r="L50">
        <v>0.39929999999999999</v>
      </c>
    </row>
    <row r="51" spans="1:12" x14ac:dyDescent="0.35">
      <c r="A51">
        <v>0.85</v>
      </c>
      <c r="B51">
        <v>0.51339999999999997</v>
      </c>
      <c r="C51">
        <v>4.9300000000000004E-3</v>
      </c>
      <c r="D51">
        <v>1.07E-3</v>
      </c>
      <c r="E51">
        <v>-7.5200000000000003E-2</v>
      </c>
      <c r="F51">
        <v>1.24E-2</v>
      </c>
      <c r="G51">
        <v>0.05</v>
      </c>
      <c r="H51">
        <v>-1.107</v>
      </c>
      <c r="I51">
        <v>0</v>
      </c>
      <c r="J51">
        <v>0</v>
      </c>
      <c r="K51">
        <v>0</v>
      </c>
      <c r="L51">
        <v>0.39579999999999999</v>
      </c>
    </row>
    <row r="52" spans="1:12" x14ac:dyDescent="0.35">
      <c r="A52">
        <v>0.9</v>
      </c>
      <c r="B52">
        <v>0.52470000000000006</v>
      </c>
      <c r="C52">
        <v>4.9500000000000004E-3</v>
      </c>
      <c r="D52">
        <v>1.09E-3</v>
      </c>
      <c r="E52">
        <v>-7.51E-2</v>
      </c>
      <c r="F52">
        <v>1.14E-2</v>
      </c>
      <c r="G52">
        <v>0.05</v>
      </c>
      <c r="H52">
        <v>-1.1773</v>
      </c>
      <c r="I52">
        <v>0</v>
      </c>
      <c r="J52">
        <v>0</v>
      </c>
      <c r="K52">
        <v>0</v>
      </c>
      <c r="L52">
        <v>0.39240000000000003</v>
      </c>
    </row>
    <row r="53" spans="1:12" x14ac:dyDescent="0.35">
      <c r="A53">
        <v>0.95</v>
      </c>
      <c r="B53">
        <v>0.53610000000000002</v>
      </c>
      <c r="C53">
        <v>4.9699999999999996E-3</v>
      </c>
      <c r="D53">
        <v>1.1100000000000001E-3</v>
      </c>
      <c r="E53">
        <v>-7.4999999999999997E-2</v>
      </c>
      <c r="F53">
        <v>1.06E-2</v>
      </c>
      <c r="G53">
        <v>0.05</v>
      </c>
      <c r="H53">
        <v>-1.2502</v>
      </c>
      <c r="I53">
        <v>0</v>
      </c>
      <c r="J53">
        <v>0</v>
      </c>
      <c r="K53">
        <v>0</v>
      </c>
      <c r="L53">
        <v>0.38919999999999999</v>
      </c>
    </row>
    <row r="54" spans="1:12" x14ac:dyDescent="0.35">
      <c r="A54">
        <v>1</v>
      </c>
      <c r="B54">
        <v>0.54759999999999998</v>
      </c>
      <c r="C54">
        <v>4.9800000000000001E-3</v>
      </c>
      <c r="D54">
        <v>1.1299999999999999E-3</v>
      </c>
      <c r="E54">
        <v>-7.4899999999999994E-2</v>
      </c>
      <c r="F54">
        <v>9.7999999999999997E-3</v>
      </c>
      <c r="G54">
        <v>0.05</v>
      </c>
      <c r="H54">
        <v>-1.3260000000000001</v>
      </c>
      <c r="I54">
        <v>0</v>
      </c>
      <c r="J54">
        <v>0</v>
      </c>
      <c r="K54">
        <v>0</v>
      </c>
      <c r="L54">
        <v>0.38600000000000001</v>
      </c>
    </row>
    <row r="55" spans="1:12" x14ac:dyDescent="0.35">
      <c r="A55">
        <v>1.05</v>
      </c>
      <c r="B55">
        <v>0.55910000000000004</v>
      </c>
      <c r="C55">
        <v>5.0000000000000001E-3</v>
      </c>
      <c r="D55">
        <v>1.15E-3</v>
      </c>
      <c r="E55">
        <v>-7.4800000000000005E-2</v>
      </c>
      <c r="F55">
        <v>9.1000000000000004E-3</v>
      </c>
      <c r="G55">
        <v>0.05</v>
      </c>
      <c r="H55">
        <v>-1.4053</v>
      </c>
      <c r="I55">
        <v>0</v>
      </c>
      <c r="J55">
        <v>0</v>
      </c>
      <c r="K55">
        <v>0</v>
      </c>
      <c r="L55">
        <v>0.38300000000000001</v>
      </c>
    </row>
    <row r="56" spans="1:12" x14ac:dyDescent="0.35">
      <c r="A56">
        <v>1.1000000000000001</v>
      </c>
      <c r="B56">
        <v>0.57069999999999999</v>
      </c>
      <c r="C56">
        <v>5.0099999999999997E-3</v>
      </c>
      <c r="D56">
        <v>1.17E-3</v>
      </c>
      <c r="E56">
        <v>-7.46E-2</v>
      </c>
      <c r="F56">
        <v>8.5000000000000006E-3</v>
      </c>
      <c r="G56">
        <v>0.05</v>
      </c>
      <c r="H56">
        <v>-1.4883999999999999</v>
      </c>
      <c r="I56">
        <v>0</v>
      </c>
      <c r="J56">
        <v>0</v>
      </c>
      <c r="K56">
        <v>0</v>
      </c>
      <c r="L56">
        <v>0.38</v>
      </c>
    </row>
    <row r="57" spans="1:12" x14ac:dyDescent="0.35">
      <c r="A57">
        <v>1.1499999999999999</v>
      </c>
      <c r="B57">
        <v>0.58240000000000003</v>
      </c>
      <c r="C57">
        <v>5.0299999999999997E-3</v>
      </c>
      <c r="D57">
        <v>1.1900000000000001E-3</v>
      </c>
      <c r="E57">
        <v>-7.4499999999999997E-2</v>
      </c>
      <c r="F57">
        <v>7.7999999999999996E-3</v>
      </c>
      <c r="G57">
        <v>0.05</v>
      </c>
      <c r="H57">
        <v>-1.5751999999999999</v>
      </c>
      <c r="I57">
        <v>0</v>
      </c>
      <c r="J57">
        <v>0</v>
      </c>
      <c r="K57">
        <v>0</v>
      </c>
      <c r="L57">
        <v>0.37709999999999999</v>
      </c>
    </row>
    <row r="58" spans="1:12" x14ac:dyDescent="0.35">
      <c r="A58">
        <v>1.2</v>
      </c>
      <c r="B58">
        <v>0.59409999999999996</v>
      </c>
      <c r="C58">
        <v>5.0400000000000002E-3</v>
      </c>
      <c r="D58">
        <v>1.2099999999999999E-3</v>
      </c>
      <c r="E58">
        <v>-7.4300000000000005E-2</v>
      </c>
      <c r="F58">
        <v>7.3000000000000001E-3</v>
      </c>
      <c r="G58">
        <v>0.05</v>
      </c>
      <c r="H58">
        <v>-1.6694</v>
      </c>
      <c r="I58">
        <v>0</v>
      </c>
      <c r="J58">
        <v>0</v>
      </c>
      <c r="K58">
        <v>0</v>
      </c>
      <c r="L58">
        <v>0.37430000000000002</v>
      </c>
    </row>
    <row r="59" spans="1:12" x14ac:dyDescent="0.35">
      <c r="A59">
        <v>1.25</v>
      </c>
      <c r="B59">
        <v>0.60589999999999999</v>
      </c>
      <c r="C59">
        <v>5.0600000000000003E-3</v>
      </c>
      <c r="D59">
        <v>1.23E-3</v>
      </c>
      <c r="E59">
        <v>-7.4200000000000002E-2</v>
      </c>
      <c r="F59">
        <v>7.0000000000000001E-3</v>
      </c>
      <c r="G59">
        <v>0.05</v>
      </c>
      <c r="H59">
        <v>-1.7927</v>
      </c>
      <c r="I59">
        <v>0</v>
      </c>
      <c r="J59">
        <v>0</v>
      </c>
      <c r="K59">
        <v>0</v>
      </c>
      <c r="L59">
        <v>0.3715</v>
      </c>
    </row>
    <row r="60" spans="1:12" x14ac:dyDescent="0.35">
      <c r="A60">
        <v>1.3</v>
      </c>
      <c r="B60">
        <v>0.61780000000000002</v>
      </c>
      <c r="C60">
        <v>5.0899999999999999E-3</v>
      </c>
      <c r="D60">
        <v>1.25E-3</v>
      </c>
      <c r="E60">
        <v>-7.3899999999999993E-2</v>
      </c>
      <c r="F60">
        <v>6.8999999999999999E-3</v>
      </c>
      <c r="G60">
        <v>2.92E-2</v>
      </c>
      <c r="H60">
        <v>-1.92</v>
      </c>
      <c r="I60">
        <v>0</v>
      </c>
      <c r="J60">
        <v>0</v>
      </c>
      <c r="K60">
        <v>0</v>
      </c>
      <c r="L60">
        <v>0.36880000000000002</v>
      </c>
    </row>
    <row r="61" spans="1:12" x14ac:dyDescent="0.35">
      <c r="A61">
        <v>1.35</v>
      </c>
      <c r="B61">
        <v>0.62970000000000004</v>
      </c>
      <c r="C61">
        <v>5.11E-3</v>
      </c>
      <c r="D61">
        <v>1.2700000000000001E-3</v>
      </c>
      <c r="E61">
        <v>-7.3700000000000002E-2</v>
      </c>
      <c r="F61">
        <v>6.7999999999999996E-3</v>
      </c>
      <c r="G61">
        <v>3.2199999999999999E-2</v>
      </c>
      <c r="H61">
        <v>-2.0562999999999998</v>
      </c>
      <c r="I61">
        <v>0</v>
      </c>
      <c r="J61">
        <v>0</v>
      </c>
      <c r="K61">
        <v>0</v>
      </c>
      <c r="L61">
        <v>0.36620000000000003</v>
      </c>
    </row>
    <row r="62" spans="1:12" x14ac:dyDescent="0.35">
      <c r="A62">
        <v>1.4</v>
      </c>
      <c r="B62">
        <v>0.64180000000000004</v>
      </c>
      <c r="C62">
        <v>5.1200000000000004E-3</v>
      </c>
      <c r="D62">
        <v>1.2999999999999999E-3</v>
      </c>
      <c r="E62">
        <v>-7.3499999999999996E-2</v>
      </c>
      <c r="F62">
        <v>6.7999999999999996E-3</v>
      </c>
      <c r="G62">
        <v>3.9100000000000003E-2</v>
      </c>
      <c r="H62">
        <v>-2.2006000000000001</v>
      </c>
      <c r="I62">
        <v>0</v>
      </c>
      <c r="J62">
        <v>0</v>
      </c>
      <c r="K62">
        <v>0</v>
      </c>
      <c r="L62">
        <v>0.36359999999999998</v>
      </c>
    </row>
    <row r="63" spans="1:12" x14ac:dyDescent="0.35">
      <c r="A63">
        <v>1.45</v>
      </c>
      <c r="B63">
        <v>0.65400000000000003</v>
      </c>
      <c r="C63">
        <v>5.1200000000000004E-3</v>
      </c>
      <c r="D63">
        <v>1.33E-3</v>
      </c>
      <c r="E63">
        <v>-7.3200000000000001E-2</v>
      </c>
      <c r="F63">
        <v>6.7000000000000002E-3</v>
      </c>
      <c r="G63">
        <v>0.05</v>
      </c>
      <c r="H63">
        <v>-2.3546999999999998</v>
      </c>
      <c r="I63">
        <v>0</v>
      </c>
      <c r="J63">
        <v>0</v>
      </c>
      <c r="K63">
        <v>0</v>
      </c>
      <c r="L63">
        <v>0.36099999999999999</v>
      </c>
    </row>
    <row r="64" spans="1:12" x14ac:dyDescent="0.35">
      <c r="A64">
        <v>1.5</v>
      </c>
      <c r="B64">
        <v>0.66620000000000001</v>
      </c>
      <c r="C64">
        <v>5.1399999999999996E-3</v>
      </c>
      <c r="D64">
        <v>1.3500000000000001E-3</v>
      </c>
      <c r="E64">
        <v>-7.2999999999999995E-2</v>
      </c>
      <c r="F64">
        <v>6.7000000000000002E-3</v>
      </c>
      <c r="G64">
        <v>0.05</v>
      </c>
      <c r="H64">
        <v>-2.5217999999999998</v>
      </c>
      <c r="I64">
        <v>0</v>
      </c>
      <c r="J64">
        <v>0</v>
      </c>
      <c r="K64">
        <v>0</v>
      </c>
      <c r="L64">
        <v>0.35849999999999999</v>
      </c>
    </row>
    <row r="65" spans="1:12" x14ac:dyDescent="0.35">
      <c r="A65">
        <v>1.55</v>
      </c>
      <c r="B65">
        <v>0.67859999999999998</v>
      </c>
      <c r="C65">
        <v>5.1599999999999997E-3</v>
      </c>
      <c r="D65">
        <v>1.3799999999999999E-3</v>
      </c>
      <c r="E65">
        <v>-7.2599999999999998E-2</v>
      </c>
      <c r="F65">
        <v>6.6E-3</v>
      </c>
      <c r="G65">
        <v>0.05</v>
      </c>
      <c r="H65">
        <v>-2.7054999999999998</v>
      </c>
      <c r="I65">
        <v>0</v>
      </c>
      <c r="J65">
        <v>0</v>
      </c>
      <c r="K65">
        <v>0</v>
      </c>
      <c r="L65">
        <v>0.35599999999999998</v>
      </c>
    </row>
    <row r="66" spans="1:12" x14ac:dyDescent="0.35">
      <c r="A66">
        <v>1.6</v>
      </c>
      <c r="B66">
        <v>0.69120000000000004</v>
      </c>
      <c r="C66">
        <v>5.1799999999999997E-3</v>
      </c>
      <c r="D66">
        <v>1.42E-3</v>
      </c>
      <c r="E66">
        <v>-7.22E-2</v>
      </c>
      <c r="F66">
        <v>6.6E-3</v>
      </c>
      <c r="G66">
        <v>0.05</v>
      </c>
      <c r="H66">
        <v>-2.9178999999999999</v>
      </c>
      <c r="I66">
        <v>0</v>
      </c>
      <c r="J66">
        <v>0</v>
      </c>
      <c r="K66">
        <v>0</v>
      </c>
      <c r="L66">
        <v>0.35339999999999999</v>
      </c>
    </row>
    <row r="67" spans="1:12" x14ac:dyDescent="0.35">
      <c r="A67">
        <v>1.65</v>
      </c>
      <c r="B67">
        <v>0.70369999999999999</v>
      </c>
      <c r="C67">
        <v>5.2399999999999999E-3</v>
      </c>
      <c r="D67">
        <v>1.5200000000000001E-3</v>
      </c>
      <c r="E67">
        <v>-7.1499999999999994E-2</v>
      </c>
      <c r="F67">
        <v>6.4000000000000003E-3</v>
      </c>
      <c r="G67">
        <v>0.05</v>
      </c>
      <c r="H67">
        <v>-3.2761999999999998</v>
      </c>
      <c r="I67">
        <v>0</v>
      </c>
      <c r="J67">
        <v>0</v>
      </c>
      <c r="K67">
        <v>0</v>
      </c>
      <c r="L67">
        <v>0.35049999999999998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3E3C3-CC93-42F5-824A-8482AC5A5F02}">
  <sheetPr codeName="Sheet23"/>
  <dimension ref="A1:L68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-1.65</v>
      </c>
      <c r="B2">
        <v>-5.45E-2</v>
      </c>
      <c r="C2">
        <v>5.9800000000000001E-3</v>
      </c>
      <c r="D2">
        <v>2.31E-3</v>
      </c>
      <c r="E2">
        <v>-7.8399999999999997E-2</v>
      </c>
      <c r="F2">
        <v>0.05</v>
      </c>
      <c r="G2">
        <v>4.5999999999999999E-3</v>
      </c>
      <c r="H2">
        <v>-3.2174</v>
      </c>
      <c r="I2">
        <v>0</v>
      </c>
      <c r="J2">
        <v>0</v>
      </c>
      <c r="K2">
        <v>0</v>
      </c>
      <c r="L2">
        <v>-1.1940999999999999</v>
      </c>
    </row>
    <row r="3" spans="1:12" x14ac:dyDescent="0.35">
      <c r="A3">
        <v>-1.6</v>
      </c>
      <c r="B3">
        <v>-4.3700000000000003E-2</v>
      </c>
      <c r="C3">
        <v>5.6600000000000001E-3</v>
      </c>
      <c r="D3">
        <v>1.9400000000000001E-3</v>
      </c>
      <c r="E3">
        <v>-7.8E-2</v>
      </c>
      <c r="F3">
        <v>0.05</v>
      </c>
      <c r="G3">
        <v>4.7999999999999996E-3</v>
      </c>
      <c r="H3">
        <v>-3.2122000000000002</v>
      </c>
      <c r="I3">
        <v>0</v>
      </c>
      <c r="J3">
        <v>0</v>
      </c>
      <c r="K3">
        <v>0</v>
      </c>
      <c r="L3">
        <v>-1.5423</v>
      </c>
    </row>
    <row r="4" spans="1:12" x14ac:dyDescent="0.35">
      <c r="A4">
        <v>-1.55</v>
      </c>
      <c r="B4">
        <v>-3.2500000000000001E-2</v>
      </c>
      <c r="C4">
        <v>5.3899999999999998E-3</v>
      </c>
      <c r="D4">
        <v>1.6100000000000001E-3</v>
      </c>
      <c r="E4">
        <v>-7.7799999999999994E-2</v>
      </c>
      <c r="F4">
        <v>0.05</v>
      </c>
      <c r="G4">
        <v>5.1999999999999998E-3</v>
      </c>
      <c r="H4">
        <v>-3.1650999999999998</v>
      </c>
      <c r="I4">
        <v>0</v>
      </c>
      <c r="J4">
        <v>0</v>
      </c>
      <c r="K4">
        <v>0</v>
      </c>
      <c r="L4">
        <v>-2.1514000000000002</v>
      </c>
    </row>
    <row r="5" spans="1:12" x14ac:dyDescent="0.35">
      <c r="A5">
        <v>-1.5</v>
      </c>
      <c r="B5">
        <v>-2.07E-2</v>
      </c>
      <c r="C5">
        <v>5.1999999999999998E-3</v>
      </c>
      <c r="D5">
        <v>1.3699999999999999E-3</v>
      </c>
      <c r="E5">
        <v>-7.7499999999999999E-2</v>
      </c>
      <c r="F5">
        <v>0.05</v>
      </c>
      <c r="G5">
        <v>6.1999999999999998E-3</v>
      </c>
      <c r="H5">
        <v>-3.0347</v>
      </c>
      <c r="I5">
        <v>0</v>
      </c>
      <c r="J5">
        <v>0</v>
      </c>
      <c r="K5">
        <v>0</v>
      </c>
      <c r="L5">
        <v>-3.5070000000000001</v>
      </c>
    </row>
    <row r="6" spans="1:12" x14ac:dyDescent="0.35">
      <c r="A6">
        <v>-1.45</v>
      </c>
      <c r="B6">
        <v>-8.5000000000000006E-3</v>
      </c>
      <c r="C6">
        <v>5.1000000000000004E-3</v>
      </c>
      <c r="D6">
        <v>1.2199999999999999E-3</v>
      </c>
      <c r="E6">
        <v>-7.7100000000000002E-2</v>
      </c>
      <c r="F6">
        <v>0.05</v>
      </c>
      <c r="G6">
        <v>7.3000000000000001E-3</v>
      </c>
      <c r="H6">
        <v>-2.8329</v>
      </c>
      <c r="I6">
        <v>0</v>
      </c>
      <c r="J6">
        <v>0</v>
      </c>
      <c r="K6">
        <v>0</v>
      </c>
      <c r="L6">
        <v>-8.8544</v>
      </c>
    </row>
    <row r="7" spans="1:12" x14ac:dyDescent="0.35">
      <c r="A7">
        <v>-1.4</v>
      </c>
      <c r="B7">
        <v>3.7000000000000002E-3</v>
      </c>
      <c r="C7">
        <v>5.0400000000000002E-3</v>
      </c>
      <c r="D7">
        <v>1.1299999999999999E-3</v>
      </c>
      <c r="E7">
        <v>-7.6899999999999996E-2</v>
      </c>
      <c r="F7">
        <v>0.05</v>
      </c>
      <c r="G7">
        <v>7.9000000000000008E-3</v>
      </c>
      <c r="H7">
        <v>-2.6577999999999999</v>
      </c>
      <c r="I7">
        <v>0</v>
      </c>
      <c r="J7">
        <v>0</v>
      </c>
      <c r="K7">
        <v>0</v>
      </c>
      <c r="L7">
        <v>21.311800000000002</v>
      </c>
    </row>
    <row r="8" spans="1:12" x14ac:dyDescent="0.35">
      <c r="A8">
        <v>-1.35</v>
      </c>
      <c r="B8">
        <v>1.5800000000000002E-2</v>
      </c>
      <c r="C8">
        <v>4.9899999999999996E-3</v>
      </c>
      <c r="D8">
        <v>1.06E-3</v>
      </c>
      <c r="E8">
        <v>-7.6600000000000001E-2</v>
      </c>
      <c r="F8">
        <v>0.05</v>
      </c>
      <c r="G8">
        <v>8.3000000000000001E-3</v>
      </c>
      <c r="H8">
        <v>-2.5348000000000002</v>
      </c>
      <c r="I8">
        <v>0</v>
      </c>
      <c r="J8">
        <v>0</v>
      </c>
      <c r="K8">
        <v>0</v>
      </c>
      <c r="L8">
        <v>5.1295000000000002</v>
      </c>
    </row>
    <row r="9" spans="1:12" x14ac:dyDescent="0.35">
      <c r="A9">
        <v>-1.3</v>
      </c>
      <c r="B9">
        <v>2.7799999999999998E-2</v>
      </c>
      <c r="C9">
        <v>4.96E-3</v>
      </c>
      <c r="D9">
        <v>1.01E-3</v>
      </c>
      <c r="E9">
        <v>-7.6399999999999996E-2</v>
      </c>
      <c r="F9">
        <v>0.05</v>
      </c>
      <c r="G9">
        <v>8.5000000000000006E-3</v>
      </c>
      <c r="H9">
        <v>-2.4148999999999998</v>
      </c>
      <c r="I9">
        <v>0</v>
      </c>
      <c r="J9">
        <v>0</v>
      </c>
      <c r="K9">
        <v>0</v>
      </c>
      <c r="L9">
        <v>3.0099</v>
      </c>
    </row>
    <row r="10" spans="1:12" x14ac:dyDescent="0.35">
      <c r="A10">
        <v>-1.25</v>
      </c>
      <c r="B10">
        <v>3.9699999999999999E-2</v>
      </c>
      <c r="C10">
        <v>4.9399999999999999E-3</v>
      </c>
      <c r="D10">
        <v>9.7999999999999997E-4</v>
      </c>
      <c r="E10">
        <v>-7.6200000000000004E-2</v>
      </c>
      <c r="F10">
        <v>0.05</v>
      </c>
      <c r="G10">
        <v>8.6E-3</v>
      </c>
      <c r="H10">
        <v>-2.2886000000000002</v>
      </c>
      <c r="I10">
        <v>0</v>
      </c>
      <c r="J10">
        <v>0</v>
      </c>
      <c r="K10">
        <v>0</v>
      </c>
      <c r="L10">
        <v>2.1747999999999998</v>
      </c>
    </row>
    <row r="11" spans="1:12" x14ac:dyDescent="0.35">
      <c r="A11">
        <v>-1.2</v>
      </c>
      <c r="B11">
        <v>5.16E-2</v>
      </c>
      <c r="C11">
        <v>4.9300000000000004E-3</v>
      </c>
      <c r="D11">
        <v>9.6000000000000002E-4</v>
      </c>
      <c r="E11">
        <v>-7.5999999999999998E-2</v>
      </c>
      <c r="F11">
        <v>0.05</v>
      </c>
      <c r="G11">
        <v>8.8000000000000005E-3</v>
      </c>
      <c r="H11">
        <v>-2.1629999999999998</v>
      </c>
      <c r="I11">
        <v>0</v>
      </c>
      <c r="J11">
        <v>0</v>
      </c>
      <c r="K11">
        <v>0</v>
      </c>
      <c r="L11">
        <v>1.7287999999999999</v>
      </c>
    </row>
    <row r="12" spans="1:12" x14ac:dyDescent="0.35">
      <c r="A12">
        <v>-1.1499999999999999</v>
      </c>
      <c r="B12">
        <v>6.3299999999999995E-2</v>
      </c>
      <c r="C12">
        <v>4.9199999999999999E-3</v>
      </c>
      <c r="D12">
        <v>9.3999999999999997E-4</v>
      </c>
      <c r="E12">
        <v>-7.5899999999999995E-2</v>
      </c>
      <c r="F12">
        <v>0.05</v>
      </c>
      <c r="G12">
        <v>8.8999999999999999E-3</v>
      </c>
      <c r="H12">
        <v>-2.0407999999999999</v>
      </c>
      <c r="I12">
        <v>0</v>
      </c>
      <c r="J12">
        <v>0</v>
      </c>
      <c r="K12">
        <v>0</v>
      </c>
      <c r="L12">
        <v>1.4513</v>
      </c>
    </row>
    <row r="13" spans="1:12" x14ac:dyDescent="0.35">
      <c r="A13">
        <v>-1.1000000000000001</v>
      </c>
      <c r="B13">
        <v>7.4999999999999997E-2</v>
      </c>
      <c r="C13">
        <v>4.9199999999999999E-3</v>
      </c>
      <c r="D13">
        <v>9.2000000000000003E-4</v>
      </c>
      <c r="E13">
        <v>-7.5800000000000006E-2</v>
      </c>
      <c r="F13">
        <v>0.05</v>
      </c>
      <c r="G13">
        <v>8.9999999999999993E-3</v>
      </c>
      <c r="H13">
        <v>-1.923</v>
      </c>
      <c r="I13">
        <v>0</v>
      </c>
      <c r="J13">
        <v>0</v>
      </c>
      <c r="K13">
        <v>0</v>
      </c>
      <c r="L13">
        <v>1.2622</v>
      </c>
    </row>
    <row r="14" spans="1:12" x14ac:dyDescent="0.35">
      <c r="A14">
        <v>-1.05</v>
      </c>
      <c r="B14">
        <v>8.6699999999999999E-2</v>
      </c>
      <c r="C14">
        <v>4.9100000000000003E-3</v>
      </c>
      <c r="D14">
        <v>9.1E-4</v>
      </c>
      <c r="E14">
        <v>-7.5700000000000003E-2</v>
      </c>
      <c r="F14">
        <v>0.05</v>
      </c>
      <c r="G14">
        <v>9.1999999999999998E-3</v>
      </c>
      <c r="H14">
        <v>-1.8099000000000001</v>
      </c>
      <c r="I14">
        <v>0</v>
      </c>
      <c r="J14">
        <v>0</v>
      </c>
      <c r="K14">
        <v>0</v>
      </c>
      <c r="L14">
        <v>1.1249</v>
      </c>
    </row>
    <row r="15" spans="1:12" x14ac:dyDescent="0.35">
      <c r="A15">
        <v>-1</v>
      </c>
      <c r="B15">
        <v>9.8199999999999996E-2</v>
      </c>
      <c r="C15">
        <v>4.8999999999999998E-3</v>
      </c>
      <c r="D15">
        <v>8.9999999999999998E-4</v>
      </c>
      <c r="E15">
        <v>-7.5600000000000001E-2</v>
      </c>
      <c r="F15">
        <v>0.05</v>
      </c>
      <c r="G15">
        <v>9.1999999999999998E-3</v>
      </c>
      <c r="H15">
        <v>-1.7015</v>
      </c>
      <c r="I15">
        <v>0</v>
      </c>
      <c r="J15">
        <v>0</v>
      </c>
      <c r="K15">
        <v>0</v>
      </c>
      <c r="L15">
        <v>1.0207999999999999</v>
      </c>
    </row>
    <row r="16" spans="1:12" x14ac:dyDescent="0.35">
      <c r="A16">
        <v>-0.95</v>
      </c>
      <c r="B16">
        <v>0.10970000000000001</v>
      </c>
      <c r="C16">
        <v>4.8999999999999998E-3</v>
      </c>
      <c r="D16">
        <v>8.8999999999999995E-4</v>
      </c>
      <c r="E16">
        <v>-7.5499999999999998E-2</v>
      </c>
      <c r="F16">
        <v>0.05</v>
      </c>
      <c r="G16">
        <v>9.2999999999999992E-3</v>
      </c>
      <c r="H16">
        <v>-1.5973999999999999</v>
      </c>
      <c r="I16">
        <v>0</v>
      </c>
      <c r="J16">
        <v>0</v>
      </c>
      <c r="K16">
        <v>0</v>
      </c>
      <c r="L16">
        <v>0.93910000000000005</v>
      </c>
    </row>
    <row r="17" spans="1:12" x14ac:dyDescent="0.35">
      <c r="A17">
        <v>-0.9</v>
      </c>
      <c r="B17">
        <v>0.1212</v>
      </c>
      <c r="C17">
        <v>4.8999999999999998E-3</v>
      </c>
      <c r="D17">
        <v>8.8999999999999995E-4</v>
      </c>
      <c r="E17">
        <v>-7.5399999999999995E-2</v>
      </c>
      <c r="F17">
        <v>0.05</v>
      </c>
      <c r="G17">
        <v>9.4000000000000004E-3</v>
      </c>
      <c r="H17">
        <v>-1.4977</v>
      </c>
      <c r="I17">
        <v>0</v>
      </c>
      <c r="J17">
        <v>0</v>
      </c>
      <c r="K17">
        <v>0</v>
      </c>
      <c r="L17">
        <v>0.87329999999999997</v>
      </c>
    </row>
    <row r="18" spans="1:12" x14ac:dyDescent="0.35">
      <c r="A18">
        <v>-0.85</v>
      </c>
      <c r="B18">
        <v>0.1326</v>
      </c>
      <c r="C18">
        <v>4.8900000000000002E-3</v>
      </c>
      <c r="D18">
        <v>8.8000000000000003E-4</v>
      </c>
      <c r="E18">
        <v>-7.5300000000000006E-2</v>
      </c>
      <c r="F18">
        <v>0.05</v>
      </c>
      <c r="G18">
        <v>9.4999999999999998E-3</v>
      </c>
      <c r="H18">
        <v>-1.4018999999999999</v>
      </c>
      <c r="I18">
        <v>0</v>
      </c>
      <c r="J18">
        <v>0</v>
      </c>
      <c r="K18">
        <v>0</v>
      </c>
      <c r="L18">
        <v>0.81910000000000005</v>
      </c>
    </row>
    <row r="19" spans="1:12" x14ac:dyDescent="0.35">
      <c r="A19">
        <v>-0.8</v>
      </c>
      <c r="B19">
        <v>0.14399999999999999</v>
      </c>
      <c r="C19">
        <v>4.8900000000000002E-3</v>
      </c>
      <c r="D19">
        <v>8.8000000000000003E-4</v>
      </c>
      <c r="E19">
        <v>-7.5300000000000006E-2</v>
      </c>
      <c r="F19">
        <v>0.05</v>
      </c>
      <c r="G19">
        <v>9.4999999999999998E-3</v>
      </c>
      <c r="H19">
        <v>-1.3101</v>
      </c>
      <c r="I19">
        <v>0</v>
      </c>
      <c r="J19">
        <v>0</v>
      </c>
      <c r="K19">
        <v>0</v>
      </c>
      <c r="L19">
        <v>0.77380000000000004</v>
      </c>
    </row>
    <row r="20" spans="1:12" x14ac:dyDescent="0.35">
      <c r="A20">
        <v>-0.75</v>
      </c>
      <c r="B20">
        <v>0.15529999999999999</v>
      </c>
      <c r="C20">
        <v>4.8900000000000002E-3</v>
      </c>
      <c r="D20">
        <v>8.7000000000000001E-4</v>
      </c>
      <c r="E20">
        <v>-7.5300000000000006E-2</v>
      </c>
      <c r="F20">
        <v>0.05</v>
      </c>
      <c r="G20">
        <v>9.5999999999999992E-3</v>
      </c>
      <c r="H20">
        <v>-1.2219</v>
      </c>
      <c r="I20">
        <v>0</v>
      </c>
      <c r="J20">
        <v>0</v>
      </c>
      <c r="K20">
        <v>0</v>
      </c>
      <c r="L20">
        <v>0.73529999999999995</v>
      </c>
    </row>
    <row r="21" spans="1:12" x14ac:dyDescent="0.35">
      <c r="A21">
        <v>-0.7</v>
      </c>
      <c r="B21">
        <v>0.1666</v>
      </c>
      <c r="C21">
        <v>4.8900000000000002E-3</v>
      </c>
      <c r="D21">
        <v>8.7000000000000001E-4</v>
      </c>
      <c r="E21">
        <v>-7.5200000000000003E-2</v>
      </c>
      <c r="F21">
        <v>0.05</v>
      </c>
      <c r="G21">
        <v>9.5999999999999992E-3</v>
      </c>
      <c r="H21">
        <v>-1.1371</v>
      </c>
      <c r="I21">
        <v>0</v>
      </c>
      <c r="J21">
        <v>0</v>
      </c>
      <c r="K21">
        <v>0</v>
      </c>
      <c r="L21">
        <v>0.70220000000000005</v>
      </c>
    </row>
    <row r="22" spans="1:12" x14ac:dyDescent="0.35">
      <c r="A22">
        <v>-0.65</v>
      </c>
      <c r="B22">
        <v>0.17780000000000001</v>
      </c>
      <c r="C22">
        <v>4.8900000000000002E-3</v>
      </c>
      <c r="D22">
        <v>8.7000000000000001E-4</v>
      </c>
      <c r="E22">
        <v>-7.5200000000000003E-2</v>
      </c>
      <c r="F22">
        <v>0.05</v>
      </c>
      <c r="G22">
        <v>9.7000000000000003E-3</v>
      </c>
      <c r="H22">
        <v>-1.0557000000000001</v>
      </c>
      <c r="I22">
        <v>0</v>
      </c>
      <c r="J22">
        <v>0</v>
      </c>
      <c r="K22">
        <v>0</v>
      </c>
      <c r="L22">
        <v>0.67330000000000001</v>
      </c>
    </row>
    <row r="23" spans="1:12" x14ac:dyDescent="0.35">
      <c r="A23">
        <v>-0.6</v>
      </c>
      <c r="B23">
        <v>0.18909999999999999</v>
      </c>
      <c r="C23">
        <v>4.8900000000000002E-3</v>
      </c>
      <c r="D23">
        <v>8.7000000000000001E-4</v>
      </c>
      <c r="E23">
        <v>-7.5200000000000003E-2</v>
      </c>
      <c r="F23">
        <v>0.05</v>
      </c>
      <c r="G23">
        <v>9.7000000000000003E-3</v>
      </c>
      <c r="H23">
        <v>-0.97740000000000005</v>
      </c>
      <c r="I23">
        <v>0</v>
      </c>
      <c r="J23">
        <v>0</v>
      </c>
      <c r="K23">
        <v>0</v>
      </c>
      <c r="L23">
        <v>0.64810000000000001</v>
      </c>
    </row>
    <row r="24" spans="1:12" x14ac:dyDescent="0.35">
      <c r="A24">
        <v>-0.55000000000000004</v>
      </c>
      <c r="B24">
        <v>0.20030000000000001</v>
      </c>
      <c r="C24">
        <v>4.8900000000000002E-3</v>
      </c>
      <c r="D24">
        <v>8.5999999999999998E-4</v>
      </c>
      <c r="E24">
        <v>-7.5200000000000003E-2</v>
      </c>
      <c r="F24">
        <v>0.05</v>
      </c>
      <c r="G24">
        <v>9.7999999999999997E-3</v>
      </c>
      <c r="H24">
        <v>-0.90359999999999996</v>
      </c>
      <c r="I24">
        <v>0</v>
      </c>
      <c r="J24">
        <v>0</v>
      </c>
      <c r="K24">
        <v>0</v>
      </c>
      <c r="L24">
        <v>0.62570000000000003</v>
      </c>
    </row>
    <row r="25" spans="1:12" x14ac:dyDescent="0.35">
      <c r="A25">
        <v>-0.5</v>
      </c>
      <c r="B25">
        <v>0.2114</v>
      </c>
      <c r="C25">
        <v>4.8900000000000002E-3</v>
      </c>
      <c r="D25">
        <v>8.5999999999999998E-4</v>
      </c>
      <c r="E25">
        <v>-7.5200000000000003E-2</v>
      </c>
      <c r="F25">
        <v>0.05</v>
      </c>
      <c r="G25">
        <v>9.7999999999999997E-3</v>
      </c>
      <c r="H25">
        <v>-0.8306</v>
      </c>
      <c r="I25">
        <v>0</v>
      </c>
      <c r="J25">
        <v>0</v>
      </c>
      <c r="K25">
        <v>0</v>
      </c>
      <c r="L25">
        <v>0.60580000000000001</v>
      </c>
    </row>
    <row r="26" spans="1:12" x14ac:dyDescent="0.35">
      <c r="A26">
        <v>-0.45</v>
      </c>
      <c r="B26">
        <v>0.22259999999999999</v>
      </c>
      <c r="C26">
        <v>4.8900000000000002E-3</v>
      </c>
      <c r="D26">
        <v>8.5999999999999998E-4</v>
      </c>
      <c r="E26">
        <v>-7.5200000000000003E-2</v>
      </c>
      <c r="F26">
        <v>0.05</v>
      </c>
      <c r="G26">
        <v>9.9000000000000008E-3</v>
      </c>
      <c r="H26">
        <v>-0.76039999999999996</v>
      </c>
      <c r="I26">
        <v>0</v>
      </c>
      <c r="J26">
        <v>0</v>
      </c>
      <c r="K26">
        <v>0</v>
      </c>
      <c r="L26">
        <v>0.58789999999999998</v>
      </c>
    </row>
    <row r="27" spans="1:12" x14ac:dyDescent="0.35">
      <c r="A27">
        <v>-0.4</v>
      </c>
      <c r="B27">
        <v>0.23369999999999999</v>
      </c>
      <c r="C27">
        <v>4.8900000000000002E-3</v>
      </c>
      <c r="D27">
        <v>8.7000000000000001E-4</v>
      </c>
      <c r="E27">
        <v>-7.5200000000000003E-2</v>
      </c>
      <c r="F27">
        <v>0.05</v>
      </c>
      <c r="G27">
        <v>9.9000000000000008E-3</v>
      </c>
      <c r="H27">
        <v>-0.69259999999999999</v>
      </c>
      <c r="I27">
        <v>0</v>
      </c>
      <c r="J27">
        <v>0</v>
      </c>
      <c r="K27">
        <v>0</v>
      </c>
      <c r="L27">
        <v>0.57179999999999997</v>
      </c>
    </row>
    <row r="28" spans="1:12" x14ac:dyDescent="0.35">
      <c r="A28">
        <v>-0.35</v>
      </c>
      <c r="B28">
        <v>0.24490000000000001</v>
      </c>
      <c r="C28">
        <v>4.8900000000000002E-3</v>
      </c>
      <c r="D28">
        <v>8.7000000000000001E-4</v>
      </c>
      <c r="E28">
        <v>-7.5200000000000003E-2</v>
      </c>
      <c r="F28">
        <v>0.05</v>
      </c>
      <c r="G28">
        <v>9.9000000000000008E-3</v>
      </c>
      <c r="H28">
        <v>-0.62719999999999998</v>
      </c>
      <c r="I28">
        <v>0</v>
      </c>
      <c r="J28">
        <v>0</v>
      </c>
      <c r="K28">
        <v>0</v>
      </c>
      <c r="L28">
        <v>0.55710000000000004</v>
      </c>
    </row>
    <row r="29" spans="1:12" x14ac:dyDescent="0.35">
      <c r="A29">
        <v>-0.3</v>
      </c>
      <c r="B29">
        <v>0.25600000000000001</v>
      </c>
      <c r="C29">
        <v>4.8900000000000002E-3</v>
      </c>
      <c r="D29">
        <v>8.7000000000000001E-4</v>
      </c>
      <c r="E29">
        <v>-7.5200000000000003E-2</v>
      </c>
      <c r="F29">
        <v>0.05</v>
      </c>
      <c r="G29">
        <v>0.01</v>
      </c>
      <c r="H29">
        <v>-0.56420000000000003</v>
      </c>
      <c r="I29">
        <v>0</v>
      </c>
      <c r="J29">
        <v>0</v>
      </c>
      <c r="K29">
        <v>0</v>
      </c>
      <c r="L29">
        <v>0.54379999999999995</v>
      </c>
    </row>
    <row r="30" spans="1:12" x14ac:dyDescent="0.35">
      <c r="A30">
        <v>-0.25</v>
      </c>
      <c r="B30">
        <v>0.2671</v>
      </c>
      <c r="C30">
        <v>4.8900000000000002E-3</v>
      </c>
      <c r="D30">
        <v>8.7000000000000001E-4</v>
      </c>
      <c r="E30">
        <v>-7.5200000000000003E-2</v>
      </c>
      <c r="F30">
        <v>0.05</v>
      </c>
      <c r="G30">
        <v>0.01</v>
      </c>
      <c r="H30">
        <v>-0.51449999999999996</v>
      </c>
      <c r="I30">
        <v>0</v>
      </c>
      <c r="J30">
        <v>0</v>
      </c>
      <c r="K30">
        <v>0</v>
      </c>
      <c r="L30">
        <v>0.53159999999999996</v>
      </c>
    </row>
    <row r="31" spans="1:12" x14ac:dyDescent="0.35">
      <c r="A31">
        <v>-0.2</v>
      </c>
      <c r="B31">
        <v>0.27779999999999999</v>
      </c>
      <c r="C31">
        <v>4.9199999999999999E-3</v>
      </c>
      <c r="D31">
        <v>8.8000000000000003E-4</v>
      </c>
      <c r="E31">
        <v>-7.5200000000000003E-2</v>
      </c>
      <c r="F31">
        <v>3.61E-2</v>
      </c>
      <c r="G31">
        <v>1.01E-2</v>
      </c>
      <c r="H31">
        <v>-0.51919999999999999</v>
      </c>
      <c r="I31">
        <v>0</v>
      </c>
      <c r="J31">
        <v>0</v>
      </c>
      <c r="K31">
        <v>0</v>
      </c>
      <c r="L31">
        <v>0.52049999999999996</v>
      </c>
    </row>
    <row r="32" spans="1:12" x14ac:dyDescent="0.35">
      <c r="A32">
        <v>-0.15</v>
      </c>
      <c r="B32">
        <v>0.2888</v>
      </c>
      <c r="C32">
        <v>4.9300000000000004E-3</v>
      </c>
      <c r="D32">
        <v>8.8000000000000003E-4</v>
      </c>
      <c r="E32">
        <v>-7.5200000000000003E-2</v>
      </c>
      <c r="F32">
        <v>3.2800000000000003E-2</v>
      </c>
      <c r="G32">
        <v>1.0200000000000001E-2</v>
      </c>
      <c r="H32">
        <v>-0.52410000000000001</v>
      </c>
      <c r="I32">
        <v>0</v>
      </c>
      <c r="J32">
        <v>0</v>
      </c>
      <c r="K32">
        <v>0</v>
      </c>
      <c r="L32">
        <v>0.51019999999999999</v>
      </c>
    </row>
    <row r="33" spans="1:12" x14ac:dyDescent="0.35">
      <c r="A33">
        <v>-0.1</v>
      </c>
      <c r="B33">
        <v>0.29980000000000001</v>
      </c>
      <c r="C33">
        <v>4.9399999999999999E-3</v>
      </c>
      <c r="D33">
        <v>8.8999999999999995E-4</v>
      </c>
      <c r="E33">
        <v>-7.5200000000000003E-2</v>
      </c>
      <c r="F33">
        <v>3.1399999999999997E-2</v>
      </c>
      <c r="G33">
        <v>1.0800000000000001E-2</v>
      </c>
      <c r="H33">
        <v>-0.52910000000000001</v>
      </c>
      <c r="I33">
        <v>0</v>
      </c>
      <c r="J33">
        <v>0</v>
      </c>
      <c r="K33">
        <v>0</v>
      </c>
      <c r="L33">
        <v>0.50060000000000004</v>
      </c>
    </row>
    <row r="34" spans="1:12" x14ac:dyDescent="0.35">
      <c r="A34">
        <v>-0.05</v>
      </c>
      <c r="B34">
        <v>0.31080000000000002</v>
      </c>
      <c r="C34">
        <v>4.9500000000000004E-3</v>
      </c>
      <c r="D34">
        <v>8.9999999999999998E-4</v>
      </c>
      <c r="E34">
        <v>-7.5200000000000003E-2</v>
      </c>
      <c r="F34">
        <v>3.0099999999999998E-2</v>
      </c>
      <c r="G34">
        <v>1.15E-2</v>
      </c>
      <c r="H34">
        <v>-0.53420000000000001</v>
      </c>
      <c r="I34">
        <v>0</v>
      </c>
      <c r="J34">
        <v>0</v>
      </c>
      <c r="K34">
        <v>0</v>
      </c>
      <c r="L34">
        <v>0.49170000000000003</v>
      </c>
    </row>
    <row r="35" spans="1:12" x14ac:dyDescent="0.35">
      <c r="A35">
        <v>0</v>
      </c>
      <c r="B35">
        <v>0.32179999999999997</v>
      </c>
      <c r="C35">
        <v>4.96E-3</v>
      </c>
      <c r="D35">
        <v>8.9999999999999998E-4</v>
      </c>
      <c r="E35">
        <v>-7.5200000000000003E-2</v>
      </c>
      <c r="F35">
        <v>2.7699999999999999E-2</v>
      </c>
      <c r="G35">
        <v>1.2200000000000001E-2</v>
      </c>
      <c r="H35">
        <v>-0.5393</v>
      </c>
      <c r="I35">
        <v>0</v>
      </c>
      <c r="J35">
        <v>0</v>
      </c>
      <c r="K35">
        <v>0</v>
      </c>
      <c r="L35">
        <v>0.4834</v>
      </c>
    </row>
    <row r="36" spans="1:12" x14ac:dyDescent="0.35">
      <c r="A36">
        <v>0.05</v>
      </c>
      <c r="B36">
        <v>0.33279999999999998</v>
      </c>
      <c r="C36">
        <v>4.9699999999999996E-3</v>
      </c>
      <c r="D36">
        <v>9.1E-4</v>
      </c>
      <c r="E36">
        <v>-7.5200000000000003E-2</v>
      </c>
      <c r="F36">
        <v>2.46E-2</v>
      </c>
      <c r="G36">
        <v>1.2999999999999999E-2</v>
      </c>
      <c r="H36">
        <v>-0.54449999999999998</v>
      </c>
      <c r="I36">
        <v>0</v>
      </c>
      <c r="J36">
        <v>0</v>
      </c>
      <c r="K36">
        <v>0</v>
      </c>
      <c r="L36">
        <v>0.47560000000000002</v>
      </c>
    </row>
    <row r="37" spans="1:12" x14ac:dyDescent="0.35">
      <c r="A37">
        <v>0.1</v>
      </c>
      <c r="B37">
        <v>0.34389999999999998</v>
      </c>
      <c r="C37">
        <v>4.9699999999999996E-3</v>
      </c>
      <c r="D37">
        <v>9.2000000000000003E-4</v>
      </c>
      <c r="E37">
        <v>-7.5200000000000003E-2</v>
      </c>
      <c r="F37">
        <v>2.3400000000000001E-2</v>
      </c>
      <c r="G37">
        <v>1.3899999999999999E-2</v>
      </c>
      <c r="H37">
        <v>-0.54969999999999997</v>
      </c>
      <c r="I37">
        <v>0</v>
      </c>
      <c r="J37">
        <v>0</v>
      </c>
      <c r="K37">
        <v>0</v>
      </c>
      <c r="L37">
        <v>0.46839999999999998</v>
      </c>
    </row>
    <row r="38" spans="1:12" x14ac:dyDescent="0.35">
      <c r="A38">
        <v>0.15</v>
      </c>
      <c r="B38">
        <v>0.35499999999999998</v>
      </c>
      <c r="C38">
        <v>4.9699999999999996E-3</v>
      </c>
      <c r="D38">
        <v>9.2000000000000003E-4</v>
      </c>
      <c r="E38">
        <v>-7.5200000000000003E-2</v>
      </c>
      <c r="F38">
        <v>2.3400000000000001E-2</v>
      </c>
      <c r="G38">
        <v>1.49E-2</v>
      </c>
      <c r="H38">
        <v>-0.55500000000000005</v>
      </c>
      <c r="I38">
        <v>0</v>
      </c>
      <c r="J38">
        <v>0</v>
      </c>
      <c r="K38">
        <v>0</v>
      </c>
      <c r="L38">
        <v>0.46160000000000001</v>
      </c>
    </row>
    <row r="39" spans="1:12" x14ac:dyDescent="0.35">
      <c r="A39">
        <v>0.2</v>
      </c>
      <c r="B39">
        <v>0.36599999999999999</v>
      </c>
      <c r="C39">
        <v>4.9800000000000001E-3</v>
      </c>
      <c r="D39">
        <v>9.3000000000000005E-4</v>
      </c>
      <c r="E39">
        <v>-7.5200000000000003E-2</v>
      </c>
      <c r="F39">
        <v>2.3300000000000001E-2</v>
      </c>
      <c r="G39">
        <v>1.5900000000000001E-2</v>
      </c>
      <c r="H39">
        <v>-0.56040000000000001</v>
      </c>
      <c r="I39">
        <v>0</v>
      </c>
      <c r="J39">
        <v>0</v>
      </c>
      <c r="K39">
        <v>0</v>
      </c>
      <c r="L39">
        <v>0.45519999999999999</v>
      </c>
    </row>
    <row r="40" spans="1:12" x14ac:dyDescent="0.35">
      <c r="A40">
        <v>0.25</v>
      </c>
      <c r="B40">
        <v>0.37709999999999999</v>
      </c>
      <c r="C40">
        <v>4.9800000000000001E-3</v>
      </c>
      <c r="D40">
        <v>9.3999999999999997E-4</v>
      </c>
      <c r="E40">
        <v>-7.5200000000000003E-2</v>
      </c>
      <c r="F40">
        <v>2.3199999999999998E-2</v>
      </c>
      <c r="G40">
        <v>1.7100000000000001E-2</v>
      </c>
      <c r="H40">
        <v>-0.56579999999999997</v>
      </c>
      <c r="I40">
        <v>0</v>
      </c>
      <c r="J40">
        <v>0</v>
      </c>
      <c r="K40">
        <v>0</v>
      </c>
      <c r="L40">
        <v>0.4491</v>
      </c>
    </row>
    <row r="41" spans="1:12" x14ac:dyDescent="0.35">
      <c r="A41">
        <v>0.3</v>
      </c>
      <c r="B41">
        <v>0.38829999999999998</v>
      </c>
      <c r="C41">
        <v>4.9800000000000001E-3</v>
      </c>
      <c r="D41">
        <v>9.5E-4</v>
      </c>
      <c r="E41">
        <v>-7.5200000000000003E-2</v>
      </c>
      <c r="F41">
        <v>2.3099999999999999E-2</v>
      </c>
      <c r="G41">
        <v>1.83E-2</v>
      </c>
      <c r="H41">
        <v>-0.57120000000000004</v>
      </c>
      <c r="I41">
        <v>0</v>
      </c>
      <c r="J41">
        <v>0</v>
      </c>
      <c r="K41">
        <v>0</v>
      </c>
      <c r="L41">
        <v>0.44340000000000002</v>
      </c>
    </row>
    <row r="42" spans="1:12" x14ac:dyDescent="0.35">
      <c r="A42">
        <v>0.35</v>
      </c>
      <c r="B42">
        <v>0.39939999999999998</v>
      </c>
      <c r="C42">
        <v>4.9899999999999996E-3</v>
      </c>
      <c r="D42">
        <v>9.6000000000000002E-4</v>
      </c>
      <c r="E42">
        <v>-7.5200000000000003E-2</v>
      </c>
      <c r="F42">
        <v>2.3099999999999999E-2</v>
      </c>
      <c r="G42">
        <v>1.89E-2</v>
      </c>
      <c r="H42">
        <v>-0.57669999999999999</v>
      </c>
      <c r="I42">
        <v>0</v>
      </c>
      <c r="J42">
        <v>0</v>
      </c>
      <c r="K42">
        <v>0</v>
      </c>
      <c r="L42">
        <v>0.438</v>
      </c>
    </row>
    <row r="43" spans="1:12" x14ac:dyDescent="0.35">
      <c r="A43">
        <v>0.4</v>
      </c>
      <c r="B43">
        <v>0.41049999999999998</v>
      </c>
      <c r="C43">
        <v>5.0000000000000001E-3</v>
      </c>
      <c r="D43">
        <v>9.7000000000000005E-4</v>
      </c>
      <c r="E43">
        <v>-7.5200000000000003E-2</v>
      </c>
      <c r="F43">
        <v>2.29E-2</v>
      </c>
      <c r="G43">
        <v>2.1600000000000001E-2</v>
      </c>
      <c r="H43">
        <v>-0.58230000000000004</v>
      </c>
      <c r="I43">
        <v>0</v>
      </c>
      <c r="J43">
        <v>0</v>
      </c>
      <c r="K43">
        <v>0</v>
      </c>
      <c r="L43">
        <v>0.43280000000000002</v>
      </c>
    </row>
    <row r="44" spans="1:12" x14ac:dyDescent="0.35">
      <c r="A44">
        <v>0.45</v>
      </c>
      <c r="B44">
        <v>0.42170000000000002</v>
      </c>
      <c r="C44">
        <v>5.0000000000000001E-3</v>
      </c>
      <c r="D44">
        <v>9.7999999999999997E-4</v>
      </c>
      <c r="E44">
        <v>-7.5200000000000003E-2</v>
      </c>
      <c r="F44">
        <v>2.2800000000000001E-2</v>
      </c>
      <c r="G44">
        <v>2.4299999999999999E-2</v>
      </c>
      <c r="H44">
        <v>-0.61370000000000002</v>
      </c>
      <c r="I44">
        <v>0</v>
      </c>
      <c r="J44">
        <v>0</v>
      </c>
      <c r="K44">
        <v>0</v>
      </c>
      <c r="L44">
        <v>0.4279</v>
      </c>
    </row>
    <row r="45" spans="1:12" x14ac:dyDescent="0.35">
      <c r="A45">
        <v>0.5</v>
      </c>
      <c r="B45">
        <v>0.43259999999999998</v>
      </c>
      <c r="C45">
        <v>5.0200000000000002E-3</v>
      </c>
      <c r="D45">
        <v>1E-3</v>
      </c>
      <c r="E45">
        <v>-7.5200000000000003E-2</v>
      </c>
      <c r="F45">
        <v>1.9599999999999999E-2</v>
      </c>
      <c r="G45">
        <v>2.6700000000000002E-2</v>
      </c>
      <c r="H45">
        <v>-0.66690000000000005</v>
      </c>
      <c r="I45">
        <v>0</v>
      </c>
      <c r="J45">
        <v>0</v>
      </c>
      <c r="K45">
        <v>0</v>
      </c>
      <c r="L45">
        <v>0.42330000000000001</v>
      </c>
    </row>
    <row r="46" spans="1:12" x14ac:dyDescent="0.35">
      <c r="A46">
        <v>0.55000000000000004</v>
      </c>
      <c r="B46">
        <v>0.44369999999999998</v>
      </c>
      <c r="C46">
        <v>5.0400000000000002E-3</v>
      </c>
      <c r="D46">
        <v>1.01E-3</v>
      </c>
      <c r="E46">
        <v>-7.51E-2</v>
      </c>
      <c r="F46">
        <v>1.6199999999999999E-2</v>
      </c>
      <c r="G46">
        <v>2.86E-2</v>
      </c>
      <c r="H46">
        <v>-0.72209999999999996</v>
      </c>
      <c r="I46">
        <v>0</v>
      </c>
      <c r="J46">
        <v>0</v>
      </c>
      <c r="K46">
        <v>0</v>
      </c>
      <c r="L46">
        <v>0.41880000000000001</v>
      </c>
    </row>
    <row r="47" spans="1:12" x14ac:dyDescent="0.35">
      <c r="A47">
        <v>0.6</v>
      </c>
      <c r="B47">
        <v>0.45490000000000003</v>
      </c>
      <c r="C47">
        <v>5.0499999999999998E-3</v>
      </c>
      <c r="D47">
        <v>1.0300000000000001E-3</v>
      </c>
      <c r="E47">
        <v>-7.51E-2</v>
      </c>
      <c r="F47">
        <v>1.4800000000000001E-2</v>
      </c>
      <c r="G47">
        <v>2.8799999999999999E-2</v>
      </c>
      <c r="H47">
        <v>-0.7802</v>
      </c>
      <c r="I47">
        <v>0</v>
      </c>
      <c r="J47">
        <v>0</v>
      </c>
      <c r="K47">
        <v>0</v>
      </c>
      <c r="L47">
        <v>0.41449999999999998</v>
      </c>
    </row>
    <row r="48" spans="1:12" x14ac:dyDescent="0.35">
      <c r="A48">
        <v>0.65</v>
      </c>
      <c r="B48">
        <v>0.46610000000000001</v>
      </c>
      <c r="C48">
        <v>5.0600000000000003E-3</v>
      </c>
      <c r="D48">
        <v>1.0399999999999999E-3</v>
      </c>
      <c r="E48">
        <v>-7.51E-2</v>
      </c>
      <c r="F48">
        <v>1.38E-2</v>
      </c>
      <c r="G48">
        <v>2.93E-2</v>
      </c>
      <c r="H48">
        <v>-0.84030000000000005</v>
      </c>
      <c r="I48">
        <v>0</v>
      </c>
      <c r="J48">
        <v>0</v>
      </c>
      <c r="K48">
        <v>0</v>
      </c>
      <c r="L48">
        <v>0.41049999999999998</v>
      </c>
    </row>
    <row r="49" spans="1:12" x14ac:dyDescent="0.35">
      <c r="A49">
        <v>0.7</v>
      </c>
      <c r="B49">
        <v>0.47739999999999999</v>
      </c>
      <c r="C49">
        <v>5.0600000000000003E-3</v>
      </c>
      <c r="D49">
        <v>1.0499999999999999E-3</v>
      </c>
      <c r="E49">
        <v>-7.4999999999999997E-2</v>
      </c>
      <c r="F49">
        <v>1.37E-2</v>
      </c>
      <c r="G49">
        <v>3.5099999999999999E-2</v>
      </c>
      <c r="H49">
        <v>-0.90229999999999999</v>
      </c>
      <c r="I49">
        <v>0</v>
      </c>
      <c r="J49">
        <v>0</v>
      </c>
      <c r="K49">
        <v>0</v>
      </c>
      <c r="L49">
        <v>0.40649999999999997</v>
      </c>
    </row>
    <row r="50" spans="1:12" x14ac:dyDescent="0.35">
      <c r="A50">
        <v>0.75</v>
      </c>
      <c r="B50">
        <v>0.48870000000000002</v>
      </c>
      <c r="C50">
        <v>5.0699999999999999E-3</v>
      </c>
      <c r="D50">
        <v>1.07E-3</v>
      </c>
      <c r="E50">
        <v>-7.4999999999999997E-2</v>
      </c>
      <c r="F50">
        <v>1.35E-2</v>
      </c>
      <c r="G50">
        <v>3.9699999999999999E-2</v>
      </c>
      <c r="H50">
        <v>-0.96619999999999995</v>
      </c>
      <c r="I50">
        <v>0</v>
      </c>
      <c r="J50">
        <v>0</v>
      </c>
      <c r="K50">
        <v>0</v>
      </c>
      <c r="L50">
        <v>0.40279999999999999</v>
      </c>
    </row>
    <row r="51" spans="1:12" x14ac:dyDescent="0.35">
      <c r="A51">
        <v>0.8</v>
      </c>
      <c r="B51">
        <v>0.50009999999999999</v>
      </c>
      <c r="C51">
        <v>5.0699999999999999E-3</v>
      </c>
      <c r="D51">
        <v>1.09E-3</v>
      </c>
      <c r="E51">
        <v>-7.4899999999999994E-2</v>
      </c>
      <c r="F51">
        <v>1.34E-2</v>
      </c>
      <c r="G51">
        <v>0.05</v>
      </c>
      <c r="H51">
        <v>-1.0321</v>
      </c>
      <c r="I51">
        <v>0</v>
      </c>
      <c r="J51">
        <v>0</v>
      </c>
      <c r="K51">
        <v>0</v>
      </c>
      <c r="L51">
        <v>0.3992</v>
      </c>
    </row>
    <row r="52" spans="1:12" x14ac:dyDescent="0.35">
      <c r="A52">
        <v>0.85</v>
      </c>
      <c r="B52">
        <v>0.51139999999999997</v>
      </c>
      <c r="C52">
        <v>5.0800000000000003E-3</v>
      </c>
      <c r="D52">
        <v>1.1000000000000001E-3</v>
      </c>
      <c r="E52">
        <v>-7.4800000000000005E-2</v>
      </c>
      <c r="F52">
        <v>1.32E-2</v>
      </c>
      <c r="G52">
        <v>0.05</v>
      </c>
      <c r="H52">
        <v>-1.1008</v>
      </c>
      <c r="I52">
        <v>0</v>
      </c>
      <c r="J52">
        <v>0</v>
      </c>
      <c r="K52">
        <v>0</v>
      </c>
      <c r="L52">
        <v>0.3957</v>
      </c>
    </row>
    <row r="53" spans="1:12" x14ac:dyDescent="0.35">
      <c r="A53">
        <v>0.9</v>
      </c>
      <c r="B53">
        <v>0.52270000000000005</v>
      </c>
      <c r="C53">
        <v>5.1000000000000004E-3</v>
      </c>
      <c r="D53">
        <v>1.1199999999999999E-3</v>
      </c>
      <c r="E53">
        <v>-7.4800000000000005E-2</v>
      </c>
      <c r="F53">
        <v>1.26E-2</v>
      </c>
      <c r="G53">
        <v>0.05</v>
      </c>
      <c r="H53">
        <v>-1.1717</v>
      </c>
      <c r="I53">
        <v>0</v>
      </c>
      <c r="J53">
        <v>0</v>
      </c>
      <c r="K53">
        <v>0</v>
      </c>
      <c r="L53">
        <v>0.39229999999999998</v>
      </c>
    </row>
    <row r="54" spans="1:12" x14ac:dyDescent="0.35">
      <c r="A54">
        <v>0.95</v>
      </c>
      <c r="B54">
        <v>0.53410000000000002</v>
      </c>
      <c r="C54">
        <v>5.11E-3</v>
      </c>
      <c r="D54">
        <v>1.15E-3</v>
      </c>
      <c r="E54">
        <v>-7.46E-2</v>
      </c>
      <c r="F54">
        <v>1.1599999999999999E-2</v>
      </c>
      <c r="G54">
        <v>0.05</v>
      </c>
      <c r="H54">
        <v>-1.2446999999999999</v>
      </c>
      <c r="I54">
        <v>0</v>
      </c>
      <c r="J54">
        <v>0</v>
      </c>
      <c r="K54">
        <v>0</v>
      </c>
      <c r="L54">
        <v>0.38900000000000001</v>
      </c>
    </row>
    <row r="55" spans="1:12" x14ac:dyDescent="0.35">
      <c r="A55">
        <v>1</v>
      </c>
      <c r="B55">
        <v>0.54549999999999998</v>
      </c>
      <c r="C55">
        <v>5.13E-3</v>
      </c>
      <c r="D55">
        <v>1.17E-3</v>
      </c>
      <c r="E55">
        <v>-7.4499999999999997E-2</v>
      </c>
      <c r="F55">
        <v>1.0800000000000001E-2</v>
      </c>
      <c r="G55">
        <v>0.05</v>
      </c>
      <c r="H55">
        <v>-1.3202</v>
      </c>
      <c r="I55">
        <v>0</v>
      </c>
      <c r="J55">
        <v>0</v>
      </c>
      <c r="K55">
        <v>0</v>
      </c>
      <c r="L55">
        <v>0.38590000000000002</v>
      </c>
    </row>
    <row r="56" spans="1:12" x14ac:dyDescent="0.35">
      <c r="A56">
        <v>1.05</v>
      </c>
      <c r="B56">
        <v>0.55689999999999995</v>
      </c>
      <c r="C56">
        <v>5.1500000000000001E-3</v>
      </c>
      <c r="D56">
        <v>1.1900000000000001E-3</v>
      </c>
      <c r="E56">
        <v>-7.4399999999999994E-2</v>
      </c>
      <c r="F56">
        <v>0.01</v>
      </c>
      <c r="G56">
        <v>0.05</v>
      </c>
      <c r="H56">
        <v>-1.3989</v>
      </c>
      <c r="I56">
        <v>0</v>
      </c>
      <c r="J56">
        <v>0</v>
      </c>
      <c r="K56">
        <v>0</v>
      </c>
      <c r="L56">
        <v>0.38279999999999997</v>
      </c>
    </row>
    <row r="57" spans="1:12" x14ac:dyDescent="0.35">
      <c r="A57">
        <v>1.1000000000000001</v>
      </c>
      <c r="B57">
        <v>0.56850000000000001</v>
      </c>
      <c r="C57">
        <v>5.1700000000000001E-3</v>
      </c>
      <c r="D57">
        <v>1.2099999999999999E-3</v>
      </c>
      <c r="E57">
        <v>-7.4300000000000005E-2</v>
      </c>
      <c r="F57">
        <v>9.1999999999999998E-3</v>
      </c>
      <c r="G57">
        <v>0.05</v>
      </c>
      <c r="H57">
        <v>-1.4812000000000001</v>
      </c>
      <c r="I57">
        <v>0</v>
      </c>
      <c r="J57">
        <v>0</v>
      </c>
      <c r="K57">
        <v>0</v>
      </c>
      <c r="L57">
        <v>0.37980000000000003</v>
      </c>
    </row>
    <row r="58" spans="1:12" x14ac:dyDescent="0.35">
      <c r="A58">
        <v>1.1499999999999999</v>
      </c>
      <c r="B58">
        <v>0.58009999999999995</v>
      </c>
      <c r="C58">
        <v>5.1900000000000002E-3</v>
      </c>
      <c r="D58">
        <v>1.23E-3</v>
      </c>
      <c r="E58">
        <v>-7.4099999999999999E-2</v>
      </c>
      <c r="F58">
        <v>8.6E-3</v>
      </c>
      <c r="G58">
        <v>0.05</v>
      </c>
      <c r="H58">
        <v>-1.5676000000000001</v>
      </c>
      <c r="I58">
        <v>0</v>
      </c>
      <c r="J58">
        <v>0</v>
      </c>
      <c r="K58">
        <v>0</v>
      </c>
      <c r="L58">
        <v>0.37690000000000001</v>
      </c>
    </row>
    <row r="59" spans="1:12" x14ac:dyDescent="0.35">
      <c r="A59">
        <v>1.2</v>
      </c>
      <c r="B59">
        <v>0.59179999999999999</v>
      </c>
      <c r="C59">
        <v>5.1999999999999998E-3</v>
      </c>
      <c r="D59">
        <v>1.25E-3</v>
      </c>
      <c r="E59">
        <v>-7.3899999999999993E-2</v>
      </c>
      <c r="F59">
        <v>8.0000000000000002E-3</v>
      </c>
      <c r="G59">
        <v>0.05</v>
      </c>
      <c r="H59">
        <v>-1.6583000000000001</v>
      </c>
      <c r="I59">
        <v>0</v>
      </c>
      <c r="J59">
        <v>0</v>
      </c>
      <c r="K59">
        <v>0</v>
      </c>
      <c r="L59">
        <v>0.37409999999999999</v>
      </c>
    </row>
    <row r="60" spans="1:12" x14ac:dyDescent="0.35">
      <c r="A60">
        <v>1.25</v>
      </c>
      <c r="B60">
        <v>0.60360000000000003</v>
      </c>
      <c r="C60">
        <v>5.2199999999999998E-3</v>
      </c>
      <c r="D60">
        <v>1.2800000000000001E-3</v>
      </c>
      <c r="E60">
        <v>-7.3800000000000004E-2</v>
      </c>
      <c r="F60">
        <v>7.4000000000000003E-3</v>
      </c>
      <c r="G60">
        <v>0.05</v>
      </c>
      <c r="H60">
        <v>-1.7765</v>
      </c>
      <c r="I60">
        <v>0</v>
      </c>
      <c r="J60">
        <v>0</v>
      </c>
      <c r="K60">
        <v>0</v>
      </c>
      <c r="L60">
        <v>0.37130000000000002</v>
      </c>
    </row>
    <row r="61" spans="1:12" x14ac:dyDescent="0.35">
      <c r="A61">
        <v>1.3</v>
      </c>
      <c r="B61">
        <v>0.61539999999999995</v>
      </c>
      <c r="C61">
        <v>5.2500000000000003E-3</v>
      </c>
      <c r="D61">
        <v>1.2899999999999999E-3</v>
      </c>
      <c r="E61">
        <v>-7.3499999999999996E-2</v>
      </c>
      <c r="F61">
        <v>7.0000000000000001E-3</v>
      </c>
      <c r="G61">
        <v>3.6999999999999998E-2</v>
      </c>
      <c r="H61">
        <v>-1.9018999999999999</v>
      </c>
      <c r="I61">
        <v>0</v>
      </c>
      <c r="J61">
        <v>0</v>
      </c>
      <c r="K61">
        <v>0</v>
      </c>
      <c r="L61">
        <v>0.36859999999999998</v>
      </c>
    </row>
    <row r="62" spans="1:12" x14ac:dyDescent="0.35">
      <c r="A62">
        <v>1.35</v>
      </c>
      <c r="B62">
        <v>0.62729999999999997</v>
      </c>
      <c r="C62">
        <v>5.2500000000000003E-3</v>
      </c>
      <c r="D62">
        <v>1.32E-3</v>
      </c>
      <c r="E62">
        <v>-7.3300000000000004E-2</v>
      </c>
      <c r="F62">
        <v>6.8999999999999999E-3</v>
      </c>
      <c r="G62">
        <v>0.05</v>
      </c>
      <c r="H62">
        <v>-2.0356999999999998</v>
      </c>
      <c r="I62">
        <v>0</v>
      </c>
      <c r="J62">
        <v>0</v>
      </c>
      <c r="K62">
        <v>0</v>
      </c>
      <c r="L62">
        <v>0.36599999999999999</v>
      </c>
    </row>
    <row r="63" spans="1:12" x14ac:dyDescent="0.35">
      <c r="A63">
        <v>1.4</v>
      </c>
      <c r="B63">
        <v>0.63929999999999998</v>
      </c>
      <c r="C63">
        <v>5.2700000000000004E-3</v>
      </c>
      <c r="D63">
        <v>1.3500000000000001E-3</v>
      </c>
      <c r="E63">
        <v>-7.3099999999999998E-2</v>
      </c>
      <c r="F63">
        <v>6.8999999999999999E-3</v>
      </c>
      <c r="G63">
        <v>0.05</v>
      </c>
      <c r="H63">
        <v>-2.1789999999999998</v>
      </c>
      <c r="I63">
        <v>0</v>
      </c>
      <c r="J63">
        <v>0</v>
      </c>
      <c r="K63">
        <v>0</v>
      </c>
      <c r="L63">
        <v>0.3634</v>
      </c>
    </row>
    <row r="64" spans="1:12" x14ac:dyDescent="0.35">
      <c r="A64">
        <v>1.45</v>
      </c>
      <c r="B64">
        <v>0.65139999999999998</v>
      </c>
      <c r="C64">
        <v>5.28E-3</v>
      </c>
      <c r="D64">
        <v>1.3799999999999999E-3</v>
      </c>
      <c r="E64">
        <v>-7.2800000000000004E-2</v>
      </c>
      <c r="F64">
        <v>6.7999999999999996E-3</v>
      </c>
      <c r="G64">
        <v>0.05</v>
      </c>
      <c r="H64">
        <v>-2.3319999999999999</v>
      </c>
      <c r="I64">
        <v>0</v>
      </c>
      <c r="J64">
        <v>0</v>
      </c>
      <c r="K64">
        <v>0</v>
      </c>
      <c r="L64">
        <v>0.36080000000000001</v>
      </c>
    </row>
    <row r="65" spans="1:12" x14ac:dyDescent="0.35">
      <c r="A65">
        <v>1.5</v>
      </c>
      <c r="B65">
        <v>0.66369999999999996</v>
      </c>
      <c r="C65">
        <v>5.3E-3</v>
      </c>
      <c r="D65">
        <v>1.41E-3</v>
      </c>
      <c r="E65">
        <v>-7.2499999999999995E-2</v>
      </c>
      <c r="F65">
        <v>6.7999999999999996E-3</v>
      </c>
      <c r="G65">
        <v>0.05</v>
      </c>
      <c r="H65">
        <v>-2.4967000000000001</v>
      </c>
      <c r="I65">
        <v>0</v>
      </c>
      <c r="J65">
        <v>0</v>
      </c>
      <c r="K65">
        <v>0</v>
      </c>
      <c r="L65">
        <v>0.35830000000000001</v>
      </c>
    </row>
    <row r="66" spans="1:12" x14ac:dyDescent="0.35">
      <c r="A66">
        <v>1.55</v>
      </c>
      <c r="B66">
        <v>0.67600000000000005</v>
      </c>
      <c r="C66">
        <v>5.3200000000000001E-3</v>
      </c>
      <c r="D66">
        <v>1.4400000000000001E-3</v>
      </c>
      <c r="E66">
        <v>-7.22E-2</v>
      </c>
      <c r="F66">
        <v>6.7000000000000002E-3</v>
      </c>
      <c r="G66">
        <v>0.05</v>
      </c>
      <c r="H66">
        <v>-2.677</v>
      </c>
      <c r="I66">
        <v>0</v>
      </c>
      <c r="J66">
        <v>0</v>
      </c>
      <c r="K66">
        <v>0</v>
      </c>
      <c r="L66">
        <v>0.35580000000000001</v>
      </c>
    </row>
    <row r="67" spans="1:12" x14ac:dyDescent="0.35">
      <c r="A67">
        <v>1.6</v>
      </c>
      <c r="B67">
        <v>0.6885</v>
      </c>
      <c r="C67">
        <v>5.3499999999999997E-3</v>
      </c>
      <c r="D67">
        <v>1.48E-3</v>
      </c>
      <c r="E67">
        <v>-7.1800000000000003E-2</v>
      </c>
      <c r="F67">
        <v>6.7000000000000002E-3</v>
      </c>
      <c r="G67">
        <v>0.05</v>
      </c>
      <c r="H67">
        <v>-2.8824000000000001</v>
      </c>
      <c r="I67">
        <v>0</v>
      </c>
      <c r="J67">
        <v>0</v>
      </c>
      <c r="K67">
        <v>0</v>
      </c>
      <c r="L67">
        <v>0.35320000000000001</v>
      </c>
    </row>
    <row r="68" spans="1:12" x14ac:dyDescent="0.35">
      <c r="A68">
        <v>1.65</v>
      </c>
      <c r="B68">
        <v>0.70109999999999995</v>
      </c>
      <c r="C68">
        <v>5.3899999999999998E-3</v>
      </c>
      <c r="D68">
        <v>1.5499999999999999E-3</v>
      </c>
      <c r="E68">
        <v>-7.1199999999999999E-2</v>
      </c>
      <c r="F68">
        <v>6.7000000000000002E-3</v>
      </c>
      <c r="G68">
        <v>0.05</v>
      </c>
      <c r="H68">
        <v>-3.1728999999999998</v>
      </c>
      <c r="I68">
        <v>0</v>
      </c>
      <c r="J68">
        <v>0</v>
      </c>
      <c r="K68">
        <v>0</v>
      </c>
      <c r="L68">
        <v>0.35049999999999998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32D69-A443-4797-A472-7A2309B471BB}">
  <sheetPr codeName="Sheet24"/>
  <dimension ref="A1:L67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-1.65</v>
      </c>
      <c r="B2">
        <v>-5.5500000000000001E-2</v>
      </c>
      <c r="C2">
        <v>6.28E-3</v>
      </c>
      <c r="D2">
        <v>2.47E-3</v>
      </c>
      <c r="E2">
        <v>-7.8E-2</v>
      </c>
      <c r="F2">
        <v>0.05</v>
      </c>
      <c r="G2">
        <v>4.7000000000000002E-3</v>
      </c>
      <c r="H2">
        <v>-3.1492</v>
      </c>
      <c r="I2">
        <v>0</v>
      </c>
      <c r="J2">
        <v>0</v>
      </c>
      <c r="K2">
        <v>0</v>
      </c>
      <c r="L2">
        <v>-1.1623000000000001</v>
      </c>
    </row>
    <row r="3" spans="1:12" x14ac:dyDescent="0.35">
      <c r="A3">
        <v>-1.6</v>
      </c>
      <c r="B3">
        <v>-4.4900000000000002E-2</v>
      </c>
      <c r="C3">
        <v>5.94E-3</v>
      </c>
      <c r="D3">
        <v>2.0799999999999998E-3</v>
      </c>
      <c r="E3">
        <v>-7.7700000000000005E-2</v>
      </c>
      <c r="F3">
        <v>0.05</v>
      </c>
      <c r="G3">
        <v>4.8999999999999998E-3</v>
      </c>
      <c r="H3">
        <v>-3.1524000000000001</v>
      </c>
      <c r="I3">
        <v>0</v>
      </c>
      <c r="J3">
        <v>0</v>
      </c>
      <c r="K3">
        <v>0</v>
      </c>
      <c r="L3">
        <v>-1.4895</v>
      </c>
    </row>
    <row r="4" spans="1:12" x14ac:dyDescent="0.35">
      <c r="A4">
        <v>-1.55</v>
      </c>
      <c r="B4">
        <v>-3.3700000000000001E-2</v>
      </c>
      <c r="C4">
        <v>5.6800000000000002E-3</v>
      </c>
      <c r="D4">
        <v>1.7600000000000001E-3</v>
      </c>
      <c r="E4">
        <v>-7.7399999999999997E-2</v>
      </c>
      <c r="F4">
        <v>0.05</v>
      </c>
      <c r="G4">
        <v>5.3E-3</v>
      </c>
      <c r="H4">
        <v>-3.11</v>
      </c>
      <c r="I4">
        <v>0</v>
      </c>
      <c r="J4">
        <v>0</v>
      </c>
      <c r="K4">
        <v>0</v>
      </c>
      <c r="L4">
        <v>-2.0543999999999998</v>
      </c>
    </row>
    <row r="5" spans="1:12" x14ac:dyDescent="0.35">
      <c r="A5">
        <v>-1.5</v>
      </c>
      <c r="B5">
        <v>-2.1999999999999999E-2</v>
      </c>
      <c r="C5">
        <v>5.4799999999999996E-3</v>
      </c>
      <c r="D5">
        <v>1.5100000000000001E-3</v>
      </c>
      <c r="E5">
        <v>-7.7100000000000002E-2</v>
      </c>
      <c r="F5">
        <v>0.05</v>
      </c>
      <c r="G5">
        <v>6.1000000000000004E-3</v>
      </c>
      <c r="H5">
        <v>-2.9979</v>
      </c>
      <c r="I5">
        <v>0</v>
      </c>
      <c r="J5">
        <v>0</v>
      </c>
      <c r="K5">
        <v>0</v>
      </c>
      <c r="L5">
        <v>-3.2610000000000001</v>
      </c>
    </row>
    <row r="6" spans="1:12" x14ac:dyDescent="0.35">
      <c r="A6">
        <v>-1.45</v>
      </c>
      <c r="B6">
        <v>-0.01</v>
      </c>
      <c r="C6">
        <v>5.3600000000000002E-3</v>
      </c>
      <c r="D6">
        <v>1.3500000000000001E-3</v>
      </c>
      <c r="E6">
        <v>-7.6799999999999993E-2</v>
      </c>
      <c r="F6">
        <v>0.05</v>
      </c>
      <c r="G6">
        <v>7.1999999999999998E-3</v>
      </c>
      <c r="H6">
        <v>-2.8132999999999999</v>
      </c>
      <c r="I6">
        <v>0</v>
      </c>
      <c r="J6">
        <v>0</v>
      </c>
      <c r="K6">
        <v>0</v>
      </c>
      <c r="L6">
        <v>-7.4714999999999998</v>
      </c>
    </row>
    <row r="7" spans="1:12" x14ac:dyDescent="0.35">
      <c r="A7">
        <v>-1.4</v>
      </c>
      <c r="B7">
        <v>2.0999999999999999E-3</v>
      </c>
      <c r="C7">
        <v>5.28E-3</v>
      </c>
      <c r="D7">
        <v>1.24E-3</v>
      </c>
      <c r="E7">
        <v>-7.6499999999999999E-2</v>
      </c>
      <c r="F7">
        <v>0.05</v>
      </c>
      <c r="G7">
        <v>7.9000000000000008E-3</v>
      </c>
      <c r="H7">
        <v>-2.6166999999999998</v>
      </c>
      <c r="I7">
        <v>0</v>
      </c>
      <c r="J7">
        <v>0</v>
      </c>
      <c r="K7">
        <v>0</v>
      </c>
      <c r="L7">
        <v>36.547499999999999</v>
      </c>
    </row>
    <row r="8" spans="1:12" x14ac:dyDescent="0.35">
      <c r="A8">
        <v>-1.35</v>
      </c>
      <c r="B8">
        <v>1.4200000000000001E-2</v>
      </c>
      <c r="C8">
        <v>5.2300000000000003E-3</v>
      </c>
      <c r="D8">
        <v>1.17E-3</v>
      </c>
      <c r="E8">
        <v>-7.6300000000000007E-2</v>
      </c>
      <c r="F8">
        <v>0.05</v>
      </c>
      <c r="G8">
        <v>8.3000000000000001E-3</v>
      </c>
      <c r="H8">
        <v>-2.4958</v>
      </c>
      <c r="I8">
        <v>0</v>
      </c>
      <c r="J8">
        <v>0</v>
      </c>
      <c r="K8">
        <v>0</v>
      </c>
      <c r="L8">
        <v>5.6577000000000002</v>
      </c>
    </row>
    <row r="9" spans="1:12" x14ac:dyDescent="0.35">
      <c r="A9">
        <v>-1.3</v>
      </c>
      <c r="B9">
        <v>2.6100000000000002E-2</v>
      </c>
      <c r="C9">
        <v>5.1900000000000002E-3</v>
      </c>
      <c r="D9">
        <v>1.1000000000000001E-3</v>
      </c>
      <c r="E9">
        <v>-7.6100000000000001E-2</v>
      </c>
      <c r="F9">
        <v>0.05</v>
      </c>
      <c r="G9">
        <v>8.3999999999999995E-3</v>
      </c>
      <c r="H9">
        <v>-2.3908</v>
      </c>
      <c r="I9">
        <v>0</v>
      </c>
      <c r="J9">
        <v>0</v>
      </c>
      <c r="K9">
        <v>0</v>
      </c>
      <c r="L9">
        <v>3.1728999999999998</v>
      </c>
    </row>
    <row r="10" spans="1:12" x14ac:dyDescent="0.35">
      <c r="A10">
        <v>-1.25</v>
      </c>
      <c r="B10">
        <v>3.7999999999999999E-2</v>
      </c>
      <c r="C10">
        <v>5.1599999999999997E-3</v>
      </c>
      <c r="D10">
        <v>1.0499999999999999E-3</v>
      </c>
      <c r="E10">
        <v>-7.5899999999999995E-2</v>
      </c>
      <c r="F10">
        <v>0.05</v>
      </c>
      <c r="G10">
        <v>8.6E-3</v>
      </c>
      <c r="H10">
        <v>-2.2747999999999999</v>
      </c>
      <c r="I10">
        <v>0</v>
      </c>
      <c r="J10">
        <v>0</v>
      </c>
      <c r="K10">
        <v>0</v>
      </c>
      <c r="L10">
        <v>2.2521</v>
      </c>
    </row>
    <row r="11" spans="1:12" x14ac:dyDescent="0.35">
      <c r="A11">
        <v>-1.2</v>
      </c>
      <c r="B11">
        <v>4.9799999999999997E-2</v>
      </c>
      <c r="C11">
        <v>5.1500000000000001E-3</v>
      </c>
      <c r="D11">
        <v>1.0200000000000001E-3</v>
      </c>
      <c r="E11">
        <v>-7.5700000000000003E-2</v>
      </c>
      <c r="F11">
        <v>0.05</v>
      </c>
      <c r="G11">
        <v>8.8000000000000005E-3</v>
      </c>
      <c r="H11">
        <v>-2.1556000000000002</v>
      </c>
      <c r="I11">
        <v>0</v>
      </c>
      <c r="J11">
        <v>0</v>
      </c>
      <c r="K11">
        <v>0</v>
      </c>
      <c r="L11">
        <v>1.7730999999999999</v>
      </c>
    </row>
    <row r="12" spans="1:12" x14ac:dyDescent="0.35">
      <c r="A12">
        <v>-1.1499999999999999</v>
      </c>
      <c r="B12">
        <v>6.1600000000000002E-2</v>
      </c>
      <c r="C12">
        <v>5.13E-3</v>
      </c>
      <c r="D12">
        <v>1E-3</v>
      </c>
      <c r="E12">
        <v>-7.5499999999999998E-2</v>
      </c>
      <c r="F12">
        <v>0.05</v>
      </c>
      <c r="G12">
        <v>8.8999999999999999E-3</v>
      </c>
      <c r="H12">
        <v>-2.0373000000000001</v>
      </c>
      <c r="I12">
        <v>0</v>
      </c>
      <c r="J12">
        <v>0</v>
      </c>
      <c r="K12">
        <v>0</v>
      </c>
      <c r="L12">
        <v>1.4797</v>
      </c>
    </row>
    <row r="13" spans="1:12" x14ac:dyDescent="0.35">
      <c r="A13">
        <v>-1.1000000000000001</v>
      </c>
      <c r="B13">
        <v>7.3300000000000004E-2</v>
      </c>
      <c r="C13">
        <v>5.1200000000000004E-3</v>
      </c>
      <c r="D13">
        <v>9.7999999999999997E-4</v>
      </c>
      <c r="E13">
        <v>-7.5399999999999995E-2</v>
      </c>
      <c r="F13">
        <v>0.05</v>
      </c>
      <c r="G13">
        <v>8.9999999999999993E-3</v>
      </c>
      <c r="H13">
        <v>-1.9219999999999999</v>
      </c>
      <c r="I13">
        <v>0</v>
      </c>
      <c r="J13">
        <v>0</v>
      </c>
      <c r="K13">
        <v>0</v>
      </c>
      <c r="L13">
        <v>1.2817000000000001</v>
      </c>
    </row>
    <row r="14" spans="1:12" x14ac:dyDescent="0.35">
      <c r="A14">
        <v>-1.05</v>
      </c>
      <c r="B14">
        <v>8.4900000000000003E-2</v>
      </c>
      <c r="C14">
        <v>5.1200000000000004E-3</v>
      </c>
      <c r="D14">
        <v>9.7000000000000005E-4</v>
      </c>
      <c r="E14">
        <v>-7.5300000000000006E-2</v>
      </c>
      <c r="F14">
        <v>0.05</v>
      </c>
      <c r="G14">
        <v>9.1000000000000004E-3</v>
      </c>
      <c r="H14">
        <v>-1.8105</v>
      </c>
      <c r="I14">
        <v>0</v>
      </c>
      <c r="J14">
        <v>0</v>
      </c>
      <c r="K14">
        <v>0</v>
      </c>
      <c r="L14">
        <v>1.1391</v>
      </c>
    </row>
    <row r="15" spans="1:12" x14ac:dyDescent="0.35">
      <c r="A15">
        <v>-1</v>
      </c>
      <c r="B15">
        <v>9.64E-2</v>
      </c>
      <c r="C15">
        <v>5.11E-3</v>
      </c>
      <c r="D15">
        <v>9.5E-4</v>
      </c>
      <c r="E15">
        <v>-7.5200000000000003E-2</v>
      </c>
      <c r="F15">
        <v>0.05</v>
      </c>
      <c r="G15">
        <v>9.1999999999999998E-3</v>
      </c>
      <c r="H15">
        <v>-1.7032</v>
      </c>
      <c r="I15">
        <v>0</v>
      </c>
      <c r="J15">
        <v>0</v>
      </c>
      <c r="K15">
        <v>0</v>
      </c>
      <c r="L15">
        <v>1.0314000000000001</v>
      </c>
    </row>
    <row r="16" spans="1:12" x14ac:dyDescent="0.35">
      <c r="A16">
        <v>-0.95</v>
      </c>
      <c r="B16">
        <v>0.1079</v>
      </c>
      <c r="C16">
        <v>5.11E-3</v>
      </c>
      <c r="D16">
        <v>9.3999999999999997E-4</v>
      </c>
      <c r="E16">
        <v>-7.51E-2</v>
      </c>
      <c r="F16">
        <v>0.05</v>
      </c>
      <c r="G16">
        <v>9.2999999999999992E-3</v>
      </c>
      <c r="H16">
        <v>-1.6</v>
      </c>
      <c r="I16">
        <v>0</v>
      </c>
      <c r="J16">
        <v>0</v>
      </c>
      <c r="K16">
        <v>0</v>
      </c>
      <c r="L16">
        <v>0.94730000000000003</v>
      </c>
    </row>
    <row r="17" spans="1:12" x14ac:dyDescent="0.35">
      <c r="A17">
        <v>-0.9</v>
      </c>
      <c r="B17">
        <v>0.1193</v>
      </c>
      <c r="C17">
        <v>5.1000000000000004E-3</v>
      </c>
      <c r="D17">
        <v>9.3000000000000005E-4</v>
      </c>
      <c r="E17">
        <v>-7.4999999999999997E-2</v>
      </c>
      <c r="F17">
        <v>0.05</v>
      </c>
      <c r="G17">
        <v>9.4000000000000004E-3</v>
      </c>
      <c r="H17">
        <v>-1.5007999999999999</v>
      </c>
      <c r="I17">
        <v>0</v>
      </c>
      <c r="J17">
        <v>0</v>
      </c>
      <c r="K17">
        <v>0</v>
      </c>
      <c r="L17">
        <v>0.87980000000000003</v>
      </c>
    </row>
    <row r="18" spans="1:12" x14ac:dyDescent="0.35">
      <c r="A18">
        <v>-0.85</v>
      </c>
      <c r="B18">
        <v>0.13070000000000001</v>
      </c>
      <c r="C18">
        <v>5.1000000000000004E-3</v>
      </c>
      <c r="D18">
        <v>9.3000000000000005E-4</v>
      </c>
      <c r="E18">
        <v>-7.4999999999999997E-2</v>
      </c>
      <c r="F18">
        <v>0.05</v>
      </c>
      <c r="G18">
        <v>9.4000000000000004E-3</v>
      </c>
      <c r="H18">
        <v>-1.4055</v>
      </c>
      <c r="I18">
        <v>0</v>
      </c>
      <c r="J18">
        <v>0</v>
      </c>
      <c r="K18">
        <v>0</v>
      </c>
      <c r="L18">
        <v>0.82430000000000003</v>
      </c>
    </row>
    <row r="19" spans="1:12" x14ac:dyDescent="0.35">
      <c r="A19">
        <v>-0.8</v>
      </c>
      <c r="B19">
        <v>0.1421</v>
      </c>
      <c r="C19">
        <v>5.1000000000000004E-3</v>
      </c>
      <c r="D19">
        <v>9.2000000000000003E-4</v>
      </c>
      <c r="E19">
        <v>-7.4899999999999994E-2</v>
      </c>
      <c r="F19">
        <v>0.05</v>
      </c>
      <c r="G19">
        <v>9.4999999999999998E-3</v>
      </c>
      <c r="H19">
        <v>-1.3139000000000001</v>
      </c>
      <c r="I19">
        <v>0</v>
      </c>
      <c r="J19">
        <v>0</v>
      </c>
      <c r="K19">
        <v>0</v>
      </c>
      <c r="L19">
        <v>0.77800000000000002</v>
      </c>
    </row>
    <row r="20" spans="1:12" x14ac:dyDescent="0.35">
      <c r="A20">
        <v>-0.75</v>
      </c>
      <c r="B20">
        <v>0.15340000000000001</v>
      </c>
      <c r="C20">
        <v>5.0899999999999999E-3</v>
      </c>
      <c r="D20">
        <v>9.2000000000000003E-4</v>
      </c>
      <c r="E20">
        <v>-7.4899999999999994E-2</v>
      </c>
      <c r="F20">
        <v>0.05</v>
      </c>
      <c r="G20">
        <v>9.5999999999999992E-3</v>
      </c>
      <c r="H20">
        <v>-1.226</v>
      </c>
      <c r="I20">
        <v>0</v>
      </c>
      <c r="J20">
        <v>0</v>
      </c>
      <c r="K20">
        <v>0</v>
      </c>
      <c r="L20">
        <v>0.73880000000000001</v>
      </c>
    </row>
    <row r="21" spans="1:12" x14ac:dyDescent="0.35">
      <c r="A21">
        <v>-0.7</v>
      </c>
      <c r="B21">
        <v>0.1646</v>
      </c>
      <c r="C21">
        <v>5.0899999999999999E-3</v>
      </c>
      <c r="D21">
        <v>9.1E-4</v>
      </c>
      <c r="E21">
        <v>-7.4800000000000005E-2</v>
      </c>
      <c r="F21">
        <v>0.05</v>
      </c>
      <c r="G21">
        <v>9.5999999999999992E-3</v>
      </c>
      <c r="H21">
        <v>-1.1414</v>
      </c>
      <c r="I21">
        <v>0</v>
      </c>
      <c r="J21">
        <v>0</v>
      </c>
      <c r="K21">
        <v>0</v>
      </c>
      <c r="L21">
        <v>0.70509999999999995</v>
      </c>
    </row>
    <row r="22" spans="1:12" x14ac:dyDescent="0.35">
      <c r="A22">
        <v>-0.65</v>
      </c>
      <c r="B22">
        <v>0.1759</v>
      </c>
      <c r="C22">
        <v>5.0899999999999999E-3</v>
      </c>
      <c r="D22">
        <v>9.1E-4</v>
      </c>
      <c r="E22">
        <v>-7.4800000000000005E-2</v>
      </c>
      <c r="F22">
        <v>0.05</v>
      </c>
      <c r="G22">
        <v>9.7000000000000003E-3</v>
      </c>
      <c r="H22">
        <v>-1.0601</v>
      </c>
      <c r="I22">
        <v>0</v>
      </c>
      <c r="J22">
        <v>0</v>
      </c>
      <c r="K22">
        <v>0</v>
      </c>
      <c r="L22">
        <v>0.67579999999999996</v>
      </c>
    </row>
    <row r="23" spans="1:12" x14ac:dyDescent="0.35">
      <c r="A23">
        <v>-0.6</v>
      </c>
      <c r="B23">
        <v>0.18709999999999999</v>
      </c>
      <c r="C23">
        <v>5.0899999999999999E-3</v>
      </c>
      <c r="D23">
        <v>9.1E-4</v>
      </c>
      <c r="E23">
        <v>-7.4800000000000005E-2</v>
      </c>
      <c r="F23">
        <v>0.05</v>
      </c>
      <c r="G23">
        <v>9.7000000000000003E-3</v>
      </c>
      <c r="H23">
        <v>-0.98199999999999998</v>
      </c>
      <c r="I23">
        <v>0</v>
      </c>
      <c r="J23">
        <v>0</v>
      </c>
      <c r="K23">
        <v>0</v>
      </c>
      <c r="L23">
        <v>0.65010000000000001</v>
      </c>
    </row>
    <row r="24" spans="1:12" x14ac:dyDescent="0.35">
      <c r="A24">
        <v>-0.55000000000000004</v>
      </c>
      <c r="B24">
        <v>0.1983</v>
      </c>
      <c r="C24">
        <v>5.0899999999999999E-3</v>
      </c>
      <c r="D24">
        <v>9.1E-4</v>
      </c>
      <c r="E24">
        <v>-7.4800000000000005E-2</v>
      </c>
      <c r="F24">
        <v>0.05</v>
      </c>
      <c r="G24">
        <v>9.7999999999999997E-3</v>
      </c>
      <c r="H24">
        <v>-0.90849999999999997</v>
      </c>
      <c r="I24">
        <v>0</v>
      </c>
      <c r="J24">
        <v>0</v>
      </c>
      <c r="K24">
        <v>0</v>
      </c>
      <c r="L24">
        <v>0.62739999999999996</v>
      </c>
    </row>
    <row r="25" spans="1:12" x14ac:dyDescent="0.35">
      <c r="A25">
        <v>-0.5</v>
      </c>
      <c r="B25">
        <v>0.2094</v>
      </c>
      <c r="C25">
        <v>5.0899999999999999E-3</v>
      </c>
      <c r="D25">
        <v>9.1E-4</v>
      </c>
      <c r="E25">
        <v>-7.4800000000000005E-2</v>
      </c>
      <c r="F25">
        <v>0.05</v>
      </c>
      <c r="G25">
        <v>9.7999999999999997E-3</v>
      </c>
      <c r="H25">
        <v>-0.83560000000000001</v>
      </c>
      <c r="I25">
        <v>0</v>
      </c>
      <c r="J25">
        <v>0</v>
      </c>
      <c r="K25">
        <v>0</v>
      </c>
      <c r="L25">
        <v>0.60719999999999996</v>
      </c>
    </row>
    <row r="26" spans="1:12" x14ac:dyDescent="0.35">
      <c r="A26">
        <v>-0.45</v>
      </c>
      <c r="B26">
        <v>0.2205</v>
      </c>
      <c r="C26">
        <v>5.0899999999999999E-3</v>
      </c>
      <c r="D26">
        <v>9.1E-4</v>
      </c>
      <c r="E26">
        <v>-7.4800000000000005E-2</v>
      </c>
      <c r="F26">
        <v>0.05</v>
      </c>
      <c r="G26">
        <v>9.9000000000000008E-3</v>
      </c>
      <c r="H26">
        <v>-0.76529999999999998</v>
      </c>
      <c r="I26">
        <v>0</v>
      </c>
      <c r="J26">
        <v>0</v>
      </c>
      <c r="K26">
        <v>0</v>
      </c>
      <c r="L26">
        <v>0.58909999999999996</v>
      </c>
    </row>
    <row r="27" spans="1:12" x14ac:dyDescent="0.35">
      <c r="A27">
        <v>-0.4</v>
      </c>
      <c r="B27">
        <v>0.23169999999999999</v>
      </c>
      <c r="C27">
        <v>5.0899999999999999E-3</v>
      </c>
      <c r="D27">
        <v>9.1E-4</v>
      </c>
      <c r="E27">
        <v>-7.4800000000000005E-2</v>
      </c>
      <c r="F27">
        <v>0.05</v>
      </c>
      <c r="G27">
        <v>9.9000000000000008E-3</v>
      </c>
      <c r="H27">
        <v>-0.69750000000000001</v>
      </c>
      <c r="I27">
        <v>0</v>
      </c>
      <c r="J27">
        <v>0</v>
      </c>
      <c r="K27">
        <v>0</v>
      </c>
      <c r="L27">
        <v>0.57279999999999998</v>
      </c>
    </row>
    <row r="28" spans="1:12" x14ac:dyDescent="0.35">
      <c r="A28">
        <v>-0.35</v>
      </c>
      <c r="B28">
        <v>0.24279999999999999</v>
      </c>
      <c r="C28">
        <v>5.0899999999999999E-3</v>
      </c>
      <c r="D28">
        <v>9.1E-4</v>
      </c>
      <c r="E28">
        <v>-7.4800000000000005E-2</v>
      </c>
      <c r="F28">
        <v>0.05</v>
      </c>
      <c r="G28">
        <v>0.01</v>
      </c>
      <c r="H28">
        <v>-0.63219999999999998</v>
      </c>
      <c r="I28">
        <v>0</v>
      </c>
      <c r="J28">
        <v>0</v>
      </c>
      <c r="K28">
        <v>0</v>
      </c>
      <c r="L28">
        <v>0.55800000000000005</v>
      </c>
    </row>
    <row r="29" spans="1:12" x14ac:dyDescent="0.35">
      <c r="A29">
        <v>-0.3</v>
      </c>
      <c r="B29">
        <v>0.25390000000000001</v>
      </c>
      <c r="C29">
        <v>5.0899999999999999E-3</v>
      </c>
      <c r="D29">
        <v>9.1E-4</v>
      </c>
      <c r="E29">
        <v>-7.4800000000000005E-2</v>
      </c>
      <c r="F29">
        <v>0.05</v>
      </c>
      <c r="G29">
        <v>0.01</v>
      </c>
      <c r="H29">
        <v>-0.56910000000000005</v>
      </c>
      <c r="I29">
        <v>0</v>
      </c>
      <c r="J29">
        <v>0</v>
      </c>
      <c r="K29">
        <v>0</v>
      </c>
      <c r="L29">
        <v>0.54459999999999997</v>
      </c>
    </row>
    <row r="30" spans="1:12" x14ac:dyDescent="0.35">
      <c r="A30">
        <v>-0.25</v>
      </c>
      <c r="B30">
        <v>0.26490000000000002</v>
      </c>
      <c r="C30">
        <v>5.1000000000000004E-3</v>
      </c>
      <c r="D30">
        <v>9.1E-4</v>
      </c>
      <c r="E30">
        <v>-7.4800000000000005E-2</v>
      </c>
      <c r="F30">
        <v>0.05</v>
      </c>
      <c r="G30">
        <v>1.01E-2</v>
      </c>
      <c r="H30">
        <v>-0.51339999999999997</v>
      </c>
      <c r="I30">
        <v>0</v>
      </c>
      <c r="J30">
        <v>0</v>
      </c>
      <c r="K30">
        <v>0</v>
      </c>
      <c r="L30">
        <v>0.5323</v>
      </c>
    </row>
    <row r="31" spans="1:12" x14ac:dyDescent="0.35">
      <c r="A31">
        <v>-0.2</v>
      </c>
      <c r="B31">
        <v>0.27600000000000002</v>
      </c>
      <c r="C31">
        <v>5.1000000000000004E-3</v>
      </c>
      <c r="D31">
        <v>9.2000000000000003E-4</v>
      </c>
      <c r="E31">
        <v>-7.4800000000000005E-2</v>
      </c>
      <c r="F31">
        <v>0.05</v>
      </c>
      <c r="G31">
        <v>1.04E-2</v>
      </c>
      <c r="H31">
        <v>-0.51829999999999998</v>
      </c>
      <c r="I31">
        <v>0</v>
      </c>
      <c r="J31">
        <v>0</v>
      </c>
      <c r="K31">
        <v>0</v>
      </c>
      <c r="L31">
        <v>0.52090000000000003</v>
      </c>
    </row>
    <row r="32" spans="1:12" x14ac:dyDescent="0.35">
      <c r="A32">
        <v>-0.15</v>
      </c>
      <c r="B32">
        <v>0.28710000000000002</v>
      </c>
      <c r="C32">
        <v>5.1000000000000004E-3</v>
      </c>
      <c r="D32">
        <v>9.2000000000000003E-4</v>
      </c>
      <c r="E32">
        <v>-7.4800000000000005E-2</v>
      </c>
      <c r="F32">
        <v>0.05</v>
      </c>
      <c r="G32">
        <v>1.0999999999999999E-2</v>
      </c>
      <c r="H32">
        <v>-0.52329999999999999</v>
      </c>
      <c r="I32">
        <v>0</v>
      </c>
      <c r="J32">
        <v>0</v>
      </c>
      <c r="K32">
        <v>0</v>
      </c>
      <c r="L32">
        <v>0.51049999999999995</v>
      </c>
    </row>
    <row r="33" spans="1:12" x14ac:dyDescent="0.35">
      <c r="A33">
        <v>-0.1</v>
      </c>
      <c r="B33">
        <v>0.29770000000000002</v>
      </c>
      <c r="C33">
        <v>5.13E-3</v>
      </c>
      <c r="D33">
        <v>9.3000000000000005E-4</v>
      </c>
      <c r="E33">
        <v>-7.4800000000000005E-2</v>
      </c>
      <c r="F33">
        <v>3.7999999999999999E-2</v>
      </c>
      <c r="G33">
        <v>1.17E-2</v>
      </c>
      <c r="H33">
        <v>-0.52810000000000001</v>
      </c>
      <c r="I33">
        <v>0</v>
      </c>
      <c r="J33">
        <v>0</v>
      </c>
      <c r="K33">
        <v>0</v>
      </c>
      <c r="L33">
        <v>0.50090000000000001</v>
      </c>
    </row>
    <row r="34" spans="1:12" x14ac:dyDescent="0.35">
      <c r="A34">
        <v>-0.05</v>
      </c>
      <c r="B34">
        <v>0.30869999999999997</v>
      </c>
      <c r="C34">
        <v>5.1399999999999996E-3</v>
      </c>
      <c r="D34">
        <v>9.3999999999999997E-4</v>
      </c>
      <c r="E34">
        <v>-7.4800000000000005E-2</v>
      </c>
      <c r="F34">
        <v>3.2899999999999999E-2</v>
      </c>
      <c r="G34">
        <v>1.2500000000000001E-2</v>
      </c>
      <c r="H34">
        <v>-0.53310000000000002</v>
      </c>
      <c r="I34">
        <v>0</v>
      </c>
      <c r="J34">
        <v>0</v>
      </c>
      <c r="K34">
        <v>0</v>
      </c>
      <c r="L34">
        <v>0.49199999999999999</v>
      </c>
    </row>
    <row r="35" spans="1:12" x14ac:dyDescent="0.35">
      <c r="A35">
        <v>0</v>
      </c>
      <c r="B35">
        <v>0.3196</v>
      </c>
      <c r="C35">
        <v>5.1500000000000001E-3</v>
      </c>
      <c r="D35">
        <v>9.3999999999999997E-4</v>
      </c>
      <c r="E35">
        <v>-7.4800000000000005E-2</v>
      </c>
      <c r="F35">
        <v>3.1399999999999997E-2</v>
      </c>
      <c r="G35">
        <v>1.3299999999999999E-2</v>
      </c>
      <c r="H35">
        <v>-0.53820000000000001</v>
      </c>
      <c r="I35">
        <v>0</v>
      </c>
      <c r="J35">
        <v>0</v>
      </c>
      <c r="K35">
        <v>0</v>
      </c>
      <c r="L35">
        <v>0.48359999999999997</v>
      </c>
    </row>
    <row r="36" spans="1:12" x14ac:dyDescent="0.35">
      <c r="A36">
        <v>0.05</v>
      </c>
      <c r="B36">
        <v>0.3306</v>
      </c>
      <c r="C36">
        <v>5.1599999999999997E-3</v>
      </c>
      <c r="D36">
        <v>9.5E-4</v>
      </c>
      <c r="E36">
        <v>-7.4700000000000003E-2</v>
      </c>
      <c r="F36">
        <v>2.9399999999999999E-2</v>
      </c>
      <c r="G36">
        <v>1.43E-2</v>
      </c>
      <c r="H36">
        <v>-0.54330000000000001</v>
      </c>
      <c r="I36">
        <v>0</v>
      </c>
      <c r="J36">
        <v>0</v>
      </c>
      <c r="K36">
        <v>0</v>
      </c>
      <c r="L36">
        <v>0.4758</v>
      </c>
    </row>
    <row r="37" spans="1:12" x14ac:dyDescent="0.35">
      <c r="A37">
        <v>0.1</v>
      </c>
      <c r="B37">
        <v>0.34150000000000003</v>
      </c>
      <c r="C37">
        <v>5.1700000000000001E-3</v>
      </c>
      <c r="D37">
        <v>9.6000000000000002E-4</v>
      </c>
      <c r="E37">
        <v>-7.4700000000000003E-2</v>
      </c>
      <c r="F37">
        <v>2.6200000000000001E-2</v>
      </c>
      <c r="G37">
        <v>1.5299999999999999E-2</v>
      </c>
      <c r="H37">
        <v>-0.54849999999999999</v>
      </c>
      <c r="I37">
        <v>0</v>
      </c>
      <c r="J37">
        <v>0</v>
      </c>
      <c r="K37">
        <v>0</v>
      </c>
      <c r="L37">
        <v>0.46850000000000003</v>
      </c>
    </row>
    <row r="38" spans="1:12" x14ac:dyDescent="0.35">
      <c r="A38">
        <v>0.15</v>
      </c>
      <c r="B38">
        <v>0.35260000000000002</v>
      </c>
      <c r="C38">
        <v>5.1700000000000001E-3</v>
      </c>
      <c r="D38">
        <v>9.7000000000000005E-4</v>
      </c>
      <c r="E38">
        <v>-7.4800000000000005E-2</v>
      </c>
      <c r="F38">
        <v>2.3800000000000002E-2</v>
      </c>
      <c r="G38">
        <v>1.6400000000000001E-2</v>
      </c>
      <c r="H38">
        <v>-0.55379999999999996</v>
      </c>
      <c r="I38">
        <v>0</v>
      </c>
      <c r="J38">
        <v>0</v>
      </c>
      <c r="K38">
        <v>0</v>
      </c>
      <c r="L38">
        <v>0.4617</v>
      </c>
    </row>
    <row r="39" spans="1:12" x14ac:dyDescent="0.35">
      <c r="A39">
        <v>0.2</v>
      </c>
      <c r="B39">
        <v>0.36359999999999998</v>
      </c>
      <c r="C39">
        <v>5.1799999999999997E-3</v>
      </c>
      <c r="D39">
        <v>9.7999999999999997E-4</v>
      </c>
      <c r="E39">
        <v>-7.4800000000000005E-2</v>
      </c>
      <c r="F39">
        <v>2.3400000000000001E-2</v>
      </c>
      <c r="G39">
        <v>1.7600000000000001E-2</v>
      </c>
      <c r="H39">
        <v>-0.55910000000000004</v>
      </c>
      <c r="I39">
        <v>0</v>
      </c>
      <c r="J39">
        <v>0</v>
      </c>
      <c r="K39">
        <v>0</v>
      </c>
      <c r="L39">
        <v>0.45519999999999999</v>
      </c>
    </row>
    <row r="40" spans="1:12" x14ac:dyDescent="0.35">
      <c r="A40">
        <v>0.25</v>
      </c>
      <c r="B40">
        <v>0.37469999999999998</v>
      </c>
      <c r="C40">
        <v>5.1799999999999997E-3</v>
      </c>
      <c r="D40">
        <v>9.8999999999999999E-4</v>
      </c>
      <c r="E40">
        <v>-7.4800000000000005E-2</v>
      </c>
      <c r="F40">
        <v>2.3300000000000001E-2</v>
      </c>
      <c r="G40">
        <v>1.8499999999999999E-2</v>
      </c>
      <c r="H40">
        <v>-0.5645</v>
      </c>
      <c r="I40">
        <v>0</v>
      </c>
      <c r="J40">
        <v>0</v>
      </c>
      <c r="K40">
        <v>0</v>
      </c>
      <c r="L40">
        <v>0.4491</v>
      </c>
    </row>
    <row r="41" spans="1:12" x14ac:dyDescent="0.35">
      <c r="A41">
        <v>0.3</v>
      </c>
      <c r="B41">
        <v>0.38579999999999998</v>
      </c>
      <c r="C41">
        <v>5.1900000000000002E-3</v>
      </c>
      <c r="D41">
        <v>1E-3</v>
      </c>
      <c r="E41">
        <v>-7.4800000000000005E-2</v>
      </c>
      <c r="F41">
        <v>2.3300000000000001E-2</v>
      </c>
      <c r="G41">
        <v>0.02</v>
      </c>
      <c r="H41">
        <v>-0.56989999999999996</v>
      </c>
      <c r="I41">
        <v>0</v>
      </c>
      <c r="J41">
        <v>0</v>
      </c>
      <c r="K41">
        <v>0</v>
      </c>
      <c r="L41">
        <v>0.44340000000000002</v>
      </c>
    </row>
    <row r="42" spans="1:12" x14ac:dyDescent="0.35">
      <c r="A42">
        <v>0.35</v>
      </c>
      <c r="B42">
        <v>0.39689999999999998</v>
      </c>
      <c r="C42">
        <v>5.1900000000000002E-3</v>
      </c>
      <c r="D42">
        <v>1.01E-3</v>
      </c>
      <c r="E42">
        <v>-7.4800000000000005E-2</v>
      </c>
      <c r="F42">
        <v>2.3199999999999998E-2</v>
      </c>
      <c r="G42">
        <v>2.3300000000000001E-2</v>
      </c>
      <c r="H42">
        <v>-0.57540000000000002</v>
      </c>
      <c r="I42">
        <v>0</v>
      </c>
      <c r="J42">
        <v>0</v>
      </c>
      <c r="K42">
        <v>0</v>
      </c>
      <c r="L42">
        <v>0.43790000000000001</v>
      </c>
    </row>
    <row r="43" spans="1:12" x14ac:dyDescent="0.35">
      <c r="A43">
        <v>0.4</v>
      </c>
      <c r="B43">
        <v>0.40799999999999997</v>
      </c>
      <c r="C43">
        <v>5.1999999999999998E-3</v>
      </c>
      <c r="D43">
        <v>1.0200000000000001E-3</v>
      </c>
      <c r="E43">
        <v>-7.4800000000000005E-2</v>
      </c>
      <c r="F43">
        <v>2.3099999999999999E-2</v>
      </c>
      <c r="G43">
        <v>2.6599999999999999E-2</v>
      </c>
      <c r="H43">
        <v>-0.58089999999999997</v>
      </c>
      <c r="I43">
        <v>0</v>
      </c>
      <c r="J43">
        <v>0</v>
      </c>
      <c r="K43">
        <v>0</v>
      </c>
      <c r="L43">
        <v>0.43280000000000002</v>
      </c>
    </row>
    <row r="44" spans="1:12" x14ac:dyDescent="0.35">
      <c r="A44">
        <v>0.45</v>
      </c>
      <c r="B44">
        <v>0.41909999999999997</v>
      </c>
      <c r="C44">
        <v>5.1999999999999998E-3</v>
      </c>
      <c r="D44">
        <v>1.0300000000000001E-3</v>
      </c>
      <c r="E44">
        <v>-7.4700000000000003E-2</v>
      </c>
      <c r="F44">
        <v>2.29E-2</v>
      </c>
      <c r="G44">
        <v>2.8400000000000002E-2</v>
      </c>
      <c r="H44">
        <v>-0.60650000000000004</v>
      </c>
      <c r="I44">
        <v>0</v>
      </c>
      <c r="J44">
        <v>0</v>
      </c>
      <c r="K44">
        <v>0</v>
      </c>
      <c r="L44">
        <v>0.4279</v>
      </c>
    </row>
    <row r="45" spans="1:12" x14ac:dyDescent="0.35">
      <c r="A45">
        <v>0.5</v>
      </c>
      <c r="B45">
        <v>0.43030000000000002</v>
      </c>
      <c r="C45">
        <v>5.2100000000000002E-3</v>
      </c>
      <c r="D45">
        <v>1.0399999999999999E-3</v>
      </c>
      <c r="E45">
        <v>-7.4700000000000003E-2</v>
      </c>
      <c r="F45">
        <v>2.2800000000000001E-2</v>
      </c>
      <c r="G45">
        <v>2.8799999999999999E-2</v>
      </c>
      <c r="H45">
        <v>-0.66100000000000003</v>
      </c>
      <c r="I45">
        <v>0</v>
      </c>
      <c r="J45">
        <v>0</v>
      </c>
      <c r="K45">
        <v>0</v>
      </c>
      <c r="L45">
        <v>0.42320000000000002</v>
      </c>
    </row>
    <row r="46" spans="1:12" x14ac:dyDescent="0.35">
      <c r="A46">
        <v>0.55000000000000004</v>
      </c>
      <c r="B46">
        <v>0.44130000000000003</v>
      </c>
      <c r="C46">
        <v>5.2300000000000003E-3</v>
      </c>
      <c r="D46">
        <v>1.06E-3</v>
      </c>
      <c r="E46">
        <v>-7.4700000000000003E-2</v>
      </c>
      <c r="F46">
        <v>2.0500000000000001E-2</v>
      </c>
      <c r="G46">
        <v>2.9000000000000001E-2</v>
      </c>
      <c r="H46">
        <v>-0.71640000000000004</v>
      </c>
      <c r="I46">
        <v>0</v>
      </c>
      <c r="J46">
        <v>0</v>
      </c>
      <c r="K46">
        <v>0</v>
      </c>
      <c r="L46">
        <v>0.41870000000000002</v>
      </c>
    </row>
    <row r="47" spans="1:12" x14ac:dyDescent="0.35">
      <c r="A47">
        <v>0.6</v>
      </c>
      <c r="B47">
        <v>0.45219999999999999</v>
      </c>
      <c r="C47">
        <v>5.2500000000000003E-3</v>
      </c>
      <c r="D47">
        <v>1.08E-3</v>
      </c>
      <c r="E47">
        <v>-7.46E-2</v>
      </c>
      <c r="F47">
        <v>1.7100000000000001E-2</v>
      </c>
      <c r="G47">
        <v>2.93E-2</v>
      </c>
      <c r="H47">
        <v>-0.77280000000000004</v>
      </c>
      <c r="I47">
        <v>0</v>
      </c>
      <c r="J47">
        <v>0</v>
      </c>
      <c r="K47">
        <v>0</v>
      </c>
      <c r="L47">
        <v>0.41439999999999999</v>
      </c>
    </row>
    <row r="48" spans="1:12" x14ac:dyDescent="0.35">
      <c r="A48">
        <v>0.65</v>
      </c>
      <c r="B48">
        <v>0.46339999999999998</v>
      </c>
      <c r="C48">
        <v>5.2599999999999999E-3</v>
      </c>
      <c r="D48">
        <v>1.09E-3</v>
      </c>
      <c r="E48">
        <v>-7.46E-2</v>
      </c>
      <c r="F48">
        <v>1.55E-2</v>
      </c>
      <c r="G48">
        <v>3.6799999999999999E-2</v>
      </c>
      <c r="H48">
        <v>-0.83209999999999995</v>
      </c>
      <c r="I48">
        <v>0</v>
      </c>
      <c r="J48">
        <v>0</v>
      </c>
      <c r="K48">
        <v>0</v>
      </c>
      <c r="L48">
        <v>0.4103</v>
      </c>
    </row>
    <row r="49" spans="1:12" x14ac:dyDescent="0.35">
      <c r="A49">
        <v>0.7</v>
      </c>
      <c r="B49">
        <v>0.47470000000000001</v>
      </c>
      <c r="C49">
        <v>5.2500000000000003E-3</v>
      </c>
      <c r="D49">
        <v>1.1100000000000001E-3</v>
      </c>
      <c r="E49">
        <v>-7.4499999999999997E-2</v>
      </c>
      <c r="F49">
        <v>1.41E-2</v>
      </c>
      <c r="G49">
        <v>0.05</v>
      </c>
      <c r="H49">
        <v>-0.89319999999999999</v>
      </c>
      <c r="I49">
        <v>0</v>
      </c>
      <c r="J49">
        <v>0</v>
      </c>
      <c r="K49">
        <v>0</v>
      </c>
      <c r="L49">
        <v>0.40639999999999998</v>
      </c>
    </row>
    <row r="50" spans="1:12" x14ac:dyDescent="0.35">
      <c r="A50">
        <v>0.75</v>
      </c>
      <c r="B50">
        <v>0.48599999999999999</v>
      </c>
      <c r="C50">
        <v>5.2599999999999999E-3</v>
      </c>
      <c r="D50">
        <v>1.1199999999999999E-3</v>
      </c>
      <c r="E50">
        <v>-7.4499999999999997E-2</v>
      </c>
      <c r="F50">
        <v>1.37E-2</v>
      </c>
      <c r="G50">
        <v>0.05</v>
      </c>
      <c r="H50">
        <v>-0.95699999999999996</v>
      </c>
      <c r="I50">
        <v>0</v>
      </c>
      <c r="J50">
        <v>0</v>
      </c>
      <c r="K50">
        <v>0</v>
      </c>
      <c r="L50">
        <v>0.40260000000000001</v>
      </c>
    </row>
    <row r="51" spans="1:12" x14ac:dyDescent="0.35">
      <c r="A51">
        <v>0.8</v>
      </c>
      <c r="B51">
        <v>0.49719999999999998</v>
      </c>
      <c r="C51">
        <v>5.2700000000000004E-3</v>
      </c>
      <c r="D51">
        <v>1.14E-3</v>
      </c>
      <c r="E51">
        <v>-7.4399999999999994E-2</v>
      </c>
      <c r="F51">
        <v>1.3599999999999999E-2</v>
      </c>
      <c r="G51">
        <v>0.05</v>
      </c>
      <c r="H51">
        <v>-1.0229999999999999</v>
      </c>
      <c r="I51">
        <v>0</v>
      </c>
      <c r="J51">
        <v>0</v>
      </c>
      <c r="K51">
        <v>0</v>
      </c>
      <c r="L51">
        <v>0.39900000000000002</v>
      </c>
    </row>
    <row r="52" spans="1:12" x14ac:dyDescent="0.35">
      <c r="A52">
        <v>0.85</v>
      </c>
      <c r="B52">
        <v>0.50860000000000005</v>
      </c>
      <c r="C52">
        <v>5.2900000000000004E-3</v>
      </c>
      <c r="D52">
        <v>1.16E-3</v>
      </c>
      <c r="E52">
        <v>-7.4300000000000005E-2</v>
      </c>
      <c r="F52">
        <v>1.34E-2</v>
      </c>
      <c r="G52">
        <v>0.05</v>
      </c>
      <c r="H52">
        <v>-1.0912999999999999</v>
      </c>
      <c r="I52">
        <v>0</v>
      </c>
      <c r="J52">
        <v>0</v>
      </c>
      <c r="K52">
        <v>0</v>
      </c>
      <c r="L52">
        <v>0.39550000000000002</v>
      </c>
    </row>
    <row r="53" spans="1:12" x14ac:dyDescent="0.35">
      <c r="A53">
        <v>0.9</v>
      </c>
      <c r="B53">
        <v>0.51990000000000003</v>
      </c>
      <c r="C53">
        <v>5.3E-3</v>
      </c>
      <c r="D53">
        <v>1.1800000000000001E-3</v>
      </c>
      <c r="E53">
        <v>-7.4300000000000005E-2</v>
      </c>
      <c r="F53">
        <v>1.32E-2</v>
      </c>
      <c r="G53">
        <v>0.05</v>
      </c>
      <c r="H53">
        <v>-1.1620999999999999</v>
      </c>
      <c r="I53">
        <v>0</v>
      </c>
      <c r="J53">
        <v>0</v>
      </c>
      <c r="K53">
        <v>0</v>
      </c>
      <c r="L53">
        <v>0.3921</v>
      </c>
    </row>
    <row r="54" spans="1:12" x14ac:dyDescent="0.35">
      <c r="A54">
        <v>0.95</v>
      </c>
      <c r="B54">
        <v>0.53129999999999999</v>
      </c>
      <c r="C54">
        <v>5.3200000000000001E-3</v>
      </c>
      <c r="D54">
        <v>1.1900000000000001E-3</v>
      </c>
      <c r="E54">
        <v>-7.4200000000000002E-2</v>
      </c>
      <c r="F54">
        <v>1.29E-2</v>
      </c>
      <c r="G54">
        <v>0.05</v>
      </c>
      <c r="H54">
        <v>-1.2356</v>
      </c>
      <c r="I54">
        <v>0</v>
      </c>
      <c r="J54">
        <v>0</v>
      </c>
      <c r="K54">
        <v>0</v>
      </c>
      <c r="L54">
        <v>0.38879999999999998</v>
      </c>
    </row>
    <row r="55" spans="1:12" x14ac:dyDescent="0.35">
      <c r="A55">
        <v>1</v>
      </c>
      <c r="B55">
        <v>0.54269999999999996</v>
      </c>
      <c r="C55">
        <v>5.3400000000000001E-3</v>
      </c>
      <c r="D55">
        <v>1.2199999999999999E-3</v>
      </c>
      <c r="E55">
        <v>-7.3999999999999996E-2</v>
      </c>
      <c r="F55">
        <v>1.2200000000000001E-2</v>
      </c>
      <c r="G55">
        <v>0.05</v>
      </c>
      <c r="H55">
        <v>-1.3118000000000001</v>
      </c>
      <c r="I55">
        <v>0</v>
      </c>
      <c r="J55">
        <v>0</v>
      </c>
      <c r="K55">
        <v>0</v>
      </c>
      <c r="L55">
        <v>0.38569999999999999</v>
      </c>
    </row>
    <row r="56" spans="1:12" x14ac:dyDescent="0.35">
      <c r="A56">
        <v>1.05</v>
      </c>
      <c r="B56">
        <v>0.55410000000000004</v>
      </c>
      <c r="C56">
        <v>5.3600000000000002E-3</v>
      </c>
      <c r="D56">
        <v>1.24E-3</v>
      </c>
      <c r="E56">
        <v>-7.3899999999999993E-2</v>
      </c>
      <c r="F56">
        <v>1.1299999999999999E-2</v>
      </c>
      <c r="G56">
        <v>0.05</v>
      </c>
      <c r="H56">
        <v>-1.3905000000000001</v>
      </c>
      <c r="I56">
        <v>0</v>
      </c>
      <c r="J56">
        <v>0</v>
      </c>
      <c r="K56">
        <v>0</v>
      </c>
      <c r="L56">
        <v>0.3826</v>
      </c>
    </row>
    <row r="57" spans="1:12" x14ac:dyDescent="0.35">
      <c r="A57">
        <v>1.1000000000000001</v>
      </c>
      <c r="B57">
        <v>0.5655</v>
      </c>
      <c r="C57">
        <v>5.3800000000000002E-3</v>
      </c>
      <c r="D57">
        <v>1.2700000000000001E-3</v>
      </c>
      <c r="E57">
        <v>-7.3700000000000002E-2</v>
      </c>
      <c r="F57">
        <v>1.04E-2</v>
      </c>
      <c r="G57">
        <v>0.05</v>
      </c>
      <c r="H57">
        <v>-1.4723999999999999</v>
      </c>
      <c r="I57">
        <v>0</v>
      </c>
      <c r="J57">
        <v>0</v>
      </c>
      <c r="K57">
        <v>0</v>
      </c>
      <c r="L57">
        <v>0.37959999999999999</v>
      </c>
    </row>
    <row r="58" spans="1:12" x14ac:dyDescent="0.35">
      <c r="A58">
        <v>1.1499999999999999</v>
      </c>
      <c r="B58">
        <v>0.57699999999999996</v>
      </c>
      <c r="C58">
        <v>5.4000000000000003E-3</v>
      </c>
      <c r="D58">
        <v>1.2899999999999999E-3</v>
      </c>
      <c r="E58">
        <v>-7.3599999999999999E-2</v>
      </c>
      <c r="F58">
        <v>9.7000000000000003E-3</v>
      </c>
      <c r="G58">
        <v>0.05</v>
      </c>
      <c r="H58">
        <v>-1.5580000000000001</v>
      </c>
      <c r="I58">
        <v>0</v>
      </c>
      <c r="J58">
        <v>0</v>
      </c>
      <c r="K58">
        <v>0</v>
      </c>
      <c r="L58">
        <v>0.37669999999999998</v>
      </c>
    </row>
    <row r="59" spans="1:12" x14ac:dyDescent="0.35">
      <c r="A59">
        <v>1.2</v>
      </c>
      <c r="B59">
        <v>0.58860000000000001</v>
      </c>
      <c r="C59">
        <v>5.4200000000000003E-3</v>
      </c>
      <c r="D59">
        <v>1.31E-3</v>
      </c>
      <c r="E59">
        <v>-7.3400000000000007E-2</v>
      </c>
      <c r="F59">
        <v>8.9999999999999993E-3</v>
      </c>
      <c r="G59">
        <v>0.05</v>
      </c>
      <c r="H59">
        <v>-1.6479999999999999</v>
      </c>
      <c r="I59">
        <v>0</v>
      </c>
      <c r="J59">
        <v>0</v>
      </c>
      <c r="K59">
        <v>0</v>
      </c>
      <c r="L59">
        <v>0.37390000000000001</v>
      </c>
    </row>
    <row r="60" spans="1:12" x14ac:dyDescent="0.35">
      <c r="A60">
        <v>1.25</v>
      </c>
      <c r="B60">
        <v>0.60029999999999994</v>
      </c>
      <c r="C60">
        <v>5.4299999999999999E-3</v>
      </c>
      <c r="D60">
        <v>1.34E-3</v>
      </c>
      <c r="E60">
        <v>-7.3200000000000001E-2</v>
      </c>
      <c r="F60">
        <v>8.3999999999999995E-3</v>
      </c>
      <c r="G60">
        <v>0.05</v>
      </c>
      <c r="H60">
        <v>-1.7546999999999999</v>
      </c>
      <c r="I60">
        <v>0</v>
      </c>
      <c r="J60">
        <v>0</v>
      </c>
      <c r="K60">
        <v>0</v>
      </c>
      <c r="L60">
        <v>0.37109999999999999</v>
      </c>
    </row>
    <row r="61" spans="1:12" x14ac:dyDescent="0.35">
      <c r="A61">
        <v>1.3</v>
      </c>
      <c r="B61">
        <v>0.61209999999999998</v>
      </c>
      <c r="C61">
        <v>5.45E-3</v>
      </c>
      <c r="D61">
        <v>1.3600000000000001E-3</v>
      </c>
      <c r="E61">
        <v>-7.2999999999999995E-2</v>
      </c>
      <c r="F61">
        <v>7.7000000000000002E-3</v>
      </c>
      <c r="G61">
        <v>0.05</v>
      </c>
      <c r="H61">
        <v>-1.8773</v>
      </c>
      <c r="I61">
        <v>0</v>
      </c>
      <c r="J61">
        <v>0</v>
      </c>
      <c r="K61">
        <v>0</v>
      </c>
      <c r="L61">
        <v>0.36840000000000001</v>
      </c>
    </row>
    <row r="62" spans="1:12" x14ac:dyDescent="0.35">
      <c r="A62">
        <v>1.35</v>
      </c>
      <c r="B62">
        <v>0.624</v>
      </c>
      <c r="C62">
        <v>5.47E-3</v>
      </c>
      <c r="D62">
        <v>1.39E-3</v>
      </c>
      <c r="E62">
        <v>-7.2800000000000004E-2</v>
      </c>
      <c r="F62">
        <v>7.3000000000000001E-3</v>
      </c>
      <c r="G62">
        <v>0.05</v>
      </c>
      <c r="H62">
        <v>-2.0099</v>
      </c>
      <c r="I62">
        <v>0</v>
      </c>
      <c r="J62">
        <v>0</v>
      </c>
      <c r="K62">
        <v>0</v>
      </c>
      <c r="L62">
        <v>0.36570000000000003</v>
      </c>
    </row>
    <row r="63" spans="1:12" x14ac:dyDescent="0.35">
      <c r="A63">
        <v>1.4</v>
      </c>
      <c r="B63">
        <v>0.63590000000000002</v>
      </c>
      <c r="C63">
        <v>5.4900000000000001E-3</v>
      </c>
      <c r="D63">
        <v>1.42E-3</v>
      </c>
      <c r="E63">
        <v>-7.2599999999999998E-2</v>
      </c>
      <c r="F63">
        <v>7.0000000000000001E-3</v>
      </c>
      <c r="G63">
        <v>0.05</v>
      </c>
      <c r="H63">
        <v>-2.1505999999999998</v>
      </c>
      <c r="I63">
        <v>0</v>
      </c>
      <c r="J63">
        <v>0</v>
      </c>
      <c r="K63">
        <v>0</v>
      </c>
      <c r="L63">
        <v>0.36309999999999998</v>
      </c>
    </row>
    <row r="64" spans="1:12" x14ac:dyDescent="0.35">
      <c r="A64">
        <v>1.45</v>
      </c>
      <c r="B64">
        <v>0.64800000000000002</v>
      </c>
      <c r="C64">
        <v>5.4999999999999997E-3</v>
      </c>
      <c r="D64">
        <v>1.4499999999999999E-3</v>
      </c>
      <c r="E64">
        <v>-7.2300000000000003E-2</v>
      </c>
      <c r="F64">
        <v>7.0000000000000001E-3</v>
      </c>
      <c r="G64">
        <v>0.05</v>
      </c>
      <c r="H64">
        <v>-2.3008999999999999</v>
      </c>
      <c r="I64">
        <v>0</v>
      </c>
      <c r="J64">
        <v>0</v>
      </c>
      <c r="K64">
        <v>0</v>
      </c>
      <c r="L64">
        <v>0.36059999999999998</v>
      </c>
    </row>
    <row r="65" spans="1:12" x14ac:dyDescent="0.35">
      <c r="A65">
        <v>1.5</v>
      </c>
      <c r="B65">
        <v>0.66010000000000002</v>
      </c>
      <c r="C65">
        <v>5.5199999999999997E-3</v>
      </c>
      <c r="D65">
        <v>1.48E-3</v>
      </c>
      <c r="E65">
        <v>-7.1999999999999995E-2</v>
      </c>
      <c r="F65">
        <v>6.8999999999999999E-3</v>
      </c>
      <c r="G65">
        <v>0.05</v>
      </c>
      <c r="H65">
        <v>-2.4621</v>
      </c>
      <c r="I65">
        <v>0</v>
      </c>
      <c r="J65">
        <v>0</v>
      </c>
      <c r="K65">
        <v>0</v>
      </c>
      <c r="L65">
        <v>0.35799999999999998</v>
      </c>
    </row>
    <row r="66" spans="1:12" x14ac:dyDescent="0.35">
      <c r="A66">
        <v>1.55</v>
      </c>
      <c r="B66">
        <v>0.6724</v>
      </c>
      <c r="C66">
        <v>5.5500000000000002E-3</v>
      </c>
      <c r="D66">
        <v>1.5100000000000001E-3</v>
      </c>
      <c r="E66">
        <v>-7.1599999999999997E-2</v>
      </c>
      <c r="F66">
        <v>6.8999999999999999E-3</v>
      </c>
      <c r="G66">
        <v>0.05</v>
      </c>
      <c r="H66">
        <v>-2.6373000000000002</v>
      </c>
      <c r="I66">
        <v>0</v>
      </c>
      <c r="J66">
        <v>0</v>
      </c>
      <c r="K66">
        <v>0</v>
      </c>
      <c r="L66">
        <v>0.35549999999999998</v>
      </c>
    </row>
    <row r="67" spans="1:12" x14ac:dyDescent="0.35">
      <c r="A67">
        <v>1.6</v>
      </c>
      <c r="B67">
        <v>0.68479999999999996</v>
      </c>
      <c r="C67">
        <v>5.5700000000000003E-3</v>
      </c>
      <c r="D67">
        <v>1.56E-3</v>
      </c>
      <c r="E67">
        <v>-7.1199999999999999E-2</v>
      </c>
      <c r="F67">
        <v>6.8999999999999999E-3</v>
      </c>
      <c r="G67">
        <v>0.05</v>
      </c>
      <c r="H67">
        <v>-2.8332000000000002</v>
      </c>
      <c r="I67">
        <v>0</v>
      </c>
      <c r="J67">
        <v>0</v>
      </c>
      <c r="K67">
        <v>0</v>
      </c>
      <c r="L67">
        <v>0.35289999999999999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54B95-A1ED-479F-8B7D-B388F166AA34}">
  <sheetPr codeName="Sheet25"/>
  <dimension ref="A1:L77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-1.65</v>
      </c>
      <c r="B2">
        <v>-5.7000000000000002E-2</v>
      </c>
      <c r="C2">
        <v>6.7099999999999998E-3</v>
      </c>
      <c r="D2">
        <v>2.7100000000000002E-3</v>
      </c>
      <c r="E2">
        <v>-7.7600000000000002E-2</v>
      </c>
      <c r="F2">
        <v>0.05</v>
      </c>
      <c r="G2">
        <v>4.8999999999999998E-3</v>
      </c>
      <c r="H2">
        <v>-3.0587</v>
      </c>
      <c r="I2">
        <v>0</v>
      </c>
      <c r="J2">
        <v>0</v>
      </c>
      <c r="K2">
        <v>0</v>
      </c>
      <c r="L2">
        <v>-1.1162000000000001</v>
      </c>
    </row>
    <row r="3" spans="1:12" x14ac:dyDescent="0.35">
      <c r="A3">
        <v>-1.6</v>
      </c>
      <c r="B3">
        <v>-4.65E-2</v>
      </c>
      <c r="C3">
        <v>6.3699999999999998E-3</v>
      </c>
      <c r="D3">
        <v>2.31E-3</v>
      </c>
      <c r="E3">
        <v>-7.7200000000000005E-2</v>
      </c>
      <c r="F3">
        <v>0.05</v>
      </c>
      <c r="G3">
        <v>5.0000000000000001E-3</v>
      </c>
      <c r="H3">
        <v>-3.0653000000000001</v>
      </c>
      <c r="I3">
        <v>0</v>
      </c>
      <c r="J3">
        <v>0</v>
      </c>
      <c r="K3">
        <v>0</v>
      </c>
      <c r="L3">
        <v>-1.4169</v>
      </c>
    </row>
    <row r="4" spans="1:12" x14ac:dyDescent="0.35">
      <c r="A4">
        <v>-1.55</v>
      </c>
      <c r="B4">
        <v>-3.5499999999999997E-2</v>
      </c>
      <c r="C4">
        <v>6.11E-3</v>
      </c>
      <c r="D4">
        <v>1.99E-3</v>
      </c>
      <c r="E4">
        <v>-7.6899999999999996E-2</v>
      </c>
      <c r="F4">
        <v>0.05</v>
      </c>
      <c r="G4">
        <v>5.4000000000000003E-3</v>
      </c>
      <c r="H4">
        <v>-3.0291000000000001</v>
      </c>
      <c r="I4">
        <v>0</v>
      </c>
      <c r="J4">
        <v>0</v>
      </c>
      <c r="K4">
        <v>0</v>
      </c>
      <c r="L4">
        <v>-1.925</v>
      </c>
    </row>
    <row r="5" spans="1:12" x14ac:dyDescent="0.35">
      <c r="A5">
        <v>-1.5</v>
      </c>
      <c r="B5">
        <v>-2.4E-2</v>
      </c>
      <c r="C5">
        <v>5.8900000000000003E-3</v>
      </c>
      <c r="D5">
        <v>1.73E-3</v>
      </c>
      <c r="E5">
        <v>-7.6600000000000001E-2</v>
      </c>
      <c r="F5">
        <v>0.05</v>
      </c>
      <c r="G5">
        <v>6.1999999999999998E-3</v>
      </c>
      <c r="H5">
        <v>-2.9355000000000002</v>
      </c>
      <c r="I5">
        <v>0</v>
      </c>
      <c r="J5">
        <v>0</v>
      </c>
      <c r="K5">
        <v>0</v>
      </c>
      <c r="L5">
        <v>-2.952</v>
      </c>
    </row>
    <row r="6" spans="1:12" x14ac:dyDescent="0.35">
      <c r="A6">
        <v>-1.45</v>
      </c>
      <c r="B6">
        <v>-1.21E-2</v>
      </c>
      <c r="C6">
        <v>5.7499999999999999E-3</v>
      </c>
      <c r="D6">
        <v>1.5399999999999999E-3</v>
      </c>
      <c r="E6">
        <v>-7.6300000000000007E-2</v>
      </c>
      <c r="F6">
        <v>0.05</v>
      </c>
      <c r="G6">
        <v>7.1999999999999998E-3</v>
      </c>
      <c r="H6">
        <v>-2.7765</v>
      </c>
      <c r="I6">
        <v>0</v>
      </c>
      <c r="J6">
        <v>0</v>
      </c>
      <c r="K6">
        <v>0</v>
      </c>
      <c r="L6">
        <v>-6.0522</v>
      </c>
    </row>
    <row r="7" spans="1:12" x14ac:dyDescent="0.35">
      <c r="A7">
        <v>-1.4</v>
      </c>
      <c r="B7">
        <v>-2.0000000000000001E-4</v>
      </c>
      <c r="C7">
        <v>5.6600000000000001E-3</v>
      </c>
      <c r="D7">
        <v>1.42E-3</v>
      </c>
      <c r="E7">
        <v>-7.5999999999999998E-2</v>
      </c>
      <c r="F7">
        <v>0.05</v>
      </c>
      <c r="G7">
        <v>7.9000000000000008E-3</v>
      </c>
      <c r="H7">
        <v>-2.5909</v>
      </c>
      <c r="I7">
        <v>0</v>
      </c>
      <c r="J7">
        <v>0</v>
      </c>
      <c r="K7">
        <v>0</v>
      </c>
      <c r="L7">
        <v>-449.27460000000002</v>
      </c>
    </row>
    <row r="8" spans="1:12" x14ac:dyDescent="0.35">
      <c r="A8">
        <v>-1.35</v>
      </c>
      <c r="B8">
        <v>1.18E-2</v>
      </c>
      <c r="C8">
        <v>5.5999999999999999E-3</v>
      </c>
      <c r="D8">
        <v>1.33E-3</v>
      </c>
      <c r="E8">
        <v>-7.5700000000000003E-2</v>
      </c>
      <c r="F8">
        <v>0.05</v>
      </c>
      <c r="G8">
        <v>8.3999999999999995E-3</v>
      </c>
      <c r="H8">
        <v>-2.4356</v>
      </c>
      <c r="I8">
        <v>0</v>
      </c>
      <c r="J8">
        <v>0</v>
      </c>
      <c r="K8">
        <v>0</v>
      </c>
      <c r="L8">
        <v>6.6988000000000003</v>
      </c>
    </row>
    <row r="9" spans="1:12" x14ac:dyDescent="0.35">
      <c r="A9">
        <v>-1.3</v>
      </c>
      <c r="B9">
        <v>2.3599999999999999E-2</v>
      </c>
      <c r="C9">
        <v>5.5399999999999998E-3</v>
      </c>
      <c r="D9">
        <v>1.24E-3</v>
      </c>
      <c r="E9">
        <v>-7.5499999999999998E-2</v>
      </c>
      <c r="F9">
        <v>0.05</v>
      </c>
      <c r="G9">
        <v>8.5000000000000006E-3</v>
      </c>
      <c r="H9">
        <v>-2.3424</v>
      </c>
      <c r="I9">
        <v>0</v>
      </c>
      <c r="J9">
        <v>0</v>
      </c>
      <c r="K9">
        <v>0</v>
      </c>
      <c r="L9">
        <v>3.4554</v>
      </c>
    </row>
    <row r="10" spans="1:12" x14ac:dyDescent="0.35">
      <c r="A10">
        <v>-1.25</v>
      </c>
      <c r="B10">
        <v>3.5499999999999997E-2</v>
      </c>
      <c r="C10">
        <v>5.4999999999999997E-3</v>
      </c>
      <c r="D10">
        <v>1.1800000000000001E-3</v>
      </c>
      <c r="E10">
        <v>-7.5300000000000006E-2</v>
      </c>
      <c r="F10">
        <v>0.05</v>
      </c>
      <c r="G10">
        <v>8.6E-3</v>
      </c>
      <c r="H10">
        <v>-2.2425999999999999</v>
      </c>
      <c r="I10">
        <v>0</v>
      </c>
      <c r="J10">
        <v>0</v>
      </c>
      <c r="K10">
        <v>0</v>
      </c>
      <c r="L10">
        <v>2.3807999999999998</v>
      </c>
    </row>
    <row r="11" spans="1:12" x14ac:dyDescent="0.35">
      <c r="A11">
        <v>-1.2</v>
      </c>
      <c r="B11">
        <v>4.7199999999999999E-2</v>
      </c>
      <c r="C11">
        <v>5.4799999999999996E-3</v>
      </c>
      <c r="D11">
        <v>1.1299999999999999E-3</v>
      </c>
      <c r="E11">
        <v>-7.5200000000000003E-2</v>
      </c>
      <c r="F11">
        <v>0.05</v>
      </c>
      <c r="G11">
        <v>8.8000000000000005E-3</v>
      </c>
      <c r="H11">
        <v>-2.1355</v>
      </c>
      <c r="I11">
        <v>0</v>
      </c>
      <c r="J11">
        <v>0</v>
      </c>
      <c r="K11">
        <v>0</v>
      </c>
      <c r="L11">
        <v>1.8455999999999999</v>
      </c>
    </row>
    <row r="12" spans="1:12" x14ac:dyDescent="0.35">
      <c r="A12">
        <v>-1.1499999999999999</v>
      </c>
      <c r="B12">
        <v>5.8900000000000001E-2</v>
      </c>
      <c r="C12">
        <v>5.4599999999999996E-3</v>
      </c>
      <c r="D12">
        <v>1.1000000000000001E-3</v>
      </c>
      <c r="E12">
        <v>-7.4999999999999997E-2</v>
      </c>
      <c r="F12">
        <v>0.05</v>
      </c>
      <c r="G12">
        <v>8.8999999999999999E-3</v>
      </c>
      <c r="H12">
        <v>-2.0255000000000001</v>
      </c>
      <c r="I12">
        <v>0</v>
      </c>
      <c r="J12">
        <v>0</v>
      </c>
      <c r="K12">
        <v>0</v>
      </c>
      <c r="L12">
        <v>1.5256000000000001</v>
      </c>
    </row>
    <row r="13" spans="1:12" x14ac:dyDescent="0.35">
      <c r="A13">
        <v>-1.1000000000000001</v>
      </c>
      <c r="B13">
        <v>7.0599999999999996E-2</v>
      </c>
      <c r="C13">
        <v>5.4400000000000004E-3</v>
      </c>
      <c r="D13">
        <v>1.07E-3</v>
      </c>
      <c r="E13">
        <v>-7.4899999999999994E-2</v>
      </c>
      <c r="F13">
        <v>0.05</v>
      </c>
      <c r="G13">
        <v>8.9999999999999993E-3</v>
      </c>
      <c r="H13">
        <v>-1.9157</v>
      </c>
      <c r="I13">
        <v>0</v>
      </c>
      <c r="J13">
        <v>0</v>
      </c>
      <c r="K13">
        <v>0</v>
      </c>
      <c r="L13">
        <v>1.3129999999999999</v>
      </c>
    </row>
    <row r="14" spans="1:12" x14ac:dyDescent="0.35">
      <c r="A14">
        <v>-1.05</v>
      </c>
      <c r="B14">
        <v>8.2199999999999995E-2</v>
      </c>
      <c r="C14">
        <v>5.4299999999999999E-3</v>
      </c>
      <c r="D14">
        <v>1.0499999999999999E-3</v>
      </c>
      <c r="E14">
        <v>-7.4700000000000003E-2</v>
      </c>
      <c r="F14">
        <v>0.05</v>
      </c>
      <c r="G14">
        <v>9.1000000000000004E-3</v>
      </c>
      <c r="H14">
        <v>-1.8080000000000001</v>
      </c>
      <c r="I14">
        <v>0</v>
      </c>
      <c r="J14">
        <v>0</v>
      </c>
      <c r="K14">
        <v>0</v>
      </c>
      <c r="L14">
        <v>1.1616</v>
      </c>
    </row>
    <row r="15" spans="1:12" x14ac:dyDescent="0.35">
      <c r="A15">
        <v>-1</v>
      </c>
      <c r="B15">
        <v>9.3700000000000006E-2</v>
      </c>
      <c r="C15">
        <v>5.4200000000000003E-3</v>
      </c>
      <c r="D15">
        <v>1.0300000000000001E-3</v>
      </c>
      <c r="E15">
        <v>-7.46E-2</v>
      </c>
      <c r="F15">
        <v>0.05</v>
      </c>
      <c r="G15">
        <v>9.1999999999999998E-3</v>
      </c>
      <c r="H15">
        <v>-1.7032</v>
      </c>
      <c r="I15">
        <v>0</v>
      </c>
      <c r="J15">
        <v>0</v>
      </c>
      <c r="K15">
        <v>0</v>
      </c>
      <c r="L15">
        <v>1.0483</v>
      </c>
    </row>
    <row r="16" spans="1:12" x14ac:dyDescent="0.35">
      <c r="A16">
        <v>-0.95</v>
      </c>
      <c r="B16">
        <v>0.1051</v>
      </c>
      <c r="C16">
        <v>5.4200000000000003E-3</v>
      </c>
      <c r="D16">
        <v>1.0200000000000001E-3</v>
      </c>
      <c r="E16">
        <v>-7.4499999999999997E-2</v>
      </c>
      <c r="F16">
        <v>0.05</v>
      </c>
      <c r="G16">
        <v>9.2999999999999992E-3</v>
      </c>
      <c r="H16">
        <v>-1.6017999999999999</v>
      </c>
      <c r="I16">
        <v>0</v>
      </c>
      <c r="J16">
        <v>0</v>
      </c>
      <c r="K16">
        <v>0</v>
      </c>
      <c r="L16">
        <v>0.96030000000000004</v>
      </c>
    </row>
    <row r="17" spans="1:12" x14ac:dyDescent="0.35">
      <c r="A17">
        <v>-0.9</v>
      </c>
      <c r="B17">
        <v>0.11650000000000001</v>
      </c>
      <c r="C17">
        <v>5.4099999999999999E-3</v>
      </c>
      <c r="D17">
        <v>1.01E-3</v>
      </c>
      <c r="E17">
        <v>-7.4399999999999994E-2</v>
      </c>
      <c r="F17">
        <v>0.05</v>
      </c>
      <c r="G17">
        <v>9.4000000000000004E-3</v>
      </c>
      <c r="H17">
        <v>-1.504</v>
      </c>
      <c r="I17">
        <v>0</v>
      </c>
      <c r="J17">
        <v>0</v>
      </c>
      <c r="K17">
        <v>0</v>
      </c>
      <c r="L17">
        <v>0.89</v>
      </c>
    </row>
    <row r="18" spans="1:12" x14ac:dyDescent="0.35">
      <c r="A18">
        <v>-0.85</v>
      </c>
      <c r="B18">
        <v>0.12790000000000001</v>
      </c>
      <c r="C18">
        <v>5.4099999999999999E-3</v>
      </c>
      <c r="D18">
        <v>1E-3</v>
      </c>
      <c r="E18">
        <v>-7.4399999999999994E-2</v>
      </c>
      <c r="F18">
        <v>0.05</v>
      </c>
      <c r="G18">
        <v>9.4000000000000004E-3</v>
      </c>
      <c r="H18">
        <v>-1.4096</v>
      </c>
      <c r="I18">
        <v>0</v>
      </c>
      <c r="J18">
        <v>0</v>
      </c>
      <c r="K18">
        <v>0</v>
      </c>
      <c r="L18">
        <v>0.83250000000000002</v>
      </c>
    </row>
    <row r="19" spans="1:12" x14ac:dyDescent="0.35">
      <c r="A19">
        <v>-0.8</v>
      </c>
      <c r="B19">
        <v>0.13919999999999999</v>
      </c>
      <c r="C19">
        <v>5.4000000000000003E-3</v>
      </c>
      <c r="D19">
        <v>9.8999999999999999E-4</v>
      </c>
      <c r="E19">
        <v>-7.4300000000000005E-2</v>
      </c>
      <c r="F19">
        <v>0.05</v>
      </c>
      <c r="G19">
        <v>9.4999999999999998E-3</v>
      </c>
      <c r="H19">
        <v>-1.3188</v>
      </c>
      <c r="I19">
        <v>0</v>
      </c>
      <c r="J19">
        <v>0</v>
      </c>
      <c r="K19">
        <v>0</v>
      </c>
      <c r="L19">
        <v>0.78469999999999995</v>
      </c>
    </row>
    <row r="20" spans="1:12" x14ac:dyDescent="0.35">
      <c r="A20">
        <v>-0.75</v>
      </c>
      <c r="B20">
        <v>0.15049999999999999</v>
      </c>
      <c r="C20">
        <v>5.4000000000000003E-3</v>
      </c>
      <c r="D20">
        <v>9.8999999999999999E-4</v>
      </c>
      <c r="E20">
        <v>-7.4300000000000005E-2</v>
      </c>
      <c r="F20">
        <v>0.05</v>
      </c>
      <c r="G20">
        <v>9.5999999999999992E-3</v>
      </c>
      <c r="H20">
        <v>-1.2314000000000001</v>
      </c>
      <c r="I20">
        <v>0</v>
      </c>
      <c r="J20">
        <v>0</v>
      </c>
      <c r="K20">
        <v>0</v>
      </c>
      <c r="L20">
        <v>0.74419999999999997</v>
      </c>
    </row>
    <row r="21" spans="1:12" x14ac:dyDescent="0.35">
      <c r="A21">
        <v>-0.7</v>
      </c>
      <c r="B21">
        <v>0.16170000000000001</v>
      </c>
      <c r="C21">
        <v>5.4000000000000003E-3</v>
      </c>
      <c r="D21">
        <v>9.7999999999999997E-4</v>
      </c>
      <c r="E21">
        <v>-7.4200000000000002E-2</v>
      </c>
      <c r="F21">
        <v>0.05</v>
      </c>
      <c r="G21">
        <v>9.5999999999999992E-3</v>
      </c>
      <c r="H21">
        <v>-1.1472</v>
      </c>
      <c r="I21">
        <v>0</v>
      </c>
      <c r="J21">
        <v>0</v>
      </c>
      <c r="K21">
        <v>0</v>
      </c>
      <c r="L21">
        <v>0.70960000000000001</v>
      </c>
    </row>
    <row r="22" spans="1:12" x14ac:dyDescent="0.35">
      <c r="A22">
        <v>-0.65</v>
      </c>
      <c r="B22">
        <v>0.1729</v>
      </c>
      <c r="C22">
        <v>5.4000000000000003E-3</v>
      </c>
      <c r="D22">
        <v>9.7999999999999997E-4</v>
      </c>
      <c r="E22">
        <v>-7.4200000000000002E-2</v>
      </c>
      <c r="F22">
        <v>0.05</v>
      </c>
      <c r="G22">
        <v>9.7000000000000003E-3</v>
      </c>
      <c r="H22">
        <v>-1.0663</v>
      </c>
      <c r="I22">
        <v>0</v>
      </c>
      <c r="J22">
        <v>0</v>
      </c>
      <c r="K22">
        <v>0</v>
      </c>
      <c r="L22">
        <v>0.67949999999999999</v>
      </c>
    </row>
    <row r="23" spans="1:12" x14ac:dyDescent="0.35">
      <c r="A23">
        <v>-0.6</v>
      </c>
      <c r="B23">
        <v>0.18410000000000001</v>
      </c>
      <c r="C23">
        <v>5.4000000000000003E-3</v>
      </c>
      <c r="D23">
        <v>9.7999999999999997E-4</v>
      </c>
      <c r="E23">
        <v>-7.4200000000000002E-2</v>
      </c>
      <c r="F23">
        <v>0.05</v>
      </c>
      <c r="G23">
        <v>9.7000000000000003E-3</v>
      </c>
      <c r="H23">
        <v>-0.98839999999999995</v>
      </c>
      <c r="I23">
        <v>0</v>
      </c>
      <c r="J23">
        <v>0</v>
      </c>
      <c r="K23">
        <v>0</v>
      </c>
      <c r="L23">
        <v>0.65329999999999999</v>
      </c>
    </row>
    <row r="24" spans="1:12" x14ac:dyDescent="0.35">
      <c r="A24">
        <v>-0.55000000000000004</v>
      </c>
      <c r="B24">
        <v>0.19520000000000001</v>
      </c>
      <c r="C24">
        <v>5.4000000000000003E-3</v>
      </c>
      <c r="D24">
        <v>9.7000000000000005E-4</v>
      </c>
      <c r="E24">
        <v>-7.4200000000000002E-2</v>
      </c>
      <c r="F24">
        <v>0.05</v>
      </c>
      <c r="G24">
        <v>9.7999999999999997E-3</v>
      </c>
      <c r="H24">
        <v>-0.91420000000000001</v>
      </c>
      <c r="I24">
        <v>0</v>
      </c>
      <c r="J24">
        <v>0</v>
      </c>
      <c r="K24">
        <v>0</v>
      </c>
      <c r="L24">
        <v>0.63009999999999999</v>
      </c>
    </row>
    <row r="25" spans="1:12" x14ac:dyDescent="0.35">
      <c r="A25">
        <v>-0.5</v>
      </c>
      <c r="B25">
        <v>0.2064</v>
      </c>
      <c r="C25">
        <v>5.4000000000000003E-3</v>
      </c>
      <c r="D25">
        <v>9.7000000000000005E-4</v>
      </c>
      <c r="E25">
        <v>-7.4099999999999999E-2</v>
      </c>
      <c r="F25">
        <v>0.05</v>
      </c>
      <c r="G25">
        <v>9.9000000000000008E-3</v>
      </c>
      <c r="H25">
        <v>-0.8427</v>
      </c>
      <c r="I25">
        <v>0</v>
      </c>
      <c r="J25">
        <v>0</v>
      </c>
      <c r="K25">
        <v>0</v>
      </c>
      <c r="L25">
        <v>0.60950000000000004</v>
      </c>
    </row>
    <row r="26" spans="1:12" x14ac:dyDescent="0.35">
      <c r="A26">
        <v>-0.45</v>
      </c>
      <c r="B26">
        <v>0.2175</v>
      </c>
      <c r="C26">
        <v>5.4000000000000003E-3</v>
      </c>
      <c r="D26">
        <v>9.7000000000000005E-4</v>
      </c>
      <c r="E26">
        <v>-7.4099999999999999E-2</v>
      </c>
      <c r="F26">
        <v>0.05</v>
      </c>
      <c r="G26">
        <v>0.01</v>
      </c>
      <c r="H26">
        <v>-0.77249999999999996</v>
      </c>
      <c r="I26">
        <v>0</v>
      </c>
      <c r="J26">
        <v>0</v>
      </c>
      <c r="K26">
        <v>0</v>
      </c>
      <c r="L26">
        <v>0.59109999999999996</v>
      </c>
    </row>
    <row r="27" spans="1:12" x14ac:dyDescent="0.35">
      <c r="A27">
        <v>-0.4</v>
      </c>
      <c r="B27">
        <v>0.22850000000000001</v>
      </c>
      <c r="C27">
        <v>5.4000000000000003E-3</v>
      </c>
      <c r="D27">
        <v>9.7000000000000005E-4</v>
      </c>
      <c r="E27">
        <v>-7.4099999999999999E-2</v>
      </c>
      <c r="F27">
        <v>0.05</v>
      </c>
      <c r="G27">
        <v>0.01</v>
      </c>
      <c r="H27">
        <v>-0.70479999999999998</v>
      </c>
      <c r="I27">
        <v>0</v>
      </c>
      <c r="J27">
        <v>0</v>
      </c>
      <c r="K27">
        <v>0</v>
      </c>
      <c r="L27">
        <v>0.57450000000000001</v>
      </c>
    </row>
    <row r="28" spans="1:12" x14ac:dyDescent="0.35">
      <c r="A28">
        <v>-0.35</v>
      </c>
      <c r="B28">
        <v>0.23960000000000001</v>
      </c>
      <c r="C28">
        <v>5.4000000000000003E-3</v>
      </c>
      <c r="D28">
        <v>9.7000000000000005E-4</v>
      </c>
      <c r="E28">
        <v>-7.4099999999999999E-2</v>
      </c>
      <c r="F28">
        <v>0.05</v>
      </c>
      <c r="G28">
        <v>1.01E-2</v>
      </c>
      <c r="H28">
        <v>-0.63949999999999996</v>
      </c>
      <c r="I28">
        <v>0</v>
      </c>
      <c r="J28">
        <v>0</v>
      </c>
      <c r="K28">
        <v>0</v>
      </c>
      <c r="L28">
        <v>0.55940000000000001</v>
      </c>
    </row>
    <row r="29" spans="1:12" x14ac:dyDescent="0.35">
      <c r="A29">
        <v>-0.3</v>
      </c>
      <c r="B29">
        <v>0.25069999999999998</v>
      </c>
      <c r="C29">
        <v>5.4000000000000003E-3</v>
      </c>
      <c r="D29">
        <v>9.7999999999999997E-4</v>
      </c>
      <c r="E29">
        <v>-7.4099999999999999E-2</v>
      </c>
      <c r="F29">
        <v>0.05</v>
      </c>
      <c r="G29">
        <v>1.03E-2</v>
      </c>
      <c r="H29">
        <v>-0.57640000000000002</v>
      </c>
      <c r="I29">
        <v>0</v>
      </c>
      <c r="J29">
        <v>0</v>
      </c>
      <c r="K29">
        <v>0</v>
      </c>
      <c r="L29">
        <v>0.54579999999999995</v>
      </c>
    </row>
    <row r="30" spans="1:12" x14ac:dyDescent="0.35">
      <c r="A30">
        <v>-0.25</v>
      </c>
      <c r="B30">
        <v>0.26169999999999999</v>
      </c>
      <c r="C30">
        <v>5.4000000000000003E-3</v>
      </c>
      <c r="D30">
        <v>9.7999999999999997E-4</v>
      </c>
      <c r="E30">
        <v>-7.4099999999999999E-2</v>
      </c>
      <c r="F30">
        <v>0.05</v>
      </c>
      <c r="G30">
        <v>1.09E-2</v>
      </c>
      <c r="H30">
        <v>-0.51549999999999996</v>
      </c>
      <c r="I30">
        <v>0</v>
      </c>
      <c r="J30">
        <v>0</v>
      </c>
      <c r="K30">
        <v>0</v>
      </c>
      <c r="L30">
        <v>0.5333</v>
      </c>
    </row>
    <row r="31" spans="1:12" x14ac:dyDescent="0.35">
      <c r="A31">
        <v>-0.2</v>
      </c>
      <c r="B31">
        <v>0.2727</v>
      </c>
      <c r="C31">
        <v>5.4000000000000003E-3</v>
      </c>
      <c r="D31">
        <v>9.7999999999999997E-4</v>
      </c>
      <c r="E31">
        <v>-7.4200000000000002E-2</v>
      </c>
      <c r="F31">
        <v>0.05</v>
      </c>
      <c r="G31">
        <v>1.17E-2</v>
      </c>
      <c r="H31">
        <v>-0.51659999999999995</v>
      </c>
      <c r="I31">
        <v>0</v>
      </c>
      <c r="J31">
        <v>0</v>
      </c>
      <c r="K31">
        <v>0</v>
      </c>
      <c r="L31">
        <v>0.52180000000000004</v>
      </c>
    </row>
    <row r="32" spans="1:12" x14ac:dyDescent="0.35">
      <c r="A32">
        <v>-0.15</v>
      </c>
      <c r="B32">
        <v>0.2838</v>
      </c>
      <c r="C32">
        <v>5.4099999999999999E-3</v>
      </c>
      <c r="D32">
        <v>9.8999999999999999E-4</v>
      </c>
      <c r="E32">
        <v>-7.4200000000000002E-2</v>
      </c>
      <c r="F32">
        <v>0.05</v>
      </c>
      <c r="G32">
        <v>1.2500000000000001E-2</v>
      </c>
      <c r="H32">
        <v>-0.52149999999999996</v>
      </c>
      <c r="I32">
        <v>0</v>
      </c>
      <c r="J32">
        <v>0</v>
      </c>
      <c r="K32">
        <v>0</v>
      </c>
      <c r="L32">
        <v>0.51119999999999999</v>
      </c>
    </row>
    <row r="33" spans="1:12" x14ac:dyDescent="0.35">
      <c r="A33">
        <v>-0.1</v>
      </c>
      <c r="B33">
        <v>0.29480000000000001</v>
      </c>
      <c r="C33">
        <v>5.4099999999999999E-3</v>
      </c>
      <c r="D33">
        <v>9.8999999999999999E-4</v>
      </c>
      <c r="E33">
        <v>-7.4200000000000002E-2</v>
      </c>
      <c r="F33">
        <v>0.05</v>
      </c>
      <c r="G33">
        <v>1.3299999999999999E-2</v>
      </c>
      <c r="H33">
        <v>-0.52659999999999996</v>
      </c>
      <c r="I33">
        <v>0</v>
      </c>
      <c r="J33">
        <v>0</v>
      </c>
      <c r="K33">
        <v>0</v>
      </c>
      <c r="L33">
        <v>0.50139999999999996</v>
      </c>
    </row>
    <row r="34" spans="1:12" x14ac:dyDescent="0.35">
      <c r="A34">
        <v>-0.05</v>
      </c>
      <c r="B34">
        <v>0.30580000000000002</v>
      </c>
      <c r="C34">
        <v>5.4099999999999999E-3</v>
      </c>
      <c r="D34">
        <v>1E-3</v>
      </c>
      <c r="E34">
        <v>-7.4200000000000002E-2</v>
      </c>
      <c r="F34">
        <v>0.05</v>
      </c>
      <c r="G34">
        <v>1.43E-2</v>
      </c>
      <c r="H34">
        <v>-0.53159999999999996</v>
      </c>
      <c r="I34">
        <v>0</v>
      </c>
      <c r="J34">
        <v>0</v>
      </c>
      <c r="K34">
        <v>0</v>
      </c>
      <c r="L34">
        <v>0.4924</v>
      </c>
    </row>
    <row r="35" spans="1:12" x14ac:dyDescent="0.35">
      <c r="A35">
        <v>0</v>
      </c>
      <c r="B35">
        <v>0.31680000000000003</v>
      </c>
      <c r="C35">
        <v>5.4099999999999999E-3</v>
      </c>
      <c r="D35">
        <v>1E-3</v>
      </c>
      <c r="E35">
        <v>-7.4200000000000002E-2</v>
      </c>
      <c r="F35">
        <v>0.05</v>
      </c>
      <c r="G35">
        <v>1.5299999999999999E-2</v>
      </c>
      <c r="H35">
        <v>-0.53669999999999995</v>
      </c>
      <c r="I35">
        <v>0</v>
      </c>
      <c r="J35">
        <v>0</v>
      </c>
      <c r="K35">
        <v>0</v>
      </c>
      <c r="L35">
        <v>0.4839</v>
      </c>
    </row>
    <row r="36" spans="1:12" x14ac:dyDescent="0.35">
      <c r="A36">
        <v>0.05</v>
      </c>
      <c r="B36">
        <v>0.32729999999999998</v>
      </c>
      <c r="C36">
        <v>5.45E-3</v>
      </c>
      <c r="D36">
        <v>1.0200000000000001E-3</v>
      </c>
      <c r="E36">
        <v>-7.4099999999999999E-2</v>
      </c>
      <c r="F36">
        <v>3.4200000000000001E-2</v>
      </c>
      <c r="G36">
        <v>1.6299999999999999E-2</v>
      </c>
      <c r="H36">
        <v>-0.54159999999999997</v>
      </c>
      <c r="I36">
        <v>0</v>
      </c>
      <c r="J36">
        <v>0</v>
      </c>
      <c r="K36">
        <v>0</v>
      </c>
      <c r="L36">
        <v>0.47620000000000001</v>
      </c>
    </row>
    <row r="37" spans="1:12" x14ac:dyDescent="0.35">
      <c r="A37">
        <v>0.1</v>
      </c>
      <c r="B37">
        <v>0.33829999999999999</v>
      </c>
      <c r="C37">
        <v>5.45E-3</v>
      </c>
      <c r="D37">
        <v>1.0200000000000001E-3</v>
      </c>
      <c r="E37">
        <v>-7.4099999999999999E-2</v>
      </c>
      <c r="F37">
        <v>3.2500000000000001E-2</v>
      </c>
      <c r="G37">
        <v>1.7500000000000002E-2</v>
      </c>
      <c r="H37">
        <v>-0.54679999999999995</v>
      </c>
      <c r="I37">
        <v>0</v>
      </c>
      <c r="J37">
        <v>0</v>
      </c>
      <c r="K37">
        <v>0</v>
      </c>
      <c r="L37">
        <v>0.46879999999999999</v>
      </c>
    </row>
    <row r="38" spans="1:12" x14ac:dyDescent="0.35">
      <c r="A38">
        <v>0.15</v>
      </c>
      <c r="B38">
        <v>0.34910000000000002</v>
      </c>
      <c r="C38">
        <v>5.47E-3</v>
      </c>
      <c r="D38">
        <v>1.0300000000000001E-3</v>
      </c>
      <c r="E38">
        <v>-7.4099999999999999E-2</v>
      </c>
      <c r="F38">
        <v>2.9899999999999999E-2</v>
      </c>
      <c r="G38">
        <v>1.8499999999999999E-2</v>
      </c>
      <c r="H38">
        <v>-0.55200000000000005</v>
      </c>
      <c r="I38">
        <v>0</v>
      </c>
      <c r="J38">
        <v>0</v>
      </c>
      <c r="K38">
        <v>0</v>
      </c>
      <c r="L38">
        <v>0.46189999999999998</v>
      </c>
    </row>
    <row r="39" spans="1:12" x14ac:dyDescent="0.35">
      <c r="A39">
        <v>0.2</v>
      </c>
      <c r="B39">
        <v>0.36</v>
      </c>
      <c r="C39">
        <v>5.4799999999999996E-3</v>
      </c>
      <c r="D39">
        <v>1.0399999999999999E-3</v>
      </c>
      <c r="E39">
        <v>-7.4099999999999999E-2</v>
      </c>
      <c r="F39">
        <v>2.6599999999999999E-2</v>
      </c>
      <c r="G39">
        <v>2.0199999999999999E-2</v>
      </c>
      <c r="H39">
        <v>-0.55720000000000003</v>
      </c>
      <c r="I39">
        <v>0</v>
      </c>
      <c r="J39">
        <v>0</v>
      </c>
      <c r="K39">
        <v>0</v>
      </c>
      <c r="L39">
        <v>0.45540000000000003</v>
      </c>
    </row>
    <row r="40" spans="1:12" x14ac:dyDescent="0.35">
      <c r="A40">
        <v>0.25</v>
      </c>
      <c r="B40">
        <v>0.371</v>
      </c>
      <c r="C40">
        <v>5.4900000000000001E-3</v>
      </c>
      <c r="D40">
        <v>1.06E-3</v>
      </c>
      <c r="E40">
        <v>-7.4099999999999999E-2</v>
      </c>
      <c r="F40">
        <v>2.47E-2</v>
      </c>
      <c r="G40">
        <v>2.3800000000000002E-2</v>
      </c>
      <c r="H40">
        <v>-0.5625</v>
      </c>
      <c r="I40">
        <v>0</v>
      </c>
      <c r="J40">
        <v>0</v>
      </c>
      <c r="K40">
        <v>0</v>
      </c>
      <c r="L40">
        <v>0.44919999999999999</v>
      </c>
    </row>
    <row r="41" spans="1:12" x14ac:dyDescent="0.35">
      <c r="A41">
        <v>0.3</v>
      </c>
      <c r="B41">
        <v>0.3821</v>
      </c>
      <c r="C41">
        <v>5.4900000000000001E-3</v>
      </c>
      <c r="D41">
        <v>1.07E-3</v>
      </c>
      <c r="E41">
        <v>-7.4099999999999999E-2</v>
      </c>
      <c r="F41">
        <v>2.3599999999999999E-2</v>
      </c>
      <c r="G41">
        <v>2.7400000000000001E-2</v>
      </c>
      <c r="H41">
        <v>-0.56789999999999996</v>
      </c>
      <c r="I41">
        <v>0</v>
      </c>
      <c r="J41">
        <v>0</v>
      </c>
      <c r="K41">
        <v>0</v>
      </c>
      <c r="L41">
        <v>0.44340000000000002</v>
      </c>
    </row>
    <row r="42" spans="1:12" x14ac:dyDescent="0.35">
      <c r="A42">
        <v>0.35</v>
      </c>
      <c r="B42">
        <v>0.3931</v>
      </c>
      <c r="C42">
        <v>5.4900000000000001E-3</v>
      </c>
      <c r="D42">
        <v>1.08E-3</v>
      </c>
      <c r="E42">
        <v>-7.4099999999999999E-2</v>
      </c>
      <c r="F42">
        <v>2.3400000000000001E-2</v>
      </c>
      <c r="G42">
        <v>2.8500000000000001E-2</v>
      </c>
      <c r="H42">
        <v>-0.57340000000000002</v>
      </c>
      <c r="I42">
        <v>0</v>
      </c>
      <c r="J42">
        <v>0</v>
      </c>
      <c r="K42">
        <v>0</v>
      </c>
      <c r="L42">
        <v>0.43790000000000001</v>
      </c>
    </row>
    <row r="43" spans="1:12" x14ac:dyDescent="0.35">
      <c r="A43">
        <v>0.4</v>
      </c>
      <c r="B43">
        <v>0.4042</v>
      </c>
      <c r="C43">
        <v>5.4999999999999997E-3</v>
      </c>
      <c r="D43">
        <v>1.09E-3</v>
      </c>
      <c r="E43">
        <v>-7.3999999999999996E-2</v>
      </c>
      <c r="F43">
        <v>2.3300000000000001E-2</v>
      </c>
      <c r="G43">
        <v>2.8899999999999999E-2</v>
      </c>
      <c r="H43">
        <v>-0.57889999999999997</v>
      </c>
      <c r="I43">
        <v>0</v>
      </c>
      <c r="J43">
        <v>0</v>
      </c>
      <c r="K43">
        <v>0</v>
      </c>
      <c r="L43">
        <v>0.43269999999999997</v>
      </c>
    </row>
    <row r="44" spans="1:12" x14ac:dyDescent="0.35">
      <c r="A44">
        <v>0.45</v>
      </c>
      <c r="B44">
        <v>0.4153</v>
      </c>
      <c r="C44">
        <v>5.5100000000000001E-3</v>
      </c>
      <c r="D44">
        <v>1.1000000000000001E-3</v>
      </c>
      <c r="E44">
        <v>-7.3999999999999996E-2</v>
      </c>
      <c r="F44">
        <v>2.3099999999999999E-2</v>
      </c>
      <c r="G44">
        <v>2.9100000000000001E-2</v>
      </c>
      <c r="H44">
        <v>-0.59589999999999999</v>
      </c>
      <c r="I44">
        <v>0</v>
      </c>
      <c r="J44">
        <v>0</v>
      </c>
      <c r="K44">
        <v>0</v>
      </c>
      <c r="L44">
        <v>0.42780000000000001</v>
      </c>
    </row>
    <row r="45" spans="1:12" x14ac:dyDescent="0.35">
      <c r="A45">
        <v>0.5</v>
      </c>
      <c r="B45">
        <v>0.42630000000000001</v>
      </c>
      <c r="C45">
        <v>5.5199999999999997E-3</v>
      </c>
      <c r="D45">
        <v>1.1100000000000001E-3</v>
      </c>
      <c r="E45">
        <v>-7.3999999999999996E-2</v>
      </c>
      <c r="F45">
        <v>2.3E-2</v>
      </c>
      <c r="G45">
        <v>2.93E-2</v>
      </c>
      <c r="H45">
        <v>-0.65</v>
      </c>
      <c r="I45">
        <v>0</v>
      </c>
      <c r="J45">
        <v>0</v>
      </c>
      <c r="K45">
        <v>0</v>
      </c>
      <c r="L45">
        <v>0.42309999999999998</v>
      </c>
    </row>
    <row r="46" spans="1:12" x14ac:dyDescent="0.35">
      <c r="A46">
        <v>0.55000000000000004</v>
      </c>
      <c r="B46">
        <v>0.4375</v>
      </c>
      <c r="C46">
        <v>5.5300000000000002E-3</v>
      </c>
      <c r="D46">
        <v>1.1299999999999999E-3</v>
      </c>
      <c r="E46">
        <v>-7.3999999999999996E-2</v>
      </c>
      <c r="F46">
        <v>2.29E-2</v>
      </c>
      <c r="G46">
        <v>3.2500000000000001E-2</v>
      </c>
      <c r="H46">
        <v>-0.70579999999999998</v>
      </c>
      <c r="I46">
        <v>0</v>
      </c>
      <c r="J46">
        <v>0</v>
      </c>
      <c r="K46">
        <v>0</v>
      </c>
      <c r="L46">
        <v>0.41860000000000003</v>
      </c>
    </row>
    <row r="47" spans="1:12" x14ac:dyDescent="0.35">
      <c r="A47">
        <v>0.6</v>
      </c>
      <c r="B47">
        <v>0.4486</v>
      </c>
      <c r="C47">
        <v>5.5100000000000001E-3</v>
      </c>
      <c r="D47">
        <v>1.14E-3</v>
      </c>
      <c r="E47">
        <v>-7.3999999999999996E-2</v>
      </c>
      <c r="F47">
        <v>2.2499999999999999E-2</v>
      </c>
      <c r="G47">
        <v>0.05</v>
      </c>
      <c r="H47">
        <v>-0.76259999999999994</v>
      </c>
      <c r="I47">
        <v>0</v>
      </c>
      <c r="J47">
        <v>0</v>
      </c>
      <c r="K47">
        <v>0</v>
      </c>
      <c r="L47">
        <v>0.4143</v>
      </c>
    </row>
    <row r="48" spans="1:12" x14ac:dyDescent="0.35">
      <c r="A48">
        <v>0.65</v>
      </c>
      <c r="B48">
        <v>0.45950000000000002</v>
      </c>
      <c r="C48">
        <v>5.5399999999999998E-3</v>
      </c>
      <c r="D48">
        <v>1.17E-3</v>
      </c>
      <c r="E48">
        <v>-7.3899999999999993E-2</v>
      </c>
      <c r="F48">
        <v>1.9199999999999998E-2</v>
      </c>
      <c r="G48">
        <v>0.05</v>
      </c>
      <c r="H48">
        <v>-0.82069999999999999</v>
      </c>
      <c r="I48">
        <v>0</v>
      </c>
      <c r="J48">
        <v>0</v>
      </c>
      <c r="K48">
        <v>0</v>
      </c>
      <c r="L48">
        <v>0.41020000000000001</v>
      </c>
    </row>
    <row r="49" spans="1:12" x14ac:dyDescent="0.35">
      <c r="A49">
        <v>0.7</v>
      </c>
      <c r="B49">
        <v>0.47060000000000002</v>
      </c>
      <c r="C49">
        <v>5.5599999999999998E-3</v>
      </c>
      <c r="D49">
        <v>1.1800000000000001E-3</v>
      </c>
      <c r="E49">
        <v>-7.3800000000000004E-2</v>
      </c>
      <c r="F49">
        <v>1.72E-2</v>
      </c>
      <c r="G49">
        <v>0.05</v>
      </c>
      <c r="H49">
        <v>-0.88109999999999999</v>
      </c>
      <c r="I49">
        <v>0</v>
      </c>
      <c r="J49">
        <v>0</v>
      </c>
      <c r="K49">
        <v>0</v>
      </c>
      <c r="L49">
        <v>0.40620000000000001</v>
      </c>
    </row>
    <row r="50" spans="1:12" x14ac:dyDescent="0.35">
      <c r="A50">
        <v>0.75</v>
      </c>
      <c r="B50">
        <v>0.48180000000000001</v>
      </c>
      <c r="C50">
        <v>5.5799999999999999E-3</v>
      </c>
      <c r="D50">
        <v>1.1999999999999999E-3</v>
      </c>
      <c r="E50">
        <v>-7.3700000000000002E-2</v>
      </c>
      <c r="F50">
        <v>1.55E-2</v>
      </c>
      <c r="G50">
        <v>0.05</v>
      </c>
      <c r="H50">
        <v>-0.94410000000000005</v>
      </c>
      <c r="I50">
        <v>0</v>
      </c>
      <c r="J50">
        <v>0</v>
      </c>
      <c r="K50">
        <v>0</v>
      </c>
      <c r="L50">
        <v>0.40239999999999998</v>
      </c>
    </row>
    <row r="51" spans="1:12" x14ac:dyDescent="0.35">
      <c r="A51">
        <v>0.8</v>
      </c>
      <c r="B51">
        <v>0.49299999999999999</v>
      </c>
      <c r="C51">
        <v>5.5900000000000004E-3</v>
      </c>
      <c r="D51">
        <v>1.2199999999999999E-3</v>
      </c>
      <c r="E51">
        <v>-7.3700000000000002E-2</v>
      </c>
      <c r="F51">
        <v>1.3899999999999999E-2</v>
      </c>
      <c r="G51">
        <v>0.05</v>
      </c>
      <c r="H51">
        <v>-1.0094000000000001</v>
      </c>
      <c r="I51">
        <v>0</v>
      </c>
      <c r="J51">
        <v>0</v>
      </c>
      <c r="K51">
        <v>0</v>
      </c>
      <c r="L51">
        <v>0.3987</v>
      </c>
    </row>
    <row r="52" spans="1:12" x14ac:dyDescent="0.35">
      <c r="A52">
        <v>0.85</v>
      </c>
      <c r="B52">
        <v>0.50429999999999997</v>
      </c>
      <c r="C52">
        <v>5.5999999999999999E-3</v>
      </c>
      <c r="D52">
        <v>1.24E-3</v>
      </c>
      <c r="E52">
        <v>-7.3599999999999999E-2</v>
      </c>
      <c r="F52">
        <v>1.37E-2</v>
      </c>
      <c r="G52">
        <v>0.05</v>
      </c>
      <c r="H52">
        <v>-1.077</v>
      </c>
      <c r="I52">
        <v>0</v>
      </c>
      <c r="J52">
        <v>0</v>
      </c>
      <c r="K52">
        <v>0</v>
      </c>
      <c r="L52">
        <v>0.3952</v>
      </c>
    </row>
    <row r="53" spans="1:12" x14ac:dyDescent="0.35">
      <c r="A53">
        <v>0.9</v>
      </c>
      <c r="B53">
        <v>0.51559999999999995</v>
      </c>
      <c r="C53">
        <v>5.62E-3</v>
      </c>
      <c r="D53">
        <v>1.2600000000000001E-3</v>
      </c>
      <c r="E53">
        <v>-7.3499999999999996E-2</v>
      </c>
      <c r="F53">
        <v>1.35E-2</v>
      </c>
      <c r="G53">
        <v>0.05</v>
      </c>
      <c r="H53">
        <v>-1.1471</v>
      </c>
      <c r="I53">
        <v>0</v>
      </c>
      <c r="J53">
        <v>0</v>
      </c>
      <c r="K53">
        <v>0</v>
      </c>
      <c r="L53">
        <v>0.39179999999999998</v>
      </c>
    </row>
    <row r="54" spans="1:12" x14ac:dyDescent="0.35">
      <c r="A54">
        <v>0.95</v>
      </c>
      <c r="B54">
        <v>0.52690000000000003</v>
      </c>
      <c r="C54">
        <v>5.6299999999999996E-3</v>
      </c>
      <c r="D54">
        <v>1.2800000000000001E-3</v>
      </c>
      <c r="E54">
        <v>-7.3400000000000007E-2</v>
      </c>
      <c r="F54">
        <v>1.3299999999999999E-2</v>
      </c>
      <c r="G54">
        <v>0.05</v>
      </c>
      <c r="H54">
        <v>-1.2198</v>
      </c>
      <c r="I54">
        <v>0</v>
      </c>
      <c r="J54">
        <v>0</v>
      </c>
      <c r="K54">
        <v>0</v>
      </c>
      <c r="L54">
        <v>0.38850000000000001</v>
      </c>
    </row>
    <row r="55" spans="1:12" x14ac:dyDescent="0.35">
      <c r="A55">
        <v>1</v>
      </c>
      <c r="B55">
        <v>0.5383</v>
      </c>
      <c r="C55">
        <v>5.6499999999999996E-3</v>
      </c>
      <c r="D55">
        <v>1.2999999999999999E-3</v>
      </c>
      <c r="E55">
        <v>-7.3300000000000004E-2</v>
      </c>
      <c r="F55">
        <v>1.3100000000000001E-2</v>
      </c>
      <c r="G55">
        <v>0.05</v>
      </c>
      <c r="H55">
        <v>-1.2954000000000001</v>
      </c>
      <c r="I55">
        <v>0</v>
      </c>
      <c r="J55">
        <v>0</v>
      </c>
      <c r="K55">
        <v>0</v>
      </c>
      <c r="L55">
        <v>0.38540000000000002</v>
      </c>
    </row>
    <row r="56" spans="1:12" x14ac:dyDescent="0.35">
      <c r="A56">
        <v>1.05</v>
      </c>
      <c r="B56">
        <v>0.54969999999999997</v>
      </c>
      <c r="C56">
        <v>5.6699999999999997E-3</v>
      </c>
      <c r="D56">
        <v>1.32E-3</v>
      </c>
      <c r="E56">
        <v>-7.3099999999999998E-2</v>
      </c>
      <c r="F56">
        <v>1.2800000000000001E-2</v>
      </c>
      <c r="G56">
        <v>0.05</v>
      </c>
      <c r="H56">
        <v>-1.3741000000000001</v>
      </c>
      <c r="I56">
        <v>0</v>
      </c>
      <c r="J56">
        <v>0</v>
      </c>
      <c r="K56">
        <v>0</v>
      </c>
      <c r="L56">
        <v>0.38229999999999997</v>
      </c>
    </row>
    <row r="57" spans="1:12" x14ac:dyDescent="0.35">
      <c r="A57">
        <v>1.1000000000000001</v>
      </c>
      <c r="B57">
        <v>0.56110000000000004</v>
      </c>
      <c r="C57">
        <v>5.6899999999999997E-3</v>
      </c>
      <c r="D57">
        <v>1.3500000000000001E-3</v>
      </c>
      <c r="E57">
        <v>-7.2999999999999995E-2</v>
      </c>
      <c r="F57">
        <v>1.24E-2</v>
      </c>
      <c r="G57">
        <v>0.05</v>
      </c>
      <c r="H57">
        <v>-1.4562999999999999</v>
      </c>
      <c r="I57">
        <v>0</v>
      </c>
      <c r="J57">
        <v>0</v>
      </c>
      <c r="K57">
        <v>0</v>
      </c>
      <c r="L57">
        <v>0.37930000000000003</v>
      </c>
    </row>
    <row r="58" spans="1:12" x14ac:dyDescent="0.35">
      <c r="A58">
        <v>1.1499999999999999</v>
      </c>
      <c r="B58">
        <v>0.5726</v>
      </c>
      <c r="C58">
        <v>5.7099999999999998E-3</v>
      </c>
      <c r="D58">
        <v>1.3699999999999999E-3</v>
      </c>
      <c r="E58">
        <v>-7.2800000000000004E-2</v>
      </c>
      <c r="F58">
        <v>1.1599999999999999E-2</v>
      </c>
      <c r="G58">
        <v>0.05</v>
      </c>
      <c r="H58">
        <v>-1.5424</v>
      </c>
      <c r="I58">
        <v>0</v>
      </c>
      <c r="J58">
        <v>0</v>
      </c>
      <c r="K58">
        <v>0</v>
      </c>
      <c r="L58">
        <v>0.37640000000000001</v>
      </c>
    </row>
    <row r="59" spans="1:12" x14ac:dyDescent="0.35">
      <c r="A59">
        <v>1.2</v>
      </c>
      <c r="B59">
        <v>0.58399999999999996</v>
      </c>
      <c r="C59">
        <v>5.7299999999999999E-3</v>
      </c>
      <c r="D59">
        <v>1.4E-3</v>
      </c>
      <c r="E59">
        <v>-7.2599999999999998E-2</v>
      </c>
      <c r="F59">
        <v>1.0800000000000001E-2</v>
      </c>
      <c r="G59">
        <v>0.05</v>
      </c>
      <c r="H59">
        <v>-1.6324000000000001</v>
      </c>
      <c r="I59">
        <v>0</v>
      </c>
      <c r="J59">
        <v>0</v>
      </c>
      <c r="K59">
        <v>0</v>
      </c>
      <c r="L59">
        <v>0.3735</v>
      </c>
    </row>
    <row r="60" spans="1:12" x14ac:dyDescent="0.35">
      <c r="A60">
        <v>1.25</v>
      </c>
      <c r="B60">
        <v>0.59560000000000002</v>
      </c>
      <c r="C60">
        <v>5.7499999999999999E-3</v>
      </c>
      <c r="D60">
        <v>1.4300000000000001E-3</v>
      </c>
      <c r="E60">
        <v>-7.2400000000000006E-2</v>
      </c>
      <c r="F60">
        <v>0.01</v>
      </c>
      <c r="G60">
        <v>0.05</v>
      </c>
      <c r="H60">
        <v>-1.7269000000000001</v>
      </c>
      <c r="I60">
        <v>0</v>
      </c>
      <c r="J60">
        <v>0</v>
      </c>
      <c r="K60">
        <v>0</v>
      </c>
      <c r="L60">
        <v>0.37069999999999997</v>
      </c>
    </row>
    <row r="61" spans="1:12" x14ac:dyDescent="0.35">
      <c r="A61">
        <v>1.3</v>
      </c>
      <c r="B61">
        <v>0.60719999999999996</v>
      </c>
      <c r="C61">
        <v>5.7800000000000004E-3</v>
      </c>
      <c r="D61">
        <v>1.4599999999999999E-3</v>
      </c>
      <c r="E61">
        <v>-7.22E-2</v>
      </c>
      <c r="F61">
        <v>9.2999999999999992E-3</v>
      </c>
      <c r="G61">
        <v>0.05</v>
      </c>
      <c r="H61">
        <v>-1.8424</v>
      </c>
      <c r="I61">
        <v>0</v>
      </c>
      <c r="J61">
        <v>0</v>
      </c>
      <c r="K61">
        <v>0</v>
      </c>
      <c r="L61">
        <v>0.36799999999999999</v>
      </c>
    </row>
    <row r="62" spans="1:12" x14ac:dyDescent="0.35">
      <c r="A62">
        <v>1.35</v>
      </c>
      <c r="B62">
        <v>0.61899999999999999</v>
      </c>
      <c r="C62">
        <v>5.7999999999999996E-3</v>
      </c>
      <c r="D62">
        <v>1.49E-3</v>
      </c>
      <c r="E62">
        <v>-7.1999999999999995E-2</v>
      </c>
      <c r="F62">
        <v>8.8000000000000005E-3</v>
      </c>
      <c r="G62">
        <v>0.05</v>
      </c>
      <c r="H62">
        <v>-1.9716</v>
      </c>
      <c r="I62">
        <v>0</v>
      </c>
      <c r="J62">
        <v>0</v>
      </c>
      <c r="K62">
        <v>0</v>
      </c>
      <c r="L62">
        <v>0.3654</v>
      </c>
    </row>
    <row r="63" spans="1:12" x14ac:dyDescent="0.35">
      <c r="A63">
        <v>1.4</v>
      </c>
      <c r="B63">
        <v>0.63080000000000003</v>
      </c>
      <c r="C63">
        <v>5.8199999999999997E-3</v>
      </c>
      <c r="D63">
        <v>1.5200000000000001E-3</v>
      </c>
      <c r="E63">
        <v>-7.17E-2</v>
      </c>
      <c r="F63">
        <v>8.3000000000000001E-3</v>
      </c>
      <c r="G63">
        <v>0.05</v>
      </c>
      <c r="H63">
        <v>-2.1092</v>
      </c>
      <c r="I63">
        <v>0</v>
      </c>
      <c r="J63">
        <v>0</v>
      </c>
      <c r="K63">
        <v>0</v>
      </c>
      <c r="L63">
        <v>0.36270000000000002</v>
      </c>
    </row>
    <row r="64" spans="1:12" x14ac:dyDescent="0.35">
      <c r="A64">
        <v>1.45</v>
      </c>
      <c r="B64">
        <v>0.64280000000000004</v>
      </c>
      <c r="C64">
        <v>5.8399999999999997E-3</v>
      </c>
      <c r="D64">
        <v>1.5499999999999999E-3</v>
      </c>
      <c r="E64">
        <v>-7.1400000000000005E-2</v>
      </c>
      <c r="F64">
        <v>8.0000000000000002E-3</v>
      </c>
      <c r="G64">
        <v>0.05</v>
      </c>
      <c r="H64">
        <v>-2.2557</v>
      </c>
      <c r="I64">
        <v>0</v>
      </c>
      <c r="J64">
        <v>0</v>
      </c>
      <c r="K64">
        <v>0</v>
      </c>
      <c r="L64">
        <v>0.36020000000000002</v>
      </c>
    </row>
    <row r="65" spans="1:12" x14ac:dyDescent="0.35">
      <c r="A65">
        <v>1.5</v>
      </c>
      <c r="B65">
        <v>0.65480000000000005</v>
      </c>
      <c r="C65">
        <v>5.8599999999999998E-3</v>
      </c>
      <c r="D65">
        <v>1.5900000000000001E-3</v>
      </c>
      <c r="E65">
        <v>-7.1099999999999997E-2</v>
      </c>
      <c r="F65">
        <v>7.7999999999999996E-3</v>
      </c>
      <c r="G65">
        <v>0.05</v>
      </c>
      <c r="H65">
        <v>-2.4123000000000001</v>
      </c>
      <c r="I65">
        <v>0</v>
      </c>
      <c r="J65">
        <v>0</v>
      </c>
      <c r="K65">
        <v>0</v>
      </c>
      <c r="L65">
        <v>0.35759999999999997</v>
      </c>
    </row>
    <row r="66" spans="1:12" x14ac:dyDescent="0.35">
      <c r="A66">
        <v>1.55</v>
      </c>
      <c r="B66">
        <v>0.66700000000000004</v>
      </c>
      <c r="C66">
        <v>5.8900000000000003E-3</v>
      </c>
      <c r="D66">
        <v>1.6299999999999999E-3</v>
      </c>
      <c r="E66">
        <v>-7.0800000000000002E-2</v>
      </c>
      <c r="F66">
        <v>7.9000000000000008E-3</v>
      </c>
      <c r="G66">
        <v>0.05</v>
      </c>
      <c r="H66">
        <v>-2.5815999999999999</v>
      </c>
      <c r="I66">
        <v>0</v>
      </c>
      <c r="J66">
        <v>0</v>
      </c>
      <c r="K66">
        <v>0</v>
      </c>
      <c r="L66">
        <v>0.35510000000000003</v>
      </c>
    </row>
    <row r="67" spans="1:12" x14ac:dyDescent="0.35">
      <c r="A67">
        <v>1.6</v>
      </c>
      <c r="B67">
        <v>0.67930000000000001</v>
      </c>
      <c r="C67">
        <v>5.9100000000000003E-3</v>
      </c>
      <c r="D67">
        <v>1.6800000000000001E-3</v>
      </c>
      <c r="E67">
        <v>-7.0400000000000004E-2</v>
      </c>
      <c r="F67">
        <v>8.0999999999999996E-3</v>
      </c>
      <c r="G67">
        <v>0.05</v>
      </c>
      <c r="H67">
        <v>-2.7667000000000002</v>
      </c>
      <c r="I67">
        <v>0</v>
      </c>
      <c r="J67">
        <v>0</v>
      </c>
      <c r="K67">
        <v>0</v>
      </c>
      <c r="L67">
        <v>0.35249999999999998</v>
      </c>
    </row>
    <row r="68" spans="1:12" x14ac:dyDescent="0.35">
      <c r="A68">
        <v>1.65</v>
      </c>
      <c r="B68">
        <v>0.69140000000000001</v>
      </c>
      <c r="C68">
        <v>5.9699999999999996E-3</v>
      </c>
      <c r="D68">
        <v>1.7600000000000001E-3</v>
      </c>
      <c r="E68">
        <v>-6.9800000000000001E-2</v>
      </c>
      <c r="F68">
        <v>8.2000000000000007E-3</v>
      </c>
      <c r="G68">
        <v>0.05</v>
      </c>
      <c r="H68">
        <v>-2.9638</v>
      </c>
      <c r="I68">
        <v>0</v>
      </c>
      <c r="J68">
        <v>0</v>
      </c>
      <c r="K68">
        <v>0</v>
      </c>
      <c r="L68">
        <v>0.34989999999999999</v>
      </c>
    </row>
    <row r="69" spans="1:12" x14ac:dyDescent="0.35">
      <c r="A69">
        <v>1.7</v>
      </c>
      <c r="B69">
        <v>0.70240000000000002</v>
      </c>
      <c r="C69">
        <v>6.0899999999999999E-3</v>
      </c>
      <c r="D69">
        <v>1.9400000000000001E-3</v>
      </c>
      <c r="E69">
        <v>-6.9000000000000006E-2</v>
      </c>
      <c r="F69">
        <v>7.4999999999999997E-3</v>
      </c>
      <c r="G69">
        <v>0.05</v>
      </c>
      <c r="H69">
        <v>-3.1360999999999999</v>
      </c>
      <c r="I69">
        <v>0</v>
      </c>
      <c r="J69">
        <v>0</v>
      </c>
      <c r="K69">
        <v>0</v>
      </c>
      <c r="L69">
        <v>0.34710000000000002</v>
      </c>
    </row>
    <row r="70" spans="1:12" x14ac:dyDescent="0.35">
      <c r="A70">
        <v>1.75</v>
      </c>
      <c r="B70">
        <v>0.71230000000000004</v>
      </c>
      <c r="C70">
        <v>6.2700000000000004E-3</v>
      </c>
      <c r="D70">
        <v>2.1800000000000001E-3</v>
      </c>
      <c r="E70">
        <v>-6.8000000000000005E-2</v>
      </c>
      <c r="F70">
        <v>7.1000000000000004E-3</v>
      </c>
      <c r="G70">
        <v>0.05</v>
      </c>
      <c r="H70">
        <v>-3.2033</v>
      </c>
      <c r="I70">
        <v>0</v>
      </c>
      <c r="J70">
        <v>0</v>
      </c>
      <c r="K70">
        <v>0</v>
      </c>
      <c r="L70">
        <v>0.34429999999999999</v>
      </c>
    </row>
    <row r="71" spans="1:12" x14ac:dyDescent="0.35">
      <c r="A71">
        <v>1.8</v>
      </c>
      <c r="B71">
        <v>0.72150000000000003</v>
      </c>
      <c r="C71">
        <v>6.4799999999999996E-3</v>
      </c>
      <c r="D71">
        <v>2.4499999999999999E-3</v>
      </c>
      <c r="E71">
        <v>-6.7000000000000004E-2</v>
      </c>
      <c r="F71">
        <v>6.8999999999999999E-3</v>
      </c>
      <c r="G71">
        <v>0.05</v>
      </c>
      <c r="H71">
        <v>-3.2440000000000002</v>
      </c>
      <c r="I71">
        <v>0</v>
      </c>
      <c r="J71">
        <v>0</v>
      </c>
      <c r="K71">
        <v>0</v>
      </c>
      <c r="L71">
        <v>0.34160000000000001</v>
      </c>
    </row>
    <row r="72" spans="1:12" x14ac:dyDescent="0.35">
      <c r="A72">
        <v>1.85</v>
      </c>
      <c r="B72">
        <v>0.73029999999999995</v>
      </c>
      <c r="C72">
        <v>6.7099999999999998E-3</v>
      </c>
      <c r="D72">
        <v>2.7200000000000002E-3</v>
      </c>
      <c r="E72">
        <v>-6.59E-2</v>
      </c>
      <c r="F72">
        <v>6.7999999999999996E-3</v>
      </c>
      <c r="G72">
        <v>0.05</v>
      </c>
      <c r="H72">
        <v>-3.2702</v>
      </c>
      <c r="I72">
        <v>0</v>
      </c>
      <c r="J72">
        <v>0</v>
      </c>
      <c r="K72">
        <v>0</v>
      </c>
      <c r="L72">
        <v>0.33900000000000002</v>
      </c>
    </row>
    <row r="73" spans="1:12" x14ac:dyDescent="0.35">
      <c r="A73">
        <v>1.9</v>
      </c>
      <c r="B73">
        <v>0.7389</v>
      </c>
      <c r="C73">
        <v>6.94E-3</v>
      </c>
      <c r="D73">
        <v>3.0100000000000001E-3</v>
      </c>
      <c r="E73">
        <v>-6.4799999999999996E-2</v>
      </c>
      <c r="F73">
        <v>6.7000000000000002E-3</v>
      </c>
      <c r="G73">
        <v>0.05</v>
      </c>
      <c r="H73">
        <v>-3.2877000000000001</v>
      </c>
      <c r="I73">
        <v>0</v>
      </c>
      <c r="J73">
        <v>0</v>
      </c>
      <c r="K73">
        <v>0</v>
      </c>
      <c r="L73">
        <v>0.33639999999999998</v>
      </c>
    </row>
    <row r="74" spans="1:12" x14ac:dyDescent="0.35">
      <c r="A74">
        <v>1.95</v>
      </c>
      <c r="B74">
        <v>0.74729999999999996</v>
      </c>
      <c r="C74">
        <v>7.1900000000000002E-3</v>
      </c>
      <c r="D74">
        <v>3.3E-3</v>
      </c>
      <c r="E74">
        <v>-6.3700000000000007E-2</v>
      </c>
      <c r="F74">
        <v>6.7000000000000002E-3</v>
      </c>
      <c r="G74">
        <v>0.05</v>
      </c>
      <c r="H74">
        <v>-3.3010999999999999</v>
      </c>
      <c r="I74">
        <v>0</v>
      </c>
      <c r="J74">
        <v>0</v>
      </c>
      <c r="K74">
        <v>0</v>
      </c>
      <c r="L74">
        <v>0.33389999999999997</v>
      </c>
    </row>
    <row r="75" spans="1:12" x14ac:dyDescent="0.35">
      <c r="A75">
        <v>2</v>
      </c>
      <c r="B75">
        <v>0.75580000000000003</v>
      </c>
      <c r="C75">
        <v>7.45E-3</v>
      </c>
      <c r="D75">
        <v>3.5899999999999999E-3</v>
      </c>
      <c r="E75">
        <v>-6.25E-2</v>
      </c>
      <c r="F75">
        <v>6.6E-3</v>
      </c>
      <c r="G75">
        <v>0.05</v>
      </c>
      <c r="H75">
        <v>-3.3117999999999999</v>
      </c>
      <c r="I75">
        <v>0</v>
      </c>
      <c r="J75">
        <v>0</v>
      </c>
      <c r="K75">
        <v>0</v>
      </c>
      <c r="L75">
        <v>0.33139999999999997</v>
      </c>
    </row>
    <row r="76" spans="1:12" x14ac:dyDescent="0.35">
      <c r="A76">
        <v>2.0499999999999998</v>
      </c>
      <c r="B76">
        <v>0.76429999999999998</v>
      </c>
      <c r="C76">
        <v>7.7200000000000003E-3</v>
      </c>
      <c r="D76">
        <v>3.8999999999999998E-3</v>
      </c>
      <c r="E76">
        <v>-6.13E-2</v>
      </c>
      <c r="F76">
        <v>6.6E-3</v>
      </c>
      <c r="G76">
        <v>0.05</v>
      </c>
      <c r="H76">
        <v>-3.3207</v>
      </c>
      <c r="I76">
        <v>0</v>
      </c>
      <c r="J76">
        <v>0</v>
      </c>
      <c r="K76">
        <v>0</v>
      </c>
      <c r="L76">
        <v>0.32890000000000003</v>
      </c>
    </row>
    <row r="77" spans="1:12" x14ac:dyDescent="0.35">
      <c r="A77">
        <v>2.1</v>
      </c>
      <c r="B77">
        <v>0.77310000000000001</v>
      </c>
      <c r="C77">
        <v>8.0000000000000002E-3</v>
      </c>
      <c r="D77">
        <v>4.2199999999999998E-3</v>
      </c>
      <c r="E77">
        <v>-6.0199999999999997E-2</v>
      </c>
      <c r="F77">
        <v>6.4999999999999997E-3</v>
      </c>
      <c r="G77">
        <v>0.05</v>
      </c>
      <c r="H77">
        <v>-3.3304</v>
      </c>
      <c r="I77">
        <v>0</v>
      </c>
      <c r="J77">
        <v>0</v>
      </c>
      <c r="K77">
        <v>0</v>
      </c>
      <c r="L77">
        <v>0.32650000000000001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F1288-4D7E-400D-A486-0BC1C0F04668}">
  <sheetPr codeName="Sheet26"/>
  <dimension ref="A1:L105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-2.4500000000000002</v>
      </c>
      <c r="B2">
        <v>-0.218</v>
      </c>
      <c r="C2">
        <v>1.5879999999999998E-2</v>
      </c>
      <c r="D2">
        <v>1.2449999999999999E-2</v>
      </c>
      <c r="E2">
        <v>-8.2199999999999995E-2</v>
      </c>
      <c r="F2">
        <v>0.05</v>
      </c>
      <c r="G2">
        <v>3.0999999999999999E-3</v>
      </c>
      <c r="H2">
        <v>-2.8517000000000001</v>
      </c>
      <c r="I2">
        <v>0</v>
      </c>
      <c r="J2">
        <v>0</v>
      </c>
      <c r="K2">
        <v>0</v>
      </c>
      <c r="L2">
        <v>-0.1293</v>
      </c>
    </row>
    <row r="3" spans="1:12" x14ac:dyDescent="0.35">
      <c r="A3">
        <v>-2.4</v>
      </c>
      <c r="B3">
        <v>-0.20979999999999999</v>
      </c>
      <c r="C3">
        <v>1.5169999999999999E-2</v>
      </c>
      <c r="D3">
        <v>1.1679999999999999E-2</v>
      </c>
      <c r="E3">
        <v>-8.1900000000000001E-2</v>
      </c>
      <c r="F3">
        <v>0.05</v>
      </c>
      <c r="G3">
        <v>3.0000000000000001E-3</v>
      </c>
      <c r="H3">
        <v>-2.9138000000000002</v>
      </c>
      <c r="I3">
        <v>0</v>
      </c>
      <c r="J3">
        <v>0</v>
      </c>
      <c r="K3">
        <v>0</v>
      </c>
      <c r="L3">
        <v>-0.14299999999999999</v>
      </c>
    </row>
    <row r="4" spans="1:12" x14ac:dyDescent="0.35">
      <c r="A4">
        <v>-2.35</v>
      </c>
      <c r="B4">
        <v>-0.2011</v>
      </c>
      <c r="C4">
        <v>1.451E-2</v>
      </c>
      <c r="D4">
        <v>1.0959999999999999E-2</v>
      </c>
      <c r="E4">
        <v>-8.1699999999999995E-2</v>
      </c>
      <c r="F4">
        <v>0.05</v>
      </c>
      <c r="G4">
        <v>3.0000000000000001E-3</v>
      </c>
      <c r="H4">
        <v>-2.9462000000000002</v>
      </c>
      <c r="I4">
        <v>0</v>
      </c>
      <c r="J4">
        <v>0</v>
      </c>
      <c r="K4">
        <v>0</v>
      </c>
      <c r="L4">
        <v>-0.15859999999999999</v>
      </c>
    </row>
    <row r="5" spans="1:12" x14ac:dyDescent="0.35">
      <c r="A5">
        <v>-2.2999999999999998</v>
      </c>
      <c r="B5">
        <v>-0.19209999999999999</v>
      </c>
      <c r="C5">
        <v>1.389E-2</v>
      </c>
      <c r="D5">
        <v>1.027E-2</v>
      </c>
      <c r="E5">
        <v>-8.14E-2</v>
      </c>
      <c r="F5">
        <v>0.05</v>
      </c>
      <c r="G5">
        <v>3.0000000000000001E-3</v>
      </c>
      <c r="H5">
        <v>-2.9695</v>
      </c>
      <c r="I5">
        <v>0</v>
      </c>
      <c r="J5">
        <v>0</v>
      </c>
      <c r="K5">
        <v>0</v>
      </c>
      <c r="L5">
        <v>-0.1762</v>
      </c>
    </row>
    <row r="6" spans="1:12" x14ac:dyDescent="0.35">
      <c r="A6">
        <v>-2.25</v>
      </c>
      <c r="B6">
        <v>-0.18279999999999999</v>
      </c>
      <c r="C6">
        <v>1.329E-2</v>
      </c>
      <c r="D6">
        <v>9.6100000000000005E-3</v>
      </c>
      <c r="E6">
        <v>-8.1100000000000005E-2</v>
      </c>
      <c r="F6">
        <v>0.05</v>
      </c>
      <c r="G6">
        <v>3.0000000000000001E-3</v>
      </c>
      <c r="H6">
        <v>-2.9874999999999998</v>
      </c>
      <c r="I6">
        <v>0</v>
      </c>
      <c r="J6">
        <v>0</v>
      </c>
      <c r="K6">
        <v>0</v>
      </c>
      <c r="L6">
        <v>-0.19620000000000001</v>
      </c>
    </row>
    <row r="7" spans="1:12" x14ac:dyDescent="0.35">
      <c r="A7">
        <v>-2.2000000000000002</v>
      </c>
      <c r="B7">
        <v>-0.17330000000000001</v>
      </c>
      <c r="C7">
        <v>1.272E-2</v>
      </c>
      <c r="D7">
        <v>8.9800000000000001E-3</v>
      </c>
      <c r="E7">
        <v>-8.0799999999999997E-2</v>
      </c>
      <c r="F7">
        <v>0.05</v>
      </c>
      <c r="G7">
        <v>3.0000000000000001E-3</v>
      </c>
      <c r="H7">
        <v>-3.0024000000000002</v>
      </c>
      <c r="I7">
        <v>0</v>
      </c>
      <c r="J7">
        <v>0</v>
      </c>
      <c r="K7">
        <v>0</v>
      </c>
      <c r="L7">
        <v>-0.21890000000000001</v>
      </c>
    </row>
    <row r="8" spans="1:12" x14ac:dyDescent="0.35">
      <c r="A8">
        <v>-2.15</v>
      </c>
      <c r="B8">
        <v>-0.16350000000000001</v>
      </c>
      <c r="C8">
        <v>1.217E-2</v>
      </c>
      <c r="D8">
        <v>8.3599999999999994E-3</v>
      </c>
      <c r="E8">
        <v>-8.0500000000000002E-2</v>
      </c>
      <c r="F8">
        <v>0.05</v>
      </c>
      <c r="G8">
        <v>3.0999999999999999E-3</v>
      </c>
      <c r="H8">
        <v>-3.0152999999999999</v>
      </c>
      <c r="I8">
        <v>0</v>
      </c>
      <c r="J8">
        <v>0</v>
      </c>
      <c r="K8">
        <v>0</v>
      </c>
      <c r="L8">
        <v>-0.24490000000000001</v>
      </c>
    </row>
    <row r="9" spans="1:12" x14ac:dyDescent="0.35">
      <c r="A9">
        <v>-2.1</v>
      </c>
      <c r="B9">
        <v>-0.1535</v>
      </c>
      <c r="C9">
        <v>1.163E-2</v>
      </c>
      <c r="D9">
        <v>7.77E-3</v>
      </c>
      <c r="E9">
        <v>-8.0199999999999994E-2</v>
      </c>
      <c r="F9">
        <v>0.05</v>
      </c>
      <c r="G9">
        <v>3.2000000000000002E-3</v>
      </c>
      <c r="H9">
        <v>-3.0272000000000001</v>
      </c>
      <c r="I9">
        <v>0</v>
      </c>
      <c r="J9">
        <v>0</v>
      </c>
      <c r="K9">
        <v>0</v>
      </c>
      <c r="L9">
        <v>-0.27489999999999998</v>
      </c>
    </row>
    <row r="10" spans="1:12" x14ac:dyDescent="0.35">
      <c r="A10">
        <v>-2.0499999999999998</v>
      </c>
      <c r="B10">
        <v>-0.14330000000000001</v>
      </c>
      <c r="C10">
        <v>1.112E-2</v>
      </c>
      <c r="D10">
        <v>7.1900000000000002E-3</v>
      </c>
      <c r="E10">
        <v>-7.9799999999999996E-2</v>
      </c>
      <c r="F10">
        <v>0.05</v>
      </c>
      <c r="G10">
        <v>3.3999999999999998E-3</v>
      </c>
      <c r="H10">
        <v>-3.0388000000000002</v>
      </c>
      <c r="I10">
        <v>0</v>
      </c>
      <c r="J10">
        <v>0</v>
      </c>
      <c r="K10">
        <v>0</v>
      </c>
      <c r="L10">
        <v>-0.30980000000000002</v>
      </c>
    </row>
    <row r="11" spans="1:12" x14ac:dyDescent="0.35">
      <c r="A11">
        <v>-2</v>
      </c>
      <c r="B11">
        <v>-0.13300000000000001</v>
      </c>
      <c r="C11">
        <v>1.0630000000000001E-2</v>
      </c>
      <c r="D11">
        <v>6.6400000000000001E-3</v>
      </c>
      <c r="E11">
        <v>-7.9500000000000001E-2</v>
      </c>
      <c r="F11">
        <v>0.05</v>
      </c>
      <c r="G11">
        <v>3.5999999999999999E-3</v>
      </c>
      <c r="H11">
        <v>-3.0503</v>
      </c>
      <c r="I11">
        <v>0</v>
      </c>
      <c r="J11">
        <v>0</v>
      </c>
      <c r="K11">
        <v>0</v>
      </c>
      <c r="L11">
        <v>-0.35070000000000001</v>
      </c>
    </row>
    <row r="12" spans="1:12" x14ac:dyDescent="0.35">
      <c r="A12">
        <v>-1.95</v>
      </c>
      <c r="B12">
        <v>-0.1225</v>
      </c>
      <c r="C12">
        <v>1.0160000000000001E-2</v>
      </c>
      <c r="D12">
        <v>6.11E-3</v>
      </c>
      <c r="E12">
        <v>-7.9100000000000004E-2</v>
      </c>
      <c r="F12">
        <v>0.05</v>
      </c>
      <c r="G12">
        <v>3.8E-3</v>
      </c>
      <c r="H12">
        <v>-3.0615999999999999</v>
      </c>
      <c r="I12">
        <v>0</v>
      </c>
      <c r="J12">
        <v>0</v>
      </c>
      <c r="K12">
        <v>0</v>
      </c>
      <c r="L12">
        <v>-0.39910000000000001</v>
      </c>
    </row>
    <row r="13" spans="1:12" x14ac:dyDescent="0.35">
      <c r="A13">
        <v>-1.9</v>
      </c>
      <c r="B13">
        <v>-0.1119</v>
      </c>
      <c r="C13">
        <v>9.7099999999999999E-3</v>
      </c>
      <c r="D13">
        <v>5.5999999999999999E-3</v>
      </c>
      <c r="E13">
        <v>-7.8799999999999995E-2</v>
      </c>
      <c r="F13">
        <v>0.05</v>
      </c>
      <c r="G13">
        <v>4.0000000000000001E-3</v>
      </c>
      <c r="H13">
        <v>-3.0710999999999999</v>
      </c>
      <c r="I13">
        <v>0</v>
      </c>
      <c r="J13">
        <v>0</v>
      </c>
      <c r="K13">
        <v>0</v>
      </c>
      <c r="L13">
        <v>-0.45710000000000001</v>
      </c>
    </row>
    <row r="14" spans="1:12" x14ac:dyDescent="0.35">
      <c r="A14">
        <v>-1.85</v>
      </c>
      <c r="B14">
        <v>-0.1013</v>
      </c>
      <c r="C14">
        <v>9.2700000000000005E-3</v>
      </c>
      <c r="D14">
        <v>5.1000000000000004E-3</v>
      </c>
      <c r="E14">
        <v>-7.8399999999999997E-2</v>
      </c>
      <c r="F14">
        <v>0.05</v>
      </c>
      <c r="G14">
        <v>4.3E-3</v>
      </c>
      <c r="H14">
        <v>-3.0754000000000001</v>
      </c>
      <c r="I14">
        <v>0</v>
      </c>
      <c r="J14">
        <v>0</v>
      </c>
      <c r="K14">
        <v>0</v>
      </c>
      <c r="L14">
        <v>-0.52729999999999999</v>
      </c>
    </row>
    <row r="15" spans="1:12" x14ac:dyDescent="0.35">
      <c r="A15">
        <v>-1.8</v>
      </c>
      <c r="B15">
        <v>-9.0800000000000006E-2</v>
      </c>
      <c r="C15">
        <v>8.8299999999999993E-3</v>
      </c>
      <c r="D15">
        <v>4.5999999999999999E-3</v>
      </c>
      <c r="E15">
        <v>-7.8E-2</v>
      </c>
      <c r="F15">
        <v>0.05</v>
      </c>
      <c r="G15">
        <v>4.5999999999999999E-3</v>
      </c>
      <c r="H15">
        <v>-3.0651000000000002</v>
      </c>
      <c r="I15">
        <v>0</v>
      </c>
      <c r="J15">
        <v>0</v>
      </c>
      <c r="K15">
        <v>0</v>
      </c>
      <c r="L15">
        <v>-0.61319999999999997</v>
      </c>
    </row>
    <row r="16" spans="1:12" x14ac:dyDescent="0.35">
      <c r="A16">
        <v>-1.75</v>
      </c>
      <c r="B16">
        <v>-8.0399999999999999E-2</v>
      </c>
      <c r="C16">
        <v>8.3700000000000007E-3</v>
      </c>
      <c r="D16">
        <v>4.0899999999999999E-3</v>
      </c>
      <c r="E16">
        <v>-7.7499999999999999E-2</v>
      </c>
      <c r="F16">
        <v>0.05</v>
      </c>
      <c r="G16">
        <v>4.7999999999999996E-3</v>
      </c>
      <c r="H16">
        <v>-3.0141</v>
      </c>
      <c r="I16">
        <v>0</v>
      </c>
      <c r="J16">
        <v>0</v>
      </c>
      <c r="K16">
        <v>0</v>
      </c>
      <c r="L16">
        <v>-0.71940000000000004</v>
      </c>
    </row>
    <row r="17" spans="1:12" x14ac:dyDescent="0.35">
      <c r="A17">
        <v>-1.7</v>
      </c>
      <c r="B17">
        <v>-7.0099999999999996E-2</v>
      </c>
      <c r="C17">
        <v>7.9299999999999995E-3</v>
      </c>
      <c r="D17">
        <v>3.5899999999999999E-3</v>
      </c>
      <c r="E17">
        <v>-7.7100000000000002E-2</v>
      </c>
      <c r="F17">
        <v>0.05</v>
      </c>
      <c r="G17">
        <v>5.0000000000000001E-3</v>
      </c>
      <c r="H17">
        <v>-2.9260000000000002</v>
      </c>
      <c r="I17">
        <v>0</v>
      </c>
      <c r="J17">
        <v>0</v>
      </c>
      <c r="K17">
        <v>0</v>
      </c>
      <c r="L17">
        <v>-0.85419999999999996</v>
      </c>
    </row>
    <row r="18" spans="1:12" x14ac:dyDescent="0.35">
      <c r="A18">
        <v>-1.65</v>
      </c>
      <c r="B18">
        <v>-5.9799999999999999E-2</v>
      </c>
      <c r="C18">
        <v>7.5500000000000003E-3</v>
      </c>
      <c r="D18">
        <v>3.16E-3</v>
      </c>
      <c r="E18">
        <v>-7.6700000000000004E-2</v>
      </c>
      <c r="F18">
        <v>0.05</v>
      </c>
      <c r="G18">
        <v>5.3E-3</v>
      </c>
      <c r="H18">
        <v>-2.9058999999999999</v>
      </c>
      <c r="I18">
        <v>0</v>
      </c>
      <c r="J18">
        <v>0</v>
      </c>
      <c r="K18">
        <v>0</v>
      </c>
      <c r="L18">
        <v>-1.0369999999999999</v>
      </c>
    </row>
    <row r="19" spans="1:12" x14ac:dyDescent="0.35">
      <c r="A19">
        <v>-1.6</v>
      </c>
      <c r="B19">
        <v>-4.9399999999999999E-2</v>
      </c>
      <c r="C19">
        <v>7.2199999999999999E-3</v>
      </c>
      <c r="D19">
        <v>2.7799999999999999E-3</v>
      </c>
      <c r="E19">
        <v>-7.6300000000000007E-2</v>
      </c>
      <c r="F19">
        <v>0.05</v>
      </c>
      <c r="G19">
        <v>5.4999999999999997E-3</v>
      </c>
      <c r="H19">
        <v>-2.9079000000000002</v>
      </c>
      <c r="I19">
        <v>0</v>
      </c>
      <c r="J19">
        <v>0</v>
      </c>
      <c r="K19">
        <v>0</v>
      </c>
      <c r="L19">
        <v>-1.3004</v>
      </c>
    </row>
    <row r="20" spans="1:12" x14ac:dyDescent="0.35">
      <c r="A20">
        <v>-1.55</v>
      </c>
      <c r="B20">
        <v>-3.8600000000000002E-2</v>
      </c>
      <c r="C20">
        <v>6.94E-3</v>
      </c>
      <c r="D20">
        <v>2.4399999999999999E-3</v>
      </c>
      <c r="E20">
        <v>-7.5899999999999995E-2</v>
      </c>
      <c r="F20">
        <v>0.05</v>
      </c>
      <c r="G20">
        <v>5.8999999999999999E-3</v>
      </c>
      <c r="H20">
        <v>-2.8801999999999999</v>
      </c>
      <c r="I20">
        <v>0</v>
      </c>
      <c r="J20">
        <v>0</v>
      </c>
      <c r="K20">
        <v>0</v>
      </c>
      <c r="L20">
        <v>-1.7217</v>
      </c>
    </row>
    <row r="21" spans="1:12" x14ac:dyDescent="0.35">
      <c r="A21">
        <v>-1.5</v>
      </c>
      <c r="B21">
        <v>-2.75E-2</v>
      </c>
      <c r="C21">
        <v>6.7099999999999998E-3</v>
      </c>
      <c r="D21">
        <v>2.16E-3</v>
      </c>
      <c r="E21">
        <v>-7.5600000000000001E-2</v>
      </c>
      <c r="F21">
        <v>0.05</v>
      </c>
      <c r="G21">
        <v>6.6E-3</v>
      </c>
      <c r="H21">
        <v>-2.8096000000000001</v>
      </c>
      <c r="I21">
        <v>0</v>
      </c>
      <c r="J21">
        <v>0</v>
      </c>
      <c r="K21">
        <v>0</v>
      </c>
      <c r="L21">
        <v>-2.5045999999999999</v>
      </c>
    </row>
    <row r="22" spans="1:12" x14ac:dyDescent="0.35">
      <c r="A22">
        <v>-1.45</v>
      </c>
      <c r="B22">
        <v>-1.61E-2</v>
      </c>
      <c r="C22">
        <v>6.5300000000000002E-3</v>
      </c>
      <c r="D22">
        <v>1.9400000000000001E-3</v>
      </c>
      <c r="E22">
        <v>-7.5300000000000006E-2</v>
      </c>
      <c r="F22">
        <v>0.05</v>
      </c>
      <c r="G22">
        <v>7.4000000000000003E-3</v>
      </c>
      <c r="H22">
        <v>-2.6880999999999999</v>
      </c>
      <c r="I22">
        <v>0</v>
      </c>
      <c r="J22">
        <v>0</v>
      </c>
      <c r="K22">
        <v>0</v>
      </c>
      <c r="L22">
        <v>-4.4512</v>
      </c>
    </row>
    <row r="23" spans="1:12" x14ac:dyDescent="0.35">
      <c r="A23">
        <v>-1.4</v>
      </c>
      <c r="B23">
        <v>-4.4000000000000003E-3</v>
      </c>
      <c r="C23">
        <v>6.4099999999999999E-3</v>
      </c>
      <c r="D23">
        <v>1.7799999999999999E-3</v>
      </c>
      <c r="E23">
        <v>-7.4999999999999997E-2</v>
      </c>
      <c r="F23">
        <v>0.05</v>
      </c>
      <c r="G23">
        <v>8.2000000000000007E-3</v>
      </c>
      <c r="H23">
        <v>-2.5308999999999999</v>
      </c>
      <c r="I23">
        <v>0</v>
      </c>
      <c r="J23">
        <v>0</v>
      </c>
      <c r="K23">
        <v>0</v>
      </c>
      <c r="L23">
        <v>-16.938500000000001</v>
      </c>
    </row>
    <row r="24" spans="1:12" x14ac:dyDescent="0.35">
      <c r="A24">
        <v>-1.35</v>
      </c>
      <c r="B24">
        <v>7.4000000000000003E-3</v>
      </c>
      <c r="C24">
        <v>6.3200000000000001E-3</v>
      </c>
      <c r="D24">
        <v>1.65E-3</v>
      </c>
      <c r="E24">
        <v>-7.4800000000000005E-2</v>
      </c>
      <c r="F24">
        <v>0.05</v>
      </c>
      <c r="G24">
        <v>8.6E-3</v>
      </c>
      <c r="H24">
        <v>-2.3698000000000001</v>
      </c>
      <c r="I24">
        <v>0</v>
      </c>
      <c r="J24">
        <v>0</v>
      </c>
      <c r="K24">
        <v>0</v>
      </c>
      <c r="L24">
        <v>10.449400000000001</v>
      </c>
    </row>
    <row r="25" spans="1:12" x14ac:dyDescent="0.35">
      <c r="A25">
        <v>-1.3</v>
      </c>
      <c r="B25">
        <v>1.9099999999999999E-2</v>
      </c>
      <c r="C25">
        <v>6.2599999999999999E-3</v>
      </c>
      <c r="D25">
        <v>1.56E-3</v>
      </c>
      <c r="E25">
        <v>-7.4499999999999997E-2</v>
      </c>
      <c r="F25">
        <v>0.05</v>
      </c>
      <c r="G25">
        <v>8.8999999999999999E-3</v>
      </c>
      <c r="H25">
        <v>-2.2376</v>
      </c>
      <c r="I25">
        <v>0</v>
      </c>
      <c r="J25">
        <v>0</v>
      </c>
      <c r="K25">
        <v>0</v>
      </c>
      <c r="L25">
        <v>4.1658999999999997</v>
      </c>
    </row>
    <row r="26" spans="1:12" x14ac:dyDescent="0.35">
      <c r="A26">
        <v>-1.25</v>
      </c>
      <c r="B26">
        <v>3.0700000000000002E-2</v>
      </c>
      <c r="C26">
        <v>6.1900000000000002E-3</v>
      </c>
      <c r="D26">
        <v>1.4599999999999999E-3</v>
      </c>
      <c r="E26">
        <v>-7.4300000000000005E-2</v>
      </c>
      <c r="F26">
        <v>0.05</v>
      </c>
      <c r="G26">
        <v>8.9999999999999993E-3</v>
      </c>
      <c r="H26">
        <v>-2.1585000000000001</v>
      </c>
      <c r="I26">
        <v>0</v>
      </c>
      <c r="J26">
        <v>0</v>
      </c>
      <c r="K26">
        <v>0</v>
      </c>
      <c r="L26">
        <v>2.6756000000000002</v>
      </c>
    </row>
    <row r="27" spans="1:12" x14ac:dyDescent="0.35">
      <c r="A27">
        <v>-1.2</v>
      </c>
      <c r="B27">
        <v>4.24E-2</v>
      </c>
      <c r="C27">
        <v>6.1399999999999996E-3</v>
      </c>
      <c r="D27">
        <v>1.3799999999999999E-3</v>
      </c>
      <c r="E27">
        <v>-7.4099999999999999E-2</v>
      </c>
      <c r="F27">
        <v>0.05</v>
      </c>
      <c r="G27">
        <v>8.9999999999999993E-3</v>
      </c>
      <c r="H27">
        <v>-2.0720999999999998</v>
      </c>
      <c r="I27">
        <v>0</v>
      </c>
      <c r="J27">
        <v>0</v>
      </c>
      <c r="K27">
        <v>0</v>
      </c>
      <c r="L27">
        <v>2.0049999999999999</v>
      </c>
    </row>
    <row r="28" spans="1:12" x14ac:dyDescent="0.35">
      <c r="A28">
        <v>-1.1499999999999999</v>
      </c>
      <c r="B28">
        <v>5.3999999999999999E-2</v>
      </c>
      <c r="C28">
        <v>6.1000000000000004E-3</v>
      </c>
      <c r="D28">
        <v>1.32E-3</v>
      </c>
      <c r="E28">
        <v>-7.3999999999999996E-2</v>
      </c>
      <c r="F28">
        <v>0.05</v>
      </c>
      <c r="G28">
        <v>9.1000000000000004E-3</v>
      </c>
      <c r="H28">
        <v>-1.9804999999999999</v>
      </c>
      <c r="I28">
        <v>0</v>
      </c>
      <c r="J28">
        <v>0</v>
      </c>
      <c r="K28">
        <v>0</v>
      </c>
      <c r="L28">
        <v>1.6244000000000001</v>
      </c>
    </row>
    <row r="29" spans="1:12" x14ac:dyDescent="0.35">
      <c r="A29">
        <v>-1.1000000000000001</v>
      </c>
      <c r="B29">
        <v>6.5500000000000003E-2</v>
      </c>
      <c r="C29">
        <v>6.0699999999999999E-3</v>
      </c>
      <c r="D29">
        <v>1.2700000000000001E-3</v>
      </c>
      <c r="E29">
        <v>-7.3800000000000004E-2</v>
      </c>
      <c r="F29">
        <v>0.05</v>
      </c>
      <c r="G29">
        <v>9.1000000000000004E-3</v>
      </c>
      <c r="H29">
        <v>-1.8854</v>
      </c>
      <c r="I29">
        <v>0</v>
      </c>
      <c r="J29">
        <v>0</v>
      </c>
      <c r="K29">
        <v>0</v>
      </c>
      <c r="L29">
        <v>1.3794999999999999</v>
      </c>
    </row>
    <row r="30" spans="1:12" x14ac:dyDescent="0.35">
      <c r="A30">
        <v>-1.05</v>
      </c>
      <c r="B30">
        <v>7.6999999999999999E-2</v>
      </c>
      <c r="C30">
        <v>6.0499999999999998E-3</v>
      </c>
      <c r="D30">
        <v>1.24E-3</v>
      </c>
      <c r="E30">
        <v>-7.3700000000000002E-2</v>
      </c>
      <c r="F30">
        <v>0.05</v>
      </c>
      <c r="G30">
        <v>9.1999999999999998E-3</v>
      </c>
      <c r="H30">
        <v>-1.7887</v>
      </c>
      <c r="I30">
        <v>0</v>
      </c>
      <c r="J30">
        <v>0</v>
      </c>
      <c r="K30">
        <v>0</v>
      </c>
      <c r="L30">
        <v>1.2089000000000001</v>
      </c>
    </row>
    <row r="31" spans="1:12" x14ac:dyDescent="0.35">
      <c r="A31">
        <v>-1</v>
      </c>
      <c r="B31">
        <v>8.8499999999999995E-2</v>
      </c>
      <c r="C31">
        <v>6.0299999999999998E-3</v>
      </c>
      <c r="D31">
        <v>1.2099999999999999E-3</v>
      </c>
      <c r="E31">
        <v>-7.3599999999999999E-2</v>
      </c>
      <c r="F31">
        <v>0.05</v>
      </c>
      <c r="G31">
        <v>9.2999999999999992E-3</v>
      </c>
      <c r="H31">
        <v>-1.6920999999999999</v>
      </c>
      <c r="I31">
        <v>0</v>
      </c>
      <c r="J31">
        <v>0</v>
      </c>
      <c r="K31">
        <v>0</v>
      </c>
      <c r="L31">
        <v>1.0832999999999999</v>
      </c>
    </row>
    <row r="32" spans="1:12" x14ac:dyDescent="0.35">
      <c r="A32">
        <v>-0.95</v>
      </c>
      <c r="B32">
        <v>9.9900000000000003E-2</v>
      </c>
      <c r="C32">
        <v>6.0200000000000002E-3</v>
      </c>
      <c r="D32">
        <v>1.1800000000000001E-3</v>
      </c>
      <c r="E32">
        <v>-7.3499999999999996E-2</v>
      </c>
      <c r="F32">
        <v>0.05</v>
      </c>
      <c r="G32">
        <v>9.4000000000000004E-3</v>
      </c>
      <c r="H32">
        <v>-1.5967</v>
      </c>
      <c r="I32">
        <v>0</v>
      </c>
      <c r="J32">
        <v>0</v>
      </c>
      <c r="K32">
        <v>0</v>
      </c>
      <c r="L32">
        <v>0.98699999999999999</v>
      </c>
    </row>
    <row r="33" spans="1:12" x14ac:dyDescent="0.35">
      <c r="A33">
        <v>-0.9</v>
      </c>
      <c r="B33">
        <v>0.11119999999999999</v>
      </c>
      <c r="C33">
        <v>6.0099999999999997E-3</v>
      </c>
      <c r="D33">
        <v>1.17E-3</v>
      </c>
      <c r="E33">
        <v>-7.3400000000000007E-2</v>
      </c>
      <c r="F33">
        <v>0.05</v>
      </c>
      <c r="G33">
        <v>9.4999999999999998E-3</v>
      </c>
      <c r="H33">
        <v>-1.5033000000000001</v>
      </c>
      <c r="I33">
        <v>0</v>
      </c>
      <c r="J33">
        <v>0</v>
      </c>
      <c r="K33">
        <v>0</v>
      </c>
      <c r="L33">
        <v>0.91090000000000004</v>
      </c>
    </row>
    <row r="34" spans="1:12" x14ac:dyDescent="0.35">
      <c r="A34">
        <v>-0.85</v>
      </c>
      <c r="B34">
        <v>0.1225</v>
      </c>
      <c r="C34">
        <v>6.0000000000000001E-3</v>
      </c>
      <c r="D34">
        <v>1.15E-3</v>
      </c>
      <c r="E34">
        <v>-7.3300000000000004E-2</v>
      </c>
      <c r="F34">
        <v>0.05</v>
      </c>
      <c r="G34">
        <v>9.4999999999999998E-3</v>
      </c>
      <c r="H34">
        <v>-1.4123000000000001</v>
      </c>
      <c r="I34">
        <v>0</v>
      </c>
      <c r="J34">
        <v>0</v>
      </c>
      <c r="K34">
        <v>0</v>
      </c>
      <c r="L34">
        <v>0.84919999999999995</v>
      </c>
    </row>
    <row r="35" spans="1:12" x14ac:dyDescent="0.35">
      <c r="A35">
        <v>-0.8</v>
      </c>
      <c r="B35">
        <v>0.1338</v>
      </c>
      <c r="C35">
        <v>6.0000000000000001E-3</v>
      </c>
      <c r="D35">
        <v>1.14E-3</v>
      </c>
      <c r="E35">
        <v>-7.3200000000000001E-2</v>
      </c>
      <c r="F35">
        <v>0.05</v>
      </c>
      <c r="G35">
        <v>9.5999999999999992E-3</v>
      </c>
      <c r="H35">
        <v>-1.3239000000000001</v>
      </c>
      <c r="I35">
        <v>0</v>
      </c>
      <c r="J35">
        <v>0</v>
      </c>
      <c r="K35">
        <v>0</v>
      </c>
      <c r="L35">
        <v>0.79810000000000003</v>
      </c>
    </row>
    <row r="36" spans="1:12" x14ac:dyDescent="0.35">
      <c r="A36">
        <v>-0.75</v>
      </c>
      <c r="B36">
        <v>0.14499999999999999</v>
      </c>
      <c r="C36">
        <v>5.9899999999999997E-3</v>
      </c>
      <c r="D36">
        <v>1.1299999999999999E-3</v>
      </c>
      <c r="E36">
        <v>-7.3099999999999998E-2</v>
      </c>
      <c r="F36">
        <v>0.05</v>
      </c>
      <c r="G36">
        <v>9.7000000000000003E-3</v>
      </c>
      <c r="H36">
        <v>-1.2383</v>
      </c>
      <c r="I36">
        <v>0</v>
      </c>
      <c r="J36">
        <v>0</v>
      </c>
      <c r="K36">
        <v>0</v>
      </c>
      <c r="L36">
        <v>0.75529999999999997</v>
      </c>
    </row>
    <row r="37" spans="1:12" x14ac:dyDescent="0.35">
      <c r="A37">
        <v>-0.7</v>
      </c>
      <c r="B37">
        <v>0.15609999999999999</v>
      </c>
      <c r="C37">
        <v>5.9899999999999997E-3</v>
      </c>
      <c r="D37">
        <v>1.1199999999999999E-3</v>
      </c>
      <c r="E37">
        <v>-7.3099999999999998E-2</v>
      </c>
      <c r="F37">
        <v>0.05</v>
      </c>
      <c r="G37">
        <v>9.7999999999999997E-3</v>
      </c>
      <c r="H37">
        <v>-1.1556</v>
      </c>
      <c r="I37">
        <v>0</v>
      </c>
      <c r="J37">
        <v>0</v>
      </c>
      <c r="K37">
        <v>0</v>
      </c>
      <c r="L37">
        <v>0.71870000000000001</v>
      </c>
    </row>
    <row r="38" spans="1:12" x14ac:dyDescent="0.35">
      <c r="A38">
        <v>-0.65</v>
      </c>
      <c r="B38">
        <v>0.1673</v>
      </c>
      <c r="C38">
        <v>5.9899999999999997E-3</v>
      </c>
      <c r="D38">
        <v>1.1100000000000001E-3</v>
      </c>
      <c r="E38">
        <v>-7.3099999999999998E-2</v>
      </c>
      <c r="F38">
        <v>0.05</v>
      </c>
      <c r="G38">
        <v>9.7999999999999997E-3</v>
      </c>
      <c r="H38">
        <v>-1.0758000000000001</v>
      </c>
      <c r="I38">
        <v>0</v>
      </c>
      <c r="J38">
        <v>0</v>
      </c>
      <c r="K38">
        <v>0</v>
      </c>
      <c r="L38">
        <v>0.68720000000000003</v>
      </c>
    </row>
    <row r="39" spans="1:12" x14ac:dyDescent="0.35">
      <c r="A39">
        <v>-0.6</v>
      </c>
      <c r="B39">
        <v>0.1784</v>
      </c>
      <c r="C39">
        <v>5.9899999999999997E-3</v>
      </c>
      <c r="D39">
        <v>1.1100000000000001E-3</v>
      </c>
      <c r="E39">
        <v>-7.2999999999999995E-2</v>
      </c>
      <c r="F39">
        <v>0.05</v>
      </c>
      <c r="G39">
        <v>9.9000000000000008E-3</v>
      </c>
      <c r="H39">
        <v>-0.99880000000000002</v>
      </c>
      <c r="I39">
        <v>0</v>
      </c>
      <c r="J39">
        <v>0</v>
      </c>
      <c r="K39">
        <v>0</v>
      </c>
      <c r="L39">
        <v>0.65969999999999995</v>
      </c>
    </row>
    <row r="40" spans="1:12" x14ac:dyDescent="0.35">
      <c r="A40">
        <v>-0.55000000000000004</v>
      </c>
      <c r="B40">
        <v>0.1895</v>
      </c>
      <c r="C40">
        <v>5.9800000000000001E-3</v>
      </c>
      <c r="D40">
        <v>1.1100000000000001E-3</v>
      </c>
      <c r="E40">
        <v>-7.2999999999999995E-2</v>
      </c>
      <c r="F40">
        <v>0.05</v>
      </c>
      <c r="G40">
        <v>0.01</v>
      </c>
      <c r="H40">
        <v>-0.92490000000000006</v>
      </c>
      <c r="I40">
        <v>0</v>
      </c>
      <c r="J40">
        <v>0</v>
      </c>
      <c r="K40">
        <v>0</v>
      </c>
      <c r="L40">
        <v>0.63549999999999995</v>
      </c>
    </row>
    <row r="41" spans="1:12" x14ac:dyDescent="0.35">
      <c r="A41">
        <v>-0.5</v>
      </c>
      <c r="B41">
        <v>0.20050000000000001</v>
      </c>
      <c r="C41">
        <v>5.9800000000000001E-3</v>
      </c>
      <c r="D41">
        <v>1.1000000000000001E-3</v>
      </c>
      <c r="E41">
        <v>-7.2999999999999995E-2</v>
      </c>
      <c r="F41">
        <v>0.05</v>
      </c>
      <c r="G41">
        <v>1.01E-2</v>
      </c>
      <c r="H41">
        <v>-0.85509999999999997</v>
      </c>
      <c r="I41">
        <v>0</v>
      </c>
      <c r="J41">
        <v>0</v>
      </c>
      <c r="K41">
        <v>0</v>
      </c>
      <c r="L41">
        <v>0.61409999999999998</v>
      </c>
    </row>
    <row r="42" spans="1:12" x14ac:dyDescent="0.35">
      <c r="A42">
        <v>-0.45</v>
      </c>
      <c r="B42">
        <v>0.21160000000000001</v>
      </c>
      <c r="C42">
        <v>5.9800000000000001E-3</v>
      </c>
      <c r="D42">
        <v>1.1000000000000001E-3</v>
      </c>
      <c r="E42">
        <v>-7.2900000000000006E-2</v>
      </c>
      <c r="F42">
        <v>0.05</v>
      </c>
      <c r="G42">
        <v>1.04E-2</v>
      </c>
      <c r="H42">
        <v>-0.78549999999999998</v>
      </c>
      <c r="I42">
        <v>0</v>
      </c>
      <c r="J42">
        <v>0</v>
      </c>
      <c r="K42">
        <v>0</v>
      </c>
      <c r="L42">
        <v>0.59489999999999998</v>
      </c>
    </row>
    <row r="43" spans="1:12" x14ac:dyDescent="0.35">
      <c r="A43">
        <v>-0.4</v>
      </c>
      <c r="B43">
        <v>0.22259999999999999</v>
      </c>
      <c r="C43">
        <v>5.9800000000000001E-3</v>
      </c>
      <c r="D43">
        <v>1.1000000000000001E-3</v>
      </c>
      <c r="E43">
        <v>-7.2900000000000006E-2</v>
      </c>
      <c r="F43">
        <v>0.05</v>
      </c>
      <c r="G43">
        <v>1.0999999999999999E-2</v>
      </c>
      <c r="H43">
        <v>-0.71819999999999995</v>
      </c>
      <c r="I43">
        <v>0</v>
      </c>
      <c r="J43">
        <v>0</v>
      </c>
      <c r="K43">
        <v>0</v>
      </c>
      <c r="L43">
        <v>0.57779999999999998</v>
      </c>
    </row>
    <row r="44" spans="1:12" x14ac:dyDescent="0.35">
      <c r="A44">
        <v>-0.35</v>
      </c>
      <c r="B44">
        <v>0.2336</v>
      </c>
      <c r="C44">
        <v>5.9899999999999997E-3</v>
      </c>
      <c r="D44">
        <v>1.1000000000000001E-3</v>
      </c>
      <c r="E44">
        <v>-7.2900000000000006E-2</v>
      </c>
      <c r="F44">
        <v>0.05</v>
      </c>
      <c r="G44">
        <v>1.1900000000000001E-2</v>
      </c>
      <c r="H44">
        <v>-0.6532</v>
      </c>
      <c r="I44">
        <v>0</v>
      </c>
      <c r="J44">
        <v>0</v>
      </c>
      <c r="K44">
        <v>0</v>
      </c>
      <c r="L44">
        <v>0.56220000000000003</v>
      </c>
    </row>
    <row r="45" spans="1:12" x14ac:dyDescent="0.35">
      <c r="A45">
        <v>-0.3</v>
      </c>
      <c r="B45">
        <v>0.24460000000000001</v>
      </c>
      <c r="C45">
        <v>5.9899999999999997E-3</v>
      </c>
      <c r="D45">
        <v>1.1100000000000001E-3</v>
      </c>
      <c r="E45">
        <v>-7.2900000000000006E-2</v>
      </c>
      <c r="F45">
        <v>0.05</v>
      </c>
      <c r="G45">
        <v>1.2800000000000001E-2</v>
      </c>
      <c r="H45">
        <v>-0.59019999999999995</v>
      </c>
      <c r="I45">
        <v>0</v>
      </c>
      <c r="J45">
        <v>0</v>
      </c>
      <c r="K45">
        <v>0</v>
      </c>
      <c r="L45">
        <v>0.54810000000000003</v>
      </c>
    </row>
    <row r="46" spans="1:12" x14ac:dyDescent="0.35">
      <c r="A46">
        <v>-0.25</v>
      </c>
      <c r="B46">
        <v>0.2555</v>
      </c>
      <c r="C46">
        <v>5.9899999999999997E-3</v>
      </c>
      <c r="D46">
        <v>1.1100000000000001E-3</v>
      </c>
      <c r="E46">
        <v>-7.2900000000000006E-2</v>
      </c>
      <c r="F46">
        <v>0.05</v>
      </c>
      <c r="G46">
        <v>1.37E-2</v>
      </c>
      <c r="H46">
        <v>-0.52939999999999998</v>
      </c>
      <c r="I46">
        <v>0</v>
      </c>
      <c r="J46">
        <v>0</v>
      </c>
      <c r="K46">
        <v>0</v>
      </c>
      <c r="L46">
        <v>0.5353</v>
      </c>
    </row>
    <row r="47" spans="1:12" x14ac:dyDescent="0.35">
      <c r="A47">
        <v>-0.2</v>
      </c>
      <c r="B47">
        <v>0.26650000000000001</v>
      </c>
      <c r="C47">
        <v>5.9899999999999997E-3</v>
      </c>
      <c r="D47">
        <v>1.1100000000000001E-3</v>
      </c>
      <c r="E47">
        <v>-7.2900000000000006E-2</v>
      </c>
      <c r="F47">
        <v>0.05</v>
      </c>
      <c r="G47">
        <v>1.46E-2</v>
      </c>
      <c r="H47">
        <v>-0.51329999999999998</v>
      </c>
      <c r="I47">
        <v>0</v>
      </c>
      <c r="J47">
        <v>0</v>
      </c>
      <c r="K47">
        <v>0</v>
      </c>
      <c r="L47">
        <v>0.52349999999999997</v>
      </c>
    </row>
    <row r="48" spans="1:12" x14ac:dyDescent="0.35">
      <c r="A48">
        <v>-0.15</v>
      </c>
      <c r="B48">
        <v>0.27739999999999998</v>
      </c>
      <c r="C48">
        <v>5.9899999999999997E-3</v>
      </c>
      <c r="D48">
        <v>1.1199999999999999E-3</v>
      </c>
      <c r="E48">
        <v>-7.2900000000000006E-2</v>
      </c>
      <c r="F48">
        <v>0.05</v>
      </c>
      <c r="G48">
        <v>1.5699999999999999E-2</v>
      </c>
      <c r="H48">
        <v>-0.51819999999999999</v>
      </c>
      <c r="I48">
        <v>0</v>
      </c>
      <c r="J48">
        <v>0</v>
      </c>
      <c r="K48">
        <v>0</v>
      </c>
      <c r="L48">
        <v>0.51270000000000004</v>
      </c>
    </row>
    <row r="49" spans="1:12" x14ac:dyDescent="0.35">
      <c r="A49">
        <v>-0.1</v>
      </c>
      <c r="B49">
        <v>0.28839999999999999</v>
      </c>
      <c r="C49">
        <v>5.9899999999999997E-3</v>
      </c>
      <c r="D49">
        <v>1.1199999999999999E-3</v>
      </c>
      <c r="E49">
        <v>-7.2900000000000006E-2</v>
      </c>
      <c r="F49">
        <v>0.05</v>
      </c>
      <c r="G49">
        <v>1.6799999999999999E-2</v>
      </c>
      <c r="H49">
        <v>-0.5232</v>
      </c>
      <c r="I49">
        <v>0</v>
      </c>
      <c r="J49">
        <v>0</v>
      </c>
      <c r="K49">
        <v>0</v>
      </c>
      <c r="L49">
        <v>0.50270000000000004</v>
      </c>
    </row>
    <row r="50" spans="1:12" x14ac:dyDescent="0.35">
      <c r="A50">
        <v>-0.05</v>
      </c>
      <c r="B50">
        <v>0.29930000000000001</v>
      </c>
      <c r="C50">
        <v>5.9899999999999997E-3</v>
      </c>
      <c r="D50">
        <v>1.1199999999999999E-3</v>
      </c>
      <c r="E50">
        <v>-7.2900000000000006E-2</v>
      </c>
      <c r="F50">
        <v>0.05</v>
      </c>
      <c r="G50">
        <v>1.7899999999999999E-2</v>
      </c>
      <c r="H50">
        <v>-0.5282</v>
      </c>
      <c r="I50">
        <v>0</v>
      </c>
      <c r="J50">
        <v>0</v>
      </c>
      <c r="K50">
        <v>0</v>
      </c>
      <c r="L50">
        <v>0.49340000000000001</v>
      </c>
    </row>
    <row r="51" spans="1:12" x14ac:dyDescent="0.35">
      <c r="A51">
        <v>0</v>
      </c>
      <c r="B51">
        <v>0.31030000000000002</v>
      </c>
      <c r="C51">
        <v>5.9899999999999997E-3</v>
      </c>
      <c r="D51">
        <v>1.1299999999999999E-3</v>
      </c>
      <c r="E51">
        <v>-7.2900000000000006E-2</v>
      </c>
      <c r="F51">
        <v>0.05</v>
      </c>
      <c r="G51">
        <v>1.8700000000000001E-2</v>
      </c>
      <c r="H51">
        <v>-0.5333</v>
      </c>
      <c r="I51">
        <v>0</v>
      </c>
      <c r="J51">
        <v>0</v>
      </c>
      <c r="K51">
        <v>0</v>
      </c>
      <c r="L51">
        <v>0.48480000000000001</v>
      </c>
    </row>
    <row r="52" spans="1:12" x14ac:dyDescent="0.35">
      <c r="A52">
        <v>0.05</v>
      </c>
      <c r="B52">
        <v>0.32119999999999999</v>
      </c>
      <c r="C52">
        <v>5.9899999999999997E-3</v>
      </c>
      <c r="D52">
        <v>1.14E-3</v>
      </c>
      <c r="E52">
        <v>-7.2900000000000006E-2</v>
      </c>
      <c r="F52">
        <v>0.05</v>
      </c>
      <c r="G52">
        <v>2.1899999999999999E-2</v>
      </c>
      <c r="H52">
        <v>-0.53839999999999999</v>
      </c>
      <c r="I52">
        <v>0</v>
      </c>
      <c r="J52">
        <v>0</v>
      </c>
      <c r="K52">
        <v>0</v>
      </c>
      <c r="L52">
        <v>0.47670000000000001</v>
      </c>
    </row>
    <row r="53" spans="1:12" x14ac:dyDescent="0.35">
      <c r="A53">
        <v>0.1</v>
      </c>
      <c r="B53">
        <v>0.3322</v>
      </c>
      <c r="C53">
        <v>5.9899999999999997E-3</v>
      </c>
      <c r="D53">
        <v>1.14E-3</v>
      </c>
      <c r="E53">
        <v>-7.2900000000000006E-2</v>
      </c>
      <c r="F53">
        <v>0.05</v>
      </c>
      <c r="G53">
        <v>2.5700000000000001E-2</v>
      </c>
      <c r="H53">
        <v>-0.54349999999999998</v>
      </c>
      <c r="I53">
        <v>0</v>
      </c>
      <c r="J53">
        <v>0</v>
      </c>
      <c r="K53">
        <v>0</v>
      </c>
      <c r="L53">
        <v>0.46920000000000001</v>
      </c>
    </row>
    <row r="54" spans="1:12" x14ac:dyDescent="0.35">
      <c r="A54">
        <v>0.15</v>
      </c>
      <c r="B54">
        <v>0.34320000000000001</v>
      </c>
      <c r="C54">
        <v>5.9899999999999997E-3</v>
      </c>
      <c r="D54">
        <v>1.15E-3</v>
      </c>
      <c r="E54">
        <v>-7.2900000000000006E-2</v>
      </c>
      <c r="F54">
        <v>0.05</v>
      </c>
      <c r="G54">
        <v>2.8000000000000001E-2</v>
      </c>
      <c r="H54">
        <v>-0.54879999999999995</v>
      </c>
      <c r="I54">
        <v>0</v>
      </c>
      <c r="J54">
        <v>0</v>
      </c>
      <c r="K54">
        <v>0</v>
      </c>
      <c r="L54">
        <v>0.4622</v>
      </c>
    </row>
    <row r="55" spans="1:12" x14ac:dyDescent="0.35">
      <c r="A55">
        <v>0.2</v>
      </c>
      <c r="B55">
        <v>0.35410000000000003</v>
      </c>
      <c r="C55">
        <v>5.9899999999999997E-3</v>
      </c>
      <c r="D55">
        <v>1.16E-3</v>
      </c>
      <c r="E55">
        <v>-7.2900000000000006E-2</v>
      </c>
      <c r="F55">
        <v>0.05</v>
      </c>
      <c r="G55">
        <v>2.86E-2</v>
      </c>
      <c r="H55">
        <v>-0.55410000000000004</v>
      </c>
      <c r="I55">
        <v>0</v>
      </c>
      <c r="J55">
        <v>0</v>
      </c>
      <c r="K55">
        <v>0</v>
      </c>
      <c r="L55">
        <v>0.4556</v>
      </c>
    </row>
    <row r="56" spans="1:12" x14ac:dyDescent="0.35">
      <c r="A56">
        <v>0.25</v>
      </c>
      <c r="B56">
        <v>0.36459999999999998</v>
      </c>
      <c r="C56">
        <v>6.0299999999999998E-3</v>
      </c>
      <c r="D56">
        <v>1.1800000000000001E-3</v>
      </c>
      <c r="E56">
        <v>-7.2800000000000004E-2</v>
      </c>
      <c r="F56">
        <v>3.8800000000000001E-2</v>
      </c>
      <c r="G56">
        <v>2.9000000000000001E-2</v>
      </c>
      <c r="H56">
        <v>-0.55910000000000004</v>
      </c>
      <c r="I56">
        <v>0</v>
      </c>
      <c r="J56">
        <v>0</v>
      </c>
      <c r="K56">
        <v>0</v>
      </c>
      <c r="L56">
        <v>0.44940000000000002</v>
      </c>
    </row>
    <row r="57" spans="1:12" x14ac:dyDescent="0.35">
      <c r="A57">
        <v>0.3</v>
      </c>
      <c r="B57">
        <v>0.37530000000000002</v>
      </c>
      <c r="C57">
        <v>6.0600000000000003E-3</v>
      </c>
      <c r="D57">
        <v>1.1999999999999999E-3</v>
      </c>
      <c r="E57">
        <v>-7.2800000000000004E-2</v>
      </c>
      <c r="F57">
        <v>3.1699999999999999E-2</v>
      </c>
      <c r="G57">
        <v>2.93E-2</v>
      </c>
      <c r="H57">
        <v>-0.56420000000000003</v>
      </c>
      <c r="I57">
        <v>0</v>
      </c>
      <c r="J57">
        <v>0</v>
      </c>
      <c r="K57">
        <v>0</v>
      </c>
      <c r="L57">
        <v>0.44350000000000001</v>
      </c>
    </row>
    <row r="58" spans="1:12" x14ac:dyDescent="0.35">
      <c r="A58">
        <v>0.35</v>
      </c>
      <c r="B58">
        <v>0.38600000000000001</v>
      </c>
      <c r="C58">
        <v>6.0800000000000003E-3</v>
      </c>
      <c r="D58">
        <v>1.2099999999999999E-3</v>
      </c>
      <c r="E58">
        <v>-7.2700000000000001E-2</v>
      </c>
      <c r="F58">
        <v>2.87E-2</v>
      </c>
      <c r="G58">
        <v>3.0700000000000002E-2</v>
      </c>
      <c r="H58">
        <v>-0.5696</v>
      </c>
      <c r="I58">
        <v>0</v>
      </c>
      <c r="J58">
        <v>0</v>
      </c>
      <c r="K58">
        <v>0</v>
      </c>
      <c r="L58">
        <v>0.43790000000000001</v>
      </c>
    </row>
    <row r="59" spans="1:12" x14ac:dyDescent="0.35">
      <c r="A59">
        <v>0.4</v>
      </c>
      <c r="B59">
        <v>0.39689999999999998</v>
      </c>
      <c r="C59">
        <v>6.0899999999999999E-3</v>
      </c>
      <c r="D59">
        <v>1.23E-3</v>
      </c>
      <c r="E59">
        <v>-7.2700000000000001E-2</v>
      </c>
      <c r="F59">
        <v>2.7099999999999999E-2</v>
      </c>
      <c r="G59">
        <v>3.3300000000000003E-2</v>
      </c>
      <c r="H59">
        <v>-0.57499999999999996</v>
      </c>
      <c r="I59">
        <v>0</v>
      </c>
      <c r="J59">
        <v>0</v>
      </c>
      <c r="K59">
        <v>0</v>
      </c>
      <c r="L59">
        <v>0.43259999999999998</v>
      </c>
    </row>
    <row r="60" spans="1:12" x14ac:dyDescent="0.35">
      <c r="A60">
        <v>0.45</v>
      </c>
      <c r="B60">
        <v>0.40789999999999998</v>
      </c>
      <c r="C60">
        <v>6.0899999999999999E-3</v>
      </c>
      <c r="D60">
        <v>1.24E-3</v>
      </c>
      <c r="E60">
        <v>-7.2599999999999998E-2</v>
      </c>
      <c r="F60">
        <v>2.5399999999999999E-2</v>
      </c>
      <c r="G60">
        <v>3.8100000000000002E-2</v>
      </c>
      <c r="H60">
        <v>-0.58040000000000003</v>
      </c>
      <c r="I60">
        <v>0</v>
      </c>
      <c r="J60">
        <v>0</v>
      </c>
      <c r="K60">
        <v>0</v>
      </c>
      <c r="L60">
        <v>0.42759999999999998</v>
      </c>
    </row>
    <row r="61" spans="1:12" x14ac:dyDescent="0.35">
      <c r="A61">
        <v>0.5</v>
      </c>
      <c r="B61">
        <v>0.41889999999999999</v>
      </c>
      <c r="C61">
        <v>6.0899999999999999E-3</v>
      </c>
      <c r="D61">
        <v>1.2600000000000001E-3</v>
      </c>
      <c r="E61">
        <v>-7.2599999999999998E-2</v>
      </c>
      <c r="F61">
        <v>2.3900000000000001E-2</v>
      </c>
      <c r="G61">
        <v>0.05</v>
      </c>
      <c r="H61">
        <v>-0.62849999999999995</v>
      </c>
      <c r="I61">
        <v>0</v>
      </c>
      <c r="J61">
        <v>0</v>
      </c>
      <c r="K61">
        <v>0</v>
      </c>
      <c r="L61">
        <v>0.4229</v>
      </c>
    </row>
    <row r="62" spans="1:12" x14ac:dyDescent="0.35">
      <c r="A62">
        <v>0.55000000000000004</v>
      </c>
      <c r="B62">
        <v>0.4299</v>
      </c>
      <c r="C62">
        <v>6.1000000000000004E-3</v>
      </c>
      <c r="D62">
        <v>1.2700000000000001E-3</v>
      </c>
      <c r="E62">
        <v>-7.2599999999999998E-2</v>
      </c>
      <c r="F62">
        <v>2.3400000000000001E-2</v>
      </c>
      <c r="G62">
        <v>0.05</v>
      </c>
      <c r="H62">
        <v>-0.68340000000000001</v>
      </c>
      <c r="I62">
        <v>0</v>
      </c>
      <c r="J62">
        <v>0</v>
      </c>
      <c r="K62">
        <v>0</v>
      </c>
      <c r="L62">
        <v>0.41830000000000001</v>
      </c>
    </row>
    <row r="63" spans="1:12" x14ac:dyDescent="0.35">
      <c r="A63">
        <v>0.6</v>
      </c>
      <c r="B63">
        <v>0.441</v>
      </c>
      <c r="C63">
        <v>6.11E-3</v>
      </c>
      <c r="D63">
        <v>1.2899999999999999E-3</v>
      </c>
      <c r="E63">
        <v>-7.2499999999999995E-2</v>
      </c>
      <c r="F63">
        <v>2.3199999999999998E-2</v>
      </c>
      <c r="G63">
        <v>0.05</v>
      </c>
      <c r="H63">
        <v>-0.74</v>
      </c>
      <c r="I63">
        <v>0</v>
      </c>
      <c r="J63">
        <v>0</v>
      </c>
      <c r="K63">
        <v>0</v>
      </c>
      <c r="L63">
        <v>0.41399999999999998</v>
      </c>
    </row>
    <row r="64" spans="1:12" x14ac:dyDescent="0.35">
      <c r="A64">
        <v>0.65</v>
      </c>
      <c r="B64">
        <v>0.45200000000000001</v>
      </c>
      <c r="C64">
        <v>6.13E-3</v>
      </c>
      <c r="D64">
        <v>1.31E-3</v>
      </c>
      <c r="E64">
        <v>-7.2499999999999995E-2</v>
      </c>
      <c r="F64">
        <v>2.3E-2</v>
      </c>
      <c r="G64">
        <v>0.05</v>
      </c>
      <c r="H64">
        <v>-0.7984</v>
      </c>
      <c r="I64">
        <v>0</v>
      </c>
      <c r="J64">
        <v>0</v>
      </c>
      <c r="K64">
        <v>0</v>
      </c>
      <c r="L64">
        <v>0.4098</v>
      </c>
    </row>
    <row r="65" spans="1:12" x14ac:dyDescent="0.35">
      <c r="A65">
        <v>0.7</v>
      </c>
      <c r="B65">
        <v>0.46310000000000001</v>
      </c>
      <c r="C65">
        <v>6.1399999999999996E-3</v>
      </c>
      <c r="D65">
        <v>1.32E-3</v>
      </c>
      <c r="E65">
        <v>-7.2400000000000006E-2</v>
      </c>
      <c r="F65">
        <v>2.2700000000000001E-2</v>
      </c>
      <c r="G65">
        <v>0.05</v>
      </c>
      <c r="H65">
        <v>-0.85870000000000002</v>
      </c>
      <c r="I65">
        <v>0</v>
      </c>
      <c r="J65">
        <v>0</v>
      </c>
      <c r="K65">
        <v>0</v>
      </c>
      <c r="L65">
        <v>0.40579999999999999</v>
      </c>
    </row>
    <row r="66" spans="1:12" x14ac:dyDescent="0.35">
      <c r="A66">
        <v>0.75</v>
      </c>
      <c r="B66">
        <v>0.47420000000000001</v>
      </c>
      <c r="C66">
        <v>6.1599999999999997E-3</v>
      </c>
      <c r="D66">
        <v>1.3500000000000001E-3</v>
      </c>
      <c r="E66">
        <v>-7.2300000000000003E-2</v>
      </c>
      <c r="F66">
        <v>2.1999999999999999E-2</v>
      </c>
      <c r="G66">
        <v>0.05</v>
      </c>
      <c r="H66">
        <v>-0.92110000000000003</v>
      </c>
      <c r="I66">
        <v>0</v>
      </c>
      <c r="J66">
        <v>0</v>
      </c>
      <c r="K66">
        <v>0</v>
      </c>
      <c r="L66">
        <v>0.40200000000000002</v>
      </c>
    </row>
    <row r="67" spans="1:12" x14ac:dyDescent="0.35">
      <c r="A67">
        <v>0.8</v>
      </c>
      <c r="B67">
        <v>0.48509999999999998</v>
      </c>
      <c r="C67">
        <v>6.1799999999999997E-3</v>
      </c>
      <c r="D67">
        <v>1.3699999999999999E-3</v>
      </c>
      <c r="E67">
        <v>-7.22E-2</v>
      </c>
      <c r="F67">
        <v>1.95E-2</v>
      </c>
      <c r="G67">
        <v>0.05</v>
      </c>
      <c r="H67">
        <v>-0.98509999999999998</v>
      </c>
      <c r="I67">
        <v>0</v>
      </c>
      <c r="J67">
        <v>0</v>
      </c>
      <c r="K67">
        <v>0</v>
      </c>
      <c r="L67">
        <v>0.39829999999999999</v>
      </c>
    </row>
    <row r="68" spans="1:12" x14ac:dyDescent="0.35">
      <c r="A68">
        <v>0.85</v>
      </c>
      <c r="B68">
        <v>0.49609999999999999</v>
      </c>
      <c r="C68">
        <v>6.2100000000000002E-3</v>
      </c>
      <c r="D68">
        <v>1.4E-3</v>
      </c>
      <c r="E68">
        <v>-7.2099999999999997E-2</v>
      </c>
      <c r="F68">
        <v>1.7500000000000002E-2</v>
      </c>
      <c r="G68">
        <v>0.05</v>
      </c>
      <c r="H68">
        <v>-1.0508999999999999</v>
      </c>
      <c r="I68">
        <v>0</v>
      </c>
      <c r="J68">
        <v>0</v>
      </c>
      <c r="K68">
        <v>0</v>
      </c>
      <c r="L68">
        <v>0.3947</v>
      </c>
    </row>
    <row r="69" spans="1:12" x14ac:dyDescent="0.35">
      <c r="A69">
        <v>0.9</v>
      </c>
      <c r="B69">
        <v>0.50719999999999998</v>
      </c>
      <c r="C69">
        <v>6.2300000000000003E-3</v>
      </c>
      <c r="D69">
        <v>1.42E-3</v>
      </c>
      <c r="E69">
        <v>-7.1999999999999995E-2</v>
      </c>
      <c r="F69">
        <v>1.5599999999999999E-2</v>
      </c>
      <c r="G69">
        <v>0.05</v>
      </c>
      <c r="H69">
        <v>-1.1192</v>
      </c>
      <c r="I69">
        <v>0</v>
      </c>
      <c r="J69">
        <v>0</v>
      </c>
      <c r="K69">
        <v>0</v>
      </c>
      <c r="L69">
        <v>0.39129999999999998</v>
      </c>
    </row>
    <row r="70" spans="1:12" x14ac:dyDescent="0.35">
      <c r="A70">
        <v>0.95</v>
      </c>
      <c r="B70">
        <v>0.51839999999999997</v>
      </c>
      <c r="C70">
        <v>6.2500000000000003E-3</v>
      </c>
      <c r="D70">
        <v>1.4400000000000001E-3</v>
      </c>
      <c r="E70">
        <v>-7.1900000000000006E-2</v>
      </c>
      <c r="F70">
        <v>1.4E-2</v>
      </c>
      <c r="G70">
        <v>0.05</v>
      </c>
      <c r="H70">
        <v>-1.19</v>
      </c>
      <c r="I70">
        <v>0</v>
      </c>
      <c r="J70">
        <v>0</v>
      </c>
      <c r="K70">
        <v>0</v>
      </c>
      <c r="L70">
        <v>0.38790000000000002</v>
      </c>
    </row>
    <row r="71" spans="1:12" x14ac:dyDescent="0.35">
      <c r="A71">
        <v>1</v>
      </c>
      <c r="B71">
        <v>0.52969999999999995</v>
      </c>
      <c r="C71">
        <v>6.2700000000000004E-3</v>
      </c>
      <c r="D71">
        <v>1.47E-3</v>
      </c>
      <c r="E71">
        <v>-7.1800000000000003E-2</v>
      </c>
      <c r="F71">
        <v>1.3599999999999999E-2</v>
      </c>
      <c r="G71">
        <v>0.05</v>
      </c>
      <c r="H71">
        <v>-1.2638</v>
      </c>
      <c r="I71">
        <v>0</v>
      </c>
      <c r="J71">
        <v>0</v>
      </c>
      <c r="K71">
        <v>0</v>
      </c>
      <c r="L71">
        <v>0.38469999999999999</v>
      </c>
    </row>
    <row r="72" spans="1:12" x14ac:dyDescent="0.35">
      <c r="A72">
        <v>1.05</v>
      </c>
      <c r="B72">
        <v>0.54100000000000004</v>
      </c>
      <c r="C72">
        <v>6.2899999999999996E-3</v>
      </c>
      <c r="D72">
        <v>1.49E-3</v>
      </c>
      <c r="E72">
        <v>-7.1599999999999997E-2</v>
      </c>
      <c r="F72">
        <v>1.34E-2</v>
      </c>
      <c r="G72">
        <v>0.05</v>
      </c>
      <c r="H72">
        <v>-1.3406</v>
      </c>
      <c r="I72">
        <v>0</v>
      </c>
      <c r="J72">
        <v>0</v>
      </c>
      <c r="K72">
        <v>0</v>
      </c>
      <c r="L72">
        <v>0.38159999999999999</v>
      </c>
    </row>
    <row r="73" spans="1:12" x14ac:dyDescent="0.35">
      <c r="A73">
        <v>1.1000000000000001</v>
      </c>
      <c r="B73">
        <v>0.55230000000000001</v>
      </c>
      <c r="C73">
        <v>6.3E-3</v>
      </c>
      <c r="D73">
        <v>1.5200000000000001E-3</v>
      </c>
      <c r="E73">
        <v>-7.1499999999999994E-2</v>
      </c>
      <c r="F73">
        <v>1.32E-2</v>
      </c>
      <c r="G73">
        <v>0.05</v>
      </c>
      <c r="H73">
        <v>-1.4205000000000001</v>
      </c>
      <c r="I73">
        <v>0</v>
      </c>
      <c r="J73">
        <v>0</v>
      </c>
      <c r="K73">
        <v>0</v>
      </c>
      <c r="L73">
        <v>0.37859999999999999</v>
      </c>
    </row>
    <row r="74" spans="1:12" x14ac:dyDescent="0.35">
      <c r="A74">
        <v>1.1499999999999999</v>
      </c>
      <c r="B74">
        <v>0.56369999999999998</v>
      </c>
      <c r="C74">
        <v>6.3200000000000001E-3</v>
      </c>
      <c r="D74">
        <v>1.5499999999999999E-3</v>
      </c>
      <c r="E74">
        <v>-7.1300000000000002E-2</v>
      </c>
      <c r="F74">
        <v>1.29E-2</v>
      </c>
      <c r="G74">
        <v>0.05</v>
      </c>
      <c r="H74">
        <v>-1.5039</v>
      </c>
      <c r="I74">
        <v>0</v>
      </c>
      <c r="J74">
        <v>0</v>
      </c>
      <c r="K74">
        <v>0</v>
      </c>
      <c r="L74">
        <v>0.37569999999999998</v>
      </c>
    </row>
    <row r="75" spans="1:12" x14ac:dyDescent="0.35">
      <c r="A75">
        <v>1.2</v>
      </c>
      <c r="B75">
        <v>0.57509999999999994</v>
      </c>
      <c r="C75">
        <v>6.3499999999999997E-3</v>
      </c>
      <c r="D75">
        <v>1.58E-3</v>
      </c>
      <c r="E75">
        <v>-7.1099999999999997E-2</v>
      </c>
      <c r="F75">
        <v>1.26E-2</v>
      </c>
      <c r="G75">
        <v>0.05</v>
      </c>
      <c r="H75">
        <v>-1.5911999999999999</v>
      </c>
      <c r="I75">
        <v>0</v>
      </c>
      <c r="J75">
        <v>0</v>
      </c>
      <c r="K75">
        <v>0</v>
      </c>
      <c r="L75">
        <v>0.37280000000000002</v>
      </c>
    </row>
    <row r="76" spans="1:12" x14ac:dyDescent="0.35">
      <c r="A76">
        <v>1.25</v>
      </c>
      <c r="B76">
        <v>0.58660000000000001</v>
      </c>
      <c r="C76">
        <v>6.3699999999999998E-3</v>
      </c>
      <c r="D76">
        <v>1.6100000000000001E-3</v>
      </c>
      <c r="E76">
        <v>-7.0900000000000005E-2</v>
      </c>
      <c r="F76">
        <v>1.23E-2</v>
      </c>
      <c r="G76">
        <v>0.05</v>
      </c>
      <c r="H76">
        <v>-1.6829000000000001</v>
      </c>
      <c r="I76">
        <v>0</v>
      </c>
      <c r="J76">
        <v>0</v>
      </c>
      <c r="K76">
        <v>0</v>
      </c>
      <c r="L76">
        <v>0.37</v>
      </c>
    </row>
    <row r="77" spans="1:12" x14ac:dyDescent="0.35">
      <c r="A77">
        <v>1.3</v>
      </c>
      <c r="B77">
        <v>0.59809999999999997</v>
      </c>
      <c r="C77">
        <v>6.3899999999999998E-3</v>
      </c>
      <c r="D77">
        <v>1.64E-3</v>
      </c>
      <c r="E77">
        <v>-7.0699999999999999E-2</v>
      </c>
      <c r="F77">
        <v>1.1900000000000001E-2</v>
      </c>
      <c r="G77">
        <v>0.05</v>
      </c>
      <c r="H77">
        <v>-1.7796000000000001</v>
      </c>
      <c r="I77">
        <v>0</v>
      </c>
      <c r="J77">
        <v>0</v>
      </c>
      <c r="K77">
        <v>0</v>
      </c>
      <c r="L77">
        <v>0.36730000000000002</v>
      </c>
    </row>
    <row r="78" spans="1:12" x14ac:dyDescent="0.35">
      <c r="A78">
        <v>1.35</v>
      </c>
      <c r="B78">
        <v>0.60970000000000002</v>
      </c>
      <c r="C78">
        <v>6.4200000000000004E-3</v>
      </c>
      <c r="D78">
        <v>1.6800000000000001E-3</v>
      </c>
      <c r="E78">
        <v>-7.0400000000000004E-2</v>
      </c>
      <c r="F78">
        <v>1.15E-2</v>
      </c>
      <c r="G78">
        <v>0.05</v>
      </c>
      <c r="H78">
        <v>-1.8912</v>
      </c>
      <c r="I78">
        <v>0</v>
      </c>
      <c r="J78">
        <v>0</v>
      </c>
      <c r="K78">
        <v>0</v>
      </c>
      <c r="L78">
        <v>0.36459999999999998</v>
      </c>
    </row>
    <row r="79" spans="1:12" x14ac:dyDescent="0.35">
      <c r="A79">
        <v>1.4</v>
      </c>
      <c r="B79">
        <v>0.62129999999999996</v>
      </c>
      <c r="C79">
        <v>6.45E-3</v>
      </c>
      <c r="D79">
        <v>1.72E-3</v>
      </c>
      <c r="E79">
        <v>-7.0099999999999996E-2</v>
      </c>
      <c r="F79">
        <v>1.11E-2</v>
      </c>
      <c r="G79">
        <v>0.05</v>
      </c>
      <c r="H79">
        <v>-2.0198999999999998</v>
      </c>
      <c r="I79">
        <v>0</v>
      </c>
      <c r="J79">
        <v>0</v>
      </c>
      <c r="K79">
        <v>0</v>
      </c>
      <c r="L79">
        <v>0.36199999999999999</v>
      </c>
    </row>
    <row r="80" spans="1:12" x14ac:dyDescent="0.35">
      <c r="A80">
        <v>1.45</v>
      </c>
      <c r="B80">
        <v>0.63300000000000001</v>
      </c>
      <c r="C80">
        <v>6.4799999999999996E-3</v>
      </c>
      <c r="D80">
        <v>1.7700000000000001E-3</v>
      </c>
      <c r="E80">
        <v>-6.9800000000000001E-2</v>
      </c>
      <c r="F80">
        <v>1.0699999999999999E-2</v>
      </c>
      <c r="G80">
        <v>0.05</v>
      </c>
      <c r="H80">
        <v>-2.1554000000000002</v>
      </c>
      <c r="I80">
        <v>0</v>
      </c>
      <c r="J80">
        <v>0</v>
      </c>
      <c r="K80">
        <v>0</v>
      </c>
      <c r="L80">
        <v>0.3594</v>
      </c>
    </row>
    <row r="81" spans="1:12" x14ac:dyDescent="0.35">
      <c r="A81">
        <v>1.5</v>
      </c>
      <c r="B81">
        <v>0.64470000000000005</v>
      </c>
      <c r="C81">
        <v>6.5100000000000002E-3</v>
      </c>
      <c r="D81">
        <v>1.82E-3</v>
      </c>
      <c r="E81">
        <v>-6.9500000000000006E-2</v>
      </c>
      <c r="F81">
        <v>1.03E-2</v>
      </c>
      <c r="G81">
        <v>0.05</v>
      </c>
      <c r="H81">
        <v>-2.2970999999999999</v>
      </c>
      <c r="I81">
        <v>0</v>
      </c>
      <c r="J81">
        <v>0</v>
      </c>
      <c r="K81">
        <v>0</v>
      </c>
      <c r="L81">
        <v>0.35680000000000001</v>
      </c>
    </row>
    <row r="82" spans="1:12" x14ac:dyDescent="0.35">
      <c r="A82">
        <v>1.55</v>
      </c>
      <c r="B82">
        <v>0.65649999999999997</v>
      </c>
      <c r="C82">
        <v>6.5500000000000003E-3</v>
      </c>
      <c r="D82">
        <v>1.8799999999999999E-3</v>
      </c>
      <c r="E82">
        <v>-6.9099999999999995E-2</v>
      </c>
      <c r="F82">
        <v>0.01</v>
      </c>
      <c r="G82">
        <v>0.05</v>
      </c>
      <c r="H82">
        <v>-2.4432</v>
      </c>
      <c r="I82">
        <v>0</v>
      </c>
      <c r="J82">
        <v>0</v>
      </c>
      <c r="K82">
        <v>0</v>
      </c>
      <c r="L82">
        <v>0.35420000000000001</v>
      </c>
    </row>
    <row r="83" spans="1:12" x14ac:dyDescent="0.35">
      <c r="A83">
        <v>1.6</v>
      </c>
      <c r="B83">
        <v>0.66820000000000002</v>
      </c>
      <c r="C83">
        <v>6.6E-3</v>
      </c>
      <c r="D83">
        <v>1.9599999999999999E-3</v>
      </c>
      <c r="E83">
        <v>-6.8599999999999994E-2</v>
      </c>
      <c r="F83">
        <v>9.7000000000000003E-3</v>
      </c>
      <c r="G83">
        <v>0.05</v>
      </c>
      <c r="H83">
        <v>-2.59</v>
      </c>
      <c r="I83">
        <v>0</v>
      </c>
      <c r="J83">
        <v>0</v>
      </c>
      <c r="K83">
        <v>0</v>
      </c>
      <c r="L83">
        <v>0.35160000000000002</v>
      </c>
    </row>
    <row r="84" spans="1:12" x14ac:dyDescent="0.35">
      <c r="A84">
        <v>1.65</v>
      </c>
      <c r="B84">
        <v>0.67949999999999999</v>
      </c>
      <c r="C84">
        <v>6.6800000000000002E-3</v>
      </c>
      <c r="D84">
        <v>2.0699999999999998E-3</v>
      </c>
      <c r="E84">
        <v>-6.8099999999999994E-2</v>
      </c>
      <c r="F84">
        <v>9.2999999999999992E-3</v>
      </c>
      <c r="G84">
        <v>0.05</v>
      </c>
      <c r="H84">
        <v>-2.7317</v>
      </c>
      <c r="I84">
        <v>0</v>
      </c>
      <c r="J84">
        <v>0</v>
      </c>
      <c r="K84">
        <v>0</v>
      </c>
      <c r="L84">
        <v>0.34899999999999998</v>
      </c>
    </row>
    <row r="85" spans="1:12" x14ac:dyDescent="0.35">
      <c r="A85">
        <v>1.7</v>
      </c>
      <c r="B85">
        <v>0.69040000000000001</v>
      </c>
      <c r="C85">
        <v>6.79E-3</v>
      </c>
      <c r="D85">
        <v>2.2300000000000002E-3</v>
      </c>
      <c r="E85">
        <v>-6.7299999999999999E-2</v>
      </c>
      <c r="F85">
        <v>8.8000000000000005E-3</v>
      </c>
      <c r="G85">
        <v>0.05</v>
      </c>
      <c r="H85">
        <v>-2.8624000000000001</v>
      </c>
      <c r="I85">
        <v>0</v>
      </c>
      <c r="J85">
        <v>0</v>
      </c>
      <c r="K85">
        <v>0</v>
      </c>
      <c r="L85">
        <v>0.34639999999999999</v>
      </c>
    </row>
    <row r="86" spans="1:12" x14ac:dyDescent="0.35">
      <c r="A86">
        <v>1.75</v>
      </c>
      <c r="B86">
        <v>0.7006</v>
      </c>
      <c r="C86">
        <v>6.94E-3</v>
      </c>
      <c r="D86">
        <v>2.4299999999999999E-3</v>
      </c>
      <c r="E86">
        <v>-6.6500000000000004E-2</v>
      </c>
      <c r="F86">
        <v>8.3999999999999995E-3</v>
      </c>
      <c r="G86">
        <v>0.05</v>
      </c>
      <c r="H86">
        <v>-2.9742999999999999</v>
      </c>
      <c r="I86">
        <v>0</v>
      </c>
      <c r="J86">
        <v>0</v>
      </c>
      <c r="K86">
        <v>0</v>
      </c>
      <c r="L86">
        <v>0.34370000000000001</v>
      </c>
    </row>
    <row r="87" spans="1:12" x14ac:dyDescent="0.35">
      <c r="A87">
        <v>1.8</v>
      </c>
      <c r="B87">
        <v>0.71009999999999995</v>
      </c>
      <c r="C87">
        <v>7.1300000000000001E-3</v>
      </c>
      <c r="D87">
        <v>2.6700000000000001E-3</v>
      </c>
      <c r="E87">
        <v>-6.5500000000000003E-2</v>
      </c>
      <c r="F87">
        <v>8.0999999999999996E-3</v>
      </c>
      <c r="G87">
        <v>0.05</v>
      </c>
      <c r="H87">
        <v>-3.0529000000000002</v>
      </c>
      <c r="I87">
        <v>0</v>
      </c>
      <c r="J87">
        <v>0</v>
      </c>
      <c r="K87">
        <v>0</v>
      </c>
      <c r="L87">
        <v>0.34110000000000001</v>
      </c>
    </row>
    <row r="88" spans="1:12" x14ac:dyDescent="0.35">
      <c r="A88">
        <v>1.85</v>
      </c>
      <c r="B88">
        <v>0.71909999999999996</v>
      </c>
      <c r="C88">
        <v>7.3400000000000002E-3</v>
      </c>
      <c r="D88">
        <v>2.9299999999999999E-3</v>
      </c>
      <c r="E88">
        <v>-6.4500000000000002E-2</v>
      </c>
      <c r="F88">
        <v>7.7999999999999996E-3</v>
      </c>
      <c r="G88">
        <v>0.05</v>
      </c>
      <c r="H88">
        <v>-3.101</v>
      </c>
      <c r="I88">
        <v>0</v>
      </c>
      <c r="J88">
        <v>0</v>
      </c>
      <c r="K88">
        <v>0</v>
      </c>
      <c r="L88">
        <v>0.33839999999999998</v>
      </c>
    </row>
    <row r="89" spans="1:12" x14ac:dyDescent="0.35">
      <c r="A89">
        <v>1.9</v>
      </c>
      <c r="B89">
        <v>0.7278</v>
      </c>
      <c r="C89">
        <v>7.5700000000000003E-3</v>
      </c>
      <c r="D89">
        <v>3.2100000000000002E-3</v>
      </c>
      <c r="E89">
        <v>-6.3399999999999998E-2</v>
      </c>
      <c r="F89">
        <v>7.7000000000000002E-3</v>
      </c>
      <c r="G89">
        <v>0.05</v>
      </c>
      <c r="H89">
        <v>-3.1315</v>
      </c>
      <c r="I89">
        <v>0</v>
      </c>
      <c r="J89">
        <v>0</v>
      </c>
      <c r="K89">
        <v>0</v>
      </c>
      <c r="L89">
        <v>0.33579999999999999</v>
      </c>
    </row>
    <row r="90" spans="1:12" x14ac:dyDescent="0.35">
      <c r="A90">
        <v>1.95</v>
      </c>
      <c r="B90">
        <v>0.73629999999999995</v>
      </c>
      <c r="C90">
        <v>7.8100000000000001E-3</v>
      </c>
      <c r="D90">
        <v>3.5000000000000001E-3</v>
      </c>
      <c r="E90">
        <v>-6.2300000000000001E-2</v>
      </c>
      <c r="F90">
        <v>7.4999999999999997E-3</v>
      </c>
      <c r="G90">
        <v>0.05</v>
      </c>
      <c r="H90">
        <v>-3.1526999999999998</v>
      </c>
      <c r="I90">
        <v>0</v>
      </c>
      <c r="J90">
        <v>0</v>
      </c>
      <c r="K90">
        <v>0</v>
      </c>
      <c r="L90">
        <v>0.33329999999999999</v>
      </c>
    </row>
    <row r="91" spans="1:12" x14ac:dyDescent="0.35">
      <c r="A91">
        <v>2</v>
      </c>
      <c r="B91">
        <v>0.74460000000000004</v>
      </c>
      <c r="C91">
        <v>8.0599999999999995E-3</v>
      </c>
      <c r="D91">
        <v>3.79E-3</v>
      </c>
      <c r="E91">
        <v>-6.1100000000000002E-2</v>
      </c>
      <c r="F91">
        <v>7.4000000000000003E-3</v>
      </c>
      <c r="G91">
        <v>0.05</v>
      </c>
      <c r="H91">
        <v>-3.1684999999999999</v>
      </c>
      <c r="I91">
        <v>0</v>
      </c>
      <c r="J91">
        <v>0</v>
      </c>
      <c r="K91">
        <v>0</v>
      </c>
      <c r="L91">
        <v>0.33079999999999998</v>
      </c>
    </row>
    <row r="92" spans="1:12" x14ac:dyDescent="0.35">
      <c r="A92">
        <v>2.0499999999999998</v>
      </c>
      <c r="B92">
        <v>0.753</v>
      </c>
      <c r="C92">
        <v>8.3199999999999993E-3</v>
      </c>
      <c r="D92">
        <v>4.1000000000000003E-3</v>
      </c>
      <c r="E92">
        <v>-0.06</v>
      </c>
      <c r="F92">
        <v>7.4000000000000003E-3</v>
      </c>
      <c r="G92">
        <v>0.05</v>
      </c>
      <c r="H92">
        <v>-3.1808999999999998</v>
      </c>
      <c r="I92">
        <v>0</v>
      </c>
      <c r="J92">
        <v>0</v>
      </c>
      <c r="K92">
        <v>0</v>
      </c>
      <c r="L92">
        <v>0.32829999999999998</v>
      </c>
    </row>
    <row r="93" spans="1:12" x14ac:dyDescent="0.35">
      <c r="A93">
        <v>2.1</v>
      </c>
      <c r="B93">
        <v>0.76149999999999995</v>
      </c>
      <c r="C93">
        <v>8.5900000000000004E-3</v>
      </c>
      <c r="D93">
        <v>4.4099999999999999E-3</v>
      </c>
      <c r="E93">
        <v>-5.8799999999999998E-2</v>
      </c>
      <c r="F93">
        <v>7.3000000000000001E-3</v>
      </c>
      <c r="G93">
        <v>0.05</v>
      </c>
      <c r="H93">
        <v>-3.1918000000000002</v>
      </c>
      <c r="I93">
        <v>0</v>
      </c>
      <c r="J93">
        <v>0</v>
      </c>
      <c r="K93">
        <v>0</v>
      </c>
      <c r="L93">
        <v>0.32579999999999998</v>
      </c>
    </row>
    <row r="94" spans="1:12" x14ac:dyDescent="0.35">
      <c r="A94">
        <v>2.15</v>
      </c>
      <c r="B94">
        <v>0.77039999999999997</v>
      </c>
      <c r="C94">
        <v>8.8800000000000007E-3</v>
      </c>
      <c r="D94">
        <v>4.7400000000000003E-3</v>
      </c>
      <c r="E94">
        <v>-5.7599999999999998E-2</v>
      </c>
      <c r="F94">
        <v>7.1999999999999998E-3</v>
      </c>
      <c r="G94">
        <v>0.05</v>
      </c>
      <c r="H94">
        <v>-3.2014999999999998</v>
      </c>
      <c r="I94">
        <v>0</v>
      </c>
      <c r="J94">
        <v>0</v>
      </c>
      <c r="K94">
        <v>0</v>
      </c>
      <c r="L94">
        <v>0.32340000000000002</v>
      </c>
    </row>
    <row r="95" spans="1:12" x14ac:dyDescent="0.35">
      <c r="A95">
        <v>2.2000000000000002</v>
      </c>
      <c r="B95">
        <v>0.77949999999999997</v>
      </c>
      <c r="C95">
        <v>9.1900000000000003E-3</v>
      </c>
      <c r="D95">
        <v>5.0899999999999999E-3</v>
      </c>
      <c r="E95">
        <v>-5.6500000000000002E-2</v>
      </c>
      <c r="F95">
        <v>7.1999999999999998E-3</v>
      </c>
      <c r="G95">
        <v>0.05</v>
      </c>
      <c r="H95">
        <v>-3.2096</v>
      </c>
      <c r="I95">
        <v>0</v>
      </c>
      <c r="J95">
        <v>0</v>
      </c>
      <c r="K95">
        <v>0</v>
      </c>
      <c r="L95">
        <v>0.3211</v>
      </c>
    </row>
    <row r="96" spans="1:12" x14ac:dyDescent="0.35">
      <c r="A96">
        <v>2.25</v>
      </c>
      <c r="B96">
        <v>0.78910000000000002</v>
      </c>
      <c r="C96">
        <v>9.5099999999999994E-3</v>
      </c>
      <c r="D96">
        <v>5.4599999999999996E-3</v>
      </c>
      <c r="E96">
        <v>-5.5399999999999998E-2</v>
      </c>
      <c r="F96">
        <v>7.1999999999999998E-3</v>
      </c>
      <c r="G96">
        <v>0.05</v>
      </c>
      <c r="H96">
        <v>-3.2166999999999999</v>
      </c>
      <c r="I96">
        <v>0</v>
      </c>
      <c r="J96">
        <v>0</v>
      </c>
      <c r="K96">
        <v>0</v>
      </c>
      <c r="L96">
        <v>0.31879999999999997</v>
      </c>
    </row>
    <row r="97" spans="1:12" x14ac:dyDescent="0.35">
      <c r="A97">
        <v>2.2999999999999998</v>
      </c>
      <c r="B97">
        <v>0.79900000000000004</v>
      </c>
      <c r="C97">
        <v>9.8600000000000007E-3</v>
      </c>
      <c r="D97">
        <v>5.8500000000000002E-3</v>
      </c>
      <c r="E97">
        <v>-5.4399999999999997E-2</v>
      </c>
      <c r="F97">
        <v>7.1000000000000004E-3</v>
      </c>
      <c r="G97">
        <v>0.05</v>
      </c>
      <c r="H97">
        <v>-3.2225000000000001</v>
      </c>
      <c r="I97">
        <v>0</v>
      </c>
      <c r="J97">
        <v>0</v>
      </c>
      <c r="K97">
        <v>0</v>
      </c>
      <c r="L97">
        <v>0.31659999999999999</v>
      </c>
    </row>
    <row r="98" spans="1:12" x14ac:dyDescent="0.35">
      <c r="A98">
        <v>2.35</v>
      </c>
      <c r="B98">
        <v>0.80920000000000003</v>
      </c>
      <c r="C98">
        <v>1.023E-2</v>
      </c>
      <c r="D98">
        <v>6.2700000000000004E-3</v>
      </c>
      <c r="E98">
        <v>-5.3400000000000003E-2</v>
      </c>
      <c r="F98">
        <v>7.1000000000000004E-3</v>
      </c>
      <c r="G98">
        <v>0.05</v>
      </c>
      <c r="H98">
        <v>-3.2265999999999999</v>
      </c>
      <c r="I98">
        <v>0</v>
      </c>
      <c r="J98">
        <v>0</v>
      </c>
      <c r="K98">
        <v>0</v>
      </c>
      <c r="L98">
        <v>0.31440000000000001</v>
      </c>
    </row>
    <row r="99" spans="1:12" x14ac:dyDescent="0.35">
      <c r="A99">
        <v>2.4</v>
      </c>
      <c r="B99">
        <v>0.81950000000000001</v>
      </c>
      <c r="C99">
        <v>1.0630000000000001E-2</v>
      </c>
      <c r="D99">
        <v>6.7200000000000003E-3</v>
      </c>
      <c r="E99">
        <v>-5.2299999999999999E-2</v>
      </c>
      <c r="F99">
        <v>7.1000000000000004E-3</v>
      </c>
      <c r="G99">
        <v>0.05</v>
      </c>
      <c r="H99">
        <v>-3.2288000000000001</v>
      </c>
      <c r="I99">
        <v>0</v>
      </c>
      <c r="J99">
        <v>0</v>
      </c>
      <c r="K99">
        <v>0</v>
      </c>
      <c r="L99">
        <v>0.31230000000000002</v>
      </c>
    </row>
    <row r="100" spans="1:12" x14ac:dyDescent="0.35">
      <c r="A100">
        <v>2.4500000000000002</v>
      </c>
      <c r="B100">
        <v>0.82979999999999998</v>
      </c>
      <c r="C100">
        <v>1.107E-2</v>
      </c>
      <c r="D100">
        <v>7.2100000000000003E-3</v>
      </c>
      <c r="E100">
        <v>-5.1299999999999998E-2</v>
      </c>
      <c r="F100">
        <v>7.1000000000000004E-3</v>
      </c>
      <c r="G100">
        <v>0.05</v>
      </c>
      <c r="H100">
        <v>-3.2284999999999999</v>
      </c>
      <c r="I100">
        <v>0</v>
      </c>
      <c r="J100">
        <v>0</v>
      </c>
      <c r="K100">
        <v>0</v>
      </c>
      <c r="L100">
        <v>0.31019999999999998</v>
      </c>
    </row>
    <row r="101" spans="1:12" x14ac:dyDescent="0.35">
      <c r="A101">
        <v>2.5</v>
      </c>
      <c r="B101">
        <v>0.83989999999999998</v>
      </c>
      <c r="C101">
        <v>1.153E-2</v>
      </c>
      <c r="D101">
        <v>7.7299999999999999E-3</v>
      </c>
      <c r="E101">
        <v>-5.0200000000000002E-2</v>
      </c>
      <c r="F101">
        <v>7.1000000000000004E-3</v>
      </c>
      <c r="G101">
        <v>0.05</v>
      </c>
      <c r="H101">
        <v>-3.2271000000000001</v>
      </c>
      <c r="I101">
        <v>0</v>
      </c>
      <c r="J101">
        <v>0</v>
      </c>
      <c r="K101">
        <v>0</v>
      </c>
      <c r="L101">
        <v>0.30819999999999997</v>
      </c>
    </row>
    <row r="102" spans="1:12" x14ac:dyDescent="0.35">
      <c r="A102">
        <v>2.5499999999999998</v>
      </c>
      <c r="B102">
        <v>0.84960000000000002</v>
      </c>
      <c r="C102">
        <v>1.2030000000000001E-2</v>
      </c>
      <c r="D102">
        <v>8.2900000000000005E-3</v>
      </c>
      <c r="E102">
        <v>-4.9099999999999998E-2</v>
      </c>
      <c r="F102">
        <v>7.0000000000000001E-3</v>
      </c>
      <c r="G102">
        <v>0.05</v>
      </c>
      <c r="H102">
        <v>-3.2273000000000001</v>
      </c>
      <c r="I102">
        <v>0</v>
      </c>
      <c r="J102">
        <v>0</v>
      </c>
      <c r="K102">
        <v>0</v>
      </c>
      <c r="L102">
        <v>0.30620000000000003</v>
      </c>
    </row>
    <row r="103" spans="1:12" x14ac:dyDescent="0.35">
      <c r="A103">
        <v>2.6</v>
      </c>
      <c r="B103">
        <v>0.85870000000000002</v>
      </c>
      <c r="C103">
        <v>1.256E-2</v>
      </c>
      <c r="D103">
        <v>8.8900000000000003E-3</v>
      </c>
      <c r="E103">
        <v>-4.8000000000000001E-2</v>
      </c>
      <c r="F103">
        <v>7.0000000000000001E-3</v>
      </c>
      <c r="G103">
        <v>0.05</v>
      </c>
      <c r="H103">
        <v>-3.2290000000000001</v>
      </c>
      <c r="I103">
        <v>0</v>
      </c>
      <c r="J103">
        <v>0</v>
      </c>
      <c r="K103">
        <v>0</v>
      </c>
      <c r="L103">
        <v>0.30420000000000003</v>
      </c>
    </row>
    <row r="104" spans="1:12" x14ac:dyDescent="0.35">
      <c r="A104">
        <v>2.65</v>
      </c>
      <c r="B104">
        <v>0.86719999999999997</v>
      </c>
      <c r="C104">
        <v>1.312E-2</v>
      </c>
      <c r="D104">
        <v>9.5099999999999994E-3</v>
      </c>
      <c r="E104">
        <v>-4.6899999999999997E-2</v>
      </c>
      <c r="F104">
        <v>6.8999999999999999E-3</v>
      </c>
      <c r="G104">
        <v>0.05</v>
      </c>
      <c r="H104">
        <v>-3.2282000000000002</v>
      </c>
      <c r="I104">
        <v>0</v>
      </c>
      <c r="J104">
        <v>0</v>
      </c>
      <c r="K104">
        <v>0</v>
      </c>
      <c r="L104">
        <v>0.30230000000000001</v>
      </c>
    </row>
    <row r="105" spans="1:12" x14ac:dyDescent="0.35">
      <c r="A105">
        <v>2.7</v>
      </c>
      <c r="B105">
        <v>0.87509999999999999</v>
      </c>
      <c r="C105">
        <v>1.37E-2</v>
      </c>
      <c r="D105">
        <v>1.0160000000000001E-2</v>
      </c>
      <c r="E105">
        <v>-4.5699999999999998E-2</v>
      </c>
      <c r="F105">
        <v>7.0000000000000001E-3</v>
      </c>
      <c r="G105">
        <v>0.05</v>
      </c>
      <c r="H105">
        <v>-3.2233999999999998</v>
      </c>
      <c r="I105">
        <v>0</v>
      </c>
      <c r="J105">
        <v>0</v>
      </c>
      <c r="K105">
        <v>0</v>
      </c>
      <c r="L105">
        <v>0.3004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922930-D6C6-4BAA-BCAB-596AE153D16B}">
  <sheetPr codeName="Sheet27"/>
  <dimension ref="A1:L113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-2.65</v>
      </c>
      <c r="B2">
        <v>-0.2515</v>
      </c>
      <c r="C2">
        <v>1.9570000000000001E-2</v>
      </c>
      <c r="D2">
        <v>1.6E-2</v>
      </c>
      <c r="E2">
        <v>-8.1799999999999998E-2</v>
      </c>
      <c r="F2">
        <v>0.05</v>
      </c>
      <c r="G2">
        <v>3.5000000000000001E-3</v>
      </c>
      <c r="H2">
        <v>-2.7795000000000001</v>
      </c>
      <c r="I2">
        <v>0</v>
      </c>
      <c r="J2">
        <v>0</v>
      </c>
      <c r="K2">
        <v>0</v>
      </c>
      <c r="L2">
        <v>-7.7200000000000005E-2</v>
      </c>
    </row>
    <row r="3" spans="1:12" x14ac:dyDescent="0.35">
      <c r="A3">
        <v>-2.6</v>
      </c>
      <c r="B3">
        <v>-0.24440000000000001</v>
      </c>
      <c r="C3">
        <v>1.882E-2</v>
      </c>
      <c r="D3">
        <v>1.52E-2</v>
      </c>
      <c r="E3">
        <v>-8.1699999999999995E-2</v>
      </c>
      <c r="F3">
        <v>0.05</v>
      </c>
      <c r="G3">
        <v>3.5000000000000001E-3</v>
      </c>
      <c r="H3">
        <v>-2.7383999999999999</v>
      </c>
      <c r="I3">
        <v>0</v>
      </c>
      <c r="J3">
        <v>0</v>
      </c>
      <c r="K3">
        <v>0</v>
      </c>
      <c r="L3">
        <v>-8.6300000000000002E-2</v>
      </c>
    </row>
    <row r="4" spans="1:12" x14ac:dyDescent="0.35">
      <c r="A4">
        <v>-2.5499999999999998</v>
      </c>
      <c r="B4">
        <v>-0.23699999999999999</v>
      </c>
      <c r="C4">
        <v>1.8100000000000002E-2</v>
      </c>
      <c r="D4">
        <v>1.4420000000000001E-2</v>
      </c>
      <c r="E4">
        <v>-8.1500000000000003E-2</v>
      </c>
      <c r="F4">
        <v>0.05</v>
      </c>
      <c r="G4">
        <v>3.5000000000000001E-3</v>
      </c>
      <c r="H4">
        <v>-2.7665000000000002</v>
      </c>
      <c r="I4">
        <v>0</v>
      </c>
      <c r="J4">
        <v>0</v>
      </c>
      <c r="K4">
        <v>0</v>
      </c>
      <c r="L4">
        <v>-9.6299999999999997E-2</v>
      </c>
    </row>
    <row r="5" spans="1:12" x14ac:dyDescent="0.35">
      <c r="A5">
        <v>-2.5</v>
      </c>
      <c r="B5">
        <v>-0.22919999999999999</v>
      </c>
      <c r="C5">
        <v>1.7399999999999999E-2</v>
      </c>
      <c r="D5">
        <v>1.366E-2</v>
      </c>
      <c r="E5">
        <v>-8.14E-2</v>
      </c>
      <c r="F5">
        <v>0.05</v>
      </c>
      <c r="G5">
        <v>3.5000000000000001E-3</v>
      </c>
      <c r="H5">
        <v>-2.7930000000000001</v>
      </c>
      <c r="I5">
        <v>0</v>
      </c>
      <c r="J5">
        <v>0</v>
      </c>
      <c r="K5">
        <v>0</v>
      </c>
      <c r="L5">
        <v>-0.10730000000000001</v>
      </c>
    </row>
    <row r="6" spans="1:12" x14ac:dyDescent="0.35">
      <c r="A6">
        <v>-2.4500000000000002</v>
      </c>
      <c r="B6">
        <v>-0.22109999999999999</v>
      </c>
      <c r="C6">
        <v>1.6719999999999999E-2</v>
      </c>
      <c r="D6">
        <v>1.2919999999999999E-2</v>
      </c>
      <c r="E6">
        <v>-8.1199999999999994E-2</v>
      </c>
      <c r="F6">
        <v>0.05</v>
      </c>
      <c r="G6">
        <v>3.5000000000000001E-3</v>
      </c>
      <c r="H6">
        <v>-2.8163999999999998</v>
      </c>
      <c r="I6">
        <v>0</v>
      </c>
      <c r="J6">
        <v>0</v>
      </c>
      <c r="K6">
        <v>0</v>
      </c>
      <c r="L6">
        <v>-0.1195</v>
      </c>
    </row>
    <row r="7" spans="1:12" x14ac:dyDescent="0.35">
      <c r="A7">
        <v>-2.4</v>
      </c>
      <c r="B7">
        <v>-0.2127</v>
      </c>
      <c r="C7">
        <v>1.6070000000000001E-2</v>
      </c>
      <c r="D7">
        <v>1.2200000000000001E-2</v>
      </c>
      <c r="E7">
        <v>-8.1000000000000003E-2</v>
      </c>
      <c r="F7">
        <v>0.05</v>
      </c>
      <c r="G7">
        <v>3.5000000000000001E-3</v>
      </c>
      <c r="H7">
        <v>-2.8369</v>
      </c>
      <c r="I7">
        <v>0</v>
      </c>
      <c r="J7">
        <v>0</v>
      </c>
      <c r="K7">
        <v>0</v>
      </c>
      <c r="L7">
        <v>-0.13300000000000001</v>
      </c>
    </row>
    <row r="8" spans="1:12" x14ac:dyDescent="0.35">
      <c r="A8">
        <v>-2.35</v>
      </c>
      <c r="B8">
        <v>-0.20399999999999999</v>
      </c>
      <c r="C8">
        <v>1.5440000000000001E-2</v>
      </c>
      <c r="D8">
        <v>1.15E-2</v>
      </c>
      <c r="E8">
        <v>-8.0699999999999994E-2</v>
      </c>
      <c r="F8">
        <v>0.05</v>
      </c>
      <c r="G8">
        <v>3.5000000000000001E-3</v>
      </c>
      <c r="H8">
        <v>-2.8544999999999998</v>
      </c>
      <c r="I8">
        <v>0</v>
      </c>
      <c r="J8">
        <v>0</v>
      </c>
      <c r="K8">
        <v>0</v>
      </c>
      <c r="L8">
        <v>-0.14810000000000001</v>
      </c>
    </row>
    <row r="9" spans="1:12" x14ac:dyDescent="0.35">
      <c r="A9">
        <v>-2.2999999999999998</v>
      </c>
      <c r="B9">
        <v>-0.19500000000000001</v>
      </c>
      <c r="C9">
        <v>1.482E-2</v>
      </c>
      <c r="D9">
        <v>1.082E-2</v>
      </c>
      <c r="E9">
        <v>-8.0500000000000002E-2</v>
      </c>
      <c r="F9">
        <v>0.05</v>
      </c>
      <c r="G9">
        <v>3.5000000000000001E-3</v>
      </c>
      <c r="H9">
        <v>-2.8696000000000002</v>
      </c>
      <c r="I9">
        <v>0</v>
      </c>
      <c r="J9">
        <v>0</v>
      </c>
      <c r="K9">
        <v>0</v>
      </c>
      <c r="L9">
        <v>-0.1651</v>
      </c>
    </row>
    <row r="10" spans="1:12" x14ac:dyDescent="0.35">
      <c r="A10">
        <v>-2.25</v>
      </c>
      <c r="B10">
        <v>-0.18579999999999999</v>
      </c>
      <c r="C10">
        <v>1.423E-2</v>
      </c>
      <c r="D10">
        <v>1.0160000000000001E-2</v>
      </c>
      <c r="E10">
        <v>-8.0199999999999994E-2</v>
      </c>
      <c r="F10">
        <v>0.05</v>
      </c>
      <c r="G10">
        <v>3.5999999999999999E-3</v>
      </c>
      <c r="H10">
        <v>-2.8826999999999998</v>
      </c>
      <c r="I10">
        <v>0</v>
      </c>
      <c r="J10">
        <v>0</v>
      </c>
      <c r="K10">
        <v>0</v>
      </c>
      <c r="L10">
        <v>-0.1842</v>
      </c>
    </row>
    <row r="11" spans="1:12" x14ac:dyDescent="0.35">
      <c r="A11">
        <v>-2.2000000000000002</v>
      </c>
      <c r="B11">
        <v>-0.17630000000000001</v>
      </c>
      <c r="C11">
        <v>1.366E-2</v>
      </c>
      <c r="D11">
        <v>9.5200000000000007E-3</v>
      </c>
      <c r="E11">
        <v>-7.9899999999999999E-2</v>
      </c>
      <c r="F11">
        <v>0.05</v>
      </c>
      <c r="G11">
        <v>3.7000000000000002E-3</v>
      </c>
      <c r="H11">
        <v>-2.8940000000000001</v>
      </c>
      <c r="I11">
        <v>0</v>
      </c>
      <c r="J11">
        <v>0</v>
      </c>
      <c r="K11">
        <v>0</v>
      </c>
      <c r="L11">
        <v>-0.20580000000000001</v>
      </c>
    </row>
    <row r="12" spans="1:12" x14ac:dyDescent="0.35">
      <c r="A12">
        <v>-2.15</v>
      </c>
      <c r="B12">
        <v>-0.1666</v>
      </c>
      <c r="C12">
        <v>1.311E-2</v>
      </c>
      <c r="D12">
        <v>8.8999999999999999E-3</v>
      </c>
      <c r="E12">
        <v>-7.9600000000000004E-2</v>
      </c>
      <c r="F12">
        <v>0.05</v>
      </c>
      <c r="G12">
        <v>3.8E-3</v>
      </c>
      <c r="H12">
        <v>-2.9037999999999999</v>
      </c>
      <c r="I12">
        <v>0</v>
      </c>
      <c r="J12">
        <v>0</v>
      </c>
      <c r="K12">
        <v>0</v>
      </c>
      <c r="L12">
        <v>-0.23050000000000001</v>
      </c>
    </row>
    <row r="13" spans="1:12" x14ac:dyDescent="0.35">
      <c r="A13">
        <v>-2.1</v>
      </c>
      <c r="B13">
        <v>-0.15659999999999999</v>
      </c>
      <c r="C13">
        <v>1.257E-2</v>
      </c>
      <c r="D13">
        <v>8.3000000000000001E-3</v>
      </c>
      <c r="E13">
        <v>-7.9299999999999995E-2</v>
      </c>
      <c r="F13">
        <v>0.05</v>
      </c>
      <c r="G13">
        <v>4.0000000000000001E-3</v>
      </c>
      <c r="H13">
        <v>-2.9121000000000001</v>
      </c>
      <c r="I13">
        <v>0</v>
      </c>
      <c r="J13">
        <v>0</v>
      </c>
      <c r="K13">
        <v>0</v>
      </c>
      <c r="L13">
        <v>-0.25890000000000002</v>
      </c>
    </row>
    <row r="14" spans="1:12" x14ac:dyDescent="0.35">
      <c r="A14">
        <v>-2.0499999999999998</v>
      </c>
      <c r="B14">
        <v>-0.14649999999999999</v>
      </c>
      <c r="C14">
        <v>1.206E-2</v>
      </c>
      <c r="D14">
        <v>7.7200000000000003E-3</v>
      </c>
      <c r="E14">
        <v>-7.8899999999999998E-2</v>
      </c>
      <c r="F14">
        <v>0.05</v>
      </c>
      <c r="G14">
        <v>4.1999999999999997E-3</v>
      </c>
      <c r="H14">
        <v>-2.9184999999999999</v>
      </c>
      <c r="I14">
        <v>0</v>
      </c>
      <c r="J14">
        <v>0</v>
      </c>
      <c r="K14">
        <v>0</v>
      </c>
      <c r="L14">
        <v>-0.29160000000000003</v>
      </c>
    </row>
    <row r="15" spans="1:12" x14ac:dyDescent="0.35">
      <c r="A15">
        <v>-2</v>
      </c>
      <c r="B15">
        <v>-0.13619999999999999</v>
      </c>
      <c r="C15">
        <v>1.1560000000000001E-2</v>
      </c>
      <c r="D15">
        <v>7.1500000000000001E-3</v>
      </c>
      <c r="E15">
        <v>-7.8600000000000003E-2</v>
      </c>
      <c r="F15">
        <v>0.05</v>
      </c>
      <c r="G15">
        <v>4.4000000000000003E-3</v>
      </c>
      <c r="H15">
        <v>-2.9220999999999999</v>
      </c>
      <c r="I15">
        <v>0</v>
      </c>
      <c r="J15">
        <v>0</v>
      </c>
      <c r="K15">
        <v>0</v>
      </c>
      <c r="L15">
        <v>-0.32979999999999998</v>
      </c>
    </row>
    <row r="16" spans="1:12" x14ac:dyDescent="0.35">
      <c r="A16">
        <v>-1.95</v>
      </c>
      <c r="B16">
        <v>-0.1258</v>
      </c>
      <c r="C16">
        <v>1.107E-2</v>
      </c>
      <c r="D16">
        <v>6.5900000000000004E-3</v>
      </c>
      <c r="E16">
        <v>-7.8200000000000006E-2</v>
      </c>
      <c r="F16">
        <v>0.05</v>
      </c>
      <c r="G16">
        <v>4.5999999999999999E-3</v>
      </c>
      <c r="H16">
        <v>-2.9214000000000002</v>
      </c>
      <c r="I16">
        <v>0</v>
      </c>
      <c r="J16">
        <v>0</v>
      </c>
      <c r="K16">
        <v>0</v>
      </c>
      <c r="L16">
        <v>-0.37469999999999998</v>
      </c>
    </row>
    <row r="17" spans="1:12" x14ac:dyDescent="0.35">
      <c r="A17">
        <v>-1.9</v>
      </c>
      <c r="B17">
        <v>-0.1154</v>
      </c>
      <c r="C17">
        <v>1.06E-2</v>
      </c>
      <c r="D17">
        <v>6.0499999999999998E-3</v>
      </c>
      <c r="E17">
        <v>-7.7799999999999994E-2</v>
      </c>
      <c r="F17">
        <v>0.05</v>
      </c>
      <c r="G17">
        <v>4.7999999999999996E-3</v>
      </c>
      <c r="H17">
        <v>-2.9142000000000001</v>
      </c>
      <c r="I17">
        <v>0</v>
      </c>
      <c r="J17">
        <v>0</v>
      </c>
      <c r="K17">
        <v>0</v>
      </c>
      <c r="L17">
        <v>-0.42809999999999998</v>
      </c>
    </row>
    <row r="18" spans="1:12" x14ac:dyDescent="0.35">
      <c r="A18">
        <v>-1.85</v>
      </c>
      <c r="B18">
        <v>-0.10489999999999999</v>
      </c>
      <c r="C18">
        <v>1.013E-2</v>
      </c>
      <c r="D18">
        <v>5.5300000000000002E-3</v>
      </c>
      <c r="E18">
        <v>-7.7399999999999997E-2</v>
      </c>
      <c r="F18">
        <v>0.05</v>
      </c>
      <c r="G18">
        <v>5.0000000000000001E-3</v>
      </c>
      <c r="H18">
        <v>-2.8965000000000001</v>
      </c>
      <c r="I18">
        <v>0</v>
      </c>
      <c r="J18">
        <v>0</v>
      </c>
      <c r="K18">
        <v>0</v>
      </c>
      <c r="L18">
        <v>-0.49209999999999998</v>
      </c>
    </row>
    <row r="19" spans="1:12" x14ac:dyDescent="0.35">
      <c r="A19">
        <v>-1.8</v>
      </c>
      <c r="B19">
        <v>-9.4299999999999995E-2</v>
      </c>
      <c r="C19">
        <v>9.6900000000000007E-3</v>
      </c>
      <c r="D19">
        <v>5.0200000000000002E-3</v>
      </c>
      <c r="E19">
        <v>-7.6999999999999999E-2</v>
      </c>
      <c r="F19">
        <v>0.05</v>
      </c>
      <c r="G19">
        <v>5.1999999999999998E-3</v>
      </c>
      <c r="H19">
        <v>-2.8589000000000002</v>
      </c>
      <c r="I19">
        <v>0</v>
      </c>
      <c r="J19">
        <v>0</v>
      </c>
      <c r="K19">
        <v>0</v>
      </c>
      <c r="L19">
        <v>-0.57030000000000003</v>
      </c>
    </row>
    <row r="20" spans="1:12" x14ac:dyDescent="0.35">
      <c r="A20">
        <v>-1.75</v>
      </c>
      <c r="B20">
        <v>-8.3799999999999999E-2</v>
      </c>
      <c r="C20">
        <v>9.2800000000000001E-3</v>
      </c>
      <c r="D20">
        <v>4.5500000000000002E-3</v>
      </c>
      <c r="E20">
        <v>-7.6600000000000001E-2</v>
      </c>
      <c r="F20">
        <v>0.05</v>
      </c>
      <c r="G20">
        <v>5.4000000000000003E-3</v>
      </c>
      <c r="H20">
        <v>-2.8045</v>
      </c>
      <c r="I20">
        <v>0</v>
      </c>
      <c r="J20">
        <v>0</v>
      </c>
      <c r="K20">
        <v>0</v>
      </c>
      <c r="L20">
        <v>-0.66820000000000002</v>
      </c>
    </row>
    <row r="21" spans="1:12" x14ac:dyDescent="0.35">
      <c r="A21">
        <v>-1.7</v>
      </c>
      <c r="B21">
        <v>-7.3300000000000004E-2</v>
      </c>
      <c r="C21">
        <v>8.8900000000000003E-3</v>
      </c>
      <c r="D21">
        <v>4.1099999999999999E-3</v>
      </c>
      <c r="E21">
        <v>-7.6100000000000001E-2</v>
      </c>
      <c r="F21">
        <v>0.05</v>
      </c>
      <c r="G21">
        <v>5.5999999999999999E-3</v>
      </c>
      <c r="H21">
        <v>-2.7503000000000002</v>
      </c>
      <c r="I21">
        <v>0</v>
      </c>
      <c r="J21">
        <v>0</v>
      </c>
      <c r="K21">
        <v>0</v>
      </c>
      <c r="L21">
        <v>-0.79269999999999996</v>
      </c>
    </row>
    <row r="22" spans="1:12" x14ac:dyDescent="0.35">
      <c r="A22">
        <v>-1.65</v>
      </c>
      <c r="B22">
        <v>-6.2899999999999998E-2</v>
      </c>
      <c r="C22">
        <v>8.5400000000000007E-3</v>
      </c>
      <c r="D22">
        <v>3.7000000000000002E-3</v>
      </c>
      <c r="E22">
        <v>-7.5700000000000003E-2</v>
      </c>
      <c r="F22">
        <v>0.05</v>
      </c>
      <c r="G22">
        <v>6.0000000000000001E-3</v>
      </c>
      <c r="H22">
        <v>-2.7454000000000001</v>
      </c>
      <c r="I22">
        <v>0</v>
      </c>
      <c r="J22">
        <v>0</v>
      </c>
      <c r="K22">
        <v>0</v>
      </c>
      <c r="L22">
        <v>-0.95779999999999998</v>
      </c>
    </row>
    <row r="23" spans="1:12" x14ac:dyDescent="0.35">
      <c r="A23">
        <v>-1.6</v>
      </c>
      <c r="B23">
        <v>-5.2600000000000001E-2</v>
      </c>
      <c r="C23">
        <v>8.2000000000000007E-3</v>
      </c>
      <c r="D23">
        <v>3.32E-3</v>
      </c>
      <c r="E23">
        <v>-7.5200000000000003E-2</v>
      </c>
      <c r="F23">
        <v>0.05</v>
      </c>
      <c r="G23">
        <v>6.3E-3</v>
      </c>
      <c r="H23">
        <v>-2.7450999999999999</v>
      </c>
      <c r="I23">
        <v>0</v>
      </c>
      <c r="J23">
        <v>0</v>
      </c>
      <c r="K23">
        <v>0</v>
      </c>
      <c r="L23">
        <v>-1.1868000000000001</v>
      </c>
    </row>
    <row r="24" spans="1:12" x14ac:dyDescent="0.35">
      <c r="A24">
        <v>-1.55</v>
      </c>
      <c r="B24">
        <v>-4.2099999999999999E-2</v>
      </c>
      <c r="C24">
        <v>7.9100000000000004E-3</v>
      </c>
      <c r="D24">
        <v>2.97E-3</v>
      </c>
      <c r="E24">
        <v>-7.4800000000000005E-2</v>
      </c>
      <c r="F24">
        <v>0.05</v>
      </c>
      <c r="G24">
        <v>6.7999999999999996E-3</v>
      </c>
      <c r="H24">
        <v>-2.7229000000000001</v>
      </c>
      <c r="I24">
        <v>0</v>
      </c>
      <c r="J24">
        <v>0</v>
      </c>
      <c r="K24">
        <v>0</v>
      </c>
      <c r="L24">
        <v>-1.5344</v>
      </c>
    </row>
    <row r="25" spans="1:12" x14ac:dyDescent="0.35">
      <c r="A25">
        <v>-1.5</v>
      </c>
      <c r="B25">
        <v>-3.1300000000000001E-2</v>
      </c>
      <c r="C25">
        <v>7.6600000000000001E-3</v>
      </c>
      <c r="D25">
        <v>2.6700000000000001E-3</v>
      </c>
      <c r="E25">
        <v>-7.4499999999999997E-2</v>
      </c>
      <c r="F25">
        <v>0.05</v>
      </c>
      <c r="G25">
        <v>7.4000000000000003E-3</v>
      </c>
      <c r="H25">
        <v>-2.6644999999999999</v>
      </c>
      <c r="I25">
        <v>0</v>
      </c>
      <c r="J25">
        <v>0</v>
      </c>
      <c r="K25">
        <v>0</v>
      </c>
      <c r="L25">
        <v>-2.1354000000000002</v>
      </c>
    </row>
    <row r="26" spans="1:12" x14ac:dyDescent="0.35">
      <c r="A26">
        <v>-1.45</v>
      </c>
      <c r="B26">
        <v>-2.0299999999999999E-2</v>
      </c>
      <c r="C26">
        <v>7.4599999999999996E-3</v>
      </c>
      <c r="D26">
        <v>2.4199999999999998E-3</v>
      </c>
      <c r="E26">
        <v>-7.4200000000000002E-2</v>
      </c>
      <c r="F26">
        <v>0.05</v>
      </c>
      <c r="G26">
        <v>8.0999999999999996E-3</v>
      </c>
      <c r="H26">
        <v>-2.5714000000000001</v>
      </c>
      <c r="I26">
        <v>0</v>
      </c>
      <c r="J26">
        <v>0</v>
      </c>
      <c r="K26">
        <v>0</v>
      </c>
      <c r="L26">
        <v>-3.4176000000000002</v>
      </c>
    </row>
    <row r="27" spans="1:12" x14ac:dyDescent="0.35">
      <c r="A27">
        <v>-1.4</v>
      </c>
      <c r="B27">
        <v>-8.9999999999999993E-3</v>
      </c>
      <c r="C27">
        <v>7.3099999999999997E-3</v>
      </c>
      <c r="D27">
        <v>2.2200000000000002E-3</v>
      </c>
      <c r="E27">
        <v>-7.3899999999999993E-2</v>
      </c>
      <c r="F27">
        <v>0.05</v>
      </c>
      <c r="G27">
        <v>8.6999999999999994E-3</v>
      </c>
      <c r="H27">
        <v>-2.4445000000000001</v>
      </c>
      <c r="I27">
        <v>0</v>
      </c>
      <c r="J27">
        <v>0</v>
      </c>
      <c r="K27">
        <v>0</v>
      </c>
      <c r="L27">
        <v>-8.0153999999999996</v>
      </c>
    </row>
    <row r="28" spans="1:12" x14ac:dyDescent="0.35">
      <c r="A28">
        <v>-1.35</v>
      </c>
      <c r="B28">
        <v>2.5000000000000001E-3</v>
      </c>
      <c r="C28">
        <v>7.1900000000000002E-3</v>
      </c>
      <c r="D28">
        <v>2.0600000000000002E-3</v>
      </c>
      <c r="E28">
        <v>-7.3599999999999999E-2</v>
      </c>
      <c r="F28">
        <v>0.05</v>
      </c>
      <c r="G28">
        <v>9.1000000000000004E-3</v>
      </c>
      <c r="H28">
        <v>-2.3033000000000001</v>
      </c>
      <c r="I28">
        <v>0</v>
      </c>
      <c r="J28">
        <v>0</v>
      </c>
      <c r="K28">
        <v>0</v>
      </c>
      <c r="L28">
        <v>29.889500000000002</v>
      </c>
    </row>
    <row r="29" spans="1:12" x14ac:dyDescent="0.35">
      <c r="A29">
        <v>-1.3</v>
      </c>
      <c r="B29">
        <v>1.4E-2</v>
      </c>
      <c r="C29">
        <v>7.1000000000000004E-3</v>
      </c>
      <c r="D29">
        <v>1.9400000000000001E-3</v>
      </c>
      <c r="E29">
        <v>-7.3400000000000007E-2</v>
      </c>
      <c r="F29">
        <v>0.05</v>
      </c>
      <c r="G29">
        <v>9.2999999999999992E-3</v>
      </c>
      <c r="H29">
        <v>-2.1602999999999999</v>
      </c>
      <c r="I29">
        <v>0</v>
      </c>
      <c r="J29">
        <v>0</v>
      </c>
      <c r="K29">
        <v>0</v>
      </c>
      <c r="L29">
        <v>5.5101000000000004</v>
      </c>
    </row>
    <row r="30" spans="1:12" x14ac:dyDescent="0.35">
      <c r="A30">
        <v>-1.25</v>
      </c>
      <c r="B30">
        <v>2.5499999999999998E-2</v>
      </c>
      <c r="C30">
        <v>7.0200000000000002E-3</v>
      </c>
      <c r="D30">
        <v>1.83E-3</v>
      </c>
      <c r="E30">
        <v>-7.3200000000000001E-2</v>
      </c>
      <c r="F30">
        <v>0.05</v>
      </c>
      <c r="G30">
        <v>9.4999999999999998E-3</v>
      </c>
      <c r="H30">
        <v>-2.0543999999999998</v>
      </c>
      <c r="I30">
        <v>0</v>
      </c>
      <c r="J30">
        <v>0</v>
      </c>
      <c r="K30">
        <v>0</v>
      </c>
      <c r="L30">
        <v>3.1294</v>
      </c>
    </row>
    <row r="31" spans="1:12" x14ac:dyDescent="0.35">
      <c r="A31">
        <v>-1.2</v>
      </c>
      <c r="B31">
        <v>3.6900000000000002E-2</v>
      </c>
      <c r="C31">
        <v>6.94E-3</v>
      </c>
      <c r="D31">
        <v>1.72E-3</v>
      </c>
      <c r="E31">
        <v>-7.2999999999999995E-2</v>
      </c>
      <c r="F31">
        <v>0.05</v>
      </c>
      <c r="G31">
        <v>9.4999999999999998E-3</v>
      </c>
      <c r="H31">
        <v>-1.9830000000000001</v>
      </c>
      <c r="I31">
        <v>0</v>
      </c>
      <c r="J31">
        <v>0</v>
      </c>
      <c r="K31">
        <v>0</v>
      </c>
      <c r="L31">
        <v>2.2320000000000002</v>
      </c>
    </row>
    <row r="32" spans="1:12" x14ac:dyDescent="0.35">
      <c r="A32">
        <v>-1.1499999999999999</v>
      </c>
      <c r="B32">
        <v>4.8399999999999999E-2</v>
      </c>
      <c r="C32">
        <v>6.8799999999999998E-3</v>
      </c>
      <c r="D32">
        <v>1.6199999999999999E-3</v>
      </c>
      <c r="E32">
        <v>-7.2800000000000004E-2</v>
      </c>
      <c r="F32">
        <v>0.05</v>
      </c>
      <c r="G32">
        <v>9.4999999999999998E-3</v>
      </c>
      <c r="H32">
        <v>-1.9069</v>
      </c>
      <c r="I32">
        <v>0</v>
      </c>
      <c r="J32">
        <v>0</v>
      </c>
      <c r="K32">
        <v>0</v>
      </c>
      <c r="L32">
        <v>1.7595000000000001</v>
      </c>
    </row>
    <row r="33" spans="1:12" x14ac:dyDescent="0.35">
      <c r="A33">
        <v>-1.1000000000000001</v>
      </c>
      <c r="B33">
        <v>5.9799999999999999E-2</v>
      </c>
      <c r="C33">
        <v>6.8300000000000001E-3</v>
      </c>
      <c r="D33">
        <v>1.5499999999999999E-3</v>
      </c>
      <c r="E33">
        <v>-7.2599999999999998E-2</v>
      </c>
      <c r="F33">
        <v>0.05</v>
      </c>
      <c r="G33">
        <v>9.4999999999999998E-3</v>
      </c>
      <c r="H33">
        <v>-1.827</v>
      </c>
      <c r="I33">
        <v>0</v>
      </c>
      <c r="J33">
        <v>0</v>
      </c>
      <c r="K33">
        <v>0</v>
      </c>
      <c r="L33">
        <v>1.4682999999999999</v>
      </c>
    </row>
    <row r="34" spans="1:12" x14ac:dyDescent="0.35">
      <c r="A34">
        <v>-1.05</v>
      </c>
      <c r="B34">
        <v>7.1199999999999999E-2</v>
      </c>
      <c r="C34">
        <v>6.79E-3</v>
      </c>
      <c r="D34">
        <v>1.49E-3</v>
      </c>
      <c r="E34">
        <v>-7.2499999999999995E-2</v>
      </c>
      <c r="F34">
        <v>0.05</v>
      </c>
      <c r="G34">
        <v>9.5999999999999992E-3</v>
      </c>
      <c r="H34">
        <v>-1.7444</v>
      </c>
      <c r="I34">
        <v>0</v>
      </c>
      <c r="J34">
        <v>0</v>
      </c>
      <c r="K34">
        <v>0</v>
      </c>
      <c r="L34">
        <v>1.2710999999999999</v>
      </c>
    </row>
    <row r="35" spans="1:12" x14ac:dyDescent="0.35">
      <c r="A35">
        <v>-1</v>
      </c>
      <c r="B35">
        <v>8.2500000000000004E-2</v>
      </c>
      <c r="C35">
        <v>6.7600000000000004E-3</v>
      </c>
      <c r="D35">
        <v>1.4400000000000001E-3</v>
      </c>
      <c r="E35">
        <v>-7.2400000000000006E-2</v>
      </c>
      <c r="F35">
        <v>0.05</v>
      </c>
      <c r="G35">
        <v>9.5999999999999992E-3</v>
      </c>
      <c r="H35">
        <v>-1.6598999999999999</v>
      </c>
      <c r="I35">
        <v>0</v>
      </c>
      <c r="J35">
        <v>0</v>
      </c>
      <c r="K35">
        <v>0</v>
      </c>
      <c r="L35">
        <v>1.1289</v>
      </c>
    </row>
    <row r="36" spans="1:12" x14ac:dyDescent="0.35">
      <c r="A36">
        <v>-0.95</v>
      </c>
      <c r="B36">
        <v>9.3799999999999994E-2</v>
      </c>
      <c r="C36">
        <v>6.7400000000000003E-3</v>
      </c>
      <c r="D36">
        <v>1.4E-3</v>
      </c>
      <c r="E36">
        <v>-7.22E-2</v>
      </c>
      <c r="F36">
        <v>0.05</v>
      </c>
      <c r="G36">
        <v>9.7000000000000003E-3</v>
      </c>
      <c r="H36">
        <v>-1.5746</v>
      </c>
      <c r="I36">
        <v>0</v>
      </c>
      <c r="J36">
        <v>0</v>
      </c>
      <c r="K36">
        <v>0</v>
      </c>
      <c r="L36">
        <v>1.0215000000000001</v>
      </c>
    </row>
    <row r="37" spans="1:12" x14ac:dyDescent="0.35">
      <c r="A37">
        <v>-0.9</v>
      </c>
      <c r="B37">
        <v>0.1051</v>
      </c>
      <c r="C37">
        <v>6.7200000000000003E-3</v>
      </c>
      <c r="D37">
        <v>1.3699999999999999E-3</v>
      </c>
      <c r="E37">
        <v>-7.2099999999999997E-2</v>
      </c>
      <c r="F37">
        <v>0.05</v>
      </c>
      <c r="G37">
        <v>9.7000000000000003E-3</v>
      </c>
      <c r="H37">
        <v>-1.4892000000000001</v>
      </c>
      <c r="I37">
        <v>0</v>
      </c>
      <c r="J37">
        <v>0</v>
      </c>
      <c r="K37">
        <v>0</v>
      </c>
      <c r="L37">
        <v>0.93769999999999998</v>
      </c>
    </row>
    <row r="38" spans="1:12" x14ac:dyDescent="0.35">
      <c r="A38">
        <v>-0.85</v>
      </c>
      <c r="B38">
        <v>0.1163</v>
      </c>
      <c r="C38">
        <v>6.7099999999999998E-3</v>
      </c>
      <c r="D38">
        <v>1.34E-3</v>
      </c>
      <c r="E38">
        <v>-7.1999999999999995E-2</v>
      </c>
      <c r="F38">
        <v>0.05</v>
      </c>
      <c r="G38">
        <v>9.7999999999999997E-3</v>
      </c>
      <c r="H38">
        <v>-1.4045000000000001</v>
      </c>
      <c r="I38">
        <v>0</v>
      </c>
      <c r="J38">
        <v>0</v>
      </c>
      <c r="K38">
        <v>0</v>
      </c>
      <c r="L38">
        <v>0.87039999999999995</v>
      </c>
    </row>
    <row r="39" spans="1:12" x14ac:dyDescent="0.35">
      <c r="A39">
        <v>-0.8</v>
      </c>
      <c r="B39">
        <v>0.1275</v>
      </c>
      <c r="C39">
        <v>6.7000000000000002E-3</v>
      </c>
      <c r="D39">
        <v>1.32E-3</v>
      </c>
      <c r="E39">
        <v>-7.1900000000000006E-2</v>
      </c>
      <c r="F39">
        <v>0.05</v>
      </c>
      <c r="G39">
        <v>9.9000000000000008E-3</v>
      </c>
      <c r="H39">
        <v>-1.3211999999999999</v>
      </c>
      <c r="I39">
        <v>0</v>
      </c>
      <c r="J39">
        <v>0</v>
      </c>
      <c r="K39">
        <v>0</v>
      </c>
      <c r="L39">
        <v>0.81520000000000004</v>
      </c>
    </row>
    <row r="40" spans="1:12" x14ac:dyDescent="0.35">
      <c r="A40">
        <v>-0.75</v>
      </c>
      <c r="B40">
        <v>0.1386</v>
      </c>
      <c r="C40">
        <v>6.6899999999999998E-3</v>
      </c>
      <c r="D40">
        <v>1.2999999999999999E-3</v>
      </c>
      <c r="E40">
        <v>-7.1900000000000006E-2</v>
      </c>
      <c r="F40">
        <v>0.05</v>
      </c>
      <c r="G40">
        <v>9.9000000000000008E-3</v>
      </c>
      <c r="H40">
        <v>-1.2395</v>
      </c>
      <c r="I40">
        <v>0</v>
      </c>
      <c r="J40">
        <v>0</v>
      </c>
      <c r="K40">
        <v>0</v>
      </c>
      <c r="L40">
        <v>0.76919999999999999</v>
      </c>
    </row>
    <row r="41" spans="1:12" x14ac:dyDescent="0.35">
      <c r="A41">
        <v>-0.7</v>
      </c>
      <c r="B41">
        <v>0.1497</v>
      </c>
      <c r="C41">
        <v>6.6800000000000002E-3</v>
      </c>
      <c r="D41">
        <v>1.2899999999999999E-3</v>
      </c>
      <c r="E41">
        <v>-7.1800000000000003E-2</v>
      </c>
      <c r="F41">
        <v>0.05</v>
      </c>
      <c r="G41">
        <v>0.01</v>
      </c>
      <c r="H41">
        <v>-1.1597999999999999</v>
      </c>
      <c r="I41">
        <v>0</v>
      </c>
      <c r="J41">
        <v>0</v>
      </c>
      <c r="K41">
        <v>0</v>
      </c>
      <c r="L41">
        <v>0.73019999999999996</v>
      </c>
    </row>
    <row r="42" spans="1:12" x14ac:dyDescent="0.35">
      <c r="A42">
        <v>-0.65</v>
      </c>
      <c r="B42">
        <v>0.1608</v>
      </c>
      <c r="C42">
        <v>6.6800000000000002E-3</v>
      </c>
      <c r="D42">
        <v>1.2800000000000001E-3</v>
      </c>
      <c r="E42">
        <v>-7.17E-2</v>
      </c>
      <c r="F42">
        <v>0.05</v>
      </c>
      <c r="G42">
        <v>1.01E-2</v>
      </c>
      <c r="H42">
        <v>-1.0824</v>
      </c>
      <c r="I42">
        <v>0</v>
      </c>
      <c r="J42">
        <v>0</v>
      </c>
      <c r="K42">
        <v>0</v>
      </c>
      <c r="L42">
        <v>0.69669999999999999</v>
      </c>
    </row>
    <row r="43" spans="1:12" x14ac:dyDescent="0.35">
      <c r="A43">
        <v>-0.6</v>
      </c>
      <c r="B43">
        <v>0.17180000000000001</v>
      </c>
      <c r="C43">
        <v>6.6800000000000002E-3</v>
      </c>
      <c r="D43">
        <v>1.2700000000000001E-3</v>
      </c>
      <c r="E43">
        <v>-7.17E-2</v>
      </c>
      <c r="F43">
        <v>0.05</v>
      </c>
      <c r="G43">
        <v>1.0500000000000001E-2</v>
      </c>
      <c r="H43">
        <v>-1.0087999999999999</v>
      </c>
      <c r="I43">
        <v>0</v>
      </c>
      <c r="J43">
        <v>0</v>
      </c>
      <c r="K43">
        <v>0</v>
      </c>
      <c r="L43">
        <v>0.66759999999999997</v>
      </c>
    </row>
    <row r="44" spans="1:12" x14ac:dyDescent="0.35">
      <c r="A44">
        <v>-0.55000000000000004</v>
      </c>
      <c r="B44">
        <v>0.18279999999999999</v>
      </c>
      <c r="C44">
        <v>6.6699999999999997E-3</v>
      </c>
      <c r="D44">
        <v>1.2700000000000001E-3</v>
      </c>
      <c r="E44">
        <v>-7.1599999999999997E-2</v>
      </c>
      <c r="F44">
        <v>0.05</v>
      </c>
      <c r="G44">
        <v>1.12E-2</v>
      </c>
      <c r="H44">
        <v>-0.93710000000000004</v>
      </c>
      <c r="I44">
        <v>0</v>
      </c>
      <c r="J44">
        <v>0</v>
      </c>
      <c r="K44">
        <v>0</v>
      </c>
      <c r="L44">
        <v>0.64219999999999999</v>
      </c>
    </row>
    <row r="45" spans="1:12" x14ac:dyDescent="0.35">
      <c r="A45">
        <v>-0.5</v>
      </c>
      <c r="B45">
        <v>0.1938</v>
      </c>
      <c r="C45">
        <v>6.6699999999999997E-3</v>
      </c>
      <c r="D45">
        <v>1.2600000000000001E-3</v>
      </c>
      <c r="E45">
        <v>-7.1599999999999997E-2</v>
      </c>
      <c r="F45">
        <v>0.05</v>
      </c>
      <c r="G45">
        <v>1.2200000000000001E-2</v>
      </c>
      <c r="H45">
        <v>-0.86960000000000004</v>
      </c>
      <c r="I45">
        <v>0</v>
      </c>
      <c r="J45">
        <v>0</v>
      </c>
      <c r="K45">
        <v>0</v>
      </c>
      <c r="L45">
        <v>0.61970000000000003</v>
      </c>
    </row>
    <row r="46" spans="1:12" x14ac:dyDescent="0.35">
      <c r="A46">
        <v>-0.45</v>
      </c>
      <c r="B46">
        <v>0.20480000000000001</v>
      </c>
      <c r="C46">
        <v>6.6699999999999997E-3</v>
      </c>
      <c r="D46">
        <v>1.2600000000000001E-3</v>
      </c>
      <c r="E46">
        <v>-7.1599999999999997E-2</v>
      </c>
      <c r="F46">
        <v>0.05</v>
      </c>
      <c r="G46">
        <v>1.32E-2</v>
      </c>
      <c r="H46">
        <v>-0.80020000000000002</v>
      </c>
      <c r="I46">
        <v>0</v>
      </c>
      <c r="J46">
        <v>0</v>
      </c>
      <c r="K46">
        <v>0</v>
      </c>
      <c r="L46">
        <v>0.59970000000000001</v>
      </c>
    </row>
    <row r="47" spans="1:12" x14ac:dyDescent="0.35">
      <c r="A47">
        <v>-0.4</v>
      </c>
      <c r="B47">
        <v>0.2157</v>
      </c>
      <c r="C47">
        <v>6.6699999999999997E-3</v>
      </c>
      <c r="D47">
        <v>1.2600000000000001E-3</v>
      </c>
      <c r="E47">
        <v>-7.1599999999999997E-2</v>
      </c>
      <c r="F47">
        <v>0.05</v>
      </c>
      <c r="G47">
        <v>1.41E-2</v>
      </c>
      <c r="H47">
        <v>-0.7329</v>
      </c>
      <c r="I47">
        <v>0</v>
      </c>
      <c r="J47">
        <v>0</v>
      </c>
      <c r="K47">
        <v>0</v>
      </c>
      <c r="L47">
        <v>0.58189999999999997</v>
      </c>
    </row>
    <row r="48" spans="1:12" x14ac:dyDescent="0.35">
      <c r="A48">
        <v>-0.35</v>
      </c>
      <c r="B48">
        <v>0.2266</v>
      </c>
      <c r="C48">
        <v>6.6600000000000001E-3</v>
      </c>
      <c r="D48">
        <v>1.2600000000000001E-3</v>
      </c>
      <c r="E48">
        <v>-7.1499999999999994E-2</v>
      </c>
      <c r="F48">
        <v>0.05</v>
      </c>
      <c r="G48">
        <v>1.5100000000000001E-2</v>
      </c>
      <c r="H48">
        <v>-0.66779999999999995</v>
      </c>
      <c r="I48">
        <v>0</v>
      </c>
      <c r="J48">
        <v>0</v>
      </c>
      <c r="K48">
        <v>0</v>
      </c>
      <c r="L48">
        <v>0.56569999999999998</v>
      </c>
    </row>
    <row r="49" spans="1:12" x14ac:dyDescent="0.35">
      <c r="A49">
        <v>-0.3</v>
      </c>
      <c r="B49">
        <v>0.23749999999999999</v>
      </c>
      <c r="C49">
        <v>6.6600000000000001E-3</v>
      </c>
      <c r="D49">
        <v>1.2600000000000001E-3</v>
      </c>
      <c r="E49">
        <v>-7.1499999999999994E-2</v>
      </c>
      <c r="F49">
        <v>0.05</v>
      </c>
      <c r="G49">
        <v>1.6199999999999999E-2</v>
      </c>
      <c r="H49">
        <v>-0.6048</v>
      </c>
      <c r="I49">
        <v>0</v>
      </c>
      <c r="J49">
        <v>0</v>
      </c>
      <c r="K49">
        <v>0</v>
      </c>
      <c r="L49">
        <v>0.55110000000000003</v>
      </c>
    </row>
    <row r="50" spans="1:12" x14ac:dyDescent="0.35">
      <c r="A50">
        <v>-0.25</v>
      </c>
      <c r="B50">
        <v>0.24840000000000001</v>
      </c>
      <c r="C50">
        <v>6.6600000000000001E-3</v>
      </c>
      <c r="D50">
        <v>1.2600000000000001E-3</v>
      </c>
      <c r="E50">
        <v>-7.1499999999999994E-2</v>
      </c>
      <c r="F50">
        <v>0.05</v>
      </c>
      <c r="G50">
        <v>1.72E-2</v>
      </c>
      <c r="H50">
        <v>-0.54390000000000005</v>
      </c>
      <c r="I50">
        <v>0</v>
      </c>
      <c r="J50">
        <v>0</v>
      </c>
      <c r="K50">
        <v>0</v>
      </c>
      <c r="L50">
        <v>0.53779999999999994</v>
      </c>
    </row>
    <row r="51" spans="1:12" x14ac:dyDescent="0.35">
      <c r="A51">
        <v>-0.2</v>
      </c>
      <c r="B51">
        <v>0.25929999999999997</v>
      </c>
      <c r="C51">
        <v>6.6600000000000001E-3</v>
      </c>
      <c r="D51">
        <v>1.2600000000000001E-3</v>
      </c>
      <c r="E51">
        <v>-7.1499999999999994E-2</v>
      </c>
      <c r="F51">
        <v>0.05</v>
      </c>
      <c r="G51">
        <v>1.8100000000000002E-2</v>
      </c>
      <c r="H51">
        <v>-0.50949999999999995</v>
      </c>
      <c r="I51">
        <v>0</v>
      </c>
      <c r="J51">
        <v>0</v>
      </c>
      <c r="K51">
        <v>0</v>
      </c>
      <c r="L51">
        <v>0.52569999999999995</v>
      </c>
    </row>
    <row r="52" spans="1:12" x14ac:dyDescent="0.35">
      <c r="A52">
        <v>-0.15</v>
      </c>
      <c r="B52">
        <v>0.27010000000000001</v>
      </c>
      <c r="C52">
        <v>6.6600000000000001E-3</v>
      </c>
      <c r="D52">
        <v>1.2700000000000001E-3</v>
      </c>
      <c r="E52">
        <v>-7.1499999999999994E-2</v>
      </c>
      <c r="F52">
        <v>0.05</v>
      </c>
      <c r="G52">
        <v>1.9099999999999999E-2</v>
      </c>
      <c r="H52">
        <v>-0.51429999999999998</v>
      </c>
      <c r="I52">
        <v>0</v>
      </c>
      <c r="J52">
        <v>0</v>
      </c>
      <c r="K52">
        <v>0</v>
      </c>
      <c r="L52">
        <v>0.51449999999999996</v>
      </c>
    </row>
    <row r="53" spans="1:12" x14ac:dyDescent="0.35">
      <c r="A53">
        <v>-0.1</v>
      </c>
      <c r="B53">
        <v>0.28100000000000003</v>
      </c>
      <c r="C53">
        <v>6.6600000000000001E-3</v>
      </c>
      <c r="D53">
        <v>1.2700000000000001E-3</v>
      </c>
      <c r="E53">
        <v>-7.1499999999999994E-2</v>
      </c>
      <c r="F53">
        <v>0.05</v>
      </c>
      <c r="G53">
        <v>2.2499999999999999E-2</v>
      </c>
      <c r="H53">
        <v>-0.51919999999999999</v>
      </c>
      <c r="I53">
        <v>0</v>
      </c>
      <c r="J53">
        <v>0</v>
      </c>
      <c r="K53">
        <v>0</v>
      </c>
      <c r="L53">
        <v>0.50419999999999998</v>
      </c>
    </row>
    <row r="54" spans="1:12" x14ac:dyDescent="0.35">
      <c r="A54">
        <v>-0.05</v>
      </c>
      <c r="B54">
        <v>0.29189999999999999</v>
      </c>
      <c r="C54">
        <v>6.6600000000000001E-3</v>
      </c>
      <c r="D54">
        <v>1.2800000000000001E-3</v>
      </c>
      <c r="E54">
        <v>-7.1499999999999994E-2</v>
      </c>
      <c r="F54">
        <v>0.05</v>
      </c>
      <c r="G54">
        <v>2.6100000000000002E-2</v>
      </c>
      <c r="H54">
        <v>-0.5242</v>
      </c>
      <c r="I54">
        <v>0</v>
      </c>
      <c r="J54">
        <v>0</v>
      </c>
      <c r="K54">
        <v>0</v>
      </c>
      <c r="L54">
        <v>0.49469999999999997</v>
      </c>
    </row>
    <row r="55" spans="1:12" x14ac:dyDescent="0.35">
      <c r="A55">
        <v>0</v>
      </c>
      <c r="B55">
        <v>0.30270000000000002</v>
      </c>
      <c r="C55">
        <v>6.6600000000000001E-3</v>
      </c>
      <c r="D55">
        <v>1.2800000000000001E-3</v>
      </c>
      <c r="E55">
        <v>-7.1499999999999994E-2</v>
      </c>
      <c r="F55">
        <v>0.05</v>
      </c>
      <c r="G55">
        <v>2.7900000000000001E-2</v>
      </c>
      <c r="H55">
        <v>-0.5292</v>
      </c>
      <c r="I55">
        <v>0</v>
      </c>
      <c r="J55">
        <v>0</v>
      </c>
      <c r="K55">
        <v>0</v>
      </c>
      <c r="L55">
        <v>0.48580000000000001</v>
      </c>
    </row>
    <row r="56" spans="1:12" x14ac:dyDescent="0.35">
      <c r="A56">
        <v>0.05</v>
      </c>
      <c r="B56">
        <v>0.31359999999999999</v>
      </c>
      <c r="C56">
        <v>6.6600000000000001E-3</v>
      </c>
      <c r="D56">
        <v>1.2899999999999999E-3</v>
      </c>
      <c r="E56">
        <v>-7.1400000000000005E-2</v>
      </c>
      <c r="F56">
        <v>0.05</v>
      </c>
      <c r="G56">
        <v>2.87E-2</v>
      </c>
      <c r="H56">
        <v>-0.5343</v>
      </c>
      <c r="I56">
        <v>0</v>
      </c>
      <c r="J56">
        <v>0</v>
      </c>
      <c r="K56">
        <v>0</v>
      </c>
      <c r="L56">
        <v>0.47760000000000002</v>
      </c>
    </row>
    <row r="57" spans="1:12" x14ac:dyDescent="0.35">
      <c r="A57">
        <v>0.1</v>
      </c>
      <c r="B57">
        <v>0.32450000000000001</v>
      </c>
      <c r="C57">
        <v>6.6699999999999997E-3</v>
      </c>
      <c r="D57">
        <v>1.2999999999999999E-3</v>
      </c>
      <c r="E57">
        <v>-7.1400000000000005E-2</v>
      </c>
      <c r="F57">
        <v>0.05</v>
      </c>
      <c r="G57">
        <v>2.93E-2</v>
      </c>
      <c r="H57">
        <v>-0.53939999999999999</v>
      </c>
      <c r="I57">
        <v>0</v>
      </c>
      <c r="J57">
        <v>0</v>
      </c>
      <c r="K57">
        <v>0</v>
      </c>
      <c r="L57">
        <v>0.46989999999999998</v>
      </c>
    </row>
    <row r="58" spans="1:12" x14ac:dyDescent="0.35">
      <c r="A58">
        <v>0.15</v>
      </c>
      <c r="B58">
        <v>0.33529999999999999</v>
      </c>
      <c r="C58">
        <v>6.6699999999999997E-3</v>
      </c>
      <c r="D58">
        <v>1.31E-3</v>
      </c>
      <c r="E58">
        <v>-7.1400000000000005E-2</v>
      </c>
      <c r="F58">
        <v>0.05</v>
      </c>
      <c r="G58">
        <v>3.1099999999999999E-2</v>
      </c>
      <c r="H58">
        <v>-0.54459999999999997</v>
      </c>
      <c r="I58">
        <v>0</v>
      </c>
      <c r="J58">
        <v>0</v>
      </c>
      <c r="K58">
        <v>0</v>
      </c>
      <c r="L58">
        <v>0.4627</v>
      </c>
    </row>
    <row r="59" spans="1:12" x14ac:dyDescent="0.35">
      <c r="A59">
        <v>0.2</v>
      </c>
      <c r="B59">
        <v>0.34620000000000001</v>
      </c>
      <c r="C59">
        <v>6.6800000000000002E-3</v>
      </c>
      <c r="D59">
        <v>1.32E-3</v>
      </c>
      <c r="E59">
        <v>-7.1400000000000005E-2</v>
      </c>
      <c r="F59">
        <v>0.05</v>
      </c>
      <c r="G59">
        <v>3.39E-2</v>
      </c>
      <c r="H59">
        <v>-0.54979999999999996</v>
      </c>
      <c r="I59">
        <v>0</v>
      </c>
      <c r="J59">
        <v>0</v>
      </c>
      <c r="K59">
        <v>0</v>
      </c>
      <c r="L59">
        <v>0.45590000000000003</v>
      </c>
    </row>
    <row r="60" spans="1:12" x14ac:dyDescent="0.35">
      <c r="A60">
        <v>0.25</v>
      </c>
      <c r="B60">
        <v>0.35709999999999997</v>
      </c>
      <c r="C60">
        <v>6.6800000000000002E-3</v>
      </c>
      <c r="D60">
        <v>1.33E-3</v>
      </c>
      <c r="E60">
        <v>-7.1400000000000005E-2</v>
      </c>
      <c r="F60">
        <v>0.05</v>
      </c>
      <c r="G60">
        <v>3.6499999999999998E-2</v>
      </c>
      <c r="H60">
        <v>-0.55510000000000004</v>
      </c>
      <c r="I60">
        <v>0</v>
      </c>
      <c r="J60">
        <v>0</v>
      </c>
      <c r="K60">
        <v>0</v>
      </c>
      <c r="L60">
        <v>0.4496</v>
      </c>
    </row>
    <row r="61" spans="1:12" x14ac:dyDescent="0.35">
      <c r="A61">
        <v>0.3</v>
      </c>
      <c r="B61">
        <v>0.36799999999999999</v>
      </c>
      <c r="C61">
        <v>6.6800000000000002E-3</v>
      </c>
      <c r="D61">
        <v>1.34E-3</v>
      </c>
      <c r="E61">
        <v>-7.1400000000000005E-2</v>
      </c>
      <c r="F61">
        <v>0.05</v>
      </c>
      <c r="G61">
        <v>3.9300000000000002E-2</v>
      </c>
      <c r="H61">
        <v>-0.56030000000000002</v>
      </c>
      <c r="I61">
        <v>0</v>
      </c>
      <c r="J61">
        <v>0</v>
      </c>
      <c r="K61">
        <v>0</v>
      </c>
      <c r="L61">
        <v>0.44359999999999999</v>
      </c>
    </row>
    <row r="62" spans="1:12" x14ac:dyDescent="0.35">
      <c r="A62">
        <v>0.35</v>
      </c>
      <c r="B62">
        <v>0.37890000000000001</v>
      </c>
      <c r="C62">
        <v>6.6699999999999997E-3</v>
      </c>
      <c r="D62">
        <v>1.3500000000000001E-3</v>
      </c>
      <c r="E62">
        <v>-7.1400000000000005E-2</v>
      </c>
      <c r="F62">
        <v>0.05</v>
      </c>
      <c r="G62">
        <v>0.05</v>
      </c>
      <c r="H62">
        <v>-0.56569999999999998</v>
      </c>
      <c r="I62">
        <v>0</v>
      </c>
      <c r="J62">
        <v>0</v>
      </c>
      <c r="K62">
        <v>0</v>
      </c>
      <c r="L62">
        <v>0.43790000000000001</v>
      </c>
    </row>
    <row r="63" spans="1:12" x14ac:dyDescent="0.35">
      <c r="A63">
        <v>0.4</v>
      </c>
      <c r="B63">
        <v>0.38979999999999998</v>
      </c>
      <c r="C63">
        <v>6.6800000000000002E-3</v>
      </c>
      <c r="D63">
        <v>1.3699999999999999E-3</v>
      </c>
      <c r="E63">
        <v>-7.1300000000000002E-2</v>
      </c>
      <c r="F63">
        <v>0.05</v>
      </c>
      <c r="G63">
        <v>0.05</v>
      </c>
      <c r="H63">
        <v>-0.57110000000000005</v>
      </c>
      <c r="I63">
        <v>0</v>
      </c>
      <c r="J63">
        <v>0</v>
      </c>
      <c r="K63">
        <v>0</v>
      </c>
      <c r="L63">
        <v>0.43259999999999998</v>
      </c>
    </row>
    <row r="64" spans="1:12" x14ac:dyDescent="0.35">
      <c r="A64">
        <v>0.45</v>
      </c>
      <c r="B64">
        <v>0.39979999999999999</v>
      </c>
      <c r="C64">
        <v>6.7499999999999999E-3</v>
      </c>
      <c r="D64">
        <v>1.4E-3</v>
      </c>
      <c r="E64">
        <v>-7.1199999999999999E-2</v>
      </c>
      <c r="F64">
        <v>3.32E-2</v>
      </c>
      <c r="G64">
        <v>0.05</v>
      </c>
      <c r="H64">
        <v>-0.57599999999999996</v>
      </c>
      <c r="I64">
        <v>0</v>
      </c>
      <c r="J64">
        <v>0</v>
      </c>
      <c r="K64">
        <v>0</v>
      </c>
      <c r="L64">
        <v>0.42749999999999999</v>
      </c>
    </row>
    <row r="65" spans="1:12" x14ac:dyDescent="0.35">
      <c r="A65">
        <v>0.5</v>
      </c>
      <c r="B65">
        <v>0.41060000000000002</v>
      </c>
      <c r="C65">
        <v>6.7600000000000004E-3</v>
      </c>
      <c r="D65">
        <v>1.42E-3</v>
      </c>
      <c r="E65">
        <v>-7.1099999999999997E-2</v>
      </c>
      <c r="F65">
        <v>3.1399999999999997E-2</v>
      </c>
      <c r="G65">
        <v>0.05</v>
      </c>
      <c r="H65">
        <v>-0.60670000000000002</v>
      </c>
      <c r="I65">
        <v>0</v>
      </c>
      <c r="J65">
        <v>0</v>
      </c>
      <c r="K65">
        <v>0</v>
      </c>
      <c r="L65">
        <v>0.42259999999999998</v>
      </c>
    </row>
    <row r="66" spans="1:12" x14ac:dyDescent="0.35">
      <c r="A66">
        <v>0.55000000000000004</v>
      </c>
      <c r="B66">
        <v>0.4214</v>
      </c>
      <c r="C66">
        <v>6.79E-3</v>
      </c>
      <c r="D66">
        <v>1.4400000000000001E-3</v>
      </c>
      <c r="E66">
        <v>-7.0999999999999994E-2</v>
      </c>
      <c r="F66">
        <v>2.9499999999999998E-2</v>
      </c>
      <c r="G66">
        <v>0.05</v>
      </c>
      <c r="H66">
        <v>-0.66</v>
      </c>
      <c r="I66">
        <v>0</v>
      </c>
      <c r="J66">
        <v>0</v>
      </c>
      <c r="K66">
        <v>0</v>
      </c>
      <c r="L66">
        <v>0.41799999999999998</v>
      </c>
    </row>
    <row r="67" spans="1:12" x14ac:dyDescent="0.35">
      <c r="A67">
        <v>0.6</v>
      </c>
      <c r="B67">
        <v>0.43219999999999997</v>
      </c>
      <c r="C67">
        <v>6.8100000000000001E-3</v>
      </c>
      <c r="D67">
        <v>1.4599999999999999E-3</v>
      </c>
      <c r="E67">
        <v>-7.0900000000000005E-2</v>
      </c>
      <c r="F67">
        <v>2.7699999999999999E-2</v>
      </c>
      <c r="G67">
        <v>0.05</v>
      </c>
      <c r="H67">
        <v>-0.71499999999999997</v>
      </c>
      <c r="I67">
        <v>0</v>
      </c>
      <c r="J67">
        <v>0</v>
      </c>
      <c r="K67">
        <v>0</v>
      </c>
      <c r="L67">
        <v>0.41360000000000002</v>
      </c>
    </row>
    <row r="68" spans="1:12" x14ac:dyDescent="0.35">
      <c r="A68">
        <v>0.65</v>
      </c>
      <c r="B68">
        <v>0.44309999999999999</v>
      </c>
      <c r="C68">
        <v>6.8300000000000001E-3</v>
      </c>
      <c r="D68">
        <v>1.48E-3</v>
      </c>
      <c r="E68">
        <v>-7.0900000000000005E-2</v>
      </c>
      <c r="F68">
        <v>2.5700000000000001E-2</v>
      </c>
      <c r="G68">
        <v>0.05</v>
      </c>
      <c r="H68">
        <v>-0.77170000000000005</v>
      </c>
      <c r="I68">
        <v>0</v>
      </c>
      <c r="J68">
        <v>0</v>
      </c>
      <c r="K68">
        <v>0</v>
      </c>
      <c r="L68">
        <v>0.40939999999999999</v>
      </c>
    </row>
    <row r="69" spans="1:12" x14ac:dyDescent="0.35">
      <c r="A69">
        <v>0.7</v>
      </c>
      <c r="B69">
        <v>0.45400000000000001</v>
      </c>
      <c r="C69">
        <v>6.8500000000000002E-3</v>
      </c>
      <c r="D69">
        <v>1.5E-3</v>
      </c>
      <c r="E69">
        <v>-7.0800000000000002E-2</v>
      </c>
      <c r="F69">
        <v>2.3900000000000001E-2</v>
      </c>
      <c r="G69">
        <v>0.05</v>
      </c>
      <c r="H69">
        <v>-0.83030000000000004</v>
      </c>
      <c r="I69">
        <v>0</v>
      </c>
      <c r="J69">
        <v>0</v>
      </c>
      <c r="K69">
        <v>0</v>
      </c>
      <c r="L69">
        <v>0.40529999999999999</v>
      </c>
    </row>
    <row r="70" spans="1:12" x14ac:dyDescent="0.35">
      <c r="A70">
        <v>0.75</v>
      </c>
      <c r="B70">
        <v>0.46500000000000002</v>
      </c>
      <c r="C70">
        <v>6.8599999999999998E-3</v>
      </c>
      <c r="D70">
        <v>1.5299999999999999E-3</v>
      </c>
      <c r="E70">
        <v>-7.0699999999999999E-2</v>
      </c>
      <c r="F70">
        <v>2.3300000000000001E-2</v>
      </c>
      <c r="G70">
        <v>0.05</v>
      </c>
      <c r="H70">
        <v>-0.89119999999999999</v>
      </c>
      <c r="I70">
        <v>0</v>
      </c>
      <c r="J70">
        <v>0</v>
      </c>
      <c r="K70">
        <v>0</v>
      </c>
      <c r="L70">
        <v>0.40139999999999998</v>
      </c>
    </row>
    <row r="71" spans="1:12" x14ac:dyDescent="0.35">
      <c r="A71">
        <v>0.8</v>
      </c>
      <c r="B71">
        <v>0.47599999999999998</v>
      </c>
      <c r="C71">
        <v>6.8799999999999998E-3</v>
      </c>
      <c r="D71">
        <v>1.5499999999999999E-3</v>
      </c>
      <c r="E71">
        <v>-7.0599999999999996E-2</v>
      </c>
      <c r="F71">
        <v>2.3E-2</v>
      </c>
      <c r="G71">
        <v>0.05</v>
      </c>
      <c r="H71">
        <v>-0.95409999999999995</v>
      </c>
      <c r="I71">
        <v>0</v>
      </c>
      <c r="J71">
        <v>0</v>
      </c>
      <c r="K71">
        <v>0</v>
      </c>
      <c r="L71">
        <v>0.3977</v>
      </c>
    </row>
    <row r="72" spans="1:12" x14ac:dyDescent="0.35">
      <c r="A72">
        <v>0.85</v>
      </c>
      <c r="B72">
        <v>0.48699999999999999</v>
      </c>
      <c r="C72">
        <v>6.8999999999999999E-3</v>
      </c>
      <c r="D72">
        <v>1.57E-3</v>
      </c>
      <c r="E72">
        <v>-7.0499999999999993E-2</v>
      </c>
      <c r="F72">
        <v>2.2599999999999999E-2</v>
      </c>
      <c r="G72">
        <v>0.05</v>
      </c>
      <c r="H72">
        <v>-1.0192000000000001</v>
      </c>
      <c r="I72">
        <v>0</v>
      </c>
      <c r="J72">
        <v>0</v>
      </c>
      <c r="K72">
        <v>0</v>
      </c>
      <c r="L72">
        <v>0.39410000000000001</v>
      </c>
    </row>
    <row r="73" spans="1:12" x14ac:dyDescent="0.35">
      <c r="A73">
        <v>0.9</v>
      </c>
      <c r="B73">
        <v>0.498</v>
      </c>
      <c r="C73">
        <v>6.9199999999999999E-3</v>
      </c>
      <c r="D73">
        <v>1.6000000000000001E-3</v>
      </c>
      <c r="E73">
        <v>-7.0400000000000004E-2</v>
      </c>
      <c r="F73">
        <v>2.1700000000000001E-2</v>
      </c>
      <c r="G73">
        <v>0.05</v>
      </c>
      <c r="H73">
        <v>-1.0868</v>
      </c>
      <c r="I73">
        <v>0</v>
      </c>
      <c r="J73">
        <v>0</v>
      </c>
      <c r="K73">
        <v>0</v>
      </c>
      <c r="L73">
        <v>0.3906</v>
      </c>
    </row>
    <row r="74" spans="1:12" x14ac:dyDescent="0.35">
      <c r="A74">
        <v>0.95</v>
      </c>
      <c r="B74">
        <v>0.50890000000000002</v>
      </c>
      <c r="C74">
        <v>6.9499999999999996E-3</v>
      </c>
      <c r="D74">
        <v>1.6299999999999999E-3</v>
      </c>
      <c r="E74">
        <v>-7.0199999999999999E-2</v>
      </c>
      <c r="F74">
        <v>1.95E-2</v>
      </c>
      <c r="G74">
        <v>0.05</v>
      </c>
      <c r="H74">
        <v>-1.157</v>
      </c>
      <c r="I74">
        <v>0</v>
      </c>
      <c r="J74">
        <v>0</v>
      </c>
      <c r="K74">
        <v>0</v>
      </c>
      <c r="L74">
        <v>0.38729999999999998</v>
      </c>
    </row>
    <row r="75" spans="1:12" x14ac:dyDescent="0.35">
      <c r="A75">
        <v>1</v>
      </c>
      <c r="B75">
        <v>0.51980000000000004</v>
      </c>
      <c r="C75">
        <v>6.9800000000000001E-3</v>
      </c>
      <c r="D75">
        <v>1.66E-3</v>
      </c>
      <c r="E75">
        <v>-7.0099999999999996E-2</v>
      </c>
      <c r="F75">
        <v>1.7399999999999999E-2</v>
      </c>
      <c r="G75">
        <v>0.05</v>
      </c>
      <c r="H75">
        <v>-1.2289000000000001</v>
      </c>
      <c r="I75">
        <v>0</v>
      </c>
      <c r="J75">
        <v>0</v>
      </c>
      <c r="K75">
        <v>0</v>
      </c>
      <c r="L75">
        <v>0.38400000000000001</v>
      </c>
    </row>
    <row r="76" spans="1:12" x14ac:dyDescent="0.35">
      <c r="A76">
        <v>1.05</v>
      </c>
      <c r="B76">
        <v>0.53090000000000004</v>
      </c>
      <c r="C76">
        <v>7.0099999999999997E-3</v>
      </c>
      <c r="D76">
        <v>1.6999999999999999E-3</v>
      </c>
      <c r="E76">
        <v>-6.9900000000000004E-2</v>
      </c>
      <c r="F76">
        <v>1.55E-2</v>
      </c>
      <c r="G76">
        <v>0.05</v>
      </c>
      <c r="H76">
        <v>-1.3030999999999999</v>
      </c>
      <c r="I76">
        <v>0</v>
      </c>
      <c r="J76">
        <v>0</v>
      </c>
      <c r="K76">
        <v>0</v>
      </c>
      <c r="L76">
        <v>0.38090000000000002</v>
      </c>
    </row>
    <row r="77" spans="1:12" x14ac:dyDescent="0.35">
      <c r="A77">
        <v>1.1000000000000001</v>
      </c>
      <c r="B77">
        <v>0.54200000000000004</v>
      </c>
      <c r="C77">
        <v>7.0299999999999998E-3</v>
      </c>
      <c r="D77">
        <v>1.73E-3</v>
      </c>
      <c r="E77">
        <v>-6.9699999999999998E-2</v>
      </c>
      <c r="F77">
        <v>1.4E-2</v>
      </c>
      <c r="G77">
        <v>0.05</v>
      </c>
      <c r="H77">
        <v>-1.3791</v>
      </c>
      <c r="I77">
        <v>0</v>
      </c>
      <c r="J77">
        <v>0</v>
      </c>
      <c r="K77">
        <v>0</v>
      </c>
      <c r="L77">
        <v>0.37780000000000002</v>
      </c>
    </row>
    <row r="78" spans="1:12" x14ac:dyDescent="0.35">
      <c r="A78">
        <v>1.1499999999999999</v>
      </c>
      <c r="B78">
        <v>0.55320000000000003</v>
      </c>
      <c r="C78">
        <v>7.0600000000000003E-3</v>
      </c>
      <c r="D78">
        <v>1.7600000000000001E-3</v>
      </c>
      <c r="E78">
        <v>-6.9500000000000006E-2</v>
      </c>
      <c r="F78">
        <v>1.3599999999999999E-2</v>
      </c>
      <c r="G78">
        <v>0.05</v>
      </c>
      <c r="H78">
        <v>-1.4590000000000001</v>
      </c>
      <c r="I78">
        <v>0</v>
      </c>
      <c r="J78">
        <v>0</v>
      </c>
      <c r="K78">
        <v>0</v>
      </c>
      <c r="L78">
        <v>0.37480000000000002</v>
      </c>
    </row>
    <row r="79" spans="1:12" x14ac:dyDescent="0.35">
      <c r="A79">
        <v>1.2</v>
      </c>
      <c r="B79">
        <v>0.5645</v>
      </c>
      <c r="C79">
        <v>7.0800000000000004E-3</v>
      </c>
      <c r="D79">
        <v>1.8E-3</v>
      </c>
      <c r="E79">
        <v>-6.93E-2</v>
      </c>
      <c r="F79">
        <v>1.34E-2</v>
      </c>
      <c r="G79">
        <v>0.05</v>
      </c>
      <c r="H79">
        <v>-1.5423</v>
      </c>
      <c r="I79">
        <v>0</v>
      </c>
      <c r="J79">
        <v>0</v>
      </c>
      <c r="K79">
        <v>0</v>
      </c>
      <c r="L79">
        <v>0.372</v>
      </c>
    </row>
    <row r="80" spans="1:12" x14ac:dyDescent="0.35">
      <c r="A80">
        <v>1.25</v>
      </c>
      <c r="B80">
        <v>0.57579999999999998</v>
      </c>
      <c r="C80">
        <v>7.11E-3</v>
      </c>
      <c r="D80">
        <v>1.8400000000000001E-3</v>
      </c>
      <c r="E80">
        <v>-6.9099999999999995E-2</v>
      </c>
      <c r="F80">
        <v>1.3100000000000001E-2</v>
      </c>
      <c r="G80">
        <v>0.05</v>
      </c>
      <c r="H80">
        <v>-1.629</v>
      </c>
      <c r="I80">
        <v>0</v>
      </c>
      <c r="J80">
        <v>0</v>
      </c>
      <c r="K80">
        <v>0</v>
      </c>
      <c r="L80">
        <v>0.36909999999999998</v>
      </c>
    </row>
    <row r="81" spans="1:12" x14ac:dyDescent="0.35">
      <c r="A81">
        <v>1.3</v>
      </c>
      <c r="B81">
        <v>0.58709999999999996</v>
      </c>
      <c r="C81">
        <v>7.1399999999999996E-3</v>
      </c>
      <c r="D81">
        <v>1.8799999999999999E-3</v>
      </c>
      <c r="E81">
        <v>-6.88E-2</v>
      </c>
      <c r="F81">
        <v>1.2800000000000001E-2</v>
      </c>
      <c r="G81">
        <v>0.05</v>
      </c>
      <c r="H81">
        <v>-1.7194</v>
      </c>
      <c r="I81">
        <v>0</v>
      </c>
      <c r="J81">
        <v>0</v>
      </c>
      <c r="K81">
        <v>0</v>
      </c>
      <c r="L81">
        <v>0.3664</v>
      </c>
    </row>
    <row r="82" spans="1:12" x14ac:dyDescent="0.35">
      <c r="A82">
        <v>1.35</v>
      </c>
      <c r="B82">
        <v>0.59840000000000004</v>
      </c>
      <c r="C82">
        <v>7.1700000000000002E-3</v>
      </c>
      <c r="D82">
        <v>1.9400000000000001E-3</v>
      </c>
      <c r="E82">
        <v>-6.8599999999999994E-2</v>
      </c>
      <c r="F82">
        <v>1.2500000000000001E-2</v>
      </c>
      <c r="G82">
        <v>0.05</v>
      </c>
      <c r="H82">
        <v>-1.8147</v>
      </c>
      <c r="I82">
        <v>0</v>
      </c>
      <c r="J82">
        <v>0</v>
      </c>
      <c r="K82">
        <v>0</v>
      </c>
      <c r="L82">
        <v>0.36370000000000002</v>
      </c>
    </row>
    <row r="83" spans="1:12" x14ac:dyDescent="0.35">
      <c r="A83">
        <v>1.4</v>
      </c>
      <c r="B83">
        <v>0.60980000000000001</v>
      </c>
      <c r="C83">
        <v>7.2100000000000003E-3</v>
      </c>
      <c r="D83">
        <v>1.99E-3</v>
      </c>
      <c r="E83">
        <v>-6.83E-2</v>
      </c>
      <c r="F83">
        <v>1.23E-2</v>
      </c>
      <c r="G83">
        <v>0.05</v>
      </c>
      <c r="H83">
        <v>-1.9120999999999999</v>
      </c>
      <c r="I83">
        <v>0</v>
      </c>
      <c r="J83">
        <v>0</v>
      </c>
      <c r="K83">
        <v>0</v>
      </c>
      <c r="L83">
        <v>0.36099999999999999</v>
      </c>
    </row>
    <row r="84" spans="1:12" x14ac:dyDescent="0.35">
      <c r="A84">
        <v>1.45</v>
      </c>
      <c r="B84">
        <v>0.62119999999999997</v>
      </c>
      <c r="C84">
        <v>7.2500000000000004E-3</v>
      </c>
      <c r="D84">
        <v>2.0500000000000002E-3</v>
      </c>
      <c r="E84">
        <v>-6.7900000000000002E-2</v>
      </c>
      <c r="F84">
        <v>1.2E-2</v>
      </c>
      <c r="G84">
        <v>0.05</v>
      </c>
      <c r="H84">
        <v>-2.0276000000000001</v>
      </c>
      <c r="I84">
        <v>0</v>
      </c>
      <c r="J84">
        <v>0</v>
      </c>
      <c r="K84">
        <v>0</v>
      </c>
      <c r="L84">
        <v>0.3584</v>
      </c>
    </row>
    <row r="85" spans="1:12" x14ac:dyDescent="0.35">
      <c r="A85">
        <v>1.5</v>
      </c>
      <c r="B85">
        <v>0.63249999999999995</v>
      </c>
      <c r="C85">
        <v>7.3000000000000001E-3</v>
      </c>
      <c r="D85">
        <v>2.1199999999999999E-3</v>
      </c>
      <c r="E85">
        <v>-6.7500000000000004E-2</v>
      </c>
      <c r="F85">
        <v>1.17E-2</v>
      </c>
      <c r="G85">
        <v>0.05</v>
      </c>
      <c r="H85">
        <v>-2.1507999999999998</v>
      </c>
      <c r="I85">
        <v>0</v>
      </c>
      <c r="J85">
        <v>0</v>
      </c>
      <c r="K85">
        <v>0</v>
      </c>
      <c r="L85">
        <v>0.35580000000000001</v>
      </c>
    </row>
    <row r="86" spans="1:12" x14ac:dyDescent="0.35">
      <c r="A86">
        <v>1.55</v>
      </c>
      <c r="B86">
        <v>0.64380000000000004</v>
      </c>
      <c r="C86">
        <v>7.3499999999999998E-3</v>
      </c>
      <c r="D86">
        <v>2.2100000000000002E-3</v>
      </c>
      <c r="E86">
        <v>-6.7100000000000007E-2</v>
      </c>
      <c r="F86">
        <v>1.1299999999999999E-2</v>
      </c>
      <c r="G86">
        <v>0.05</v>
      </c>
      <c r="H86">
        <v>-2.2749999999999999</v>
      </c>
      <c r="I86">
        <v>0</v>
      </c>
      <c r="J86">
        <v>0</v>
      </c>
      <c r="K86">
        <v>0</v>
      </c>
      <c r="L86">
        <v>0.35320000000000001</v>
      </c>
    </row>
    <row r="87" spans="1:12" x14ac:dyDescent="0.35">
      <c r="A87">
        <v>1.6</v>
      </c>
      <c r="B87">
        <v>0.65490000000000004</v>
      </c>
      <c r="C87">
        <v>7.43E-3</v>
      </c>
      <c r="D87">
        <v>2.31E-3</v>
      </c>
      <c r="E87">
        <v>-6.6600000000000006E-2</v>
      </c>
      <c r="F87">
        <v>1.11E-2</v>
      </c>
      <c r="G87">
        <v>0.05</v>
      </c>
      <c r="H87">
        <v>-2.3980999999999999</v>
      </c>
      <c r="I87">
        <v>0</v>
      </c>
      <c r="J87">
        <v>0</v>
      </c>
      <c r="K87">
        <v>0</v>
      </c>
      <c r="L87">
        <v>0.35060000000000002</v>
      </c>
    </row>
    <row r="88" spans="1:12" x14ac:dyDescent="0.35">
      <c r="A88">
        <v>1.65</v>
      </c>
      <c r="B88">
        <v>0.66579999999999995</v>
      </c>
      <c r="C88">
        <v>7.5199999999999998E-3</v>
      </c>
      <c r="D88">
        <v>2.4399999999999999E-3</v>
      </c>
      <c r="E88">
        <v>-6.6000000000000003E-2</v>
      </c>
      <c r="F88">
        <v>1.0800000000000001E-2</v>
      </c>
      <c r="G88">
        <v>0.05</v>
      </c>
      <c r="H88">
        <v>-2.5173999999999999</v>
      </c>
      <c r="I88">
        <v>0</v>
      </c>
      <c r="J88">
        <v>0</v>
      </c>
      <c r="K88">
        <v>0</v>
      </c>
      <c r="L88">
        <v>0.34799999999999998</v>
      </c>
    </row>
    <row r="89" spans="1:12" x14ac:dyDescent="0.35">
      <c r="A89">
        <v>1.7</v>
      </c>
      <c r="B89">
        <v>0.67630000000000001</v>
      </c>
      <c r="C89">
        <v>7.6299999999999996E-3</v>
      </c>
      <c r="D89">
        <v>2.5999999999999999E-3</v>
      </c>
      <c r="E89">
        <v>-6.5299999999999997E-2</v>
      </c>
      <c r="F89">
        <v>1.0500000000000001E-2</v>
      </c>
      <c r="G89">
        <v>0.05</v>
      </c>
      <c r="H89">
        <v>-2.6314000000000002</v>
      </c>
      <c r="I89">
        <v>0</v>
      </c>
      <c r="J89">
        <v>0</v>
      </c>
      <c r="K89">
        <v>0</v>
      </c>
      <c r="L89">
        <v>0.34539999999999998</v>
      </c>
    </row>
    <row r="90" spans="1:12" x14ac:dyDescent="0.35">
      <c r="A90">
        <v>1.75</v>
      </c>
      <c r="B90">
        <v>0.6865</v>
      </c>
      <c r="C90">
        <v>7.77E-3</v>
      </c>
      <c r="D90">
        <v>2.7799999999999999E-3</v>
      </c>
      <c r="E90">
        <v>-6.4500000000000002E-2</v>
      </c>
      <c r="F90">
        <v>1.0200000000000001E-2</v>
      </c>
      <c r="G90">
        <v>0.05</v>
      </c>
      <c r="H90">
        <v>-2.7364000000000002</v>
      </c>
      <c r="I90">
        <v>0</v>
      </c>
      <c r="J90">
        <v>0</v>
      </c>
      <c r="K90">
        <v>0</v>
      </c>
      <c r="L90">
        <v>0.34279999999999999</v>
      </c>
    </row>
    <row r="91" spans="1:12" x14ac:dyDescent="0.35">
      <c r="A91">
        <v>1.8</v>
      </c>
      <c r="B91">
        <v>0.69610000000000005</v>
      </c>
      <c r="C91">
        <v>7.9399999999999991E-3</v>
      </c>
      <c r="D91">
        <v>3.0000000000000001E-3</v>
      </c>
      <c r="E91">
        <v>-6.3600000000000004E-2</v>
      </c>
      <c r="F91">
        <v>9.9000000000000008E-3</v>
      </c>
      <c r="G91">
        <v>0.05</v>
      </c>
      <c r="H91">
        <v>-2.8279000000000001</v>
      </c>
      <c r="I91">
        <v>0</v>
      </c>
      <c r="J91">
        <v>0</v>
      </c>
      <c r="K91">
        <v>0</v>
      </c>
      <c r="L91">
        <v>0.3402</v>
      </c>
    </row>
    <row r="92" spans="1:12" x14ac:dyDescent="0.35">
      <c r="A92">
        <v>1.85</v>
      </c>
      <c r="B92">
        <v>0.70530000000000004</v>
      </c>
      <c r="C92">
        <v>8.1399999999999997E-3</v>
      </c>
      <c r="D92">
        <v>3.2499999999999999E-3</v>
      </c>
      <c r="E92">
        <v>-6.2700000000000006E-2</v>
      </c>
      <c r="F92">
        <v>9.5999999999999992E-3</v>
      </c>
      <c r="G92">
        <v>0.05</v>
      </c>
      <c r="H92">
        <v>-2.9011999999999998</v>
      </c>
      <c r="I92">
        <v>0</v>
      </c>
      <c r="J92">
        <v>0</v>
      </c>
      <c r="K92">
        <v>0</v>
      </c>
      <c r="L92">
        <v>0.33760000000000001</v>
      </c>
    </row>
    <row r="93" spans="1:12" x14ac:dyDescent="0.35">
      <c r="A93">
        <v>1.9</v>
      </c>
      <c r="B93">
        <v>0.71399999999999997</v>
      </c>
      <c r="C93">
        <v>8.3599999999999994E-3</v>
      </c>
      <c r="D93">
        <v>3.5200000000000001E-3</v>
      </c>
      <c r="E93">
        <v>-6.1600000000000002E-2</v>
      </c>
      <c r="F93">
        <v>9.2999999999999992E-3</v>
      </c>
      <c r="G93">
        <v>0.05</v>
      </c>
      <c r="H93">
        <v>-2.9565000000000001</v>
      </c>
      <c r="I93">
        <v>0</v>
      </c>
      <c r="J93">
        <v>0</v>
      </c>
      <c r="K93">
        <v>0</v>
      </c>
      <c r="L93">
        <v>0.33500000000000002</v>
      </c>
    </row>
    <row r="94" spans="1:12" x14ac:dyDescent="0.35">
      <c r="A94">
        <v>1.95</v>
      </c>
      <c r="B94">
        <v>0.72230000000000005</v>
      </c>
      <c r="C94">
        <v>8.5900000000000004E-3</v>
      </c>
      <c r="D94">
        <v>3.8E-3</v>
      </c>
      <c r="E94">
        <v>-6.0499999999999998E-2</v>
      </c>
      <c r="F94">
        <v>9.1000000000000004E-3</v>
      </c>
      <c r="G94">
        <v>0.05</v>
      </c>
      <c r="H94">
        <v>-2.9973999999999998</v>
      </c>
      <c r="I94">
        <v>0</v>
      </c>
      <c r="J94">
        <v>0</v>
      </c>
      <c r="K94">
        <v>0</v>
      </c>
      <c r="L94">
        <v>0.33239999999999997</v>
      </c>
    </row>
    <row r="95" spans="1:12" x14ac:dyDescent="0.35">
      <c r="A95">
        <v>2</v>
      </c>
      <c r="B95">
        <v>0.73050000000000004</v>
      </c>
      <c r="C95">
        <v>8.8400000000000006E-3</v>
      </c>
      <c r="D95">
        <v>4.1000000000000003E-3</v>
      </c>
      <c r="E95">
        <v>-5.9299999999999999E-2</v>
      </c>
      <c r="F95">
        <v>8.8999999999999999E-3</v>
      </c>
      <c r="G95">
        <v>0.05</v>
      </c>
      <c r="H95">
        <v>-3.0278</v>
      </c>
      <c r="I95">
        <v>0</v>
      </c>
      <c r="J95">
        <v>0</v>
      </c>
      <c r="K95">
        <v>0</v>
      </c>
      <c r="L95">
        <v>0.32990000000000003</v>
      </c>
    </row>
    <row r="96" spans="1:12" x14ac:dyDescent="0.35">
      <c r="A96">
        <v>2.0499999999999998</v>
      </c>
      <c r="B96">
        <v>0.73870000000000002</v>
      </c>
      <c r="C96">
        <v>9.11E-3</v>
      </c>
      <c r="D96">
        <v>4.4099999999999999E-3</v>
      </c>
      <c r="E96">
        <v>-5.8200000000000002E-2</v>
      </c>
      <c r="F96">
        <v>8.8000000000000005E-3</v>
      </c>
      <c r="G96">
        <v>0.05</v>
      </c>
      <c r="H96">
        <v>-3.0514000000000001</v>
      </c>
      <c r="I96">
        <v>0</v>
      </c>
      <c r="J96">
        <v>0</v>
      </c>
      <c r="K96">
        <v>0</v>
      </c>
      <c r="L96">
        <v>0.32740000000000002</v>
      </c>
    </row>
    <row r="97" spans="1:12" x14ac:dyDescent="0.35">
      <c r="A97">
        <v>2.1</v>
      </c>
      <c r="B97">
        <v>0.74709999999999999</v>
      </c>
      <c r="C97">
        <v>9.3799999999999994E-3</v>
      </c>
      <c r="D97">
        <v>4.7299999999999998E-3</v>
      </c>
      <c r="E97">
        <v>-5.7000000000000002E-2</v>
      </c>
      <c r="F97">
        <v>8.6E-3</v>
      </c>
      <c r="G97">
        <v>0.05</v>
      </c>
      <c r="H97">
        <v>-3.0709</v>
      </c>
      <c r="I97">
        <v>0</v>
      </c>
      <c r="J97">
        <v>0</v>
      </c>
      <c r="K97">
        <v>0</v>
      </c>
      <c r="L97">
        <v>0.32490000000000002</v>
      </c>
    </row>
    <row r="98" spans="1:12" x14ac:dyDescent="0.35">
      <c r="A98">
        <v>2.15</v>
      </c>
      <c r="B98">
        <v>0.75560000000000005</v>
      </c>
      <c r="C98">
        <v>9.6699999999999998E-3</v>
      </c>
      <c r="D98">
        <v>5.0699999999999999E-3</v>
      </c>
      <c r="E98">
        <v>-5.5800000000000002E-2</v>
      </c>
      <c r="F98">
        <v>8.5000000000000006E-3</v>
      </c>
      <c r="G98">
        <v>0.05</v>
      </c>
      <c r="H98">
        <v>-3.0871</v>
      </c>
      <c r="I98">
        <v>0</v>
      </c>
      <c r="J98">
        <v>0</v>
      </c>
      <c r="K98">
        <v>0</v>
      </c>
      <c r="L98">
        <v>0.32250000000000001</v>
      </c>
    </row>
    <row r="99" spans="1:12" x14ac:dyDescent="0.35">
      <c r="A99">
        <v>2.2000000000000002</v>
      </c>
      <c r="B99">
        <v>0.76449999999999996</v>
      </c>
      <c r="C99">
        <v>9.9699999999999997E-3</v>
      </c>
      <c r="D99">
        <v>5.4200000000000003E-3</v>
      </c>
      <c r="E99">
        <v>-5.4699999999999999E-2</v>
      </c>
      <c r="F99">
        <v>8.5000000000000006E-3</v>
      </c>
      <c r="G99">
        <v>0.05</v>
      </c>
      <c r="H99">
        <v>-3.1004</v>
      </c>
      <c r="I99">
        <v>0</v>
      </c>
      <c r="J99">
        <v>0</v>
      </c>
      <c r="K99">
        <v>0</v>
      </c>
      <c r="L99">
        <v>0.3201</v>
      </c>
    </row>
    <row r="100" spans="1:12" x14ac:dyDescent="0.35">
      <c r="A100">
        <v>2.25</v>
      </c>
      <c r="B100">
        <v>0.77380000000000004</v>
      </c>
      <c r="C100">
        <v>1.0290000000000001E-2</v>
      </c>
      <c r="D100">
        <v>5.79E-3</v>
      </c>
      <c r="E100">
        <v>-5.3600000000000002E-2</v>
      </c>
      <c r="F100">
        <v>8.3999999999999995E-3</v>
      </c>
      <c r="G100">
        <v>0.05</v>
      </c>
      <c r="H100">
        <v>-3.1116999999999999</v>
      </c>
      <c r="I100">
        <v>0</v>
      </c>
      <c r="J100">
        <v>0</v>
      </c>
      <c r="K100">
        <v>0</v>
      </c>
      <c r="L100">
        <v>0.31780000000000003</v>
      </c>
    </row>
    <row r="101" spans="1:12" x14ac:dyDescent="0.35">
      <c r="A101">
        <v>2.2999999999999998</v>
      </c>
      <c r="B101">
        <v>0.78339999999999999</v>
      </c>
      <c r="C101">
        <v>1.064E-2</v>
      </c>
      <c r="D101">
        <v>6.1799999999999997E-3</v>
      </c>
      <c r="E101">
        <v>-5.2499999999999998E-2</v>
      </c>
      <c r="F101">
        <v>8.3000000000000001E-3</v>
      </c>
      <c r="G101">
        <v>0.05</v>
      </c>
      <c r="H101">
        <v>-3.1212</v>
      </c>
      <c r="I101">
        <v>0</v>
      </c>
      <c r="J101">
        <v>0</v>
      </c>
      <c r="K101">
        <v>0</v>
      </c>
      <c r="L101">
        <v>0.3155</v>
      </c>
    </row>
    <row r="102" spans="1:12" x14ac:dyDescent="0.35">
      <c r="A102">
        <v>2.35</v>
      </c>
      <c r="B102">
        <v>0.79349999999999998</v>
      </c>
      <c r="C102">
        <v>1.0999999999999999E-2</v>
      </c>
      <c r="D102">
        <v>6.5900000000000004E-3</v>
      </c>
      <c r="E102">
        <v>-5.1499999999999997E-2</v>
      </c>
      <c r="F102">
        <v>8.2000000000000007E-3</v>
      </c>
      <c r="G102">
        <v>0.05</v>
      </c>
      <c r="H102">
        <v>-3.1286</v>
      </c>
      <c r="I102">
        <v>0</v>
      </c>
      <c r="J102">
        <v>0</v>
      </c>
      <c r="K102">
        <v>0</v>
      </c>
      <c r="L102">
        <v>0.31340000000000001</v>
      </c>
    </row>
    <row r="103" spans="1:12" x14ac:dyDescent="0.35">
      <c r="A103">
        <v>2.4</v>
      </c>
      <c r="B103">
        <v>0.80369999999999997</v>
      </c>
      <c r="C103">
        <v>1.1390000000000001E-2</v>
      </c>
      <c r="D103">
        <v>7.0400000000000003E-3</v>
      </c>
      <c r="E103">
        <v>-5.0500000000000003E-2</v>
      </c>
      <c r="F103">
        <v>8.2000000000000007E-3</v>
      </c>
      <c r="G103">
        <v>0.05</v>
      </c>
      <c r="H103">
        <v>-3.1341999999999999</v>
      </c>
      <c r="I103">
        <v>0</v>
      </c>
      <c r="J103">
        <v>0</v>
      </c>
      <c r="K103">
        <v>0</v>
      </c>
      <c r="L103">
        <v>0.31119999999999998</v>
      </c>
    </row>
    <row r="104" spans="1:12" x14ac:dyDescent="0.35">
      <c r="A104">
        <v>2.4500000000000002</v>
      </c>
      <c r="B104">
        <v>0.81399999999999995</v>
      </c>
      <c r="C104">
        <v>1.1809999999999999E-2</v>
      </c>
      <c r="D104">
        <v>7.5199999999999998E-3</v>
      </c>
      <c r="E104">
        <v>-4.9500000000000002E-2</v>
      </c>
      <c r="F104">
        <v>8.2000000000000007E-3</v>
      </c>
      <c r="G104">
        <v>0.05</v>
      </c>
      <c r="H104">
        <v>-3.1374</v>
      </c>
      <c r="I104">
        <v>0</v>
      </c>
      <c r="J104">
        <v>0</v>
      </c>
      <c r="K104">
        <v>0</v>
      </c>
      <c r="L104">
        <v>0.30919999999999997</v>
      </c>
    </row>
    <row r="105" spans="1:12" x14ac:dyDescent="0.35">
      <c r="A105">
        <v>2.5</v>
      </c>
      <c r="B105">
        <v>0.82430000000000003</v>
      </c>
      <c r="C105">
        <v>1.226E-2</v>
      </c>
      <c r="D105">
        <v>8.0300000000000007E-3</v>
      </c>
      <c r="E105">
        <v>-4.8500000000000001E-2</v>
      </c>
      <c r="F105">
        <v>8.0999999999999996E-3</v>
      </c>
      <c r="G105">
        <v>0.05</v>
      </c>
      <c r="H105">
        <v>-3.1383000000000001</v>
      </c>
      <c r="I105">
        <v>0</v>
      </c>
      <c r="J105">
        <v>0</v>
      </c>
      <c r="K105">
        <v>0</v>
      </c>
      <c r="L105">
        <v>0.30719999999999997</v>
      </c>
    </row>
    <row r="106" spans="1:12" x14ac:dyDescent="0.35">
      <c r="A106">
        <v>2.5499999999999998</v>
      </c>
      <c r="B106">
        <v>0.83430000000000004</v>
      </c>
      <c r="C106">
        <v>1.274E-2</v>
      </c>
      <c r="D106">
        <v>8.5699999999999995E-3</v>
      </c>
      <c r="E106">
        <v>-4.7399999999999998E-2</v>
      </c>
      <c r="F106">
        <v>8.0999999999999996E-3</v>
      </c>
      <c r="G106">
        <v>0.05</v>
      </c>
      <c r="H106">
        <v>-3.1372</v>
      </c>
      <c r="I106">
        <v>0</v>
      </c>
      <c r="J106">
        <v>0</v>
      </c>
      <c r="K106">
        <v>0</v>
      </c>
      <c r="L106">
        <v>0.30520000000000003</v>
      </c>
    </row>
    <row r="107" spans="1:12" x14ac:dyDescent="0.35">
      <c r="A107">
        <v>2.6</v>
      </c>
      <c r="B107">
        <v>0.84379999999999999</v>
      </c>
      <c r="C107">
        <v>1.325E-2</v>
      </c>
      <c r="D107">
        <v>9.1400000000000006E-3</v>
      </c>
      <c r="E107">
        <v>-4.6399999999999997E-2</v>
      </c>
      <c r="F107">
        <v>8.0000000000000002E-3</v>
      </c>
      <c r="G107">
        <v>0.05</v>
      </c>
      <c r="H107">
        <v>-3.1358000000000001</v>
      </c>
      <c r="I107">
        <v>0</v>
      </c>
      <c r="J107">
        <v>0</v>
      </c>
      <c r="K107">
        <v>0</v>
      </c>
      <c r="L107">
        <v>0.30330000000000001</v>
      </c>
    </row>
    <row r="108" spans="1:12" x14ac:dyDescent="0.35">
      <c r="A108">
        <v>2.65</v>
      </c>
      <c r="B108">
        <v>0.8528</v>
      </c>
      <c r="C108">
        <v>1.3780000000000001E-2</v>
      </c>
      <c r="D108">
        <v>9.75E-3</v>
      </c>
      <c r="E108">
        <v>-4.53E-2</v>
      </c>
      <c r="F108">
        <v>7.9000000000000008E-3</v>
      </c>
      <c r="G108">
        <v>0.05</v>
      </c>
      <c r="H108">
        <v>-3.1353</v>
      </c>
      <c r="I108">
        <v>0</v>
      </c>
      <c r="J108">
        <v>0</v>
      </c>
      <c r="K108">
        <v>0</v>
      </c>
      <c r="L108">
        <v>0.3014</v>
      </c>
    </row>
    <row r="109" spans="1:12" x14ac:dyDescent="0.35">
      <c r="A109">
        <v>2.7</v>
      </c>
      <c r="B109">
        <v>0.86119999999999997</v>
      </c>
      <c r="C109">
        <v>1.434E-2</v>
      </c>
      <c r="D109">
        <v>1.038E-2</v>
      </c>
      <c r="E109">
        <v>-4.4200000000000003E-2</v>
      </c>
      <c r="F109">
        <v>7.7999999999999996E-3</v>
      </c>
      <c r="G109">
        <v>0.05</v>
      </c>
      <c r="H109">
        <v>-3.1353</v>
      </c>
      <c r="I109">
        <v>0</v>
      </c>
      <c r="J109">
        <v>0</v>
      </c>
      <c r="K109">
        <v>0</v>
      </c>
      <c r="L109">
        <v>0.29949999999999999</v>
      </c>
    </row>
    <row r="110" spans="1:12" x14ac:dyDescent="0.35">
      <c r="A110">
        <v>2.75</v>
      </c>
      <c r="B110">
        <v>0.86890000000000001</v>
      </c>
      <c r="C110">
        <v>1.4919999999999999E-2</v>
      </c>
      <c r="D110">
        <v>1.102E-2</v>
      </c>
      <c r="E110">
        <v>-4.2999999999999997E-2</v>
      </c>
      <c r="F110">
        <v>7.7999999999999996E-3</v>
      </c>
      <c r="G110">
        <v>0.05</v>
      </c>
      <c r="H110">
        <v>-3.1339999999999999</v>
      </c>
      <c r="I110">
        <v>0</v>
      </c>
      <c r="J110">
        <v>0</v>
      </c>
      <c r="K110">
        <v>0</v>
      </c>
      <c r="L110">
        <v>0.29770000000000002</v>
      </c>
    </row>
    <row r="111" spans="1:12" x14ac:dyDescent="0.35">
      <c r="A111">
        <v>2.8</v>
      </c>
      <c r="B111">
        <v>0.876</v>
      </c>
      <c r="C111">
        <v>1.5509999999999999E-2</v>
      </c>
      <c r="D111">
        <v>1.17E-2</v>
      </c>
      <c r="E111">
        <v>-4.1799999999999997E-2</v>
      </c>
      <c r="F111">
        <v>7.7999999999999996E-3</v>
      </c>
      <c r="G111">
        <v>0.05</v>
      </c>
      <c r="H111">
        <v>-3.1307999999999998</v>
      </c>
      <c r="I111">
        <v>0</v>
      </c>
      <c r="J111">
        <v>0</v>
      </c>
      <c r="K111">
        <v>0</v>
      </c>
      <c r="L111">
        <v>0.29599999999999999</v>
      </c>
    </row>
    <row r="112" spans="1:12" x14ac:dyDescent="0.35">
      <c r="A112">
        <v>2.85</v>
      </c>
      <c r="B112">
        <v>0.88239999999999996</v>
      </c>
      <c r="C112">
        <v>1.6129999999999999E-2</v>
      </c>
      <c r="D112">
        <v>1.239E-2</v>
      </c>
      <c r="E112">
        <v>-4.07E-2</v>
      </c>
      <c r="F112">
        <v>7.7999999999999996E-3</v>
      </c>
      <c r="G112">
        <v>0.05</v>
      </c>
      <c r="H112">
        <v>-3.1251000000000002</v>
      </c>
      <c r="I112">
        <v>0</v>
      </c>
      <c r="J112">
        <v>0</v>
      </c>
      <c r="K112">
        <v>0</v>
      </c>
      <c r="L112">
        <v>0.29430000000000001</v>
      </c>
    </row>
    <row r="113" spans="1:12" x14ac:dyDescent="0.35">
      <c r="A113">
        <v>2.9</v>
      </c>
      <c r="B113">
        <v>0.88800000000000001</v>
      </c>
      <c r="C113">
        <v>1.678E-2</v>
      </c>
      <c r="D113">
        <v>1.3100000000000001E-2</v>
      </c>
      <c r="E113">
        <v>-3.95E-2</v>
      </c>
      <c r="F113">
        <v>7.7999999999999996E-3</v>
      </c>
      <c r="G113">
        <v>0.05</v>
      </c>
      <c r="H113">
        <v>-3.1168999999999998</v>
      </c>
      <c r="I113">
        <v>0</v>
      </c>
      <c r="J113">
        <v>0</v>
      </c>
      <c r="K113">
        <v>0</v>
      </c>
      <c r="L113">
        <v>0.29260000000000003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A4926-598B-43B7-8A58-B114FB133F08}">
  <sheetPr codeName="Sheet28"/>
  <dimension ref="A1:L170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-5</v>
      </c>
      <c r="B2">
        <v>-0.38109999999999999</v>
      </c>
      <c r="C2">
        <v>5.985E-2</v>
      </c>
      <c r="D2">
        <v>5.6579999999999998E-2</v>
      </c>
      <c r="E2">
        <v>-5.0599999999999999E-2</v>
      </c>
      <c r="F2">
        <v>0.05</v>
      </c>
      <c r="G2">
        <v>2.0999999999999999E-3</v>
      </c>
      <c r="H2">
        <v>-2.4293999999999998</v>
      </c>
      <c r="I2">
        <v>0</v>
      </c>
      <c r="J2">
        <v>0</v>
      </c>
      <c r="K2">
        <v>0</v>
      </c>
      <c r="L2">
        <v>0.1144</v>
      </c>
    </row>
    <row r="3" spans="1:12" x14ac:dyDescent="0.35">
      <c r="A3">
        <v>-4.95</v>
      </c>
      <c r="B3">
        <v>-0.37940000000000002</v>
      </c>
      <c r="C3">
        <v>5.8990000000000001E-2</v>
      </c>
      <c r="D3">
        <v>5.5730000000000002E-2</v>
      </c>
      <c r="E3">
        <v>-5.1200000000000002E-2</v>
      </c>
      <c r="F3">
        <v>0.05</v>
      </c>
      <c r="G3">
        <v>2.0999999999999999E-3</v>
      </c>
      <c r="H3">
        <v>-2.44</v>
      </c>
      <c r="I3">
        <v>0</v>
      </c>
      <c r="J3">
        <v>0</v>
      </c>
      <c r="K3">
        <v>0</v>
      </c>
      <c r="L3">
        <v>0.11219999999999999</v>
      </c>
    </row>
    <row r="4" spans="1:12" x14ac:dyDescent="0.35">
      <c r="A4">
        <v>-4.9000000000000004</v>
      </c>
      <c r="B4">
        <v>-0.37780000000000002</v>
      </c>
      <c r="C4">
        <v>5.8139999999999997E-2</v>
      </c>
      <c r="D4">
        <v>5.4879999999999998E-2</v>
      </c>
      <c r="E4">
        <v>-5.1799999999999999E-2</v>
      </c>
      <c r="F4">
        <v>0.05</v>
      </c>
      <c r="G4">
        <v>2.0999999999999999E-3</v>
      </c>
      <c r="H4">
        <v>-2.4506999999999999</v>
      </c>
      <c r="I4">
        <v>0</v>
      </c>
      <c r="J4">
        <v>0</v>
      </c>
      <c r="K4">
        <v>0</v>
      </c>
      <c r="L4">
        <v>0.11</v>
      </c>
    </row>
    <row r="5" spans="1:12" x14ac:dyDescent="0.35">
      <c r="A5">
        <v>-4.8499999999999996</v>
      </c>
      <c r="B5">
        <v>-0.37619999999999998</v>
      </c>
      <c r="C5">
        <v>5.7290000000000001E-2</v>
      </c>
      <c r="D5">
        <v>5.4030000000000002E-2</v>
      </c>
      <c r="E5">
        <v>-5.2499999999999998E-2</v>
      </c>
      <c r="F5">
        <v>0.05</v>
      </c>
      <c r="G5">
        <v>2.0999999999999999E-3</v>
      </c>
      <c r="H5">
        <v>-2.4615</v>
      </c>
      <c r="I5">
        <v>0</v>
      </c>
      <c r="J5">
        <v>0</v>
      </c>
      <c r="K5">
        <v>0</v>
      </c>
      <c r="L5">
        <v>0.1077</v>
      </c>
    </row>
    <row r="6" spans="1:12" x14ac:dyDescent="0.35">
      <c r="A6">
        <v>-4.8</v>
      </c>
      <c r="B6">
        <v>-0.37469999999999998</v>
      </c>
      <c r="C6">
        <v>5.6430000000000001E-2</v>
      </c>
      <c r="D6">
        <v>5.3179999999999998E-2</v>
      </c>
      <c r="E6">
        <v>-5.3199999999999997E-2</v>
      </c>
      <c r="F6">
        <v>0.05</v>
      </c>
      <c r="G6">
        <v>2.0999999999999999E-3</v>
      </c>
      <c r="H6">
        <v>-2.4723000000000002</v>
      </c>
      <c r="I6">
        <v>0</v>
      </c>
      <c r="J6">
        <v>0</v>
      </c>
      <c r="K6">
        <v>0</v>
      </c>
      <c r="L6">
        <v>0.10539999999999999</v>
      </c>
    </row>
    <row r="7" spans="1:12" x14ac:dyDescent="0.35">
      <c r="A7">
        <v>-4.75</v>
      </c>
      <c r="B7">
        <v>-0.37319999999999998</v>
      </c>
      <c r="C7">
        <v>5.5579999999999997E-2</v>
      </c>
      <c r="D7">
        <v>5.2319999999999998E-2</v>
      </c>
      <c r="E7">
        <v>-5.3800000000000001E-2</v>
      </c>
      <c r="F7">
        <v>0.05</v>
      </c>
      <c r="G7">
        <v>2.0999999999999999E-3</v>
      </c>
      <c r="H7">
        <v>-2.4832000000000001</v>
      </c>
      <c r="I7">
        <v>0</v>
      </c>
      <c r="J7">
        <v>0</v>
      </c>
      <c r="K7">
        <v>0</v>
      </c>
      <c r="L7">
        <v>0.10299999999999999</v>
      </c>
    </row>
    <row r="8" spans="1:12" x14ac:dyDescent="0.35">
      <c r="A8">
        <v>-4.7</v>
      </c>
      <c r="B8">
        <v>-0.37169999999999997</v>
      </c>
      <c r="C8">
        <v>5.4719999999999998E-2</v>
      </c>
      <c r="D8">
        <v>5.1470000000000002E-2</v>
      </c>
      <c r="E8">
        <v>-5.45E-2</v>
      </c>
      <c r="F8">
        <v>0.05</v>
      </c>
      <c r="G8">
        <v>2.0999999999999999E-3</v>
      </c>
      <c r="H8">
        <v>-2.4942000000000002</v>
      </c>
      <c r="I8">
        <v>0</v>
      </c>
      <c r="J8">
        <v>0</v>
      </c>
      <c r="K8">
        <v>0</v>
      </c>
      <c r="L8">
        <v>0.10059999999999999</v>
      </c>
    </row>
    <row r="9" spans="1:12" x14ac:dyDescent="0.35">
      <c r="A9">
        <v>-4.6500000000000004</v>
      </c>
      <c r="B9">
        <v>-0.37030000000000002</v>
      </c>
      <c r="C9">
        <v>5.3859999999999998E-2</v>
      </c>
      <c r="D9">
        <v>5.0610000000000002E-2</v>
      </c>
      <c r="E9">
        <v>-5.5199999999999999E-2</v>
      </c>
      <c r="F9">
        <v>0.05</v>
      </c>
      <c r="G9">
        <v>2.2000000000000001E-3</v>
      </c>
      <c r="H9">
        <v>-2.5053999999999998</v>
      </c>
      <c r="I9">
        <v>0</v>
      </c>
      <c r="J9">
        <v>0</v>
      </c>
      <c r="K9">
        <v>0</v>
      </c>
      <c r="L9">
        <v>9.8199999999999996E-2</v>
      </c>
    </row>
    <row r="10" spans="1:12" x14ac:dyDescent="0.35">
      <c r="A10">
        <v>-4.5999999999999996</v>
      </c>
      <c r="B10">
        <v>-0.36890000000000001</v>
      </c>
      <c r="C10">
        <v>5.2999999999999999E-2</v>
      </c>
      <c r="D10">
        <v>4.9750000000000003E-2</v>
      </c>
      <c r="E10">
        <v>-5.6000000000000001E-2</v>
      </c>
      <c r="F10">
        <v>0.05</v>
      </c>
      <c r="G10">
        <v>2.2000000000000001E-3</v>
      </c>
      <c r="H10">
        <v>-2.5167000000000002</v>
      </c>
      <c r="I10">
        <v>0</v>
      </c>
      <c r="J10">
        <v>0</v>
      </c>
      <c r="K10">
        <v>0</v>
      </c>
      <c r="L10">
        <v>9.5699999999999993E-2</v>
      </c>
    </row>
    <row r="11" spans="1:12" x14ac:dyDescent="0.35">
      <c r="A11">
        <v>-4.55</v>
      </c>
      <c r="B11">
        <v>-0.36749999999999999</v>
      </c>
      <c r="C11">
        <v>5.2130000000000003E-2</v>
      </c>
      <c r="D11">
        <v>4.8890000000000003E-2</v>
      </c>
      <c r="E11">
        <v>-5.67E-2</v>
      </c>
      <c r="F11">
        <v>0.05</v>
      </c>
      <c r="G11">
        <v>2.2000000000000001E-3</v>
      </c>
      <c r="H11">
        <v>-2.5282</v>
      </c>
      <c r="I11">
        <v>0</v>
      </c>
      <c r="J11">
        <v>0</v>
      </c>
      <c r="K11">
        <v>0</v>
      </c>
      <c r="L11">
        <v>9.3100000000000002E-2</v>
      </c>
    </row>
    <row r="12" spans="1:12" x14ac:dyDescent="0.35">
      <c r="A12">
        <v>-4.5</v>
      </c>
      <c r="B12">
        <v>-0.36630000000000001</v>
      </c>
      <c r="C12">
        <v>5.126E-2</v>
      </c>
      <c r="D12">
        <v>4.8030000000000003E-2</v>
      </c>
      <c r="E12">
        <v>-5.7500000000000002E-2</v>
      </c>
      <c r="F12">
        <v>0.05</v>
      </c>
      <c r="G12">
        <v>2.2000000000000001E-3</v>
      </c>
      <c r="H12">
        <v>-2.5398999999999998</v>
      </c>
      <c r="I12">
        <v>0</v>
      </c>
      <c r="J12">
        <v>0</v>
      </c>
      <c r="K12">
        <v>0</v>
      </c>
      <c r="L12">
        <v>9.0499999999999997E-2</v>
      </c>
    </row>
    <row r="13" spans="1:12" x14ac:dyDescent="0.35">
      <c r="A13">
        <v>-4.45</v>
      </c>
      <c r="B13">
        <v>-0.36509999999999998</v>
      </c>
      <c r="C13">
        <v>5.0389999999999997E-2</v>
      </c>
      <c r="D13">
        <v>4.7160000000000001E-2</v>
      </c>
      <c r="E13">
        <v>-5.8299999999999998E-2</v>
      </c>
      <c r="F13">
        <v>0.05</v>
      </c>
      <c r="G13">
        <v>2.3E-3</v>
      </c>
      <c r="H13">
        <v>-2.5518000000000001</v>
      </c>
      <c r="I13">
        <v>0</v>
      </c>
      <c r="J13">
        <v>0</v>
      </c>
      <c r="K13">
        <v>0</v>
      </c>
      <c r="L13">
        <v>8.7800000000000003E-2</v>
      </c>
    </row>
    <row r="14" spans="1:12" x14ac:dyDescent="0.35">
      <c r="A14">
        <v>-4.4000000000000004</v>
      </c>
      <c r="B14">
        <v>-0.36409999999999998</v>
      </c>
      <c r="C14">
        <v>4.9509999999999998E-2</v>
      </c>
      <c r="D14">
        <v>4.6280000000000002E-2</v>
      </c>
      <c r="E14">
        <v>-5.91E-2</v>
      </c>
      <c r="F14">
        <v>0.05</v>
      </c>
      <c r="G14">
        <v>2.3E-3</v>
      </c>
      <c r="H14">
        <v>-2.5642</v>
      </c>
      <c r="I14">
        <v>0</v>
      </c>
      <c r="J14">
        <v>0</v>
      </c>
      <c r="K14">
        <v>0</v>
      </c>
      <c r="L14">
        <v>8.5099999999999995E-2</v>
      </c>
    </row>
    <row r="15" spans="1:12" x14ac:dyDescent="0.35">
      <c r="A15">
        <v>-4.3499999999999996</v>
      </c>
      <c r="B15">
        <v>-0.36320000000000002</v>
      </c>
      <c r="C15">
        <v>4.8640000000000003E-2</v>
      </c>
      <c r="D15">
        <v>4.5409999999999999E-2</v>
      </c>
      <c r="E15">
        <v>-0.06</v>
      </c>
      <c r="F15">
        <v>0.05</v>
      </c>
      <c r="G15">
        <v>2.3E-3</v>
      </c>
      <c r="H15">
        <v>-2.577</v>
      </c>
      <c r="I15">
        <v>0</v>
      </c>
      <c r="J15">
        <v>0</v>
      </c>
      <c r="K15">
        <v>0</v>
      </c>
      <c r="L15">
        <v>8.2400000000000001E-2</v>
      </c>
    </row>
    <row r="16" spans="1:12" x14ac:dyDescent="0.35">
      <c r="A16">
        <v>-4.3</v>
      </c>
      <c r="B16">
        <v>-0.36280000000000001</v>
      </c>
      <c r="C16">
        <v>4.7780000000000003E-2</v>
      </c>
      <c r="D16">
        <v>4.4549999999999999E-2</v>
      </c>
      <c r="E16">
        <v>-6.0900000000000003E-2</v>
      </c>
      <c r="F16">
        <v>0.05</v>
      </c>
      <c r="G16">
        <v>2.3999999999999998E-3</v>
      </c>
      <c r="H16">
        <v>-2.5903999999999998</v>
      </c>
      <c r="I16">
        <v>0</v>
      </c>
      <c r="J16">
        <v>0</v>
      </c>
      <c r="K16">
        <v>0</v>
      </c>
      <c r="L16">
        <v>7.9799999999999996E-2</v>
      </c>
    </row>
    <row r="17" spans="1:12" x14ac:dyDescent="0.35">
      <c r="A17">
        <v>-4.25</v>
      </c>
      <c r="B17">
        <v>-0.3629</v>
      </c>
      <c r="C17">
        <v>4.6949999999999999E-2</v>
      </c>
      <c r="D17">
        <v>4.3729999999999998E-2</v>
      </c>
      <c r="E17">
        <v>-6.1800000000000001E-2</v>
      </c>
      <c r="F17">
        <v>0.05</v>
      </c>
      <c r="G17">
        <v>2.3999999999999998E-3</v>
      </c>
      <c r="H17">
        <v>-2.6044</v>
      </c>
      <c r="I17">
        <v>0</v>
      </c>
      <c r="J17">
        <v>0</v>
      </c>
      <c r="K17">
        <v>0</v>
      </c>
      <c r="L17">
        <v>7.7299999999999994E-2</v>
      </c>
    </row>
    <row r="18" spans="1:12" x14ac:dyDescent="0.35">
      <c r="A18">
        <v>-4.2</v>
      </c>
      <c r="B18">
        <v>-0.36270000000000002</v>
      </c>
      <c r="C18">
        <v>4.6059999999999997E-2</v>
      </c>
      <c r="D18">
        <v>4.2840000000000003E-2</v>
      </c>
      <c r="E18">
        <v>-6.3100000000000003E-2</v>
      </c>
      <c r="F18">
        <v>0.05</v>
      </c>
      <c r="G18">
        <v>2.3999999999999998E-3</v>
      </c>
      <c r="H18">
        <v>-2.6200999999999999</v>
      </c>
      <c r="I18">
        <v>0</v>
      </c>
      <c r="J18">
        <v>0</v>
      </c>
      <c r="K18">
        <v>0</v>
      </c>
      <c r="L18">
        <v>7.3800000000000004E-2</v>
      </c>
    </row>
    <row r="19" spans="1:12" x14ac:dyDescent="0.35">
      <c r="A19">
        <v>-4.1500000000000004</v>
      </c>
      <c r="B19">
        <v>-0.36120000000000002</v>
      </c>
      <c r="C19">
        <v>4.5060000000000003E-2</v>
      </c>
      <c r="D19">
        <v>4.1849999999999998E-2</v>
      </c>
      <c r="E19">
        <v>-6.4699999999999994E-2</v>
      </c>
      <c r="F19">
        <v>0.05</v>
      </c>
      <c r="G19">
        <v>2.5000000000000001E-3</v>
      </c>
      <c r="H19">
        <v>-2.6383000000000001</v>
      </c>
      <c r="I19">
        <v>0</v>
      </c>
      <c r="J19">
        <v>0</v>
      </c>
      <c r="K19">
        <v>0</v>
      </c>
      <c r="L19">
        <v>6.8500000000000005E-2</v>
      </c>
    </row>
    <row r="20" spans="1:12" x14ac:dyDescent="0.35">
      <c r="A20">
        <v>-4.0999999999999996</v>
      </c>
      <c r="B20">
        <v>-0.35959999999999998</v>
      </c>
      <c r="C20">
        <v>4.4130000000000003E-2</v>
      </c>
      <c r="D20">
        <v>4.0910000000000002E-2</v>
      </c>
      <c r="E20">
        <v>-6.6000000000000003E-2</v>
      </c>
      <c r="F20">
        <v>0.05</v>
      </c>
      <c r="G20">
        <v>2.5000000000000001E-3</v>
      </c>
      <c r="H20">
        <v>-2.6591</v>
      </c>
      <c r="I20">
        <v>0</v>
      </c>
      <c r="J20">
        <v>0</v>
      </c>
      <c r="K20">
        <v>0</v>
      </c>
      <c r="L20">
        <v>6.4199999999999993E-2</v>
      </c>
    </row>
    <row r="21" spans="1:12" x14ac:dyDescent="0.35">
      <c r="A21">
        <v>-4.05</v>
      </c>
      <c r="B21">
        <v>-0.3579</v>
      </c>
      <c r="C21">
        <v>4.3240000000000001E-2</v>
      </c>
      <c r="D21">
        <v>4.0009999999999997E-2</v>
      </c>
      <c r="E21">
        <v>-6.7000000000000004E-2</v>
      </c>
      <c r="F21">
        <v>0.05</v>
      </c>
      <c r="G21">
        <v>2.5999999999999999E-3</v>
      </c>
      <c r="H21">
        <v>-2.6732999999999998</v>
      </c>
      <c r="I21">
        <v>0</v>
      </c>
      <c r="J21">
        <v>0</v>
      </c>
      <c r="K21">
        <v>0</v>
      </c>
      <c r="L21">
        <v>6.0499999999999998E-2</v>
      </c>
    </row>
    <row r="22" spans="1:12" x14ac:dyDescent="0.35">
      <c r="A22">
        <v>-4</v>
      </c>
      <c r="B22">
        <v>-0.35610000000000003</v>
      </c>
      <c r="C22">
        <v>4.2349999999999999E-2</v>
      </c>
      <c r="D22">
        <v>3.9120000000000002E-2</v>
      </c>
      <c r="E22">
        <v>-6.8000000000000005E-2</v>
      </c>
      <c r="F22">
        <v>0.05</v>
      </c>
      <c r="G22">
        <v>2.5999999999999999E-3</v>
      </c>
      <c r="H22">
        <v>-2.6745000000000001</v>
      </c>
      <c r="I22">
        <v>0</v>
      </c>
      <c r="J22">
        <v>0</v>
      </c>
      <c r="K22">
        <v>0</v>
      </c>
      <c r="L22">
        <v>5.6899999999999999E-2</v>
      </c>
    </row>
    <row r="23" spans="1:12" x14ac:dyDescent="0.35">
      <c r="A23">
        <v>-3.95</v>
      </c>
      <c r="B23">
        <v>-0.3543</v>
      </c>
      <c r="C23">
        <v>4.1480000000000003E-2</v>
      </c>
      <c r="D23">
        <v>3.8240000000000003E-2</v>
      </c>
      <c r="E23">
        <v>-6.8900000000000003E-2</v>
      </c>
      <c r="F23">
        <v>0.05</v>
      </c>
      <c r="G23">
        <v>2.5999999999999999E-3</v>
      </c>
      <c r="H23">
        <v>-2.6758000000000002</v>
      </c>
      <c r="I23">
        <v>0</v>
      </c>
      <c r="J23">
        <v>0</v>
      </c>
      <c r="K23">
        <v>0</v>
      </c>
      <c r="L23">
        <v>5.3400000000000003E-2</v>
      </c>
    </row>
    <row r="24" spans="1:12" x14ac:dyDescent="0.35">
      <c r="A24">
        <v>-3.9</v>
      </c>
      <c r="B24">
        <v>-0.35239999999999999</v>
      </c>
      <c r="C24">
        <v>4.061E-2</v>
      </c>
      <c r="D24">
        <v>3.7359999999999997E-2</v>
      </c>
      <c r="E24">
        <v>-6.9800000000000001E-2</v>
      </c>
      <c r="F24">
        <v>0.05</v>
      </c>
      <c r="G24">
        <v>2.7000000000000001E-3</v>
      </c>
      <c r="H24">
        <v>-2.6774</v>
      </c>
      <c r="I24">
        <v>0</v>
      </c>
      <c r="J24">
        <v>0</v>
      </c>
      <c r="K24">
        <v>0</v>
      </c>
      <c r="L24">
        <v>4.99E-2</v>
      </c>
    </row>
    <row r="25" spans="1:12" x14ac:dyDescent="0.35">
      <c r="A25">
        <v>-3.85</v>
      </c>
      <c r="B25">
        <v>-0.35049999999999998</v>
      </c>
      <c r="C25">
        <v>3.9739999999999998E-2</v>
      </c>
      <c r="D25">
        <v>3.6479999999999999E-2</v>
      </c>
      <c r="E25">
        <v>-7.0599999999999996E-2</v>
      </c>
      <c r="F25">
        <v>0.05</v>
      </c>
      <c r="G25">
        <v>2.7000000000000001E-3</v>
      </c>
      <c r="H25">
        <v>-2.6791999999999998</v>
      </c>
      <c r="I25">
        <v>0</v>
      </c>
      <c r="J25">
        <v>0</v>
      </c>
      <c r="K25">
        <v>0</v>
      </c>
      <c r="L25">
        <v>4.6399999999999997E-2</v>
      </c>
    </row>
    <row r="26" spans="1:12" x14ac:dyDescent="0.35">
      <c r="A26">
        <v>-3.8</v>
      </c>
      <c r="B26">
        <v>-0.34839999999999999</v>
      </c>
      <c r="C26">
        <v>3.8879999999999998E-2</v>
      </c>
      <c r="D26">
        <v>3.5610000000000003E-2</v>
      </c>
      <c r="E26">
        <v>-7.1400000000000005E-2</v>
      </c>
      <c r="F26">
        <v>0.05</v>
      </c>
      <c r="G26">
        <v>2.7000000000000001E-3</v>
      </c>
      <c r="H26">
        <v>-2.6812999999999998</v>
      </c>
      <c r="I26">
        <v>0</v>
      </c>
      <c r="J26">
        <v>0</v>
      </c>
      <c r="K26">
        <v>0</v>
      </c>
      <c r="L26">
        <v>4.2900000000000001E-2</v>
      </c>
    </row>
    <row r="27" spans="1:12" x14ac:dyDescent="0.35">
      <c r="A27">
        <v>-3.75</v>
      </c>
      <c r="B27">
        <v>-0.34639999999999999</v>
      </c>
      <c r="C27">
        <v>3.8030000000000001E-2</v>
      </c>
      <c r="D27">
        <v>3.4750000000000003E-2</v>
      </c>
      <c r="E27">
        <v>-7.22E-2</v>
      </c>
      <c r="F27">
        <v>0.05</v>
      </c>
      <c r="G27">
        <v>2.8E-3</v>
      </c>
      <c r="H27">
        <v>-2.6837</v>
      </c>
      <c r="I27">
        <v>0</v>
      </c>
      <c r="J27">
        <v>0</v>
      </c>
      <c r="K27">
        <v>0</v>
      </c>
      <c r="L27">
        <v>3.9399999999999998E-2</v>
      </c>
    </row>
    <row r="28" spans="1:12" x14ac:dyDescent="0.35">
      <c r="A28">
        <v>-3.7</v>
      </c>
      <c r="B28">
        <v>-0.34420000000000001</v>
      </c>
      <c r="C28">
        <v>3.7179999999999998E-2</v>
      </c>
      <c r="D28">
        <v>3.3890000000000003E-2</v>
      </c>
      <c r="E28">
        <v>-7.2999999999999995E-2</v>
      </c>
      <c r="F28">
        <v>0.05</v>
      </c>
      <c r="G28">
        <v>2.8E-3</v>
      </c>
      <c r="H28">
        <v>-2.6863000000000001</v>
      </c>
      <c r="I28">
        <v>0</v>
      </c>
      <c r="J28">
        <v>0</v>
      </c>
      <c r="K28">
        <v>0</v>
      </c>
      <c r="L28">
        <v>3.5900000000000001E-2</v>
      </c>
    </row>
    <row r="29" spans="1:12" x14ac:dyDescent="0.35">
      <c r="A29">
        <v>-3.65</v>
      </c>
      <c r="B29">
        <v>-0.34189999999999998</v>
      </c>
      <c r="C29">
        <v>3.6339999999999997E-2</v>
      </c>
      <c r="D29">
        <v>3.3029999999999997E-2</v>
      </c>
      <c r="E29">
        <v>-7.3700000000000002E-2</v>
      </c>
      <c r="F29">
        <v>0.05</v>
      </c>
      <c r="G29">
        <v>2.8999999999999998E-3</v>
      </c>
      <c r="H29">
        <v>-2.6890999999999998</v>
      </c>
      <c r="I29">
        <v>0</v>
      </c>
      <c r="J29">
        <v>0</v>
      </c>
      <c r="K29">
        <v>0</v>
      </c>
      <c r="L29">
        <v>3.2399999999999998E-2</v>
      </c>
    </row>
    <row r="30" spans="1:12" x14ac:dyDescent="0.35">
      <c r="A30">
        <v>-3.6</v>
      </c>
      <c r="B30">
        <v>-0.33950000000000002</v>
      </c>
      <c r="C30">
        <v>3.5499999999999997E-2</v>
      </c>
      <c r="D30">
        <v>3.218E-2</v>
      </c>
      <c r="E30">
        <v>-7.4399999999999994E-2</v>
      </c>
      <c r="F30">
        <v>0.05</v>
      </c>
      <c r="G30">
        <v>2.8999999999999998E-3</v>
      </c>
      <c r="H30">
        <v>-2.6922000000000001</v>
      </c>
      <c r="I30">
        <v>0</v>
      </c>
      <c r="J30">
        <v>0</v>
      </c>
      <c r="K30">
        <v>0</v>
      </c>
      <c r="L30">
        <v>2.8799999999999999E-2</v>
      </c>
    </row>
    <row r="31" spans="1:12" x14ac:dyDescent="0.35">
      <c r="A31">
        <v>-3.55</v>
      </c>
      <c r="B31">
        <v>-0.33700000000000002</v>
      </c>
      <c r="C31">
        <v>3.4669999999999999E-2</v>
      </c>
      <c r="D31">
        <v>3.1329999999999997E-2</v>
      </c>
      <c r="E31">
        <v>-7.4999999999999997E-2</v>
      </c>
      <c r="F31">
        <v>0.05</v>
      </c>
      <c r="G31">
        <v>3.0000000000000001E-3</v>
      </c>
      <c r="H31">
        <v>-2.6953</v>
      </c>
      <c r="I31">
        <v>0</v>
      </c>
      <c r="J31">
        <v>0</v>
      </c>
      <c r="K31">
        <v>0</v>
      </c>
      <c r="L31">
        <v>2.52E-2</v>
      </c>
    </row>
    <row r="32" spans="1:12" x14ac:dyDescent="0.35">
      <c r="A32">
        <v>-3.5</v>
      </c>
      <c r="B32">
        <v>-0.33429999999999999</v>
      </c>
      <c r="C32">
        <v>3.3840000000000002E-2</v>
      </c>
      <c r="D32">
        <v>3.049E-2</v>
      </c>
      <c r="E32">
        <v>-7.5700000000000003E-2</v>
      </c>
      <c r="F32">
        <v>0.05</v>
      </c>
      <c r="G32">
        <v>3.0000000000000001E-3</v>
      </c>
      <c r="H32">
        <v>-2.6985000000000001</v>
      </c>
      <c r="I32">
        <v>0</v>
      </c>
      <c r="J32">
        <v>0</v>
      </c>
      <c r="K32">
        <v>0</v>
      </c>
      <c r="L32">
        <v>2.1600000000000001E-2</v>
      </c>
    </row>
    <row r="33" spans="1:12" x14ac:dyDescent="0.35">
      <c r="A33">
        <v>-3.45</v>
      </c>
      <c r="B33">
        <v>-0.33150000000000002</v>
      </c>
      <c r="C33">
        <v>3.3020000000000001E-2</v>
      </c>
      <c r="D33">
        <v>2.964E-2</v>
      </c>
      <c r="E33">
        <v>-7.6300000000000007E-2</v>
      </c>
      <c r="F33">
        <v>0.05</v>
      </c>
      <c r="G33">
        <v>3.0999999999999999E-3</v>
      </c>
      <c r="H33">
        <v>-2.7017000000000002</v>
      </c>
      <c r="I33">
        <v>0</v>
      </c>
      <c r="J33">
        <v>0</v>
      </c>
      <c r="K33">
        <v>0</v>
      </c>
      <c r="L33">
        <v>1.7899999999999999E-2</v>
      </c>
    </row>
    <row r="34" spans="1:12" x14ac:dyDescent="0.35">
      <c r="A34">
        <v>-3.4</v>
      </c>
      <c r="B34">
        <v>-0.32840000000000003</v>
      </c>
      <c r="C34">
        <v>3.2199999999999999E-2</v>
      </c>
      <c r="D34">
        <v>2.8799999999999999E-2</v>
      </c>
      <c r="E34">
        <v>-7.6799999999999993E-2</v>
      </c>
      <c r="F34">
        <v>0.05</v>
      </c>
      <c r="G34">
        <v>3.2000000000000002E-3</v>
      </c>
      <c r="H34">
        <v>-2.7046999999999999</v>
      </c>
      <c r="I34">
        <v>0</v>
      </c>
      <c r="J34">
        <v>0</v>
      </c>
      <c r="K34">
        <v>0</v>
      </c>
      <c r="L34">
        <v>1.41E-2</v>
      </c>
    </row>
    <row r="35" spans="1:12" x14ac:dyDescent="0.35">
      <c r="A35">
        <v>-3.35</v>
      </c>
      <c r="B35">
        <v>-0.32519999999999999</v>
      </c>
      <c r="C35">
        <v>3.1379999999999998E-2</v>
      </c>
      <c r="D35">
        <v>2.7959999999999999E-2</v>
      </c>
      <c r="E35">
        <v>-7.7299999999999994E-2</v>
      </c>
      <c r="F35">
        <v>0.05</v>
      </c>
      <c r="G35">
        <v>3.3E-3</v>
      </c>
      <c r="H35">
        <v>-2.7073999999999998</v>
      </c>
      <c r="I35">
        <v>0</v>
      </c>
      <c r="J35">
        <v>0</v>
      </c>
      <c r="K35">
        <v>0</v>
      </c>
      <c r="L35">
        <v>1.0200000000000001E-2</v>
      </c>
    </row>
    <row r="36" spans="1:12" x14ac:dyDescent="0.35">
      <c r="A36">
        <v>-3.3</v>
      </c>
      <c r="B36">
        <v>-0.32190000000000002</v>
      </c>
      <c r="C36">
        <v>3.057E-2</v>
      </c>
      <c r="D36">
        <v>2.7130000000000001E-2</v>
      </c>
      <c r="E36">
        <v>-7.7799999999999994E-2</v>
      </c>
      <c r="F36">
        <v>0.05</v>
      </c>
      <c r="G36">
        <v>3.3999999999999998E-3</v>
      </c>
      <c r="H36">
        <v>-2.7094999999999998</v>
      </c>
      <c r="I36">
        <v>0</v>
      </c>
      <c r="J36">
        <v>0</v>
      </c>
      <c r="K36">
        <v>0</v>
      </c>
      <c r="L36">
        <v>6.1999999999999998E-3</v>
      </c>
    </row>
    <row r="37" spans="1:12" x14ac:dyDescent="0.35">
      <c r="A37">
        <v>-3.25</v>
      </c>
      <c r="B37">
        <v>-0.31819999999999998</v>
      </c>
      <c r="C37">
        <v>2.9770000000000001E-2</v>
      </c>
      <c r="D37">
        <v>2.63E-2</v>
      </c>
      <c r="E37">
        <v>-7.8299999999999995E-2</v>
      </c>
      <c r="F37">
        <v>0.05</v>
      </c>
      <c r="G37">
        <v>3.3999999999999998E-3</v>
      </c>
      <c r="H37">
        <v>-2.7107999999999999</v>
      </c>
      <c r="I37">
        <v>0</v>
      </c>
      <c r="J37">
        <v>0</v>
      </c>
      <c r="K37">
        <v>0</v>
      </c>
      <c r="L37">
        <v>2.0999999999999999E-3</v>
      </c>
    </row>
    <row r="38" spans="1:12" x14ac:dyDescent="0.35">
      <c r="A38">
        <v>-3.2</v>
      </c>
      <c r="B38">
        <v>-0.31440000000000001</v>
      </c>
      <c r="C38">
        <v>2.8969999999999999E-2</v>
      </c>
      <c r="D38">
        <v>2.547E-2</v>
      </c>
      <c r="E38">
        <v>-7.8700000000000006E-2</v>
      </c>
      <c r="F38">
        <v>0.05</v>
      </c>
      <c r="G38">
        <v>3.5000000000000001E-3</v>
      </c>
      <c r="H38">
        <v>-2.7109999999999999</v>
      </c>
      <c r="I38">
        <v>0</v>
      </c>
      <c r="J38">
        <v>0</v>
      </c>
      <c r="K38">
        <v>0</v>
      </c>
      <c r="L38">
        <v>-2.2000000000000001E-3</v>
      </c>
    </row>
    <row r="39" spans="1:12" x14ac:dyDescent="0.35">
      <c r="A39">
        <v>-3.15</v>
      </c>
      <c r="B39">
        <v>-0.31040000000000001</v>
      </c>
      <c r="C39">
        <v>2.8170000000000001E-2</v>
      </c>
      <c r="D39">
        <v>2.4639999999999999E-2</v>
      </c>
      <c r="E39">
        <v>-7.9100000000000004E-2</v>
      </c>
      <c r="F39">
        <v>0.05</v>
      </c>
      <c r="G39">
        <v>3.5999999999999999E-3</v>
      </c>
      <c r="H39">
        <v>-2.7094999999999998</v>
      </c>
      <c r="I39">
        <v>0</v>
      </c>
      <c r="J39">
        <v>0</v>
      </c>
      <c r="K39">
        <v>0</v>
      </c>
      <c r="L39">
        <v>-6.7000000000000002E-3</v>
      </c>
    </row>
    <row r="40" spans="1:12" x14ac:dyDescent="0.35">
      <c r="A40">
        <v>-3.1</v>
      </c>
      <c r="B40">
        <v>-0.30609999999999998</v>
      </c>
      <c r="C40">
        <v>2.7380000000000002E-2</v>
      </c>
      <c r="D40">
        <v>2.3810000000000001E-2</v>
      </c>
      <c r="E40">
        <v>-7.9399999999999998E-2</v>
      </c>
      <c r="F40">
        <v>0.05</v>
      </c>
      <c r="G40">
        <v>3.7000000000000002E-3</v>
      </c>
      <c r="H40">
        <v>-2.7058</v>
      </c>
      <c r="I40">
        <v>0</v>
      </c>
      <c r="J40">
        <v>0</v>
      </c>
      <c r="K40">
        <v>0</v>
      </c>
      <c r="L40">
        <v>-1.14E-2</v>
      </c>
    </row>
    <row r="41" spans="1:12" x14ac:dyDescent="0.35">
      <c r="A41">
        <v>-3.05</v>
      </c>
      <c r="B41">
        <v>-0.30149999999999999</v>
      </c>
      <c r="C41">
        <v>2.6589999999999999E-2</v>
      </c>
      <c r="D41">
        <v>2.298E-2</v>
      </c>
      <c r="E41">
        <v>-7.9699999999999993E-2</v>
      </c>
      <c r="F41">
        <v>0.05</v>
      </c>
      <c r="G41">
        <v>3.8E-3</v>
      </c>
      <c r="H41">
        <v>-2.6993</v>
      </c>
      <c r="I41">
        <v>0</v>
      </c>
      <c r="J41">
        <v>0</v>
      </c>
      <c r="K41">
        <v>0</v>
      </c>
      <c r="L41">
        <v>-1.6199999999999999E-2</v>
      </c>
    </row>
    <row r="42" spans="1:12" x14ac:dyDescent="0.35">
      <c r="A42">
        <v>-3</v>
      </c>
      <c r="B42">
        <v>-0.29670000000000002</v>
      </c>
      <c r="C42">
        <v>2.58E-2</v>
      </c>
      <c r="D42">
        <v>2.2159999999999999E-2</v>
      </c>
      <c r="E42">
        <v>-7.9899999999999999E-2</v>
      </c>
      <c r="F42">
        <v>0.05</v>
      </c>
      <c r="G42">
        <v>3.8E-3</v>
      </c>
      <c r="H42">
        <v>-2.6894999999999998</v>
      </c>
      <c r="I42">
        <v>0</v>
      </c>
      <c r="J42">
        <v>0</v>
      </c>
      <c r="K42">
        <v>0</v>
      </c>
      <c r="L42">
        <v>-2.1399999999999999E-2</v>
      </c>
    </row>
    <row r="43" spans="1:12" x14ac:dyDescent="0.35">
      <c r="A43">
        <v>-2.95</v>
      </c>
      <c r="B43">
        <v>-0.29170000000000001</v>
      </c>
      <c r="C43">
        <v>2.5020000000000001E-2</v>
      </c>
      <c r="D43">
        <v>2.1340000000000001E-2</v>
      </c>
      <c r="E43">
        <v>-8.0100000000000005E-2</v>
      </c>
      <c r="F43">
        <v>0.05</v>
      </c>
      <c r="G43">
        <v>3.8999999999999998E-3</v>
      </c>
      <c r="H43">
        <v>-2.6757</v>
      </c>
      <c r="I43">
        <v>0</v>
      </c>
      <c r="J43">
        <v>0</v>
      </c>
      <c r="K43">
        <v>0</v>
      </c>
      <c r="L43">
        <v>-2.6800000000000001E-2</v>
      </c>
    </row>
    <row r="44" spans="1:12" x14ac:dyDescent="0.35">
      <c r="A44">
        <v>-2.9</v>
      </c>
      <c r="B44">
        <v>-0.2863</v>
      </c>
      <c r="C44">
        <v>2.4240000000000001E-2</v>
      </c>
      <c r="D44">
        <v>2.052E-2</v>
      </c>
      <c r="E44">
        <v>-8.0299999999999996E-2</v>
      </c>
      <c r="F44">
        <v>0.05</v>
      </c>
      <c r="G44">
        <v>4.0000000000000001E-3</v>
      </c>
      <c r="H44">
        <v>-2.6577999999999999</v>
      </c>
      <c r="I44">
        <v>0</v>
      </c>
      <c r="J44">
        <v>0</v>
      </c>
      <c r="K44">
        <v>0</v>
      </c>
      <c r="L44">
        <v>-3.2500000000000001E-2</v>
      </c>
    </row>
    <row r="45" spans="1:12" x14ac:dyDescent="0.35">
      <c r="A45">
        <v>-2.85</v>
      </c>
      <c r="B45">
        <v>-0.28070000000000001</v>
      </c>
      <c r="C45">
        <v>2.3480000000000001E-2</v>
      </c>
      <c r="D45">
        <v>1.9699999999999999E-2</v>
      </c>
      <c r="E45">
        <v>-8.0500000000000002E-2</v>
      </c>
      <c r="F45">
        <v>0.05</v>
      </c>
      <c r="G45">
        <v>4.1999999999999997E-3</v>
      </c>
      <c r="H45">
        <v>-2.6362999999999999</v>
      </c>
      <c r="I45">
        <v>0</v>
      </c>
      <c r="J45">
        <v>0</v>
      </c>
      <c r="K45">
        <v>0</v>
      </c>
      <c r="L45">
        <v>-3.8600000000000002E-2</v>
      </c>
    </row>
    <row r="46" spans="1:12" x14ac:dyDescent="0.35">
      <c r="A46">
        <v>-2.8</v>
      </c>
      <c r="B46">
        <v>-0.27479999999999999</v>
      </c>
      <c r="C46">
        <v>2.2710000000000001E-2</v>
      </c>
      <c r="D46">
        <v>1.8890000000000001E-2</v>
      </c>
      <c r="E46">
        <v>-8.0500000000000002E-2</v>
      </c>
      <c r="F46">
        <v>0.05</v>
      </c>
      <c r="G46">
        <v>4.1999999999999997E-3</v>
      </c>
      <c r="H46">
        <v>-2.6406000000000001</v>
      </c>
      <c r="I46">
        <v>0</v>
      </c>
      <c r="J46">
        <v>0</v>
      </c>
      <c r="K46">
        <v>0</v>
      </c>
      <c r="L46">
        <v>-4.5199999999999997E-2</v>
      </c>
    </row>
    <row r="47" spans="1:12" x14ac:dyDescent="0.35">
      <c r="A47">
        <v>-2.75</v>
      </c>
      <c r="B47">
        <v>-0.26850000000000002</v>
      </c>
      <c r="C47">
        <v>2.196E-2</v>
      </c>
      <c r="D47">
        <v>1.8089999999999998E-2</v>
      </c>
      <c r="E47">
        <v>-8.0600000000000005E-2</v>
      </c>
      <c r="F47">
        <v>0.05</v>
      </c>
      <c r="G47">
        <v>4.1999999999999997E-3</v>
      </c>
      <c r="H47">
        <v>-2.6577000000000002</v>
      </c>
      <c r="I47">
        <v>0</v>
      </c>
      <c r="J47">
        <v>0</v>
      </c>
      <c r="K47">
        <v>0</v>
      </c>
      <c r="L47">
        <v>-5.2200000000000003E-2</v>
      </c>
    </row>
    <row r="48" spans="1:12" x14ac:dyDescent="0.35">
      <c r="A48">
        <v>-2.7</v>
      </c>
      <c r="B48">
        <v>-0.26200000000000001</v>
      </c>
      <c r="C48">
        <v>2.1229999999999999E-2</v>
      </c>
      <c r="D48">
        <v>1.7299999999999999E-2</v>
      </c>
      <c r="E48">
        <v>-8.0600000000000005E-2</v>
      </c>
      <c r="F48">
        <v>0.05</v>
      </c>
      <c r="G48">
        <v>4.1999999999999997E-3</v>
      </c>
      <c r="H48">
        <v>-2.6751</v>
      </c>
      <c r="I48">
        <v>0</v>
      </c>
      <c r="J48">
        <v>0</v>
      </c>
      <c r="K48">
        <v>0</v>
      </c>
      <c r="L48">
        <v>-5.9700000000000003E-2</v>
      </c>
    </row>
    <row r="49" spans="1:12" x14ac:dyDescent="0.35">
      <c r="A49">
        <v>-2.65</v>
      </c>
      <c r="B49">
        <v>-0.25509999999999999</v>
      </c>
      <c r="C49">
        <v>2.0500000000000001E-2</v>
      </c>
      <c r="D49">
        <v>1.652E-2</v>
      </c>
      <c r="E49">
        <v>-8.0600000000000005E-2</v>
      </c>
      <c r="F49">
        <v>0.05</v>
      </c>
      <c r="G49">
        <v>4.1999999999999997E-3</v>
      </c>
      <c r="H49">
        <v>-2.6924000000000001</v>
      </c>
      <c r="I49">
        <v>0</v>
      </c>
      <c r="J49">
        <v>0</v>
      </c>
      <c r="K49">
        <v>0</v>
      </c>
      <c r="L49">
        <v>-6.7900000000000002E-2</v>
      </c>
    </row>
    <row r="50" spans="1:12" x14ac:dyDescent="0.35">
      <c r="A50">
        <v>-2.6</v>
      </c>
      <c r="B50">
        <v>-0.24790000000000001</v>
      </c>
      <c r="C50">
        <v>1.9789999999999999E-2</v>
      </c>
      <c r="D50">
        <v>1.575E-2</v>
      </c>
      <c r="E50">
        <v>-8.0500000000000002E-2</v>
      </c>
      <c r="F50">
        <v>0.05</v>
      </c>
      <c r="G50">
        <v>4.1999999999999997E-3</v>
      </c>
      <c r="H50">
        <v>-2.7090999999999998</v>
      </c>
      <c r="I50">
        <v>0</v>
      </c>
      <c r="J50">
        <v>0</v>
      </c>
      <c r="K50">
        <v>0</v>
      </c>
      <c r="L50">
        <v>-7.6799999999999993E-2</v>
      </c>
    </row>
    <row r="51" spans="1:12" x14ac:dyDescent="0.35">
      <c r="A51">
        <v>-2.5499999999999998</v>
      </c>
      <c r="B51">
        <v>-0.2404</v>
      </c>
      <c r="C51">
        <v>1.9099999999999999E-2</v>
      </c>
      <c r="D51">
        <v>1.499E-2</v>
      </c>
      <c r="E51">
        <v>-8.0399999999999999E-2</v>
      </c>
      <c r="F51">
        <v>0.05</v>
      </c>
      <c r="G51">
        <v>4.1999999999999997E-3</v>
      </c>
      <c r="H51">
        <v>-2.7250999999999999</v>
      </c>
      <c r="I51">
        <v>0</v>
      </c>
      <c r="J51">
        <v>0</v>
      </c>
      <c r="K51">
        <v>0</v>
      </c>
      <c r="L51">
        <v>-8.6599999999999996E-2</v>
      </c>
    </row>
    <row r="52" spans="1:12" x14ac:dyDescent="0.35">
      <c r="A52">
        <v>-2.5</v>
      </c>
      <c r="B52">
        <v>-0.2326</v>
      </c>
      <c r="C52">
        <v>1.8419999999999999E-2</v>
      </c>
      <c r="D52">
        <v>1.4250000000000001E-2</v>
      </c>
      <c r="E52">
        <v>-8.0299999999999996E-2</v>
      </c>
      <c r="F52">
        <v>0.05</v>
      </c>
      <c r="G52">
        <v>4.1999999999999997E-3</v>
      </c>
      <c r="H52">
        <v>-2.7399</v>
      </c>
      <c r="I52">
        <v>0</v>
      </c>
      <c r="J52">
        <v>0</v>
      </c>
      <c r="K52">
        <v>0</v>
      </c>
      <c r="L52">
        <v>-9.7199999999999995E-2</v>
      </c>
    </row>
    <row r="53" spans="1:12" x14ac:dyDescent="0.35">
      <c r="A53">
        <v>-2.4500000000000002</v>
      </c>
      <c r="B53">
        <v>-0.22450000000000001</v>
      </c>
      <c r="C53">
        <v>1.7760000000000001E-2</v>
      </c>
      <c r="D53">
        <v>1.3520000000000001E-2</v>
      </c>
      <c r="E53">
        <v>-8.0100000000000005E-2</v>
      </c>
      <c r="F53">
        <v>0.05</v>
      </c>
      <c r="G53">
        <v>4.3E-3</v>
      </c>
      <c r="H53">
        <v>-2.7534999999999998</v>
      </c>
      <c r="I53">
        <v>0</v>
      </c>
      <c r="J53">
        <v>0</v>
      </c>
      <c r="K53">
        <v>0</v>
      </c>
      <c r="L53">
        <v>-0.109</v>
      </c>
    </row>
    <row r="54" spans="1:12" x14ac:dyDescent="0.35">
      <c r="A54">
        <v>-2.4</v>
      </c>
      <c r="B54">
        <v>-0.2162</v>
      </c>
      <c r="C54">
        <v>1.712E-2</v>
      </c>
      <c r="D54">
        <v>1.281E-2</v>
      </c>
      <c r="E54">
        <v>-7.9899999999999999E-2</v>
      </c>
      <c r="F54">
        <v>0.05</v>
      </c>
      <c r="G54">
        <v>4.3E-3</v>
      </c>
      <c r="H54">
        <v>-2.7658</v>
      </c>
      <c r="I54">
        <v>0</v>
      </c>
      <c r="J54">
        <v>0</v>
      </c>
      <c r="K54">
        <v>0</v>
      </c>
      <c r="L54">
        <v>-0.122</v>
      </c>
    </row>
    <row r="55" spans="1:12" x14ac:dyDescent="0.35">
      <c r="A55">
        <v>-2.35</v>
      </c>
      <c r="B55">
        <v>-0.20749999999999999</v>
      </c>
      <c r="C55">
        <v>1.6490000000000001E-2</v>
      </c>
      <c r="D55">
        <v>1.2120000000000001E-2</v>
      </c>
      <c r="E55">
        <v>-7.9699999999999993E-2</v>
      </c>
      <c r="F55">
        <v>0.05</v>
      </c>
      <c r="G55">
        <v>4.4000000000000003E-3</v>
      </c>
      <c r="H55">
        <v>-2.7768000000000002</v>
      </c>
      <c r="I55">
        <v>0</v>
      </c>
      <c r="J55">
        <v>0</v>
      </c>
      <c r="K55">
        <v>0</v>
      </c>
      <c r="L55">
        <v>-0.13639999999999999</v>
      </c>
    </row>
    <row r="56" spans="1:12" x14ac:dyDescent="0.35">
      <c r="A56">
        <v>-2.2999999999999998</v>
      </c>
      <c r="B56">
        <v>-0.1986</v>
      </c>
      <c r="C56">
        <v>1.5890000000000001E-2</v>
      </c>
      <c r="D56">
        <v>1.1440000000000001E-2</v>
      </c>
      <c r="E56">
        <v>-7.9500000000000001E-2</v>
      </c>
      <c r="F56">
        <v>0.05</v>
      </c>
      <c r="G56">
        <v>4.4999999999999997E-3</v>
      </c>
      <c r="H56">
        <v>-2.7866</v>
      </c>
      <c r="I56">
        <v>0</v>
      </c>
      <c r="J56">
        <v>0</v>
      </c>
      <c r="K56">
        <v>0</v>
      </c>
      <c r="L56">
        <v>-0.15260000000000001</v>
      </c>
    </row>
    <row r="57" spans="1:12" x14ac:dyDescent="0.35">
      <c r="A57">
        <v>-2.25</v>
      </c>
      <c r="B57">
        <v>-0.18940000000000001</v>
      </c>
      <c r="C57">
        <v>1.5299999999999999E-2</v>
      </c>
      <c r="D57">
        <v>1.077E-2</v>
      </c>
      <c r="E57">
        <v>-7.9200000000000007E-2</v>
      </c>
      <c r="F57">
        <v>0.05</v>
      </c>
      <c r="G57">
        <v>4.7000000000000002E-3</v>
      </c>
      <c r="H57">
        <v>-2.7951999999999999</v>
      </c>
      <c r="I57">
        <v>0</v>
      </c>
      <c r="J57">
        <v>0</v>
      </c>
      <c r="K57">
        <v>0</v>
      </c>
      <c r="L57">
        <v>-0.1706</v>
      </c>
    </row>
    <row r="58" spans="1:12" x14ac:dyDescent="0.35">
      <c r="A58">
        <v>-2.2000000000000002</v>
      </c>
      <c r="B58">
        <v>-0.18</v>
      </c>
      <c r="C58">
        <v>1.473E-2</v>
      </c>
      <c r="D58">
        <v>1.013E-2</v>
      </c>
      <c r="E58">
        <v>-7.8899999999999998E-2</v>
      </c>
      <c r="F58">
        <v>0.05</v>
      </c>
      <c r="G58">
        <v>4.7999999999999996E-3</v>
      </c>
      <c r="H58">
        <v>-2.8029000000000002</v>
      </c>
      <c r="I58">
        <v>0</v>
      </c>
      <c r="J58">
        <v>0</v>
      </c>
      <c r="K58">
        <v>0</v>
      </c>
      <c r="L58">
        <v>-0.191</v>
      </c>
    </row>
    <row r="59" spans="1:12" x14ac:dyDescent="0.35">
      <c r="A59">
        <v>-2.15</v>
      </c>
      <c r="B59">
        <v>-0.17030000000000001</v>
      </c>
      <c r="C59">
        <v>1.417E-2</v>
      </c>
      <c r="D59">
        <v>9.4900000000000002E-3</v>
      </c>
      <c r="E59">
        <v>-7.8600000000000003E-2</v>
      </c>
      <c r="F59">
        <v>0.05</v>
      </c>
      <c r="G59">
        <v>5.0000000000000001E-3</v>
      </c>
      <c r="H59">
        <v>-2.8098000000000001</v>
      </c>
      <c r="I59">
        <v>0</v>
      </c>
      <c r="J59">
        <v>0</v>
      </c>
      <c r="K59">
        <v>0</v>
      </c>
      <c r="L59">
        <v>-0.2142</v>
      </c>
    </row>
    <row r="60" spans="1:12" x14ac:dyDescent="0.35">
      <c r="A60">
        <v>-2.1</v>
      </c>
      <c r="B60">
        <v>-0.1605</v>
      </c>
      <c r="C60">
        <v>1.363E-2</v>
      </c>
      <c r="D60">
        <v>8.8800000000000007E-3</v>
      </c>
      <c r="E60">
        <v>-7.8299999999999995E-2</v>
      </c>
      <c r="F60">
        <v>0.05</v>
      </c>
      <c r="G60">
        <v>5.1999999999999998E-3</v>
      </c>
      <c r="H60">
        <v>-2.8129</v>
      </c>
      <c r="I60">
        <v>0</v>
      </c>
      <c r="J60">
        <v>0</v>
      </c>
      <c r="K60">
        <v>0</v>
      </c>
      <c r="L60">
        <v>-0.24060000000000001</v>
      </c>
    </row>
    <row r="61" spans="1:12" x14ac:dyDescent="0.35">
      <c r="A61">
        <v>-2.0499999999999998</v>
      </c>
      <c r="B61">
        <v>-0.15029999999999999</v>
      </c>
      <c r="C61">
        <v>1.312E-2</v>
      </c>
      <c r="D61">
        <v>8.2900000000000005E-3</v>
      </c>
      <c r="E61">
        <v>-7.8E-2</v>
      </c>
      <c r="F61">
        <v>0.05</v>
      </c>
      <c r="G61">
        <v>5.3E-3</v>
      </c>
      <c r="H61">
        <v>-2.7955999999999999</v>
      </c>
      <c r="I61">
        <v>0</v>
      </c>
      <c r="J61">
        <v>0</v>
      </c>
      <c r="K61">
        <v>0</v>
      </c>
      <c r="L61">
        <v>-0.27129999999999999</v>
      </c>
    </row>
    <row r="62" spans="1:12" x14ac:dyDescent="0.35">
      <c r="A62">
        <v>-2</v>
      </c>
      <c r="B62">
        <v>-0.1401</v>
      </c>
      <c r="C62">
        <v>1.2619999999999999E-2</v>
      </c>
      <c r="D62">
        <v>7.7299999999999999E-3</v>
      </c>
      <c r="E62">
        <v>-7.7600000000000002E-2</v>
      </c>
      <c r="F62">
        <v>0.05</v>
      </c>
      <c r="G62">
        <v>5.4000000000000003E-3</v>
      </c>
      <c r="H62">
        <v>-2.7764000000000002</v>
      </c>
      <c r="I62">
        <v>0</v>
      </c>
      <c r="J62">
        <v>0</v>
      </c>
      <c r="K62">
        <v>0</v>
      </c>
      <c r="L62">
        <v>-0.30690000000000001</v>
      </c>
    </row>
    <row r="63" spans="1:12" x14ac:dyDescent="0.35">
      <c r="A63">
        <v>-1.95</v>
      </c>
      <c r="B63">
        <v>-0.12959999999999999</v>
      </c>
      <c r="C63">
        <v>1.2149999999999999E-2</v>
      </c>
      <c r="D63">
        <v>7.1799999999999998E-3</v>
      </c>
      <c r="E63">
        <v>-7.7200000000000005E-2</v>
      </c>
      <c r="F63">
        <v>0.05</v>
      </c>
      <c r="G63">
        <v>5.5999999999999999E-3</v>
      </c>
      <c r="H63">
        <v>-2.7544</v>
      </c>
      <c r="I63">
        <v>0</v>
      </c>
      <c r="J63">
        <v>0</v>
      </c>
      <c r="K63">
        <v>0</v>
      </c>
      <c r="L63">
        <v>-0.34860000000000002</v>
      </c>
    </row>
    <row r="64" spans="1:12" x14ac:dyDescent="0.35">
      <c r="A64">
        <v>-1.9</v>
      </c>
      <c r="B64">
        <v>-0.1191</v>
      </c>
      <c r="C64">
        <v>1.1679999999999999E-2</v>
      </c>
      <c r="D64">
        <v>6.6400000000000001E-3</v>
      </c>
      <c r="E64">
        <v>-7.6799999999999993E-2</v>
      </c>
      <c r="F64">
        <v>0.05</v>
      </c>
      <c r="G64">
        <v>5.7000000000000002E-3</v>
      </c>
      <c r="H64">
        <v>-2.7282000000000002</v>
      </c>
      <c r="I64">
        <v>0</v>
      </c>
      <c r="J64">
        <v>0</v>
      </c>
      <c r="K64">
        <v>0</v>
      </c>
      <c r="L64">
        <v>-0.39800000000000002</v>
      </c>
    </row>
    <row r="65" spans="1:12" x14ac:dyDescent="0.35">
      <c r="A65">
        <v>-1.85</v>
      </c>
      <c r="B65">
        <v>-0.1086</v>
      </c>
      <c r="C65">
        <v>1.124E-2</v>
      </c>
      <c r="D65">
        <v>6.13E-3</v>
      </c>
      <c r="E65">
        <v>-7.6399999999999996E-2</v>
      </c>
      <c r="F65">
        <v>0.05</v>
      </c>
      <c r="G65">
        <v>6.0000000000000001E-3</v>
      </c>
      <c r="H65">
        <v>-2.6962000000000002</v>
      </c>
      <c r="I65">
        <v>0</v>
      </c>
      <c r="J65">
        <v>0</v>
      </c>
      <c r="K65">
        <v>0</v>
      </c>
      <c r="L65">
        <v>-0.45700000000000002</v>
      </c>
    </row>
    <row r="66" spans="1:12" x14ac:dyDescent="0.35">
      <c r="A66">
        <v>-1.8</v>
      </c>
      <c r="B66">
        <v>-9.8000000000000004E-2</v>
      </c>
      <c r="C66">
        <v>1.081E-2</v>
      </c>
      <c r="D66">
        <v>5.64E-3</v>
      </c>
      <c r="E66">
        <v>-7.5999999999999998E-2</v>
      </c>
      <c r="F66">
        <v>0.05</v>
      </c>
      <c r="G66">
        <v>6.1999999999999998E-3</v>
      </c>
      <c r="H66">
        <v>-2.6566999999999998</v>
      </c>
      <c r="I66">
        <v>0</v>
      </c>
      <c r="J66">
        <v>0</v>
      </c>
      <c r="K66">
        <v>0</v>
      </c>
      <c r="L66">
        <v>-0.52849999999999997</v>
      </c>
    </row>
    <row r="67" spans="1:12" x14ac:dyDescent="0.35">
      <c r="A67">
        <v>-1.75</v>
      </c>
      <c r="B67">
        <v>-8.7499999999999994E-2</v>
      </c>
      <c r="C67">
        <v>1.0410000000000001E-2</v>
      </c>
      <c r="D67">
        <v>5.1700000000000001E-3</v>
      </c>
      <c r="E67">
        <v>-7.5499999999999998E-2</v>
      </c>
      <c r="F67">
        <v>0.05</v>
      </c>
      <c r="G67">
        <v>6.7000000000000002E-3</v>
      </c>
      <c r="H67">
        <v>-2.6072000000000002</v>
      </c>
      <c r="I67">
        <v>0</v>
      </c>
      <c r="J67">
        <v>0</v>
      </c>
      <c r="K67">
        <v>0</v>
      </c>
      <c r="L67">
        <v>-0.6169</v>
      </c>
    </row>
    <row r="68" spans="1:12" x14ac:dyDescent="0.35">
      <c r="A68">
        <v>-1.7</v>
      </c>
      <c r="B68">
        <v>-7.7100000000000002E-2</v>
      </c>
      <c r="C68">
        <v>1.0019999999999999E-2</v>
      </c>
      <c r="D68">
        <v>4.7299999999999998E-3</v>
      </c>
      <c r="E68">
        <v>-7.4999999999999997E-2</v>
      </c>
      <c r="F68">
        <v>0.05</v>
      </c>
      <c r="G68">
        <v>7.0000000000000001E-3</v>
      </c>
      <c r="H68">
        <v>-2.5966999999999998</v>
      </c>
      <c r="I68">
        <v>0</v>
      </c>
      <c r="J68">
        <v>0</v>
      </c>
      <c r="K68">
        <v>0</v>
      </c>
      <c r="L68">
        <v>-0.72819999999999996</v>
      </c>
    </row>
    <row r="69" spans="1:12" x14ac:dyDescent="0.35">
      <c r="A69">
        <v>-1.65</v>
      </c>
      <c r="B69">
        <v>-6.6699999999999995E-2</v>
      </c>
      <c r="C69">
        <v>9.6600000000000002E-3</v>
      </c>
      <c r="D69">
        <v>4.3099999999999996E-3</v>
      </c>
      <c r="E69">
        <v>-7.46E-2</v>
      </c>
      <c r="F69">
        <v>0.05</v>
      </c>
      <c r="G69">
        <v>7.3000000000000001E-3</v>
      </c>
      <c r="H69">
        <v>-2.6000999999999999</v>
      </c>
      <c r="I69">
        <v>0</v>
      </c>
      <c r="J69">
        <v>0</v>
      </c>
      <c r="K69">
        <v>0</v>
      </c>
      <c r="L69">
        <v>-0.87250000000000005</v>
      </c>
    </row>
    <row r="70" spans="1:12" x14ac:dyDescent="0.35">
      <c r="A70">
        <v>-1.6</v>
      </c>
      <c r="B70">
        <v>-5.6399999999999999E-2</v>
      </c>
      <c r="C70">
        <v>9.3299999999999998E-3</v>
      </c>
      <c r="D70">
        <v>3.9199999999999999E-3</v>
      </c>
      <c r="E70">
        <v>-7.4099999999999999E-2</v>
      </c>
      <c r="F70">
        <v>0.05</v>
      </c>
      <c r="G70">
        <v>7.7000000000000002E-3</v>
      </c>
      <c r="H70">
        <v>-2.5924</v>
      </c>
      <c r="I70">
        <v>0</v>
      </c>
      <c r="J70">
        <v>0</v>
      </c>
      <c r="K70">
        <v>0</v>
      </c>
      <c r="L70">
        <v>-1.069</v>
      </c>
    </row>
    <row r="71" spans="1:12" x14ac:dyDescent="0.35">
      <c r="A71">
        <v>-1.55</v>
      </c>
      <c r="B71">
        <v>-4.6100000000000002E-2</v>
      </c>
      <c r="C71">
        <v>9.0299999999999998E-3</v>
      </c>
      <c r="D71">
        <v>3.5599999999999998E-3</v>
      </c>
      <c r="E71">
        <v>-7.3700000000000002E-2</v>
      </c>
      <c r="F71">
        <v>0.05</v>
      </c>
      <c r="G71">
        <v>8.0999999999999996E-3</v>
      </c>
      <c r="H71">
        <v>-2.5666000000000002</v>
      </c>
      <c r="I71">
        <v>0</v>
      </c>
      <c r="J71">
        <v>0</v>
      </c>
      <c r="K71">
        <v>0</v>
      </c>
      <c r="L71">
        <v>-1.3547</v>
      </c>
    </row>
    <row r="72" spans="1:12" x14ac:dyDescent="0.35">
      <c r="A72">
        <v>-1.5</v>
      </c>
      <c r="B72">
        <v>-3.56E-2</v>
      </c>
      <c r="C72">
        <v>8.77E-3</v>
      </c>
      <c r="D72">
        <v>3.2499999999999999E-3</v>
      </c>
      <c r="E72">
        <v>-7.3300000000000004E-2</v>
      </c>
      <c r="F72">
        <v>0.05</v>
      </c>
      <c r="G72">
        <v>8.6999999999999994E-3</v>
      </c>
      <c r="H72">
        <v>-2.5141</v>
      </c>
      <c r="I72">
        <v>0</v>
      </c>
      <c r="J72">
        <v>0</v>
      </c>
      <c r="K72">
        <v>0</v>
      </c>
      <c r="L72">
        <v>-1.8153999999999999</v>
      </c>
    </row>
    <row r="73" spans="1:12" x14ac:dyDescent="0.35">
      <c r="A73">
        <v>-1.45</v>
      </c>
      <c r="B73">
        <v>-2.4899999999999999E-2</v>
      </c>
      <c r="C73">
        <v>8.5500000000000003E-3</v>
      </c>
      <c r="D73">
        <v>2.98E-3</v>
      </c>
      <c r="E73">
        <v>-7.2900000000000006E-2</v>
      </c>
      <c r="F73">
        <v>0.05</v>
      </c>
      <c r="G73">
        <v>9.1999999999999998E-3</v>
      </c>
      <c r="H73">
        <v>-2.4361999999999999</v>
      </c>
      <c r="I73">
        <v>0</v>
      </c>
      <c r="J73">
        <v>0</v>
      </c>
      <c r="K73">
        <v>0</v>
      </c>
      <c r="L73">
        <v>-2.6882999999999999</v>
      </c>
    </row>
    <row r="74" spans="1:12" x14ac:dyDescent="0.35">
      <c r="A74">
        <v>-1.4</v>
      </c>
      <c r="B74">
        <v>-1.4E-2</v>
      </c>
      <c r="C74">
        <v>8.3700000000000007E-3</v>
      </c>
      <c r="D74">
        <v>2.7499999999999998E-3</v>
      </c>
      <c r="E74">
        <v>-7.2599999999999998E-2</v>
      </c>
      <c r="F74">
        <v>0.05</v>
      </c>
      <c r="G74">
        <v>9.4999999999999998E-3</v>
      </c>
      <c r="H74">
        <v>-2.3330000000000002</v>
      </c>
      <c r="I74">
        <v>0</v>
      </c>
      <c r="J74">
        <v>0</v>
      </c>
      <c r="K74">
        <v>0</v>
      </c>
      <c r="L74">
        <v>-4.9696999999999996</v>
      </c>
    </row>
    <row r="75" spans="1:12" x14ac:dyDescent="0.35">
      <c r="A75">
        <v>-1.35</v>
      </c>
      <c r="B75">
        <v>-2.8E-3</v>
      </c>
      <c r="C75">
        <v>8.2299999999999995E-3</v>
      </c>
      <c r="D75">
        <v>2.5699999999999998E-3</v>
      </c>
      <c r="E75">
        <v>-7.2300000000000003E-2</v>
      </c>
      <c r="F75">
        <v>0.05</v>
      </c>
      <c r="G75">
        <v>9.7999999999999997E-3</v>
      </c>
      <c r="H75">
        <v>-2.2151000000000001</v>
      </c>
      <c r="I75">
        <v>0</v>
      </c>
      <c r="J75">
        <v>0</v>
      </c>
      <c r="K75">
        <v>0</v>
      </c>
      <c r="L75">
        <v>-25.254200000000001</v>
      </c>
    </row>
    <row r="76" spans="1:12" x14ac:dyDescent="0.35">
      <c r="A76">
        <v>-1.3</v>
      </c>
      <c r="B76">
        <v>8.3999999999999995E-3</v>
      </c>
      <c r="C76">
        <v>8.1099999999999992E-3</v>
      </c>
      <c r="D76">
        <v>2.4099999999999998E-3</v>
      </c>
      <c r="E76">
        <v>-7.2099999999999997E-2</v>
      </c>
      <c r="F76">
        <v>0.05</v>
      </c>
      <c r="G76">
        <v>9.9000000000000008E-3</v>
      </c>
      <c r="H76">
        <v>-2.0889000000000002</v>
      </c>
      <c r="I76">
        <v>0</v>
      </c>
      <c r="J76">
        <v>0</v>
      </c>
      <c r="K76">
        <v>0</v>
      </c>
      <c r="L76">
        <v>8.8835999999999995</v>
      </c>
    </row>
    <row r="77" spans="1:12" x14ac:dyDescent="0.35">
      <c r="A77">
        <v>-1.25</v>
      </c>
      <c r="B77">
        <v>1.9699999999999999E-2</v>
      </c>
      <c r="C77">
        <v>8.0199999999999994E-3</v>
      </c>
      <c r="D77">
        <v>2.2799999999999999E-3</v>
      </c>
      <c r="E77">
        <v>-7.1900000000000006E-2</v>
      </c>
      <c r="F77">
        <v>0.05</v>
      </c>
      <c r="G77">
        <v>0.01</v>
      </c>
      <c r="H77">
        <v>-1.9593</v>
      </c>
      <c r="I77">
        <v>0</v>
      </c>
      <c r="J77">
        <v>0</v>
      </c>
      <c r="K77">
        <v>0</v>
      </c>
      <c r="L77">
        <v>3.9173</v>
      </c>
    </row>
    <row r="78" spans="1:12" x14ac:dyDescent="0.35">
      <c r="A78">
        <v>-1.2</v>
      </c>
      <c r="B78">
        <v>3.0800000000000001E-2</v>
      </c>
      <c r="C78">
        <v>7.92E-3</v>
      </c>
      <c r="D78">
        <v>2.14E-3</v>
      </c>
      <c r="E78">
        <v>-7.17E-2</v>
      </c>
      <c r="F78">
        <v>0.05</v>
      </c>
      <c r="G78">
        <v>0.01</v>
      </c>
      <c r="H78">
        <v>-1.8862000000000001</v>
      </c>
      <c r="I78">
        <v>0</v>
      </c>
      <c r="J78">
        <v>0</v>
      </c>
      <c r="K78">
        <v>0</v>
      </c>
      <c r="L78">
        <v>2.5796000000000001</v>
      </c>
    </row>
    <row r="79" spans="1:12" x14ac:dyDescent="0.35">
      <c r="A79">
        <v>-1.1499999999999999</v>
      </c>
      <c r="B79">
        <v>4.2099999999999999E-2</v>
      </c>
      <c r="C79">
        <v>7.8300000000000002E-3</v>
      </c>
      <c r="D79">
        <v>2.0200000000000001E-3</v>
      </c>
      <c r="E79">
        <v>-7.1499999999999994E-2</v>
      </c>
      <c r="F79">
        <v>0.05</v>
      </c>
      <c r="G79">
        <v>0.01</v>
      </c>
      <c r="H79">
        <v>-1.8201000000000001</v>
      </c>
      <c r="I79">
        <v>0</v>
      </c>
      <c r="J79">
        <v>0</v>
      </c>
      <c r="K79">
        <v>0</v>
      </c>
      <c r="L79">
        <v>1.9534</v>
      </c>
    </row>
    <row r="80" spans="1:12" x14ac:dyDescent="0.35">
      <c r="A80">
        <v>-1.1000000000000001</v>
      </c>
      <c r="B80">
        <v>5.33E-2</v>
      </c>
      <c r="C80">
        <v>7.7600000000000004E-3</v>
      </c>
      <c r="D80">
        <v>1.91E-3</v>
      </c>
      <c r="E80">
        <v>-7.1300000000000002E-2</v>
      </c>
      <c r="F80">
        <v>0.05</v>
      </c>
      <c r="G80">
        <v>0.01</v>
      </c>
      <c r="H80">
        <v>-1.7511000000000001</v>
      </c>
      <c r="I80">
        <v>0</v>
      </c>
      <c r="J80">
        <v>0</v>
      </c>
      <c r="K80">
        <v>0</v>
      </c>
      <c r="L80">
        <v>1.591</v>
      </c>
    </row>
    <row r="81" spans="1:12" x14ac:dyDescent="0.35">
      <c r="A81">
        <v>-1.05</v>
      </c>
      <c r="B81">
        <v>6.4500000000000002E-2</v>
      </c>
      <c r="C81">
        <v>7.7000000000000002E-3</v>
      </c>
      <c r="D81">
        <v>1.82E-3</v>
      </c>
      <c r="E81">
        <v>-7.1099999999999997E-2</v>
      </c>
      <c r="F81">
        <v>0.05</v>
      </c>
      <c r="G81">
        <v>1.01E-2</v>
      </c>
      <c r="H81">
        <v>-1.6798</v>
      </c>
      <c r="I81">
        <v>0</v>
      </c>
      <c r="J81">
        <v>0</v>
      </c>
      <c r="K81">
        <v>0</v>
      </c>
      <c r="L81">
        <v>1.3551</v>
      </c>
    </row>
    <row r="82" spans="1:12" x14ac:dyDescent="0.35">
      <c r="A82">
        <v>-1</v>
      </c>
      <c r="B82">
        <v>7.5700000000000003E-2</v>
      </c>
      <c r="C82">
        <v>7.6499999999999997E-3</v>
      </c>
      <c r="D82">
        <v>1.75E-3</v>
      </c>
      <c r="E82">
        <v>-7.0999999999999994E-2</v>
      </c>
      <c r="F82">
        <v>0.05</v>
      </c>
      <c r="G82">
        <v>1.01E-2</v>
      </c>
      <c r="H82">
        <v>-1.6067</v>
      </c>
      <c r="I82">
        <v>0</v>
      </c>
      <c r="J82">
        <v>0</v>
      </c>
      <c r="K82">
        <v>0</v>
      </c>
      <c r="L82">
        <v>1.1895</v>
      </c>
    </row>
    <row r="83" spans="1:12" x14ac:dyDescent="0.35">
      <c r="A83">
        <v>-0.95</v>
      </c>
      <c r="B83">
        <v>8.6900000000000005E-2</v>
      </c>
      <c r="C83">
        <v>7.62E-3</v>
      </c>
      <c r="D83">
        <v>1.6900000000000001E-3</v>
      </c>
      <c r="E83">
        <v>-7.0800000000000002E-2</v>
      </c>
      <c r="F83">
        <v>0.05</v>
      </c>
      <c r="G83">
        <v>1.01E-2</v>
      </c>
      <c r="H83">
        <v>-1.5322</v>
      </c>
      <c r="I83">
        <v>0</v>
      </c>
      <c r="J83">
        <v>0</v>
      </c>
      <c r="K83">
        <v>0</v>
      </c>
      <c r="L83">
        <v>1.0669</v>
      </c>
    </row>
    <row r="84" spans="1:12" x14ac:dyDescent="0.35">
      <c r="A84">
        <v>-0.9</v>
      </c>
      <c r="B84">
        <v>9.8100000000000007E-2</v>
      </c>
      <c r="C84">
        <v>7.5799999999999999E-3</v>
      </c>
      <c r="D84">
        <v>1.6299999999999999E-3</v>
      </c>
      <c r="E84">
        <v>-7.0699999999999999E-2</v>
      </c>
      <c r="F84">
        <v>0.05</v>
      </c>
      <c r="G84">
        <v>1.01E-2</v>
      </c>
      <c r="H84">
        <v>-1.4567000000000001</v>
      </c>
      <c r="I84">
        <v>0</v>
      </c>
      <c r="J84">
        <v>0</v>
      </c>
      <c r="K84">
        <v>0</v>
      </c>
      <c r="L84">
        <v>0.97270000000000001</v>
      </c>
    </row>
    <row r="85" spans="1:12" x14ac:dyDescent="0.35">
      <c r="A85">
        <v>-0.85</v>
      </c>
      <c r="B85">
        <v>0.10920000000000001</v>
      </c>
      <c r="C85">
        <v>7.5500000000000003E-3</v>
      </c>
      <c r="D85">
        <v>1.58E-3</v>
      </c>
      <c r="E85">
        <v>-7.0599999999999996E-2</v>
      </c>
      <c r="F85">
        <v>0.05</v>
      </c>
      <c r="G85">
        <v>1.04E-2</v>
      </c>
      <c r="H85">
        <v>-1.3902000000000001</v>
      </c>
      <c r="I85">
        <v>0</v>
      </c>
      <c r="J85">
        <v>0</v>
      </c>
      <c r="K85">
        <v>0</v>
      </c>
      <c r="L85">
        <v>0.89790000000000003</v>
      </c>
    </row>
    <row r="86" spans="1:12" x14ac:dyDescent="0.35">
      <c r="A86">
        <v>-0.8</v>
      </c>
      <c r="B86">
        <v>0.1203</v>
      </c>
      <c r="C86">
        <v>7.5300000000000002E-3</v>
      </c>
      <c r="D86">
        <v>1.5399999999999999E-3</v>
      </c>
      <c r="E86">
        <v>-7.0499999999999993E-2</v>
      </c>
      <c r="F86">
        <v>0.05</v>
      </c>
      <c r="G86">
        <v>1.09E-2</v>
      </c>
      <c r="H86">
        <v>-1.3207</v>
      </c>
      <c r="I86">
        <v>0</v>
      </c>
      <c r="J86">
        <v>0</v>
      </c>
      <c r="K86">
        <v>0</v>
      </c>
      <c r="L86">
        <v>0.83720000000000006</v>
      </c>
    </row>
    <row r="87" spans="1:12" x14ac:dyDescent="0.35">
      <c r="A87">
        <v>-0.75</v>
      </c>
      <c r="B87">
        <v>0.1313</v>
      </c>
      <c r="C87">
        <v>7.5199999999999998E-3</v>
      </c>
      <c r="D87">
        <v>1.5100000000000001E-3</v>
      </c>
      <c r="E87">
        <v>-7.0400000000000004E-2</v>
      </c>
      <c r="F87">
        <v>0.05</v>
      </c>
      <c r="G87">
        <v>1.15E-2</v>
      </c>
      <c r="H87">
        <v>-1.2468999999999999</v>
      </c>
      <c r="I87">
        <v>0</v>
      </c>
      <c r="J87">
        <v>0</v>
      </c>
      <c r="K87">
        <v>0</v>
      </c>
      <c r="L87">
        <v>0.78690000000000004</v>
      </c>
    </row>
    <row r="88" spans="1:12" x14ac:dyDescent="0.35">
      <c r="A88">
        <v>-0.7</v>
      </c>
      <c r="B88">
        <v>0.14230000000000001</v>
      </c>
      <c r="C88">
        <v>7.5100000000000002E-3</v>
      </c>
      <c r="D88">
        <v>1.5E-3</v>
      </c>
      <c r="E88">
        <v>-7.0300000000000001E-2</v>
      </c>
      <c r="F88">
        <v>0.05</v>
      </c>
      <c r="G88">
        <v>1.2200000000000001E-2</v>
      </c>
      <c r="H88">
        <v>-1.1708000000000001</v>
      </c>
      <c r="I88">
        <v>0</v>
      </c>
      <c r="J88">
        <v>0</v>
      </c>
      <c r="K88">
        <v>0</v>
      </c>
      <c r="L88">
        <v>0.74470000000000003</v>
      </c>
    </row>
    <row r="89" spans="1:12" x14ac:dyDescent="0.35">
      <c r="A89">
        <v>-0.65</v>
      </c>
      <c r="B89">
        <v>0.15329999999999999</v>
      </c>
      <c r="C89">
        <v>7.4999999999999997E-3</v>
      </c>
      <c r="D89">
        <v>1.49E-3</v>
      </c>
      <c r="E89">
        <v>-7.0300000000000001E-2</v>
      </c>
      <c r="F89">
        <v>0.05</v>
      </c>
      <c r="G89">
        <v>1.2999999999999999E-2</v>
      </c>
      <c r="H89">
        <v>-1.0946</v>
      </c>
      <c r="I89">
        <v>0</v>
      </c>
      <c r="J89">
        <v>0</v>
      </c>
      <c r="K89">
        <v>0</v>
      </c>
      <c r="L89">
        <v>0.7087</v>
      </c>
    </row>
    <row r="90" spans="1:12" x14ac:dyDescent="0.35">
      <c r="A90">
        <v>-0.6</v>
      </c>
      <c r="B90">
        <v>0.16420000000000001</v>
      </c>
      <c r="C90">
        <v>7.4900000000000001E-3</v>
      </c>
      <c r="D90">
        <v>1.48E-3</v>
      </c>
      <c r="E90">
        <v>-7.0199999999999999E-2</v>
      </c>
      <c r="F90">
        <v>0.05</v>
      </c>
      <c r="G90">
        <v>1.3899999999999999E-2</v>
      </c>
      <c r="H90">
        <v>-1.0198</v>
      </c>
      <c r="I90">
        <v>0</v>
      </c>
      <c r="J90">
        <v>0</v>
      </c>
      <c r="K90">
        <v>0</v>
      </c>
      <c r="L90">
        <v>0.67769999999999997</v>
      </c>
    </row>
    <row r="91" spans="1:12" x14ac:dyDescent="0.35">
      <c r="A91">
        <v>-0.55000000000000004</v>
      </c>
      <c r="B91">
        <v>0.17519999999999999</v>
      </c>
      <c r="C91">
        <v>7.4799999999999997E-3</v>
      </c>
      <c r="D91">
        <v>1.47E-3</v>
      </c>
      <c r="E91">
        <v>-7.0099999999999996E-2</v>
      </c>
      <c r="F91">
        <v>0.05</v>
      </c>
      <c r="G91">
        <v>1.47E-2</v>
      </c>
      <c r="H91">
        <v>-0.94730000000000003</v>
      </c>
      <c r="I91">
        <v>0</v>
      </c>
      <c r="J91">
        <v>0</v>
      </c>
      <c r="K91">
        <v>0</v>
      </c>
      <c r="L91">
        <v>0.65069999999999995</v>
      </c>
    </row>
    <row r="92" spans="1:12" x14ac:dyDescent="0.35">
      <c r="A92">
        <v>-0.5</v>
      </c>
      <c r="B92">
        <v>0.186</v>
      </c>
      <c r="C92">
        <v>7.4799999999999997E-3</v>
      </c>
      <c r="D92">
        <v>1.4599999999999999E-3</v>
      </c>
      <c r="E92">
        <v>-7.0099999999999996E-2</v>
      </c>
      <c r="F92">
        <v>0.05</v>
      </c>
      <c r="G92">
        <v>1.5800000000000002E-2</v>
      </c>
      <c r="H92">
        <v>-0.88080000000000003</v>
      </c>
      <c r="I92">
        <v>0</v>
      </c>
      <c r="J92">
        <v>0</v>
      </c>
      <c r="K92">
        <v>0</v>
      </c>
      <c r="L92">
        <v>0.627</v>
      </c>
    </row>
    <row r="93" spans="1:12" x14ac:dyDescent="0.35">
      <c r="A93">
        <v>-0.45</v>
      </c>
      <c r="B93">
        <v>0.19689999999999999</v>
      </c>
      <c r="C93">
        <v>7.4700000000000001E-3</v>
      </c>
      <c r="D93">
        <v>1.4499999999999999E-3</v>
      </c>
      <c r="E93">
        <v>-7.0000000000000007E-2</v>
      </c>
      <c r="F93">
        <v>0.05</v>
      </c>
      <c r="G93">
        <v>1.67E-2</v>
      </c>
      <c r="H93">
        <v>-0.81179999999999997</v>
      </c>
      <c r="I93">
        <v>0</v>
      </c>
      <c r="J93">
        <v>0</v>
      </c>
      <c r="K93">
        <v>0</v>
      </c>
      <c r="L93">
        <v>0.60589999999999999</v>
      </c>
    </row>
    <row r="94" spans="1:12" x14ac:dyDescent="0.35">
      <c r="A94">
        <v>-0.4</v>
      </c>
      <c r="B94">
        <v>0.2077</v>
      </c>
      <c r="C94">
        <v>7.4700000000000001E-3</v>
      </c>
      <c r="D94">
        <v>1.4499999999999999E-3</v>
      </c>
      <c r="E94">
        <v>-7.0000000000000007E-2</v>
      </c>
      <c r="F94">
        <v>0.05</v>
      </c>
      <c r="G94">
        <v>1.7600000000000001E-2</v>
      </c>
      <c r="H94">
        <v>-0.74509999999999998</v>
      </c>
      <c r="I94">
        <v>0</v>
      </c>
      <c r="J94">
        <v>0</v>
      </c>
      <c r="K94">
        <v>0</v>
      </c>
      <c r="L94">
        <v>0.58709999999999996</v>
      </c>
    </row>
    <row r="95" spans="1:12" x14ac:dyDescent="0.35">
      <c r="A95">
        <v>-0.35</v>
      </c>
      <c r="B95">
        <v>0.2185</v>
      </c>
      <c r="C95">
        <v>7.4700000000000001E-3</v>
      </c>
      <c r="D95">
        <v>1.4499999999999999E-3</v>
      </c>
      <c r="E95">
        <v>-7.0000000000000007E-2</v>
      </c>
      <c r="F95">
        <v>0.05</v>
      </c>
      <c r="G95">
        <v>1.83E-2</v>
      </c>
      <c r="H95">
        <v>-0.68059999999999998</v>
      </c>
      <c r="I95">
        <v>0</v>
      </c>
      <c r="J95">
        <v>0</v>
      </c>
      <c r="K95">
        <v>0</v>
      </c>
      <c r="L95">
        <v>0.57020000000000004</v>
      </c>
    </row>
    <row r="96" spans="1:12" x14ac:dyDescent="0.35">
      <c r="A96">
        <v>-0.3</v>
      </c>
      <c r="B96">
        <v>0.2293</v>
      </c>
      <c r="C96">
        <v>7.4700000000000001E-3</v>
      </c>
      <c r="D96">
        <v>1.4499999999999999E-3</v>
      </c>
      <c r="E96">
        <v>-6.9900000000000004E-2</v>
      </c>
      <c r="F96">
        <v>0.05</v>
      </c>
      <c r="G96">
        <v>1.9400000000000001E-2</v>
      </c>
      <c r="H96">
        <v>-0.61850000000000005</v>
      </c>
      <c r="I96">
        <v>0</v>
      </c>
      <c r="J96">
        <v>0</v>
      </c>
      <c r="K96">
        <v>0</v>
      </c>
      <c r="L96">
        <v>0.55489999999999995</v>
      </c>
    </row>
    <row r="97" spans="1:12" x14ac:dyDescent="0.35">
      <c r="A97">
        <v>-0.25</v>
      </c>
      <c r="B97">
        <v>0.24010000000000001</v>
      </c>
      <c r="C97">
        <v>7.4599999999999996E-3</v>
      </c>
      <c r="D97">
        <v>1.4499999999999999E-3</v>
      </c>
      <c r="E97">
        <v>-6.9900000000000004E-2</v>
      </c>
      <c r="F97">
        <v>0.05</v>
      </c>
      <c r="G97">
        <v>2.23E-2</v>
      </c>
      <c r="H97">
        <v>-0.5585</v>
      </c>
      <c r="I97">
        <v>0</v>
      </c>
      <c r="J97">
        <v>0</v>
      </c>
      <c r="K97">
        <v>0</v>
      </c>
      <c r="L97">
        <v>0.54100000000000004</v>
      </c>
    </row>
    <row r="98" spans="1:12" x14ac:dyDescent="0.35">
      <c r="A98">
        <v>-0.2</v>
      </c>
      <c r="B98">
        <v>0.25090000000000001</v>
      </c>
      <c r="C98">
        <v>7.4599999999999996E-3</v>
      </c>
      <c r="D98">
        <v>1.4499999999999999E-3</v>
      </c>
      <c r="E98">
        <v>-6.9900000000000004E-2</v>
      </c>
      <c r="F98">
        <v>0.05</v>
      </c>
      <c r="G98">
        <v>2.53E-2</v>
      </c>
      <c r="H98">
        <v>-0.50490000000000002</v>
      </c>
      <c r="I98">
        <v>0</v>
      </c>
      <c r="J98">
        <v>0</v>
      </c>
      <c r="K98">
        <v>0</v>
      </c>
      <c r="L98">
        <v>0.52839999999999998</v>
      </c>
    </row>
    <row r="99" spans="1:12" x14ac:dyDescent="0.35">
      <c r="A99">
        <v>-0.15</v>
      </c>
      <c r="B99">
        <v>0.26169999999999999</v>
      </c>
      <c r="C99">
        <v>7.45E-3</v>
      </c>
      <c r="D99">
        <v>1.4499999999999999E-3</v>
      </c>
      <c r="E99">
        <v>-6.9800000000000001E-2</v>
      </c>
      <c r="F99">
        <v>0.05</v>
      </c>
      <c r="G99">
        <v>2.7400000000000001E-2</v>
      </c>
      <c r="H99">
        <v>-0.50980000000000003</v>
      </c>
      <c r="I99">
        <v>0</v>
      </c>
      <c r="J99">
        <v>0</v>
      </c>
      <c r="K99">
        <v>0</v>
      </c>
      <c r="L99">
        <v>0.51680000000000004</v>
      </c>
    </row>
    <row r="100" spans="1:12" x14ac:dyDescent="0.35">
      <c r="A100">
        <v>-0.1</v>
      </c>
      <c r="B100">
        <v>0.27239999999999998</v>
      </c>
      <c r="C100">
        <v>7.4599999999999996E-3</v>
      </c>
      <c r="D100">
        <v>1.4599999999999999E-3</v>
      </c>
      <c r="E100">
        <v>-6.9800000000000001E-2</v>
      </c>
      <c r="F100">
        <v>0.05</v>
      </c>
      <c r="G100">
        <v>2.87E-2</v>
      </c>
      <c r="H100">
        <v>-0.51459999999999995</v>
      </c>
      <c r="I100">
        <v>0</v>
      </c>
      <c r="J100">
        <v>0</v>
      </c>
      <c r="K100">
        <v>0</v>
      </c>
      <c r="L100">
        <v>0.50609999999999999</v>
      </c>
    </row>
    <row r="101" spans="1:12" x14ac:dyDescent="0.35">
      <c r="A101">
        <v>-0.05</v>
      </c>
      <c r="B101">
        <v>0.28320000000000001</v>
      </c>
      <c r="C101">
        <v>7.4599999999999996E-3</v>
      </c>
      <c r="D101">
        <v>1.4599999999999999E-3</v>
      </c>
      <c r="E101">
        <v>-6.9800000000000001E-2</v>
      </c>
      <c r="F101">
        <v>0.05</v>
      </c>
      <c r="G101">
        <v>0.03</v>
      </c>
      <c r="H101">
        <v>-0.51949999999999996</v>
      </c>
      <c r="I101">
        <v>0</v>
      </c>
      <c r="J101">
        <v>0</v>
      </c>
      <c r="K101">
        <v>0</v>
      </c>
      <c r="L101">
        <v>0.49630000000000002</v>
      </c>
    </row>
    <row r="102" spans="1:12" x14ac:dyDescent="0.35">
      <c r="A102">
        <v>0</v>
      </c>
      <c r="B102">
        <v>0.29389999999999999</v>
      </c>
      <c r="C102">
        <v>7.4599999999999996E-3</v>
      </c>
      <c r="D102">
        <v>1.47E-3</v>
      </c>
      <c r="E102">
        <v>-6.9800000000000001E-2</v>
      </c>
      <c r="F102">
        <v>0.05</v>
      </c>
      <c r="G102">
        <v>3.3300000000000003E-2</v>
      </c>
      <c r="H102">
        <v>-0.52449999999999997</v>
      </c>
      <c r="I102">
        <v>0</v>
      </c>
      <c r="J102">
        <v>0</v>
      </c>
      <c r="K102">
        <v>0</v>
      </c>
      <c r="L102">
        <v>0.48709999999999998</v>
      </c>
    </row>
    <row r="103" spans="1:12" x14ac:dyDescent="0.35">
      <c r="A103">
        <v>0.05</v>
      </c>
      <c r="B103">
        <v>0.30470000000000003</v>
      </c>
      <c r="C103">
        <v>7.4599999999999996E-3</v>
      </c>
      <c r="D103">
        <v>1.48E-3</v>
      </c>
      <c r="E103">
        <v>-6.9800000000000001E-2</v>
      </c>
      <c r="F103">
        <v>0.05</v>
      </c>
      <c r="G103">
        <v>3.6499999999999998E-2</v>
      </c>
      <c r="H103">
        <v>-0.52949999999999997</v>
      </c>
      <c r="I103">
        <v>0</v>
      </c>
      <c r="J103">
        <v>0</v>
      </c>
      <c r="K103">
        <v>0</v>
      </c>
      <c r="L103">
        <v>0.47870000000000001</v>
      </c>
    </row>
    <row r="104" spans="1:12" x14ac:dyDescent="0.35">
      <c r="A104">
        <v>0.1</v>
      </c>
      <c r="B104">
        <v>0.3155</v>
      </c>
      <c r="C104">
        <v>7.4599999999999996E-3</v>
      </c>
      <c r="D104">
        <v>1.48E-3</v>
      </c>
      <c r="E104">
        <v>-6.9699999999999998E-2</v>
      </c>
      <c r="F104">
        <v>0.05</v>
      </c>
      <c r="G104">
        <v>3.9800000000000002E-2</v>
      </c>
      <c r="H104">
        <v>-0.53449999999999998</v>
      </c>
      <c r="I104">
        <v>0</v>
      </c>
      <c r="J104">
        <v>0</v>
      </c>
      <c r="K104">
        <v>0</v>
      </c>
      <c r="L104">
        <v>0.4708</v>
      </c>
    </row>
    <row r="105" spans="1:12" x14ac:dyDescent="0.35">
      <c r="A105">
        <v>0.15</v>
      </c>
      <c r="B105">
        <v>0.32619999999999999</v>
      </c>
      <c r="C105">
        <v>7.45E-3</v>
      </c>
      <c r="D105">
        <v>1.49E-3</v>
      </c>
      <c r="E105">
        <v>-6.9699999999999998E-2</v>
      </c>
      <c r="F105">
        <v>0.05</v>
      </c>
      <c r="G105">
        <v>0.05</v>
      </c>
      <c r="H105">
        <v>-0.53959999999999997</v>
      </c>
      <c r="I105">
        <v>0</v>
      </c>
      <c r="J105">
        <v>0</v>
      </c>
      <c r="K105">
        <v>0</v>
      </c>
      <c r="L105">
        <v>0.46339999999999998</v>
      </c>
    </row>
    <row r="106" spans="1:12" x14ac:dyDescent="0.35">
      <c r="A106">
        <v>0.2</v>
      </c>
      <c r="B106">
        <v>0.33700000000000002</v>
      </c>
      <c r="C106">
        <v>7.4599999999999996E-3</v>
      </c>
      <c r="D106">
        <v>1.5100000000000001E-3</v>
      </c>
      <c r="E106">
        <v>-6.9699999999999998E-2</v>
      </c>
      <c r="F106">
        <v>0.05</v>
      </c>
      <c r="G106">
        <v>0.05</v>
      </c>
      <c r="H106">
        <v>-0.54479999999999995</v>
      </c>
      <c r="I106">
        <v>0</v>
      </c>
      <c r="J106">
        <v>0</v>
      </c>
      <c r="K106">
        <v>0</v>
      </c>
      <c r="L106">
        <v>0.45650000000000002</v>
      </c>
    </row>
    <row r="107" spans="1:12" x14ac:dyDescent="0.35">
      <c r="A107">
        <v>0.25</v>
      </c>
      <c r="B107">
        <v>0.34770000000000001</v>
      </c>
      <c r="C107">
        <v>7.4700000000000001E-3</v>
      </c>
      <c r="D107">
        <v>1.5200000000000001E-3</v>
      </c>
      <c r="E107">
        <v>-6.9699999999999998E-2</v>
      </c>
      <c r="F107">
        <v>0.05</v>
      </c>
      <c r="G107">
        <v>0.05</v>
      </c>
      <c r="H107">
        <v>-0.54990000000000006</v>
      </c>
      <c r="I107">
        <v>0</v>
      </c>
      <c r="J107">
        <v>0</v>
      </c>
      <c r="K107">
        <v>0</v>
      </c>
      <c r="L107">
        <v>0.44990000000000002</v>
      </c>
    </row>
    <row r="108" spans="1:12" x14ac:dyDescent="0.35">
      <c r="A108">
        <v>0.3</v>
      </c>
      <c r="B108">
        <v>0.35849999999999999</v>
      </c>
      <c r="C108">
        <v>7.4799999999999997E-3</v>
      </c>
      <c r="D108">
        <v>1.5299999999999999E-3</v>
      </c>
      <c r="E108">
        <v>-6.9599999999999995E-2</v>
      </c>
      <c r="F108">
        <v>0.05</v>
      </c>
      <c r="G108">
        <v>0.05</v>
      </c>
      <c r="H108">
        <v>-0.55510000000000004</v>
      </c>
      <c r="I108">
        <v>0</v>
      </c>
      <c r="J108">
        <v>0</v>
      </c>
      <c r="K108">
        <v>0</v>
      </c>
      <c r="L108">
        <v>0.44379999999999997</v>
      </c>
    </row>
    <row r="109" spans="1:12" x14ac:dyDescent="0.35">
      <c r="A109">
        <v>0.35</v>
      </c>
      <c r="B109">
        <v>0.36930000000000002</v>
      </c>
      <c r="C109">
        <v>7.4900000000000001E-3</v>
      </c>
      <c r="D109">
        <v>1.5499999999999999E-3</v>
      </c>
      <c r="E109">
        <v>-6.9599999999999995E-2</v>
      </c>
      <c r="F109">
        <v>0.05</v>
      </c>
      <c r="G109">
        <v>0.05</v>
      </c>
      <c r="H109">
        <v>-0.56040000000000001</v>
      </c>
      <c r="I109">
        <v>0</v>
      </c>
      <c r="J109">
        <v>0</v>
      </c>
      <c r="K109">
        <v>0</v>
      </c>
      <c r="L109">
        <v>0.438</v>
      </c>
    </row>
    <row r="110" spans="1:12" x14ac:dyDescent="0.35">
      <c r="A110">
        <v>0.4</v>
      </c>
      <c r="B110">
        <v>0.38009999999999999</v>
      </c>
      <c r="C110">
        <v>7.4999999999999997E-3</v>
      </c>
      <c r="D110">
        <v>1.56E-3</v>
      </c>
      <c r="E110">
        <v>-6.9500000000000006E-2</v>
      </c>
      <c r="F110">
        <v>0.05</v>
      </c>
      <c r="G110">
        <v>0.05</v>
      </c>
      <c r="H110">
        <v>-0.56579999999999997</v>
      </c>
      <c r="I110">
        <v>0</v>
      </c>
      <c r="J110">
        <v>0</v>
      </c>
      <c r="K110">
        <v>0</v>
      </c>
      <c r="L110">
        <v>0.4325</v>
      </c>
    </row>
    <row r="111" spans="1:12" x14ac:dyDescent="0.35">
      <c r="A111">
        <v>0.45</v>
      </c>
      <c r="B111">
        <v>0.39090000000000003</v>
      </c>
      <c r="C111">
        <v>7.5100000000000002E-3</v>
      </c>
      <c r="D111">
        <v>1.58E-3</v>
      </c>
      <c r="E111">
        <v>-6.9500000000000006E-2</v>
      </c>
      <c r="F111">
        <v>0.05</v>
      </c>
      <c r="G111">
        <v>0.05</v>
      </c>
      <c r="H111">
        <v>-0.57110000000000005</v>
      </c>
      <c r="I111">
        <v>0</v>
      </c>
      <c r="J111">
        <v>0</v>
      </c>
      <c r="K111">
        <v>0</v>
      </c>
      <c r="L111">
        <v>0.42730000000000001</v>
      </c>
    </row>
    <row r="112" spans="1:12" x14ac:dyDescent="0.35">
      <c r="A112">
        <v>0.5</v>
      </c>
      <c r="B112">
        <v>0.4017</v>
      </c>
      <c r="C112">
        <v>7.5199999999999998E-3</v>
      </c>
      <c r="D112">
        <v>1.6000000000000001E-3</v>
      </c>
      <c r="E112">
        <v>-6.9400000000000003E-2</v>
      </c>
      <c r="F112">
        <v>0.05</v>
      </c>
      <c r="G112">
        <v>0.05</v>
      </c>
      <c r="H112">
        <v>-0.58389999999999997</v>
      </c>
      <c r="I112">
        <v>0</v>
      </c>
      <c r="J112">
        <v>0</v>
      </c>
      <c r="K112">
        <v>0</v>
      </c>
      <c r="L112">
        <v>0.42230000000000001</v>
      </c>
    </row>
    <row r="113" spans="1:12" x14ac:dyDescent="0.35">
      <c r="A113">
        <v>0.55000000000000004</v>
      </c>
      <c r="B113">
        <v>0.41249999999999998</v>
      </c>
      <c r="C113">
        <v>7.5399999999999998E-3</v>
      </c>
      <c r="D113">
        <v>1.6199999999999999E-3</v>
      </c>
      <c r="E113">
        <v>-6.9400000000000003E-2</v>
      </c>
      <c r="F113">
        <v>0.05</v>
      </c>
      <c r="G113">
        <v>0.05</v>
      </c>
      <c r="H113">
        <v>-0.63690000000000002</v>
      </c>
      <c r="I113">
        <v>0</v>
      </c>
      <c r="J113">
        <v>0</v>
      </c>
      <c r="K113">
        <v>0</v>
      </c>
      <c r="L113">
        <v>0.41760000000000003</v>
      </c>
    </row>
    <row r="114" spans="1:12" x14ac:dyDescent="0.35">
      <c r="A114">
        <v>0.6</v>
      </c>
      <c r="B114">
        <v>0.4229</v>
      </c>
      <c r="C114">
        <v>7.5700000000000003E-3</v>
      </c>
      <c r="D114">
        <v>1.64E-3</v>
      </c>
      <c r="E114">
        <v>-6.9199999999999998E-2</v>
      </c>
      <c r="F114">
        <v>4.3700000000000003E-2</v>
      </c>
      <c r="G114">
        <v>0.05</v>
      </c>
      <c r="H114">
        <v>-0.68969999999999998</v>
      </c>
      <c r="I114">
        <v>0</v>
      </c>
      <c r="J114">
        <v>0</v>
      </c>
      <c r="K114">
        <v>0</v>
      </c>
      <c r="L114">
        <v>0.41310000000000002</v>
      </c>
    </row>
    <row r="115" spans="1:12" x14ac:dyDescent="0.35">
      <c r="A115">
        <v>0.65</v>
      </c>
      <c r="B115">
        <v>0.43319999999999997</v>
      </c>
      <c r="C115">
        <v>7.62E-3</v>
      </c>
      <c r="D115">
        <v>1.6800000000000001E-3</v>
      </c>
      <c r="E115">
        <v>-6.9099999999999995E-2</v>
      </c>
      <c r="F115">
        <v>3.5200000000000002E-2</v>
      </c>
      <c r="G115">
        <v>0.05</v>
      </c>
      <c r="H115">
        <v>-0.74319999999999997</v>
      </c>
      <c r="I115">
        <v>0</v>
      </c>
      <c r="J115">
        <v>0</v>
      </c>
      <c r="K115">
        <v>0</v>
      </c>
      <c r="L115">
        <v>0.40889999999999999</v>
      </c>
    </row>
    <row r="116" spans="1:12" x14ac:dyDescent="0.35">
      <c r="A116">
        <v>0.7</v>
      </c>
      <c r="B116">
        <v>0.44390000000000002</v>
      </c>
      <c r="C116">
        <v>7.6499999999999997E-3</v>
      </c>
      <c r="D116">
        <v>1.7099999999999999E-3</v>
      </c>
      <c r="E116">
        <v>-6.9000000000000006E-2</v>
      </c>
      <c r="F116">
        <v>3.1899999999999998E-2</v>
      </c>
      <c r="G116">
        <v>0.05</v>
      </c>
      <c r="H116">
        <v>-0.80010000000000003</v>
      </c>
      <c r="I116">
        <v>0</v>
      </c>
      <c r="J116">
        <v>0</v>
      </c>
      <c r="K116">
        <v>0</v>
      </c>
      <c r="L116">
        <v>0.4047</v>
      </c>
    </row>
    <row r="117" spans="1:12" x14ac:dyDescent="0.35">
      <c r="A117">
        <v>0.75</v>
      </c>
      <c r="B117">
        <v>0.4546</v>
      </c>
      <c r="C117">
        <v>7.6800000000000002E-3</v>
      </c>
      <c r="D117">
        <v>1.74E-3</v>
      </c>
      <c r="E117">
        <v>-6.88E-2</v>
      </c>
      <c r="F117">
        <v>2.9899999999999999E-2</v>
      </c>
      <c r="G117">
        <v>0.05</v>
      </c>
      <c r="H117">
        <v>-0.8589</v>
      </c>
      <c r="I117">
        <v>0</v>
      </c>
      <c r="J117">
        <v>0</v>
      </c>
      <c r="K117">
        <v>0</v>
      </c>
      <c r="L117">
        <v>0.40079999999999999</v>
      </c>
    </row>
    <row r="118" spans="1:12" x14ac:dyDescent="0.35">
      <c r="A118">
        <v>0.8</v>
      </c>
      <c r="B118">
        <v>0.46529999999999999</v>
      </c>
      <c r="C118">
        <v>7.7099999999999998E-3</v>
      </c>
      <c r="D118">
        <v>1.7700000000000001E-3</v>
      </c>
      <c r="E118">
        <v>-6.8699999999999997E-2</v>
      </c>
      <c r="F118">
        <v>2.7799999999999998E-2</v>
      </c>
      <c r="G118">
        <v>0.05</v>
      </c>
      <c r="H118">
        <v>-0.9194</v>
      </c>
      <c r="I118">
        <v>0</v>
      </c>
      <c r="J118">
        <v>0</v>
      </c>
      <c r="K118">
        <v>0</v>
      </c>
      <c r="L118">
        <v>0.39700000000000002</v>
      </c>
    </row>
    <row r="119" spans="1:12" x14ac:dyDescent="0.35">
      <c r="A119">
        <v>0.85</v>
      </c>
      <c r="B119">
        <v>0.47599999999999998</v>
      </c>
      <c r="C119">
        <v>7.7299999999999999E-3</v>
      </c>
      <c r="D119">
        <v>1.8E-3</v>
      </c>
      <c r="E119">
        <v>-6.8599999999999994E-2</v>
      </c>
      <c r="F119">
        <v>2.5600000000000001E-2</v>
      </c>
      <c r="G119">
        <v>0.05</v>
      </c>
      <c r="H119">
        <v>-0.98180000000000001</v>
      </c>
      <c r="I119">
        <v>0</v>
      </c>
      <c r="J119">
        <v>0</v>
      </c>
      <c r="K119">
        <v>0</v>
      </c>
      <c r="L119">
        <v>0.39340000000000003</v>
      </c>
    </row>
    <row r="120" spans="1:12" x14ac:dyDescent="0.35">
      <c r="A120">
        <v>0.9</v>
      </c>
      <c r="B120">
        <v>0.4869</v>
      </c>
      <c r="C120">
        <v>7.7600000000000004E-3</v>
      </c>
      <c r="D120">
        <v>1.83E-3</v>
      </c>
      <c r="E120">
        <v>-6.8400000000000002E-2</v>
      </c>
      <c r="F120">
        <v>2.3599999999999999E-2</v>
      </c>
      <c r="G120">
        <v>0.05</v>
      </c>
      <c r="H120">
        <v>-1.0462</v>
      </c>
      <c r="I120">
        <v>0</v>
      </c>
      <c r="J120">
        <v>0</v>
      </c>
      <c r="K120">
        <v>0</v>
      </c>
      <c r="L120">
        <v>0.38979999999999998</v>
      </c>
    </row>
    <row r="121" spans="1:12" x14ac:dyDescent="0.35">
      <c r="A121">
        <v>0.95</v>
      </c>
      <c r="B121">
        <v>0.49780000000000002</v>
      </c>
      <c r="C121">
        <v>7.7799999999999996E-3</v>
      </c>
      <c r="D121">
        <v>1.8600000000000001E-3</v>
      </c>
      <c r="E121">
        <v>-6.83E-2</v>
      </c>
      <c r="F121">
        <v>2.3099999999999999E-2</v>
      </c>
      <c r="G121">
        <v>0.05</v>
      </c>
      <c r="H121">
        <v>-1.1134999999999999</v>
      </c>
      <c r="I121">
        <v>0</v>
      </c>
      <c r="J121">
        <v>0</v>
      </c>
      <c r="K121">
        <v>0</v>
      </c>
      <c r="L121">
        <v>0.38640000000000002</v>
      </c>
    </row>
    <row r="122" spans="1:12" x14ac:dyDescent="0.35">
      <c r="A122">
        <v>1</v>
      </c>
      <c r="B122">
        <v>0.50870000000000004</v>
      </c>
      <c r="C122">
        <v>7.8100000000000001E-3</v>
      </c>
      <c r="D122">
        <v>1.9E-3</v>
      </c>
      <c r="E122">
        <v>-6.8099999999999994E-2</v>
      </c>
      <c r="F122">
        <v>2.2499999999999999E-2</v>
      </c>
      <c r="G122">
        <v>0.05</v>
      </c>
      <c r="H122">
        <v>-1.1833</v>
      </c>
      <c r="I122">
        <v>0</v>
      </c>
      <c r="J122">
        <v>0</v>
      </c>
      <c r="K122">
        <v>0</v>
      </c>
      <c r="L122">
        <v>0.38319999999999999</v>
      </c>
    </row>
    <row r="123" spans="1:12" x14ac:dyDescent="0.35">
      <c r="A123">
        <v>1.05</v>
      </c>
      <c r="B123">
        <v>0.51959999999999995</v>
      </c>
      <c r="C123">
        <v>7.8399999999999997E-3</v>
      </c>
      <c r="D123">
        <v>1.9400000000000001E-3</v>
      </c>
      <c r="E123">
        <v>-6.7900000000000002E-2</v>
      </c>
      <c r="F123">
        <v>2.1600000000000001E-2</v>
      </c>
      <c r="G123">
        <v>0.05</v>
      </c>
      <c r="H123">
        <v>-1.2555000000000001</v>
      </c>
      <c r="I123">
        <v>0</v>
      </c>
      <c r="J123">
        <v>0</v>
      </c>
      <c r="K123">
        <v>0</v>
      </c>
      <c r="L123">
        <v>0.38</v>
      </c>
    </row>
    <row r="124" spans="1:12" x14ac:dyDescent="0.35">
      <c r="A124">
        <v>1.1000000000000001</v>
      </c>
      <c r="B124">
        <v>0.53049999999999997</v>
      </c>
      <c r="C124">
        <v>7.8700000000000003E-3</v>
      </c>
      <c r="D124">
        <v>1.98E-3</v>
      </c>
      <c r="E124">
        <v>-6.7699999999999996E-2</v>
      </c>
      <c r="F124">
        <v>2.01E-2</v>
      </c>
      <c r="G124">
        <v>0.05</v>
      </c>
      <c r="H124">
        <v>-1.3308</v>
      </c>
      <c r="I124">
        <v>0</v>
      </c>
      <c r="J124">
        <v>0</v>
      </c>
      <c r="K124">
        <v>0</v>
      </c>
      <c r="L124">
        <v>0.37690000000000001</v>
      </c>
    </row>
    <row r="125" spans="1:12" x14ac:dyDescent="0.35">
      <c r="A125">
        <v>1.1499999999999999</v>
      </c>
      <c r="B125">
        <v>0.5413</v>
      </c>
      <c r="C125">
        <v>7.9100000000000004E-3</v>
      </c>
      <c r="D125">
        <v>2.0200000000000001E-3</v>
      </c>
      <c r="E125">
        <v>-6.7500000000000004E-2</v>
      </c>
      <c r="F125">
        <v>1.7999999999999999E-2</v>
      </c>
      <c r="G125">
        <v>0.05</v>
      </c>
      <c r="H125">
        <v>-1.4089</v>
      </c>
      <c r="I125">
        <v>0</v>
      </c>
      <c r="J125">
        <v>0</v>
      </c>
      <c r="K125">
        <v>0</v>
      </c>
      <c r="L125">
        <v>0.37390000000000001</v>
      </c>
    </row>
    <row r="126" spans="1:12" x14ac:dyDescent="0.35">
      <c r="A126">
        <v>1.2</v>
      </c>
      <c r="B126">
        <v>0.55220000000000002</v>
      </c>
      <c r="C126">
        <v>7.9500000000000005E-3</v>
      </c>
      <c r="D126">
        <v>2.0699999999999998E-3</v>
      </c>
      <c r="E126">
        <v>-6.7299999999999999E-2</v>
      </c>
      <c r="F126">
        <v>1.61E-2</v>
      </c>
      <c r="G126">
        <v>0.05</v>
      </c>
      <c r="H126">
        <v>-1.4888999999999999</v>
      </c>
      <c r="I126">
        <v>0</v>
      </c>
      <c r="J126">
        <v>0</v>
      </c>
      <c r="K126">
        <v>0</v>
      </c>
      <c r="L126">
        <v>0.371</v>
      </c>
    </row>
    <row r="127" spans="1:12" x14ac:dyDescent="0.35">
      <c r="A127">
        <v>1.25</v>
      </c>
      <c r="B127">
        <v>0.56320000000000003</v>
      </c>
      <c r="C127">
        <v>7.9900000000000006E-3</v>
      </c>
      <c r="D127">
        <v>2.1199999999999999E-3</v>
      </c>
      <c r="E127">
        <v>-6.7000000000000004E-2</v>
      </c>
      <c r="F127">
        <v>1.46E-2</v>
      </c>
      <c r="G127">
        <v>0.05</v>
      </c>
      <c r="H127">
        <v>-1.5682</v>
      </c>
      <c r="I127">
        <v>0</v>
      </c>
      <c r="J127">
        <v>0</v>
      </c>
      <c r="K127">
        <v>0</v>
      </c>
      <c r="L127">
        <v>0.36809999999999998</v>
      </c>
    </row>
    <row r="128" spans="1:12" x14ac:dyDescent="0.35">
      <c r="A128">
        <v>1.3</v>
      </c>
      <c r="B128">
        <v>0.57420000000000004</v>
      </c>
      <c r="C128">
        <v>8.0300000000000007E-3</v>
      </c>
      <c r="D128">
        <v>2.1700000000000001E-3</v>
      </c>
      <c r="E128">
        <v>-6.6699999999999995E-2</v>
      </c>
      <c r="F128">
        <v>1.38E-2</v>
      </c>
      <c r="G128">
        <v>0.05</v>
      </c>
      <c r="H128">
        <v>-1.6459999999999999</v>
      </c>
      <c r="I128">
        <v>0</v>
      </c>
      <c r="J128">
        <v>0</v>
      </c>
      <c r="K128">
        <v>0</v>
      </c>
      <c r="L128">
        <v>0.36530000000000001</v>
      </c>
    </row>
    <row r="129" spans="1:12" x14ac:dyDescent="0.35">
      <c r="A129">
        <v>1.35</v>
      </c>
      <c r="B129">
        <v>0.58520000000000005</v>
      </c>
      <c r="C129">
        <v>8.0700000000000008E-3</v>
      </c>
      <c r="D129">
        <v>2.2399999999999998E-3</v>
      </c>
      <c r="E129">
        <v>-6.6400000000000001E-2</v>
      </c>
      <c r="F129">
        <v>1.3599999999999999E-2</v>
      </c>
      <c r="G129">
        <v>0.05</v>
      </c>
      <c r="H129">
        <v>-1.7307999999999999</v>
      </c>
      <c r="I129">
        <v>0</v>
      </c>
      <c r="J129">
        <v>0</v>
      </c>
      <c r="K129">
        <v>0</v>
      </c>
      <c r="L129">
        <v>0.36259999999999998</v>
      </c>
    </row>
    <row r="130" spans="1:12" x14ac:dyDescent="0.35">
      <c r="A130">
        <v>1.4</v>
      </c>
      <c r="B130">
        <v>0.59619999999999995</v>
      </c>
      <c r="C130">
        <v>8.1200000000000005E-3</v>
      </c>
      <c r="D130">
        <v>2.31E-3</v>
      </c>
      <c r="E130">
        <v>-6.6100000000000006E-2</v>
      </c>
      <c r="F130">
        <v>1.34E-2</v>
      </c>
      <c r="G130">
        <v>0.05</v>
      </c>
      <c r="H130">
        <v>-1.8176000000000001</v>
      </c>
      <c r="I130">
        <v>0</v>
      </c>
      <c r="J130">
        <v>0</v>
      </c>
      <c r="K130">
        <v>0</v>
      </c>
      <c r="L130">
        <v>0.3599</v>
      </c>
    </row>
    <row r="131" spans="1:12" x14ac:dyDescent="0.35">
      <c r="A131">
        <v>1.45</v>
      </c>
      <c r="B131">
        <v>0.60719999999999996</v>
      </c>
      <c r="C131">
        <v>8.1700000000000002E-3</v>
      </c>
      <c r="D131">
        <v>2.3900000000000002E-3</v>
      </c>
      <c r="E131">
        <v>-6.5699999999999995E-2</v>
      </c>
      <c r="F131">
        <v>1.32E-2</v>
      </c>
      <c r="G131">
        <v>0.05</v>
      </c>
      <c r="H131">
        <v>-1.9044000000000001</v>
      </c>
      <c r="I131">
        <v>0</v>
      </c>
      <c r="J131">
        <v>0</v>
      </c>
      <c r="K131">
        <v>0</v>
      </c>
      <c r="L131">
        <v>0.35720000000000002</v>
      </c>
    </row>
    <row r="132" spans="1:12" x14ac:dyDescent="0.35">
      <c r="A132">
        <v>1.5</v>
      </c>
      <c r="B132">
        <v>0.61809999999999998</v>
      </c>
      <c r="C132">
        <v>8.2299999999999995E-3</v>
      </c>
      <c r="D132">
        <v>2.48E-3</v>
      </c>
      <c r="E132">
        <v>-6.5299999999999997E-2</v>
      </c>
      <c r="F132">
        <v>1.2999999999999999E-2</v>
      </c>
      <c r="G132">
        <v>0.05</v>
      </c>
      <c r="H132">
        <v>-1.9914000000000001</v>
      </c>
      <c r="I132">
        <v>0</v>
      </c>
      <c r="J132">
        <v>0</v>
      </c>
      <c r="K132">
        <v>0</v>
      </c>
      <c r="L132">
        <v>0.35460000000000003</v>
      </c>
    </row>
    <row r="133" spans="1:12" x14ac:dyDescent="0.35">
      <c r="A133">
        <v>1.55</v>
      </c>
      <c r="B133">
        <v>0.629</v>
      </c>
      <c r="C133">
        <v>8.3099999999999997E-3</v>
      </c>
      <c r="D133">
        <v>2.5899999999999999E-3</v>
      </c>
      <c r="E133">
        <v>-6.4799999999999996E-2</v>
      </c>
      <c r="F133">
        <v>1.29E-2</v>
      </c>
      <c r="G133">
        <v>0.05</v>
      </c>
      <c r="H133">
        <v>-2.0985999999999998</v>
      </c>
      <c r="I133">
        <v>0</v>
      </c>
      <c r="J133">
        <v>0</v>
      </c>
      <c r="K133">
        <v>0</v>
      </c>
      <c r="L133">
        <v>0.35199999999999998</v>
      </c>
    </row>
    <row r="134" spans="1:12" x14ac:dyDescent="0.35">
      <c r="A134">
        <v>1.6</v>
      </c>
      <c r="B134">
        <v>0.63959999999999995</v>
      </c>
      <c r="C134">
        <v>8.3899999999999999E-3</v>
      </c>
      <c r="D134">
        <v>2.7100000000000002E-3</v>
      </c>
      <c r="E134">
        <v>-6.4299999999999996E-2</v>
      </c>
      <c r="F134">
        <v>1.2699999999999999E-2</v>
      </c>
      <c r="G134">
        <v>0.05</v>
      </c>
      <c r="H134">
        <v>-2.2054</v>
      </c>
      <c r="I134">
        <v>0</v>
      </c>
      <c r="J134">
        <v>0</v>
      </c>
      <c r="K134">
        <v>0</v>
      </c>
      <c r="L134">
        <v>0.34939999999999999</v>
      </c>
    </row>
    <row r="135" spans="1:12" x14ac:dyDescent="0.35">
      <c r="A135">
        <v>1.65</v>
      </c>
      <c r="B135">
        <v>0.65010000000000001</v>
      </c>
      <c r="C135">
        <v>8.4899999999999993E-3</v>
      </c>
      <c r="D135">
        <v>2.8500000000000001E-3</v>
      </c>
      <c r="E135">
        <v>-6.3600000000000004E-2</v>
      </c>
      <c r="F135">
        <v>1.26E-2</v>
      </c>
      <c r="G135">
        <v>0.05</v>
      </c>
      <c r="H135">
        <v>-2.3098999999999998</v>
      </c>
      <c r="I135">
        <v>0</v>
      </c>
      <c r="J135">
        <v>0</v>
      </c>
      <c r="K135">
        <v>0</v>
      </c>
      <c r="L135">
        <v>0.3468</v>
      </c>
    </row>
    <row r="136" spans="1:12" x14ac:dyDescent="0.35">
      <c r="A136">
        <v>1.7</v>
      </c>
      <c r="B136">
        <v>0.6603</v>
      </c>
      <c r="C136">
        <v>8.6099999999999996E-3</v>
      </c>
      <c r="D136">
        <v>3.0100000000000001E-3</v>
      </c>
      <c r="E136">
        <v>-6.3E-2</v>
      </c>
      <c r="F136">
        <v>1.24E-2</v>
      </c>
      <c r="G136">
        <v>0.05</v>
      </c>
      <c r="H136">
        <v>-2.4104999999999999</v>
      </c>
      <c r="I136">
        <v>0</v>
      </c>
      <c r="J136">
        <v>0</v>
      </c>
      <c r="K136">
        <v>0</v>
      </c>
      <c r="L136">
        <v>0.34420000000000001</v>
      </c>
    </row>
    <row r="137" spans="1:12" x14ac:dyDescent="0.35">
      <c r="A137">
        <v>1.75</v>
      </c>
      <c r="B137">
        <v>0.67030000000000001</v>
      </c>
      <c r="C137">
        <v>8.7500000000000008E-3</v>
      </c>
      <c r="D137">
        <v>3.1900000000000001E-3</v>
      </c>
      <c r="E137">
        <v>-6.2199999999999998E-2</v>
      </c>
      <c r="F137">
        <v>1.23E-2</v>
      </c>
      <c r="G137">
        <v>0.05</v>
      </c>
      <c r="H137">
        <v>-2.5057</v>
      </c>
      <c r="I137">
        <v>0</v>
      </c>
      <c r="J137">
        <v>0</v>
      </c>
      <c r="K137">
        <v>0</v>
      </c>
      <c r="L137">
        <v>0.3417</v>
      </c>
    </row>
    <row r="138" spans="1:12" x14ac:dyDescent="0.35">
      <c r="A138">
        <v>1.8</v>
      </c>
      <c r="B138">
        <v>0.67979999999999996</v>
      </c>
      <c r="C138">
        <v>8.9099999999999995E-3</v>
      </c>
      <c r="D138">
        <v>3.3999999999999998E-3</v>
      </c>
      <c r="E138">
        <v>-6.1400000000000003E-2</v>
      </c>
      <c r="F138">
        <v>1.2200000000000001E-2</v>
      </c>
      <c r="G138">
        <v>0.05</v>
      </c>
      <c r="H138">
        <v>-2.5939999999999999</v>
      </c>
      <c r="I138">
        <v>0</v>
      </c>
      <c r="J138">
        <v>0</v>
      </c>
      <c r="K138">
        <v>0</v>
      </c>
      <c r="L138">
        <v>0.33910000000000001</v>
      </c>
    </row>
    <row r="139" spans="1:12" x14ac:dyDescent="0.35">
      <c r="A139">
        <v>1.85</v>
      </c>
      <c r="B139">
        <v>0.68899999999999995</v>
      </c>
      <c r="C139">
        <v>9.0900000000000009E-3</v>
      </c>
      <c r="D139">
        <v>3.64E-3</v>
      </c>
      <c r="E139">
        <v>-6.0499999999999998E-2</v>
      </c>
      <c r="F139">
        <v>1.2E-2</v>
      </c>
      <c r="G139">
        <v>0.05</v>
      </c>
      <c r="H139">
        <v>-2.6738</v>
      </c>
      <c r="I139">
        <v>0</v>
      </c>
      <c r="J139">
        <v>0</v>
      </c>
      <c r="K139">
        <v>0</v>
      </c>
      <c r="L139">
        <v>0.33650000000000002</v>
      </c>
    </row>
    <row r="140" spans="1:12" x14ac:dyDescent="0.35">
      <c r="A140">
        <v>1.9</v>
      </c>
      <c r="B140">
        <v>0.69779999999999998</v>
      </c>
      <c r="C140">
        <v>9.2999999999999992E-3</v>
      </c>
      <c r="D140">
        <v>3.8899999999999998E-3</v>
      </c>
      <c r="E140">
        <v>-5.9499999999999997E-2</v>
      </c>
      <c r="F140">
        <v>1.18E-2</v>
      </c>
      <c r="G140">
        <v>0.05</v>
      </c>
      <c r="H140">
        <v>-2.7443</v>
      </c>
      <c r="I140">
        <v>0</v>
      </c>
      <c r="J140">
        <v>0</v>
      </c>
      <c r="K140">
        <v>0</v>
      </c>
      <c r="L140">
        <v>0.33400000000000002</v>
      </c>
    </row>
    <row r="141" spans="1:12" x14ac:dyDescent="0.35">
      <c r="A141">
        <v>1.95</v>
      </c>
      <c r="B141">
        <v>0.70620000000000005</v>
      </c>
      <c r="C141">
        <v>9.5200000000000007E-3</v>
      </c>
      <c r="D141">
        <v>4.1700000000000001E-3</v>
      </c>
      <c r="E141">
        <v>-5.8400000000000001E-2</v>
      </c>
      <c r="F141">
        <v>1.1599999999999999E-2</v>
      </c>
      <c r="G141">
        <v>0.05</v>
      </c>
      <c r="H141">
        <v>-2.8048000000000002</v>
      </c>
      <c r="I141">
        <v>0</v>
      </c>
      <c r="J141">
        <v>0</v>
      </c>
      <c r="K141">
        <v>0</v>
      </c>
      <c r="L141">
        <v>0.33139999999999997</v>
      </c>
    </row>
    <row r="142" spans="1:12" x14ac:dyDescent="0.35">
      <c r="A142">
        <v>2</v>
      </c>
      <c r="B142">
        <v>0.71440000000000003</v>
      </c>
      <c r="C142">
        <v>9.7599999999999996E-3</v>
      </c>
      <c r="D142">
        <v>4.4600000000000004E-3</v>
      </c>
      <c r="E142">
        <v>-5.7299999999999997E-2</v>
      </c>
      <c r="F142">
        <v>1.14E-2</v>
      </c>
      <c r="G142">
        <v>0.05</v>
      </c>
      <c r="H142">
        <v>-2.8551000000000002</v>
      </c>
      <c r="I142">
        <v>0</v>
      </c>
      <c r="J142">
        <v>0</v>
      </c>
      <c r="K142">
        <v>0</v>
      </c>
      <c r="L142">
        <v>0.32879999999999998</v>
      </c>
    </row>
    <row r="143" spans="1:12" x14ac:dyDescent="0.35">
      <c r="A143">
        <v>2.0499999999999998</v>
      </c>
      <c r="B143">
        <v>0.72250000000000003</v>
      </c>
      <c r="C143">
        <v>1.0019999999999999E-2</v>
      </c>
      <c r="D143">
        <v>4.7699999999999999E-3</v>
      </c>
      <c r="E143">
        <v>-5.6099999999999997E-2</v>
      </c>
      <c r="F143">
        <v>1.12E-2</v>
      </c>
      <c r="G143">
        <v>0.05</v>
      </c>
      <c r="H143">
        <v>-2.8963999999999999</v>
      </c>
      <c r="I143">
        <v>0</v>
      </c>
      <c r="J143">
        <v>0</v>
      </c>
      <c r="K143">
        <v>0</v>
      </c>
      <c r="L143">
        <v>0.32629999999999998</v>
      </c>
    </row>
    <row r="144" spans="1:12" x14ac:dyDescent="0.35">
      <c r="A144">
        <v>2.1</v>
      </c>
      <c r="B144">
        <v>0.73060000000000003</v>
      </c>
      <c r="C144">
        <v>1.0290000000000001E-2</v>
      </c>
      <c r="D144">
        <v>5.1000000000000004E-3</v>
      </c>
      <c r="E144">
        <v>-5.4899999999999997E-2</v>
      </c>
      <c r="F144">
        <v>1.0999999999999999E-2</v>
      </c>
      <c r="G144">
        <v>0.05</v>
      </c>
      <c r="H144">
        <v>-2.9306999999999999</v>
      </c>
      <c r="I144">
        <v>0</v>
      </c>
      <c r="J144">
        <v>0</v>
      </c>
      <c r="K144">
        <v>0</v>
      </c>
      <c r="L144">
        <v>0.32379999999999998</v>
      </c>
    </row>
    <row r="145" spans="1:12" x14ac:dyDescent="0.35">
      <c r="A145">
        <v>2.15</v>
      </c>
      <c r="B145">
        <v>0.7389</v>
      </c>
      <c r="C145">
        <v>1.0580000000000001E-2</v>
      </c>
      <c r="D145">
        <v>5.4400000000000004E-3</v>
      </c>
      <c r="E145">
        <v>-5.3800000000000001E-2</v>
      </c>
      <c r="F145">
        <v>1.0800000000000001E-2</v>
      </c>
      <c r="G145">
        <v>0.05</v>
      </c>
      <c r="H145">
        <v>-2.9592000000000001</v>
      </c>
      <c r="I145">
        <v>0</v>
      </c>
      <c r="J145">
        <v>0</v>
      </c>
      <c r="K145">
        <v>0</v>
      </c>
      <c r="L145">
        <v>0.32140000000000002</v>
      </c>
    </row>
    <row r="146" spans="1:12" x14ac:dyDescent="0.35">
      <c r="A146">
        <v>2.2000000000000002</v>
      </c>
      <c r="B146">
        <v>0.74750000000000005</v>
      </c>
      <c r="C146">
        <v>1.0880000000000001E-2</v>
      </c>
      <c r="D146">
        <v>5.79E-3</v>
      </c>
      <c r="E146">
        <v>-5.2600000000000001E-2</v>
      </c>
      <c r="F146">
        <v>1.06E-2</v>
      </c>
      <c r="G146">
        <v>0.05</v>
      </c>
      <c r="H146">
        <v>-2.9828000000000001</v>
      </c>
      <c r="I146">
        <v>0</v>
      </c>
      <c r="J146">
        <v>0</v>
      </c>
      <c r="K146">
        <v>0</v>
      </c>
      <c r="L146">
        <v>0.31890000000000002</v>
      </c>
    </row>
    <row r="147" spans="1:12" x14ac:dyDescent="0.35">
      <c r="A147">
        <v>2.25</v>
      </c>
      <c r="B147">
        <v>0.75649999999999995</v>
      </c>
      <c r="C147">
        <v>1.12E-2</v>
      </c>
      <c r="D147">
        <v>6.1599999999999997E-3</v>
      </c>
      <c r="E147">
        <v>-5.1499999999999997E-2</v>
      </c>
      <c r="F147">
        <v>1.0500000000000001E-2</v>
      </c>
      <c r="G147">
        <v>0.05</v>
      </c>
      <c r="H147">
        <v>-3.0026000000000002</v>
      </c>
      <c r="I147">
        <v>0</v>
      </c>
      <c r="J147">
        <v>0</v>
      </c>
      <c r="K147">
        <v>0</v>
      </c>
      <c r="L147">
        <v>0.31659999999999999</v>
      </c>
    </row>
    <row r="148" spans="1:12" x14ac:dyDescent="0.35">
      <c r="A148">
        <v>2.2999999999999998</v>
      </c>
      <c r="B148">
        <v>0.76590000000000003</v>
      </c>
      <c r="C148">
        <v>1.154E-2</v>
      </c>
      <c r="D148">
        <v>6.5500000000000003E-3</v>
      </c>
      <c r="E148">
        <v>-5.04E-2</v>
      </c>
      <c r="F148">
        <v>1.04E-2</v>
      </c>
      <c r="G148">
        <v>0.05</v>
      </c>
      <c r="H148">
        <v>-3.0192999999999999</v>
      </c>
      <c r="I148">
        <v>0</v>
      </c>
      <c r="J148">
        <v>0</v>
      </c>
      <c r="K148">
        <v>0</v>
      </c>
      <c r="L148">
        <v>0.31430000000000002</v>
      </c>
    </row>
    <row r="149" spans="1:12" x14ac:dyDescent="0.35">
      <c r="A149">
        <v>2.35</v>
      </c>
      <c r="B149">
        <v>0.77569999999999995</v>
      </c>
      <c r="C149">
        <v>1.1900000000000001E-2</v>
      </c>
      <c r="D149">
        <v>6.9699999999999996E-3</v>
      </c>
      <c r="E149">
        <v>-4.9399999999999999E-2</v>
      </c>
      <c r="F149">
        <v>1.0200000000000001E-2</v>
      </c>
      <c r="G149">
        <v>0.05</v>
      </c>
      <c r="H149">
        <v>-3.0331000000000001</v>
      </c>
      <c r="I149">
        <v>0</v>
      </c>
      <c r="J149">
        <v>0</v>
      </c>
      <c r="K149">
        <v>0</v>
      </c>
      <c r="L149">
        <v>0.31209999999999999</v>
      </c>
    </row>
    <row r="150" spans="1:12" x14ac:dyDescent="0.35">
      <c r="A150">
        <v>2.4</v>
      </c>
      <c r="B150">
        <v>0.78580000000000005</v>
      </c>
      <c r="C150">
        <v>1.2290000000000001E-2</v>
      </c>
      <c r="D150">
        <v>7.4099999999999999E-3</v>
      </c>
      <c r="E150">
        <v>-4.8399999999999999E-2</v>
      </c>
      <c r="F150">
        <v>1.01E-2</v>
      </c>
      <c r="G150">
        <v>0.05</v>
      </c>
      <c r="H150">
        <v>-3.0446</v>
      </c>
      <c r="I150">
        <v>0</v>
      </c>
      <c r="J150">
        <v>0</v>
      </c>
      <c r="K150">
        <v>0</v>
      </c>
      <c r="L150">
        <v>0.31</v>
      </c>
    </row>
    <row r="151" spans="1:12" x14ac:dyDescent="0.35">
      <c r="A151">
        <v>2.4500000000000002</v>
      </c>
      <c r="B151">
        <v>0.79610000000000003</v>
      </c>
      <c r="C151">
        <v>1.269E-2</v>
      </c>
      <c r="D151">
        <v>7.8799999999999999E-3</v>
      </c>
      <c r="E151">
        <v>-4.7399999999999998E-2</v>
      </c>
      <c r="F151">
        <v>0.01</v>
      </c>
      <c r="G151">
        <v>0.05</v>
      </c>
      <c r="H151">
        <v>-3.0535999999999999</v>
      </c>
      <c r="I151">
        <v>0</v>
      </c>
      <c r="J151">
        <v>0</v>
      </c>
      <c r="K151">
        <v>0</v>
      </c>
      <c r="L151">
        <v>0.30790000000000001</v>
      </c>
    </row>
    <row r="152" spans="1:12" x14ac:dyDescent="0.35">
      <c r="A152">
        <v>2.5</v>
      </c>
      <c r="B152">
        <v>0.80649999999999999</v>
      </c>
      <c r="C152">
        <v>1.312E-2</v>
      </c>
      <c r="D152">
        <v>8.3800000000000003E-3</v>
      </c>
      <c r="E152">
        <v>-4.6399999999999997E-2</v>
      </c>
      <c r="F152">
        <v>0.01</v>
      </c>
      <c r="G152">
        <v>0.05</v>
      </c>
      <c r="H152">
        <v>-3.0602999999999998</v>
      </c>
      <c r="I152">
        <v>0</v>
      </c>
      <c r="J152">
        <v>0</v>
      </c>
      <c r="K152">
        <v>0</v>
      </c>
      <c r="L152">
        <v>0.30590000000000001</v>
      </c>
    </row>
    <row r="153" spans="1:12" x14ac:dyDescent="0.35">
      <c r="A153">
        <v>2.5499999999999998</v>
      </c>
      <c r="B153">
        <v>0.81669999999999998</v>
      </c>
      <c r="C153">
        <v>1.358E-2</v>
      </c>
      <c r="D153">
        <v>8.8999999999999999E-3</v>
      </c>
      <c r="E153">
        <v>-4.5400000000000003E-2</v>
      </c>
      <c r="F153">
        <v>9.9000000000000008E-3</v>
      </c>
      <c r="G153">
        <v>0.05</v>
      </c>
      <c r="H153">
        <v>-3.0646</v>
      </c>
      <c r="I153">
        <v>0</v>
      </c>
      <c r="J153">
        <v>0</v>
      </c>
      <c r="K153">
        <v>0</v>
      </c>
      <c r="L153">
        <v>0.30399999999999999</v>
      </c>
    </row>
    <row r="154" spans="1:12" x14ac:dyDescent="0.35">
      <c r="A154">
        <v>2.6</v>
      </c>
      <c r="B154">
        <v>0.8266</v>
      </c>
      <c r="C154">
        <v>1.4069999999999999E-2</v>
      </c>
      <c r="D154">
        <v>9.4599999999999997E-3</v>
      </c>
      <c r="E154">
        <v>-4.4400000000000002E-2</v>
      </c>
      <c r="F154">
        <v>9.7999999999999997E-3</v>
      </c>
      <c r="G154">
        <v>0.05</v>
      </c>
      <c r="H154">
        <v>-3.0666000000000002</v>
      </c>
      <c r="I154">
        <v>0</v>
      </c>
      <c r="J154">
        <v>0</v>
      </c>
      <c r="K154">
        <v>0</v>
      </c>
      <c r="L154">
        <v>0.30209999999999998</v>
      </c>
    </row>
    <row r="155" spans="1:12" x14ac:dyDescent="0.35">
      <c r="A155">
        <v>2.65</v>
      </c>
      <c r="B155">
        <v>0.83599999999999997</v>
      </c>
      <c r="C155">
        <v>1.4579999999999999E-2</v>
      </c>
      <c r="D155">
        <v>1.004E-2</v>
      </c>
      <c r="E155">
        <v>-4.3400000000000001E-2</v>
      </c>
      <c r="F155">
        <v>9.7000000000000003E-3</v>
      </c>
      <c r="G155">
        <v>0.05</v>
      </c>
      <c r="H155">
        <v>-3.0663999999999998</v>
      </c>
      <c r="I155">
        <v>0</v>
      </c>
      <c r="J155">
        <v>0</v>
      </c>
      <c r="K155">
        <v>0</v>
      </c>
      <c r="L155">
        <v>0.30020000000000002</v>
      </c>
    </row>
    <row r="156" spans="1:12" x14ac:dyDescent="0.35">
      <c r="A156">
        <v>2.7</v>
      </c>
      <c r="B156">
        <v>0.84489999999999998</v>
      </c>
      <c r="C156">
        <v>1.511E-2</v>
      </c>
      <c r="D156">
        <v>1.065E-2</v>
      </c>
      <c r="E156">
        <v>-4.24E-2</v>
      </c>
      <c r="F156">
        <v>9.5999999999999992E-3</v>
      </c>
      <c r="G156">
        <v>0.05</v>
      </c>
      <c r="H156">
        <v>-3.0646</v>
      </c>
      <c r="I156">
        <v>0</v>
      </c>
      <c r="J156">
        <v>0</v>
      </c>
      <c r="K156">
        <v>0</v>
      </c>
      <c r="L156">
        <v>0.2984</v>
      </c>
    </row>
    <row r="157" spans="1:12" x14ac:dyDescent="0.35">
      <c r="A157">
        <v>2.75</v>
      </c>
      <c r="B157">
        <v>0.85309999999999997</v>
      </c>
      <c r="C157">
        <v>1.567E-2</v>
      </c>
      <c r="D157">
        <v>1.129E-2</v>
      </c>
      <c r="E157">
        <v>-4.1300000000000003E-2</v>
      </c>
      <c r="F157">
        <v>9.4999999999999998E-3</v>
      </c>
      <c r="G157">
        <v>0.05</v>
      </c>
      <c r="H157">
        <v>-3.0625</v>
      </c>
      <c r="I157">
        <v>0</v>
      </c>
      <c r="J157">
        <v>0</v>
      </c>
      <c r="K157">
        <v>0</v>
      </c>
      <c r="L157">
        <v>0.29670000000000002</v>
      </c>
    </row>
    <row r="158" spans="1:12" x14ac:dyDescent="0.35">
      <c r="A158">
        <v>2.8</v>
      </c>
      <c r="B158">
        <v>0.86080000000000001</v>
      </c>
      <c r="C158">
        <v>1.6250000000000001E-2</v>
      </c>
      <c r="D158">
        <v>1.1939999999999999E-2</v>
      </c>
      <c r="E158">
        <v>-4.02E-2</v>
      </c>
      <c r="F158">
        <v>9.4000000000000004E-3</v>
      </c>
      <c r="G158">
        <v>0.05</v>
      </c>
      <c r="H158">
        <v>-3.0607000000000002</v>
      </c>
      <c r="I158">
        <v>0</v>
      </c>
      <c r="J158">
        <v>0</v>
      </c>
      <c r="K158">
        <v>0</v>
      </c>
      <c r="L158">
        <v>0.2949</v>
      </c>
    </row>
    <row r="159" spans="1:12" x14ac:dyDescent="0.35">
      <c r="A159">
        <v>2.85</v>
      </c>
      <c r="B159">
        <v>0.86770000000000003</v>
      </c>
      <c r="C159">
        <v>1.6840000000000001E-2</v>
      </c>
      <c r="D159">
        <v>1.2619999999999999E-2</v>
      </c>
      <c r="E159">
        <v>-3.9100000000000003E-2</v>
      </c>
      <c r="F159">
        <v>9.2999999999999992E-3</v>
      </c>
      <c r="G159">
        <v>0.05</v>
      </c>
      <c r="H159">
        <v>-3.0590999999999999</v>
      </c>
      <c r="I159">
        <v>0</v>
      </c>
      <c r="J159">
        <v>0</v>
      </c>
      <c r="K159">
        <v>0</v>
      </c>
      <c r="L159">
        <v>0.29330000000000001</v>
      </c>
    </row>
    <row r="160" spans="1:12" x14ac:dyDescent="0.35">
      <c r="A160">
        <v>2.9</v>
      </c>
      <c r="B160">
        <v>0.874</v>
      </c>
      <c r="C160">
        <v>1.746E-2</v>
      </c>
      <c r="D160">
        <v>1.3310000000000001E-2</v>
      </c>
      <c r="E160">
        <v>-3.7999999999999999E-2</v>
      </c>
      <c r="F160">
        <v>9.1999999999999998E-3</v>
      </c>
      <c r="G160">
        <v>0.05</v>
      </c>
      <c r="H160">
        <v>-3.0571999999999999</v>
      </c>
      <c r="I160">
        <v>0</v>
      </c>
      <c r="J160">
        <v>0</v>
      </c>
      <c r="K160">
        <v>0</v>
      </c>
      <c r="L160">
        <v>0.29160000000000003</v>
      </c>
    </row>
    <row r="161" spans="1:12" x14ac:dyDescent="0.35">
      <c r="A161">
        <v>2.95</v>
      </c>
      <c r="B161">
        <v>0.87960000000000005</v>
      </c>
      <c r="C161">
        <v>1.8089999999999998E-2</v>
      </c>
      <c r="D161">
        <v>1.401E-2</v>
      </c>
      <c r="E161">
        <v>-3.6900000000000002E-2</v>
      </c>
      <c r="F161">
        <v>9.1000000000000004E-3</v>
      </c>
      <c r="G161">
        <v>0.05</v>
      </c>
      <c r="H161">
        <v>-3.0541999999999998</v>
      </c>
      <c r="I161">
        <v>0</v>
      </c>
      <c r="J161">
        <v>0</v>
      </c>
      <c r="K161">
        <v>0</v>
      </c>
      <c r="L161">
        <v>0.29010000000000002</v>
      </c>
    </row>
    <row r="162" spans="1:12" x14ac:dyDescent="0.35">
      <c r="A162">
        <v>3</v>
      </c>
      <c r="B162">
        <v>0.88460000000000005</v>
      </c>
      <c r="C162">
        <v>1.873E-2</v>
      </c>
      <c r="D162">
        <v>1.473E-2</v>
      </c>
      <c r="E162">
        <v>-3.5799999999999998E-2</v>
      </c>
      <c r="F162">
        <v>9.1000000000000004E-3</v>
      </c>
      <c r="G162">
        <v>0.05</v>
      </c>
      <c r="H162">
        <v>-3.0501</v>
      </c>
      <c r="I162">
        <v>0</v>
      </c>
      <c r="J162">
        <v>0</v>
      </c>
      <c r="K162">
        <v>0</v>
      </c>
      <c r="L162">
        <v>0.28860000000000002</v>
      </c>
    </row>
    <row r="163" spans="1:12" x14ac:dyDescent="0.35">
      <c r="A163">
        <v>3.05</v>
      </c>
      <c r="B163">
        <v>0.88900000000000001</v>
      </c>
      <c r="C163">
        <v>1.9390000000000001E-2</v>
      </c>
      <c r="D163">
        <v>1.546E-2</v>
      </c>
      <c r="E163">
        <v>-3.4700000000000002E-2</v>
      </c>
      <c r="F163">
        <v>9.1000000000000004E-3</v>
      </c>
      <c r="G163">
        <v>0.05</v>
      </c>
      <c r="H163">
        <v>-3.0451000000000001</v>
      </c>
      <c r="I163">
        <v>0</v>
      </c>
      <c r="J163">
        <v>0</v>
      </c>
      <c r="K163">
        <v>0</v>
      </c>
      <c r="L163">
        <v>0.28710000000000002</v>
      </c>
    </row>
    <row r="164" spans="1:12" x14ac:dyDescent="0.35">
      <c r="A164">
        <v>3.1</v>
      </c>
      <c r="B164">
        <v>0.89280000000000004</v>
      </c>
      <c r="C164">
        <v>2.0070000000000001E-2</v>
      </c>
      <c r="D164">
        <v>1.6199999999999999E-2</v>
      </c>
      <c r="E164">
        <v>-3.3599999999999998E-2</v>
      </c>
      <c r="F164">
        <v>9.1000000000000004E-3</v>
      </c>
      <c r="G164">
        <v>0.05</v>
      </c>
      <c r="H164">
        <v>-3.0394000000000001</v>
      </c>
      <c r="I164">
        <v>0</v>
      </c>
      <c r="J164">
        <v>0</v>
      </c>
      <c r="K164">
        <v>0</v>
      </c>
      <c r="L164">
        <v>0.28570000000000001</v>
      </c>
    </row>
    <row r="165" spans="1:12" x14ac:dyDescent="0.35">
      <c r="A165">
        <v>3.15</v>
      </c>
      <c r="B165">
        <v>0.89600000000000002</v>
      </c>
      <c r="C165">
        <v>2.0760000000000001E-2</v>
      </c>
      <c r="D165">
        <v>1.6959999999999999E-2</v>
      </c>
      <c r="E165">
        <v>-3.2599999999999997E-2</v>
      </c>
      <c r="F165">
        <v>9.1000000000000004E-3</v>
      </c>
      <c r="G165">
        <v>0.05</v>
      </c>
      <c r="H165">
        <v>-3.0329999999999999</v>
      </c>
      <c r="I165">
        <v>0</v>
      </c>
      <c r="J165">
        <v>0</v>
      </c>
      <c r="K165">
        <v>0</v>
      </c>
      <c r="L165">
        <v>0.28439999999999999</v>
      </c>
    </row>
    <row r="166" spans="1:12" x14ac:dyDescent="0.35">
      <c r="A166">
        <v>3.2</v>
      </c>
      <c r="B166">
        <v>0.89859999999999995</v>
      </c>
      <c r="C166">
        <v>2.146E-2</v>
      </c>
      <c r="D166">
        <v>1.772E-2</v>
      </c>
      <c r="E166">
        <v>-3.1600000000000003E-2</v>
      </c>
      <c r="F166">
        <v>9.1000000000000004E-3</v>
      </c>
      <c r="G166">
        <v>0.05</v>
      </c>
      <c r="H166">
        <v>-3.0360999999999998</v>
      </c>
      <c r="I166">
        <v>0</v>
      </c>
      <c r="J166">
        <v>0</v>
      </c>
      <c r="K166">
        <v>0</v>
      </c>
      <c r="L166">
        <v>0.28310000000000002</v>
      </c>
    </row>
    <row r="167" spans="1:12" x14ac:dyDescent="0.35">
      <c r="A167">
        <v>3.25</v>
      </c>
      <c r="B167">
        <v>0.90069999999999995</v>
      </c>
      <c r="C167">
        <v>2.2190000000000001E-2</v>
      </c>
      <c r="D167">
        <v>1.8509999999999999E-2</v>
      </c>
      <c r="E167">
        <v>-3.0599999999999999E-2</v>
      </c>
      <c r="F167">
        <v>9.1000000000000004E-3</v>
      </c>
      <c r="G167">
        <v>0.05</v>
      </c>
      <c r="H167">
        <v>-3.0724</v>
      </c>
      <c r="I167">
        <v>0</v>
      </c>
      <c r="J167">
        <v>0</v>
      </c>
      <c r="K167">
        <v>0</v>
      </c>
      <c r="L167">
        <v>0.28189999999999998</v>
      </c>
    </row>
    <row r="168" spans="1:12" x14ac:dyDescent="0.35">
      <c r="A168">
        <v>3.3</v>
      </c>
      <c r="B168">
        <v>0.90210000000000001</v>
      </c>
      <c r="C168">
        <v>2.2929999999999999E-2</v>
      </c>
      <c r="D168">
        <v>1.9310000000000001E-2</v>
      </c>
      <c r="E168">
        <v>-2.9600000000000001E-2</v>
      </c>
      <c r="F168">
        <v>8.8000000000000005E-3</v>
      </c>
      <c r="G168">
        <v>0.05</v>
      </c>
      <c r="H168">
        <v>-3.1084000000000001</v>
      </c>
      <c r="I168">
        <v>0</v>
      </c>
      <c r="J168">
        <v>0</v>
      </c>
      <c r="K168">
        <v>0</v>
      </c>
      <c r="L168">
        <v>0.28079999999999999</v>
      </c>
    </row>
    <row r="169" spans="1:12" x14ac:dyDescent="0.35">
      <c r="A169">
        <v>3.35</v>
      </c>
      <c r="B169">
        <v>0.90290000000000004</v>
      </c>
      <c r="C169">
        <v>2.3709999999999998E-2</v>
      </c>
      <c r="D169">
        <v>2.0150000000000001E-2</v>
      </c>
      <c r="E169">
        <v>-2.87E-2</v>
      </c>
      <c r="F169">
        <v>8.6E-3</v>
      </c>
      <c r="G169">
        <v>0.05</v>
      </c>
      <c r="H169">
        <v>-3.1488</v>
      </c>
      <c r="I169">
        <v>0</v>
      </c>
      <c r="J169">
        <v>0</v>
      </c>
      <c r="K169">
        <v>0</v>
      </c>
      <c r="L169">
        <v>0.2797</v>
      </c>
    </row>
    <row r="170" spans="1:12" x14ac:dyDescent="0.35">
      <c r="A170">
        <v>3.4</v>
      </c>
      <c r="B170">
        <v>0.90259999999999996</v>
      </c>
      <c r="C170">
        <v>2.4539999999999999E-2</v>
      </c>
      <c r="D170">
        <v>2.103E-2</v>
      </c>
      <c r="E170">
        <v>-2.7699999999999999E-2</v>
      </c>
      <c r="F170">
        <v>8.3999999999999995E-3</v>
      </c>
      <c r="G170">
        <v>0.05</v>
      </c>
      <c r="H170">
        <v>-3.1928999999999998</v>
      </c>
      <c r="I170">
        <v>0</v>
      </c>
      <c r="J170">
        <v>0</v>
      </c>
      <c r="K170">
        <v>0</v>
      </c>
      <c r="L170">
        <v>0.27860000000000001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77C3C-A8DB-4596-9F61-9557BE85BEA8}">
  <sheetPr codeName="Sheet31"/>
  <dimension ref="A1:L201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-5</v>
      </c>
      <c r="B2">
        <v>-0.3826</v>
      </c>
      <c r="C2">
        <v>6.0539999999999997E-2</v>
      </c>
      <c r="D2">
        <v>5.697E-2</v>
      </c>
      <c r="E2">
        <v>-4.9500000000000002E-2</v>
      </c>
      <c r="F2">
        <v>0.05</v>
      </c>
      <c r="G2">
        <v>2.5999999999999999E-3</v>
      </c>
      <c r="H2">
        <v>-2.4384000000000001</v>
      </c>
      <c r="I2">
        <v>0</v>
      </c>
      <c r="J2">
        <v>0</v>
      </c>
      <c r="K2">
        <v>0</v>
      </c>
      <c r="L2">
        <v>0.1178</v>
      </c>
    </row>
    <row r="3" spans="1:12" x14ac:dyDescent="0.35">
      <c r="A3">
        <v>-4.95</v>
      </c>
      <c r="B3">
        <v>-0.38090000000000002</v>
      </c>
      <c r="C3">
        <v>5.969E-2</v>
      </c>
      <c r="D3">
        <v>5.6120000000000003E-2</v>
      </c>
      <c r="E3">
        <v>-5.0099999999999999E-2</v>
      </c>
      <c r="F3">
        <v>0.05</v>
      </c>
      <c r="G3">
        <v>2.5999999999999999E-3</v>
      </c>
      <c r="H3">
        <v>-2.4411999999999998</v>
      </c>
      <c r="I3">
        <v>0</v>
      </c>
      <c r="J3">
        <v>0</v>
      </c>
      <c r="K3">
        <v>0</v>
      </c>
      <c r="L3">
        <v>0.11559999999999999</v>
      </c>
    </row>
    <row r="4" spans="1:12" x14ac:dyDescent="0.35">
      <c r="A4">
        <v>-4.9000000000000004</v>
      </c>
      <c r="B4">
        <v>-0.37930000000000003</v>
      </c>
      <c r="C4">
        <v>5.885E-2</v>
      </c>
      <c r="D4">
        <v>5.5280000000000003E-2</v>
      </c>
      <c r="E4">
        <v>-5.0700000000000002E-2</v>
      </c>
      <c r="F4">
        <v>0.05</v>
      </c>
      <c r="G4">
        <v>2.7000000000000001E-3</v>
      </c>
      <c r="H4">
        <v>-2.444</v>
      </c>
      <c r="I4">
        <v>0</v>
      </c>
      <c r="J4">
        <v>0</v>
      </c>
      <c r="K4">
        <v>0</v>
      </c>
      <c r="L4">
        <v>0.1134</v>
      </c>
    </row>
    <row r="5" spans="1:12" x14ac:dyDescent="0.35">
      <c r="A5">
        <v>-4.8499999999999996</v>
      </c>
      <c r="B5">
        <v>-0.37759999999999999</v>
      </c>
      <c r="C5">
        <v>5.8000000000000003E-2</v>
      </c>
      <c r="D5">
        <v>5.4429999999999999E-2</v>
      </c>
      <c r="E5">
        <v>-5.1400000000000001E-2</v>
      </c>
      <c r="F5">
        <v>0.05</v>
      </c>
      <c r="G5">
        <v>2.7000000000000001E-3</v>
      </c>
      <c r="H5">
        <v>-2.4470000000000001</v>
      </c>
      <c r="I5">
        <v>0</v>
      </c>
      <c r="J5">
        <v>0</v>
      </c>
      <c r="K5">
        <v>0</v>
      </c>
      <c r="L5">
        <v>0.1111</v>
      </c>
    </row>
    <row r="6" spans="1:12" x14ac:dyDescent="0.35">
      <c r="A6">
        <v>-4.8</v>
      </c>
      <c r="B6">
        <v>-0.376</v>
      </c>
      <c r="C6">
        <v>5.7149999999999999E-2</v>
      </c>
      <c r="D6">
        <v>5.3589999999999999E-2</v>
      </c>
      <c r="E6">
        <v>-5.1999999999999998E-2</v>
      </c>
      <c r="F6">
        <v>0.05</v>
      </c>
      <c r="G6">
        <v>2.7000000000000001E-3</v>
      </c>
      <c r="H6">
        <v>-2.4500999999999999</v>
      </c>
      <c r="I6">
        <v>0</v>
      </c>
      <c r="J6">
        <v>0</v>
      </c>
      <c r="K6">
        <v>0</v>
      </c>
      <c r="L6">
        <v>0.1089</v>
      </c>
    </row>
    <row r="7" spans="1:12" x14ac:dyDescent="0.35">
      <c r="A7">
        <v>-4.75</v>
      </c>
      <c r="B7">
        <v>-0.3745</v>
      </c>
      <c r="C7">
        <v>5.6309999999999999E-2</v>
      </c>
      <c r="D7">
        <v>5.2740000000000002E-2</v>
      </c>
      <c r="E7">
        <v>-5.2699999999999997E-2</v>
      </c>
      <c r="F7">
        <v>0.05</v>
      </c>
      <c r="G7">
        <v>2.7000000000000001E-3</v>
      </c>
      <c r="H7">
        <v>-2.4535</v>
      </c>
      <c r="I7">
        <v>0</v>
      </c>
      <c r="J7">
        <v>0</v>
      </c>
      <c r="K7">
        <v>0</v>
      </c>
      <c r="L7">
        <v>0.1065</v>
      </c>
    </row>
    <row r="8" spans="1:12" x14ac:dyDescent="0.35">
      <c r="A8">
        <v>-4.7</v>
      </c>
      <c r="B8">
        <v>-0.37290000000000001</v>
      </c>
      <c r="C8">
        <v>5.5460000000000002E-2</v>
      </c>
      <c r="D8">
        <v>5.1900000000000002E-2</v>
      </c>
      <c r="E8">
        <v>-5.3400000000000003E-2</v>
      </c>
      <c r="F8">
        <v>0.05</v>
      </c>
      <c r="G8">
        <v>2.7000000000000001E-3</v>
      </c>
      <c r="H8">
        <v>-2.4569999999999999</v>
      </c>
      <c r="I8">
        <v>0</v>
      </c>
      <c r="J8">
        <v>0</v>
      </c>
      <c r="K8">
        <v>0</v>
      </c>
      <c r="L8">
        <v>0.1042</v>
      </c>
    </row>
    <row r="9" spans="1:12" x14ac:dyDescent="0.35">
      <c r="A9">
        <v>-4.6500000000000004</v>
      </c>
      <c r="B9">
        <v>-0.37140000000000001</v>
      </c>
      <c r="C9">
        <v>5.4600000000000003E-2</v>
      </c>
      <c r="D9">
        <v>5.1049999999999998E-2</v>
      </c>
      <c r="E9">
        <v>-5.4100000000000002E-2</v>
      </c>
      <c r="F9">
        <v>0.05</v>
      </c>
      <c r="G9">
        <v>2.8E-3</v>
      </c>
      <c r="H9">
        <v>-2.4609000000000001</v>
      </c>
      <c r="I9">
        <v>0</v>
      </c>
      <c r="J9">
        <v>0</v>
      </c>
      <c r="K9">
        <v>0</v>
      </c>
      <c r="L9">
        <v>0.1017</v>
      </c>
    </row>
    <row r="10" spans="1:12" x14ac:dyDescent="0.35">
      <c r="A10">
        <v>-4.5999999999999996</v>
      </c>
      <c r="B10">
        <v>-0.36990000000000001</v>
      </c>
      <c r="C10">
        <v>5.3749999999999999E-2</v>
      </c>
      <c r="D10">
        <v>5.0200000000000002E-2</v>
      </c>
      <c r="E10">
        <v>-5.4800000000000001E-2</v>
      </c>
      <c r="F10">
        <v>0.05</v>
      </c>
      <c r="G10">
        <v>2.8E-3</v>
      </c>
      <c r="H10">
        <v>-2.4649000000000001</v>
      </c>
      <c r="I10">
        <v>0</v>
      </c>
      <c r="J10">
        <v>0</v>
      </c>
      <c r="K10">
        <v>0</v>
      </c>
      <c r="L10">
        <v>9.9299999999999999E-2</v>
      </c>
    </row>
    <row r="11" spans="1:12" x14ac:dyDescent="0.35">
      <c r="A11">
        <v>-4.55</v>
      </c>
      <c r="B11">
        <v>-0.36849999999999999</v>
      </c>
      <c r="C11">
        <v>5.289E-2</v>
      </c>
      <c r="D11">
        <v>4.9340000000000002E-2</v>
      </c>
      <c r="E11">
        <v>-5.5500000000000001E-2</v>
      </c>
      <c r="F11">
        <v>0.05</v>
      </c>
      <c r="G11">
        <v>2.8E-3</v>
      </c>
      <c r="H11">
        <v>-2.4693000000000001</v>
      </c>
      <c r="I11">
        <v>0</v>
      </c>
      <c r="J11">
        <v>0</v>
      </c>
      <c r="K11">
        <v>0</v>
      </c>
      <c r="L11">
        <v>9.6699999999999994E-2</v>
      </c>
    </row>
    <row r="12" spans="1:12" x14ac:dyDescent="0.35">
      <c r="A12">
        <v>-4.5</v>
      </c>
      <c r="B12">
        <v>-0.36720000000000003</v>
      </c>
      <c r="C12">
        <v>5.203E-2</v>
      </c>
      <c r="D12">
        <v>4.8489999999999998E-2</v>
      </c>
      <c r="E12">
        <v>-5.6300000000000003E-2</v>
      </c>
      <c r="F12">
        <v>0.05</v>
      </c>
      <c r="G12">
        <v>2.8E-3</v>
      </c>
      <c r="H12">
        <v>-2.4740000000000002</v>
      </c>
      <c r="I12">
        <v>0</v>
      </c>
      <c r="J12">
        <v>0</v>
      </c>
      <c r="K12">
        <v>0</v>
      </c>
      <c r="L12">
        <v>9.4200000000000006E-2</v>
      </c>
    </row>
    <row r="13" spans="1:12" x14ac:dyDescent="0.35">
      <c r="A13">
        <v>-4.45</v>
      </c>
      <c r="B13">
        <v>-0.3659</v>
      </c>
      <c r="C13">
        <v>5.117E-2</v>
      </c>
      <c r="D13">
        <v>4.7629999999999999E-2</v>
      </c>
      <c r="E13">
        <v>-5.7099999999999998E-2</v>
      </c>
      <c r="F13">
        <v>0.05</v>
      </c>
      <c r="G13">
        <v>2.8999999999999998E-3</v>
      </c>
      <c r="H13">
        <v>-2.4790000000000001</v>
      </c>
      <c r="I13">
        <v>0</v>
      </c>
      <c r="J13">
        <v>0</v>
      </c>
      <c r="K13">
        <v>0</v>
      </c>
      <c r="L13">
        <v>9.1499999999999998E-2</v>
      </c>
    </row>
    <row r="14" spans="1:12" x14ac:dyDescent="0.35">
      <c r="A14">
        <v>-4.4000000000000004</v>
      </c>
      <c r="B14">
        <v>-0.36470000000000002</v>
      </c>
      <c r="C14">
        <v>5.0299999999999997E-2</v>
      </c>
      <c r="D14">
        <v>4.6769999999999999E-2</v>
      </c>
      <c r="E14">
        <v>-5.79E-2</v>
      </c>
      <c r="F14">
        <v>0.05</v>
      </c>
      <c r="G14">
        <v>2.8999999999999998E-3</v>
      </c>
      <c r="H14">
        <v>-2.4843999999999999</v>
      </c>
      <c r="I14">
        <v>0</v>
      </c>
      <c r="J14">
        <v>0</v>
      </c>
      <c r="K14">
        <v>0</v>
      </c>
      <c r="L14">
        <v>8.8800000000000004E-2</v>
      </c>
    </row>
    <row r="15" spans="1:12" x14ac:dyDescent="0.35">
      <c r="A15">
        <v>-4.3499999999999996</v>
      </c>
      <c r="B15">
        <v>-0.36370000000000002</v>
      </c>
      <c r="C15">
        <v>4.9439999999999998E-2</v>
      </c>
      <c r="D15">
        <v>4.5900000000000003E-2</v>
      </c>
      <c r="E15">
        <v>-5.8700000000000002E-2</v>
      </c>
      <c r="F15">
        <v>0.05</v>
      </c>
      <c r="G15">
        <v>2.8999999999999998E-3</v>
      </c>
      <c r="H15">
        <v>-2.4903</v>
      </c>
      <c r="I15">
        <v>0</v>
      </c>
      <c r="J15">
        <v>0</v>
      </c>
      <c r="K15">
        <v>0</v>
      </c>
      <c r="L15">
        <v>8.6099999999999996E-2</v>
      </c>
    </row>
    <row r="16" spans="1:12" x14ac:dyDescent="0.35">
      <c r="A16">
        <v>-4.3</v>
      </c>
      <c r="B16">
        <v>-0.3629</v>
      </c>
      <c r="C16">
        <v>4.8570000000000002E-2</v>
      </c>
      <c r="D16">
        <v>4.505E-2</v>
      </c>
      <c r="E16">
        <v>-5.96E-2</v>
      </c>
      <c r="F16">
        <v>0.05</v>
      </c>
      <c r="G16">
        <v>3.0000000000000001E-3</v>
      </c>
      <c r="H16">
        <v>-2.4965999999999999</v>
      </c>
      <c r="I16">
        <v>0</v>
      </c>
      <c r="J16">
        <v>0</v>
      </c>
      <c r="K16">
        <v>0</v>
      </c>
      <c r="L16">
        <v>8.3400000000000002E-2</v>
      </c>
    </row>
    <row r="17" spans="1:12" x14ac:dyDescent="0.35">
      <c r="A17">
        <v>-4.25</v>
      </c>
      <c r="B17">
        <v>-0.36270000000000002</v>
      </c>
      <c r="C17">
        <v>4.7739999999999998E-2</v>
      </c>
      <c r="D17">
        <v>4.4220000000000002E-2</v>
      </c>
      <c r="E17">
        <v>-6.0400000000000002E-2</v>
      </c>
      <c r="F17">
        <v>0.05</v>
      </c>
      <c r="G17">
        <v>3.0000000000000001E-3</v>
      </c>
      <c r="H17">
        <v>-2.5034999999999998</v>
      </c>
      <c r="I17">
        <v>0</v>
      </c>
      <c r="J17">
        <v>0</v>
      </c>
      <c r="K17">
        <v>0</v>
      </c>
      <c r="L17">
        <v>8.1000000000000003E-2</v>
      </c>
    </row>
    <row r="18" spans="1:12" x14ac:dyDescent="0.35">
      <c r="A18">
        <v>-4.2</v>
      </c>
      <c r="B18">
        <v>-0.36259999999999998</v>
      </c>
      <c r="C18">
        <v>4.691E-2</v>
      </c>
      <c r="D18">
        <v>4.3389999999999998E-2</v>
      </c>
      <c r="E18">
        <v>-6.1400000000000003E-2</v>
      </c>
      <c r="F18">
        <v>0.05</v>
      </c>
      <c r="G18">
        <v>3.0999999999999999E-3</v>
      </c>
      <c r="H18">
        <v>-2.5110000000000001</v>
      </c>
      <c r="I18">
        <v>0</v>
      </c>
      <c r="J18">
        <v>0</v>
      </c>
      <c r="K18">
        <v>0</v>
      </c>
      <c r="L18">
        <v>7.8200000000000006E-2</v>
      </c>
    </row>
    <row r="19" spans="1:12" x14ac:dyDescent="0.35">
      <c r="A19">
        <v>-4.1500000000000004</v>
      </c>
      <c r="B19">
        <v>-0.36159999999999998</v>
      </c>
      <c r="C19">
        <v>4.5969999999999997E-2</v>
      </c>
      <c r="D19">
        <v>4.2459999999999998E-2</v>
      </c>
      <c r="E19">
        <v>-6.2899999999999998E-2</v>
      </c>
      <c r="F19">
        <v>0.05</v>
      </c>
      <c r="G19">
        <v>3.0999999999999999E-3</v>
      </c>
      <c r="H19">
        <v>-2.5190999999999999</v>
      </c>
      <c r="I19">
        <v>0</v>
      </c>
      <c r="J19">
        <v>0</v>
      </c>
      <c r="K19">
        <v>0</v>
      </c>
      <c r="L19">
        <v>7.3800000000000004E-2</v>
      </c>
    </row>
    <row r="20" spans="1:12" x14ac:dyDescent="0.35">
      <c r="A20">
        <v>-4.0999999999999996</v>
      </c>
      <c r="B20">
        <v>-0.3599</v>
      </c>
      <c r="C20">
        <v>4.5019999999999998E-2</v>
      </c>
      <c r="D20">
        <v>4.1489999999999999E-2</v>
      </c>
      <c r="E20">
        <v>-6.4299999999999996E-2</v>
      </c>
      <c r="F20">
        <v>0.05</v>
      </c>
      <c r="G20">
        <v>3.2000000000000002E-3</v>
      </c>
      <c r="H20">
        <v>-2.5270000000000001</v>
      </c>
      <c r="I20">
        <v>0</v>
      </c>
      <c r="J20">
        <v>0</v>
      </c>
      <c r="K20">
        <v>0</v>
      </c>
      <c r="L20">
        <v>6.9000000000000006E-2</v>
      </c>
    </row>
    <row r="21" spans="1:12" x14ac:dyDescent="0.35">
      <c r="A21">
        <v>-4.05</v>
      </c>
      <c r="B21">
        <v>-0.35820000000000002</v>
      </c>
      <c r="C21">
        <v>4.4110000000000003E-2</v>
      </c>
      <c r="D21">
        <v>4.0579999999999998E-2</v>
      </c>
      <c r="E21">
        <v>-6.54E-2</v>
      </c>
      <c r="F21">
        <v>0.05</v>
      </c>
      <c r="G21">
        <v>3.2000000000000002E-3</v>
      </c>
      <c r="H21">
        <v>-2.5341999999999998</v>
      </c>
      <c r="I21">
        <v>0</v>
      </c>
      <c r="J21">
        <v>0</v>
      </c>
      <c r="K21">
        <v>0</v>
      </c>
      <c r="L21">
        <v>6.5100000000000005E-2</v>
      </c>
    </row>
    <row r="22" spans="1:12" x14ac:dyDescent="0.35">
      <c r="A22">
        <v>-4</v>
      </c>
      <c r="B22">
        <v>-0.35639999999999999</v>
      </c>
      <c r="C22">
        <v>4.3229999999999998E-2</v>
      </c>
      <c r="D22">
        <v>3.9690000000000003E-2</v>
      </c>
      <c r="E22">
        <v>-6.6400000000000001E-2</v>
      </c>
      <c r="F22">
        <v>0.05</v>
      </c>
      <c r="G22">
        <v>3.3E-3</v>
      </c>
      <c r="H22">
        <v>-2.5411000000000001</v>
      </c>
      <c r="I22">
        <v>0</v>
      </c>
      <c r="J22">
        <v>0</v>
      </c>
      <c r="K22">
        <v>0</v>
      </c>
      <c r="L22">
        <v>6.1499999999999999E-2</v>
      </c>
    </row>
    <row r="23" spans="1:12" x14ac:dyDescent="0.35">
      <c r="A23">
        <v>-3.95</v>
      </c>
      <c r="B23">
        <v>-0.35470000000000002</v>
      </c>
      <c r="C23">
        <v>4.2349999999999999E-2</v>
      </c>
      <c r="D23">
        <v>3.8809999999999997E-2</v>
      </c>
      <c r="E23">
        <v>-6.7299999999999999E-2</v>
      </c>
      <c r="F23">
        <v>0.05</v>
      </c>
      <c r="G23">
        <v>3.3E-3</v>
      </c>
      <c r="H23">
        <v>-2.548</v>
      </c>
      <c r="I23">
        <v>0</v>
      </c>
      <c r="J23">
        <v>0</v>
      </c>
      <c r="K23">
        <v>0</v>
      </c>
      <c r="L23">
        <v>5.8000000000000003E-2</v>
      </c>
    </row>
    <row r="24" spans="1:12" x14ac:dyDescent="0.35">
      <c r="A24">
        <v>-3.9</v>
      </c>
      <c r="B24">
        <v>-0.3528</v>
      </c>
      <c r="C24">
        <v>4.1480000000000003E-2</v>
      </c>
      <c r="D24">
        <v>3.7929999999999998E-2</v>
      </c>
      <c r="E24">
        <v>-6.8199999999999997E-2</v>
      </c>
      <c r="F24">
        <v>0.05</v>
      </c>
      <c r="G24">
        <v>3.3999999999999998E-3</v>
      </c>
      <c r="H24">
        <v>-2.5548000000000002</v>
      </c>
      <c r="I24">
        <v>0</v>
      </c>
      <c r="J24">
        <v>0</v>
      </c>
      <c r="K24">
        <v>0</v>
      </c>
      <c r="L24">
        <v>5.45E-2</v>
      </c>
    </row>
    <row r="25" spans="1:12" x14ac:dyDescent="0.35">
      <c r="A25">
        <v>-3.85</v>
      </c>
      <c r="B25">
        <v>-0.35089999999999999</v>
      </c>
      <c r="C25">
        <v>4.0620000000000003E-2</v>
      </c>
      <c r="D25">
        <v>3.705E-2</v>
      </c>
      <c r="E25">
        <v>-6.9099999999999995E-2</v>
      </c>
      <c r="F25">
        <v>0.05</v>
      </c>
      <c r="G25">
        <v>3.5000000000000001E-3</v>
      </c>
      <c r="H25">
        <v>-2.5613000000000001</v>
      </c>
      <c r="I25">
        <v>0</v>
      </c>
      <c r="J25">
        <v>0</v>
      </c>
      <c r="K25">
        <v>0</v>
      </c>
      <c r="L25">
        <v>5.0999999999999997E-2</v>
      </c>
    </row>
    <row r="26" spans="1:12" x14ac:dyDescent="0.35">
      <c r="A26">
        <v>-3.8</v>
      </c>
      <c r="B26">
        <v>-0.34899999999999998</v>
      </c>
      <c r="C26">
        <v>3.9759999999999997E-2</v>
      </c>
      <c r="D26">
        <v>3.6179999999999997E-2</v>
      </c>
      <c r="E26">
        <v>-6.9900000000000004E-2</v>
      </c>
      <c r="F26">
        <v>0.05</v>
      </c>
      <c r="G26">
        <v>3.5000000000000001E-3</v>
      </c>
      <c r="H26">
        <v>-2.5676000000000001</v>
      </c>
      <c r="I26">
        <v>0</v>
      </c>
      <c r="J26">
        <v>0</v>
      </c>
      <c r="K26">
        <v>0</v>
      </c>
      <c r="L26">
        <v>4.7500000000000001E-2</v>
      </c>
    </row>
    <row r="27" spans="1:12" x14ac:dyDescent="0.35">
      <c r="A27">
        <v>-3.75</v>
      </c>
      <c r="B27">
        <v>-0.34699999999999998</v>
      </c>
      <c r="C27">
        <v>3.8899999999999997E-2</v>
      </c>
      <c r="D27">
        <v>3.5319999999999997E-2</v>
      </c>
      <c r="E27">
        <v>-7.0699999999999999E-2</v>
      </c>
      <c r="F27">
        <v>0.05</v>
      </c>
      <c r="G27">
        <v>3.5999999999999999E-3</v>
      </c>
      <c r="H27">
        <v>-2.5735999999999999</v>
      </c>
      <c r="I27">
        <v>0</v>
      </c>
      <c r="J27">
        <v>0</v>
      </c>
      <c r="K27">
        <v>0</v>
      </c>
      <c r="L27">
        <v>4.41E-2</v>
      </c>
    </row>
    <row r="28" spans="1:12" x14ac:dyDescent="0.35">
      <c r="A28">
        <v>-3.7</v>
      </c>
      <c r="B28">
        <v>-0.34489999999999998</v>
      </c>
      <c r="C28">
        <v>3.805E-2</v>
      </c>
      <c r="D28">
        <v>3.4450000000000001E-2</v>
      </c>
      <c r="E28">
        <v>-7.1499999999999994E-2</v>
      </c>
      <c r="F28">
        <v>0.05</v>
      </c>
      <c r="G28">
        <v>3.7000000000000002E-3</v>
      </c>
      <c r="H28">
        <v>-2.5792000000000002</v>
      </c>
      <c r="I28">
        <v>0</v>
      </c>
      <c r="J28">
        <v>0</v>
      </c>
      <c r="K28">
        <v>0</v>
      </c>
      <c r="L28">
        <v>4.0599999999999997E-2</v>
      </c>
    </row>
    <row r="29" spans="1:12" x14ac:dyDescent="0.35">
      <c r="A29">
        <v>-3.65</v>
      </c>
      <c r="B29">
        <v>-0.3427</v>
      </c>
      <c r="C29">
        <v>3.721E-2</v>
      </c>
      <c r="D29">
        <v>3.3590000000000002E-2</v>
      </c>
      <c r="E29">
        <v>-7.22E-2</v>
      </c>
      <c r="F29">
        <v>0.05</v>
      </c>
      <c r="G29">
        <v>3.8E-3</v>
      </c>
      <c r="H29">
        <v>-2.5842999999999998</v>
      </c>
      <c r="I29">
        <v>0</v>
      </c>
      <c r="J29">
        <v>0</v>
      </c>
      <c r="K29">
        <v>0</v>
      </c>
      <c r="L29">
        <v>3.7100000000000001E-2</v>
      </c>
    </row>
    <row r="30" spans="1:12" x14ac:dyDescent="0.35">
      <c r="A30">
        <v>-3.6</v>
      </c>
      <c r="B30">
        <v>-0.34039999999999998</v>
      </c>
      <c r="C30">
        <v>3.637E-2</v>
      </c>
      <c r="D30">
        <v>3.2739999999999998E-2</v>
      </c>
      <c r="E30">
        <v>-7.2900000000000006E-2</v>
      </c>
      <c r="F30">
        <v>0.05</v>
      </c>
      <c r="G30">
        <v>3.8999999999999998E-3</v>
      </c>
      <c r="H30">
        <v>-2.5888</v>
      </c>
      <c r="I30">
        <v>0</v>
      </c>
      <c r="J30">
        <v>0</v>
      </c>
      <c r="K30">
        <v>0</v>
      </c>
      <c r="L30">
        <v>3.3599999999999998E-2</v>
      </c>
    </row>
    <row r="31" spans="1:12" x14ac:dyDescent="0.35">
      <c r="A31">
        <v>-3.55</v>
      </c>
      <c r="B31">
        <v>-0.33800000000000002</v>
      </c>
      <c r="C31">
        <v>3.5529999999999999E-2</v>
      </c>
      <c r="D31">
        <v>3.1879999999999999E-2</v>
      </c>
      <c r="E31">
        <v>-7.3599999999999999E-2</v>
      </c>
      <c r="F31">
        <v>0.05</v>
      </c>
      <c r="G31">
        <v>3.8999999999999998E-3</v>
      </c>
      <c r="H31">
        <v>-2.5926</v>
      </c>
      <c r="I31">
        <v>0</v>
      </c>
      <c r="J31">
        <v>0</v>
      </c>
      <c r="K31">
        <v>0</v>
      </c>
      <c r="L31">
        <v>3.0099999999999998E-2</v>
      </c>
    </row>
    <row r="32" spans="1:12" x14ac:dyDescent="0.35">
      <c r="A32">
        <v>-3.5</v>
      </c>
      <c r="B32">
        <v>-0.33539999999999998</v>
      </c>
      <c r="C32">
        <v>3.4689999999999999E-2</v>
      </c>
      <c r="D32">
        <v>3.1029999999999999E-2</v>
      </c>
      <c r="E32">
        <v>-7.4300000000000005E-2</v>
      </c>
      <c r="F32">
        <v>0.05</v>
      </c>
      <c r="G32">
        <v>4.0000000000000001E-3</v>
      </c>
      <c r="H32">
        <v>-2.5954000000000002</v>
      </c>
      <c r="I32">
        <v>0</v>
      </c>
      <c r="J32">
        <v>0</v>
      </c>
      <c r="K32">
        <v>0</v>
      </c>
      <c r="L32">
        <v>2.6499999999999999E-2</v>
      </c>
    </row>
    <row r="33" spans="1:12" x14ac:dyDescent="0.35">
      <c r="A33">
        <v>-3.45</v>
      </c>
      <c r="B33">
        <v>-0.3327</v>
      </c>
      <c r="C33">
        <v>3.3860000000000001E-2</v>
      </c>
      <c r="D33">
        <v>3.0179999999999998E-2</v>
      </c>
      <c r="E33">
        <v>-7.4899999999999994E-2</v>
      </c>
      <c r="F33">
        <v>0.05</v>
      </c>
      <c r="G33">
        <v>4.1000000000000003E-3</v>
      </c>
      <c r="H33">
        <v>-2.5973000000000002</v>
      </c>
      <c r="I33">
        <v>0</v>
      </c>
      <c r="J33">
        <v>0</v>
      </c>
      <c r="K33">
        <v>0</v>
      </c>
      <c r="L33">
        <v>2.29E-2</v>
      </c>
    </row>
    <row r="34" spans="1:12" x14ac:dyDescent="0.35">
      <c r="A34">
        <v>-3.4</v>
      </c>
      <c r="B34">
        <v>-0.32979999999999998</v>
      </c>
      <c r="C34">
        <v>3.304E-2</v>
      </c>
      <c r="D34">
        <v>2.9329999999999998E-2</v>
      </c>
      <c r="E34">
        <v>-7.5499999999999998E-2</v>
      </c>
      <c r="F34">
        <v>0.05</v>
      </c>
      <c r="G34">
        <v>4.1999999999999997E-3</v>
      </c>
      <c r="H34">
        <v>-2.5977999999999999</v>
      </c>
      <c r="I34">
        <v>0</v>
      </c>
      <c r="J34">
        <v>0</v>
      </c>
      <c r="K34">
        <v>0</v>
      </c>
      <c r="L34">
        <v>1.9199999999999998E-2</v>
      </c>
    </row>
    <row r="35" spans="1:12" x14ac:dyDescent="0.35">
      <c r="A35">
        <v>-3.35</v>
      </c>
      <c r="B35">
        <v>-0.32679999999999998</v>
      </c>
      <c r="C35">
        <v>3.2210000000000003E-2</v>
      </c>
      <c r="D35">
        <v>2.8479999999999998E-2</v>
      </c>
      <c r="E35">
        <v>-7.5999999999999998E-2</v>
      </c>
      <c r="F35">
        <v>0.05</v>
      </c>
      <c r="G35">
        <v>4.4000000000000003E-3</v>
      </c>
      <c r="H35">
        <v>-2.5973000000000002</v>
      </c>
      <c r="I35">
        <v>0</v>
      </c>
      <c r="J35">
        <v>0</v>
      </c>
      <c r="K35">
        <v>0</v>
      </c>
      <c r="L35">
        <v>1.54E-2</v>
      </c>
    </row>
    <row r="36" spans="1:12" x14ac:dyDescent="0.35">
      <c r="A36">
        <v>-3.3</v>
      </c>
      <c r="B36">
        <v>-0.3236</v>
      </c>
      <c r="C36">
        <v>3.1390000000000001E-2</v>
      </c>
      <c r="D36">
        <v>2.7629999999999998E-2</v>
      </c>
      <c r="E36">
        <v>-7.6499999999999999E-2</v>
      </c>
      <c r="F36">
        <v>0.05</v>
      </c>
      <c r="G36">
        <v>4.5999999999999999E-3</v>
      </c>
      <c r="H36">
        <v>-2.5966999999999998</v>
      </c>
      <c r="I36">
        <v>0</v>
      </c>
      <c r="J36">
        <v>0</v>
      </c>
      <c r="K36">
        <v>0</v>
      </c>
      <c r="L36">
        <v>1.15E-2</v>
      </c>
    </row>
    <row r="37" spans="1:12" x14ac:dyDescent="0.35">
      <c r="A37">
        <v>-3.25</v>
      </c>
      <c r="B37">
        <v>-0.32019999999999998</v>
      </c>
      <c r="C37">
        <v>3.057E-2</v>
      </c>
      <c r="D37">
        <v>2.6780000000000002E-2</v>
      </c>
      <c r="E37">
        <v>-7.6999999999999999E-2</v>
      </c>
      <c r="F37">
        <v>0.05</v>
      </c>
      <c r="G37">
        <v>4.7999999999999996E-3</v>
      </c>
      <c r="H37">
        <v>-2.5956999999999999</v>
      </c>
      <c r="I37">
        <v>0</v>
      </c>
      <c r="J37">
        <v>0</v>
      </c>
      <c r="K37">
        <v>0</v>
      </c>
      <c r="L37">
        <v>7.4999999999999997E-3</v>
      </c>
    </row>
    <row r="38" spans="1:12" x14ac:dyDescent="0.35">
      <c r="A38">
        <v>-3.2</v>
      </c>
      <c r="B38">
        <v>-0.3165</v>
      </c>
      <c r="C38">
        <v>2.9749999999999999E-2</v>
      </c>
      <c r="D38">
        <v>2.5930000000000002E-2</v>
      </c>
      <c r="E38">
        <v>-7.7399999999999997E-2</v>
      </c>
      <c r="F38">
        <v>0.05</v>
      </c>
      <c r="G38">
        <v>4.8999999999999998E-3</v>
      </c>
      <c r="H38">
        <v>-2.59</v>
      </c>
      <c r="I38">
        <v>0</v>
      </c>
      <c r="J38">
        <v>0</v>
      </c>
      <c r="K38">
        <v>0</v>
      </c>
      <c r="L38">
        <v>3.3999999999999998E-3</v>
      </c>
    </row>
    <row r="39" spans="1:12" x14ac:dyDescent="0.35">
      <c r="A39">
        <v>-3.15</v>
      </c>
      <c r="B39">
        <v>-0.31259999999999999</v>
      </c>
      <c r="C39">
        <v>2.894E-2</v>
      </c>
      <c r="D39">
        <v>2.5090000000000001E-2</v>
      </c>
      <c r="E39">
        <v>-7.7799999999999994E-2</v>
      </c>
      <c r="F39">
        <v>0.05</v>
      </c>
      <c r="G39">
        <v>4.8999999999999998E-3</v>
      </c>
      <c r="H39">
        <v>-2.5785</v>
      </c>
      <c r="I39">
        <v>0</v>
      </c>
      <c r="J39">
        <v>0</v>
      </c>
      <c r="K39">
        <v>0</v>
      </c>
      <c r="L39">
        <v>-1E-3</v>
      </c>
    </row>
    <row r="40" spans="1:12" x14ac:dyDescent="0.35">
      <c r="A40">
        <v>-3.1</v>
      </c>
      <c r="B40">
        <v>-0.3085</v>
      </c>
      <c r="C40">
        <v>2.8139999999999998E-2</v>
      </c>
      <c r="D40">
        <v>2.4250000000000001E-2</v>
      </c>
      <c r="E40">
        <v>-7.8200000000000006E-2</v>
      </c>
      <c r="F40">
        <v>0.05</v>
      </c>
      <c r="G40">
        <v>4.8999999999999998E-3</v>
      </c>
      <c r="H40">
        <v>-2.5743</v>
      </c>
      <c r="I40">
        <v>0</v>
      </c>
      <c r="J40">
        <v>0</v>
      </c>
      <c r="K40">
        <v>0</v>
      </c>
      <c r="L40">
        <v>-5.4999999999999997E-3</v>
      </c>
    </row>
    <row r="41" spans="1:12" x14ac:dyDescent="0.35">
      <c r="A41">
        <v>-3.05</v>
      </c>
      <c r="B41">
        <v>-0.30409999999999998</v>
      </c>
      <c r="C41">
        <v>2.7349999999999999E-2</v>
      </c>
      <c r="D41">
        <v>2.342E-2</v>
      </c>
      <c r="E41">
        <v>-7.85E-2</v>
      </c>
      <c r="F41">
        <v>0.05</v>
      </c>
      <c r="G41">
        <v>4.8999999999999998E-3</v>
      </c>
      <c r="H41">
        <v>-2.5872999999999999</v>
      </c>
      <c r="I41">
        <v>0</v>
      </c>
      <c r="J41">
        <v>0</v>
      </c>
      <c r="K41">
        <v>0</v>
      </c>
      <c r="L41">
        <v>-1.0200000000000001E-2</v>
      </c>
    </row>
    <row r="42" spans="1:12" x14ac:dyDescent="0.35">
      <c r="A42">
        <v>-3</v>
      </c>
      <c r="B42">
        <v>-0.2994</v>
      </c>
      <c r="C42">
        <v>2.656E-2</v>
      </c>
      <c r="D42">
        <v>2.2589999999999999E-2</v>
      </c>
      <c r="E42">
        <v>-7.8799999999999995E-2</v>
      </c>
      <c r="F42">
        <v>0.05</v>
      </c>
      <c r="G42">
        <v>4.8999999999999998E-3</v>
      </c>
      <c r="H42">
        <v>-2.6004999999999998</v>
      </c>
      <c r="I42">
        <v>0</v>
      </c>
      <c r="J42">
        <v>0</v>
      </c>
      <c r="K42">
        <v>0</v>
      </c>
      <c r="L42">
        <v>-1.52E-2</v>
      </c>
    </row>
    <row r="43" spans="1:12" x14ac:dyDescent="0.35">
      <c r="A43">
        <v>-2.95</v>
      </c>
      <c r="B43">
        <v>-0.2944</v>
      </c>
      <c r="C43">
        <v>2.5780000000000001E-2</v>
      </c>
      <c r="D43">
        <v>2.1760000000000002E-2</v>
      </c>
      <c r="E43">
        <v>-7.9000000000000001E-2</v>
      </c>
      <c r="F43">
        <v>0.05</v>
      </c>
      <c r="G43">
        <v>4.8999999999999998E-3</v>
      </c>
      <c r="H43">
        <v>-2.6137999999999999</v>
      </c>
      <c r="I43">
        <v>0</v>
      </c>
      <c r="J43">
        <v>0</v>
      </c>
      <c r="K43">
        <v>0</v>
      </c>
      <c r="L43">
        <v>-2.0500000000000001E-2</v>
      </c>
    </row>
    <row r="44" spans="1:12" x14ac:dyDescent="0.35">
      <c r="A44">
        <v>-2.9</v>
      </c>
      <c r="B44">
        <v>-0.28910000000000002</v>
      </c>
      <c r="C44">
        <v>2.5010000000000001E-2</v>
      </c>
      <c r="D44">
        <v>2.094E-2</v>
      </c>
      <c r="E44">
        <v>-7.9200000000000007E-2</v>
      </c>
      <c r="F44">
        <v>0.05</v>
      </c>
      <c r="G44">
        <v>4.8999999999999998E-3</v>
      </c>
      <c r="H44">
        <v>-2.6273</v>
      </c>
      <c r="I44">
        <v>0</v>
      </c>
      <c r="J44">
        <v>0</v>
      </c>
      <c r="K44">
        <v>0</v>
      </c>
      <c r="L44">
        <v>-2.6100000000000002E-2</v>
      </c>
    </row>
    <row r="45" spans="1:12" x14ac:dyDescent="0.35">
      <c r="A45">
        <v>-2.85</v>
      </c>
      <c r="B45">
        <v>-0.28349999999999997</v>
      </c>
      <c r="C45">
        <v>2.4240000000000001E-2</v>
      </c>
      <c r="D45">
        <v>2.0129999999999999E-2</v>
      </c>
      <c r="E45">
        <v>-7.9399999999999998E-2</v>
      </c>
      <c r="F45">
        <v>0.05</v>
      </c>
      <c r="G45">
        <v>4.8999999999999998E-3</v>
      </c>
      <c r="H45">
        <v>-2.6408999999999998</v>
      </c>
      <c r="I45">
        <v>0</v>
      </c>
      <c r="J45">
        <v>0</v>
      </c>
      <c r="K45">
        <v>0</v>
      </c>
      <c r="L45">
        <v>-3.2099999999999997E-2</v>
      </c>
    </row>
    <row r="46" spans="1:12" x14ac:dyDescent="0.35">
      <c r="A46">
        <v>-2.8</v>
      </c>
      <c r="B46">
        <v>-0.27760000000000001</v>
      </c>
      <c r="C46">
        <v>2.349E-2</v>
      </c>
      <c r="D46">
        <v>1.933E-2</v>
      </c>
      <c r="E46">
        <v>-7.9500000000000001E-2</v>
      </c>
      <c r="F46">
        <v>0.05</v>
      </c>
      <c r="G46">
        <v>4.8999999999999998E-3</v>
      </c>
      <c r="H46">
        <v>-2.6545000000000001</v>
      </c>
      <c r="I46">
        <v>0</v>
      </c>
      <c r="J46">
        <v>0</v>
      </c>
      <c r="K46">
        <v>0</v>
      </c>
      <c r="L46">
        <v>-3.8399999999999997E-2</v>
      </c>
    </row>
    <row r="47" spans="1:12" x14ac:dyDescent="0.35">
      <c r="A47">
        <v>-2.75</v>
      </c>
      <c r="B47">
        <v>-0.27139999999999997</v>
      </c>
      <c r="C47">
        <v>2.2749999999999999E-2</v>
      </c>
      <c r="D47">
        <v>1.8530000000000001E-2</v>
      </c>
      <c r="E47">
        <v>-7.9600000000000004E-2</v>
      </c>
      <c r="F47">
        <v>0.05</v>
      </c>
      <c r="G47">
        <v>4.8999999999999998E-3</v>
      </c>
      <c r="H47">
        <v>-2.6680000000000001</v>
      </c>
      <c r="I47">
        <v>0</v>
      </c>
      <c r="J47">
        <v>0</v>
      </c>
      <c r="K47">
        <v>0</v>
      </c>
      <c r="L47">
        <v>-4.53E-2</v>
      </c>
    </row>
    <row r="48" spans="1:12" x14ac:dyDescent="0.35">
      <c r="A48">
        <v>-2.7</v>
      </c>
      <c r="B48">
        <v>-0.26490000000000002</v>
      </c>
      <c r="C48">
        <v>2.2030000000000001E-2</v>
      </c>
      <c r="D48">
        <v>1.7739999999999999E-2</v>
      </c>
      <c r="E48">
        <v>-7.9600000000000004E-2</v>
      </c>
      <c r="F48">
        <v>0.05</v>
      </c>
      <c r="G48">
        <v>4.8999999999999998E-3</v>
      </c>
      <c r="H48">
        <v>-2.6816</v>
      </c>
      <c r="I48">
        <v>0</v>
      </c>
      <c r="J48">
        <v>0</v>
      </c>
      <c r="K48">
        <v>0</v>
      </c>
      <c r="L48">
        <v>-5.2600000000000001E-2</v>
      </c>
    </row>
    <row r="49" spans="1:12" x14ac:dyDescent="0.35">
      <c r="A49">
        <v>-2.65</v>
      </c>
      <c r="B49">
        <v>-0.25800000000000001</v>
      </c>
      <c r="C49">
        <v>2.1309999999999999E-2</v>
      </c>
      <c r="D49">
        <v>1.6969999999999999E-2</v>
      </c>
      <c r="E49">
        <v>-7.9600000000000004E-2</v>
      </c>
      <c r="F49">
        <v>0.05</v>
      </c>
      <c r="G49">
        <v>5.0000000000000001E-3</v>
      </c>
      <c r="H49">
        <v>-2.6951999999999998</v>
      </c>
      <c r="I49">
        <v>0</v>
      </c>
      <c r="J49">
        <v>0</v>
      </c>
      <c r="K49">
        <v>0</v>
      </c>
      <c r="L49">
        <v>-6.0600000000000001E-2</v>
      </c>
    </row>
    <row r="50" spans="1:12" x14ac:dyDescent="0.35">
      <c r="A50">
        <v>-2.6</v>
      </c>
      <c r="B50">
        <v>-0.25090000000000001</v>
      </c>
      <c r="C50">
        <v>2.061E-2</v>
      </c>
      <c r="D50">
        <v>1.6209999999999999E-2</v>
      </c>
      <c r="E50">
        <v>-7.9600000000000004E-2</v>
      </c>
      <c r="F50">
        <v>0.05</v>
      </c>
      <c r="G50">
        <v>5.0000000000000001E-3</v>
      </c>
      <c r="H50">
        <v>-2.7090999999999998</v>
      </c>
      <c r="I50">
        <v>0</v>
      </c>
      <c r="J50">
        <v>0</v>
      </c>
      <c r="K50">
        <v>0</v>
      </c>
      <c r="L50">
        <v>-6.93E-2</v>
      </c>
    </row>
    <row r="51" spans="1:12" x14ac:dyDescent="0.35">
      <c r="A51">
        <v>-2.5499999999999998</v>
      </c>
      <c r="B51">
        <v>-0.24340000000000001</v>
      </c>
      <c r="C51">
        <v>1.992E-2</v>
      </c>
      <c r="D51">
        <v>1.545E-2</v>
      </c>
      <c r="E51">
        <v>-7.9500000000000001E-2</v>
      </c>
      <c r="F51">
        <v>0.05</v>
      </c>
      <c r="G51">
        <v>5.1000000000000004E-3</v>
      </c>
      <c r="H51">
        <v>-2.7238000000000002</v>
      </c>
      <c r="I51">
        <v>0</v>
      </c>
      <c r="J51">
        <v>0</v>
      </c>
      <c r="K51">
        <v>0</v>
      </c>
      <c r="L51">
        <v>-7.8700000000000006E-2</v>
      </c>
    </row>
    <row r="52" spans="1:12" x14ac:dyDescent="0.35">
      <c r="A52">
        <v>-2.5</v>
      </c>
      <c r="B52">
        <v>-0.2356</v>
      </c>
      <c r="C52">
        <v>1.9259999999999999E-2</v>
      </c>
      <c r="D52">
        <v>1.472E-2</v>
      </c>
      <c r="E52">
        <v>-7.9399999999999998E-2</v>
      </c>
      <c r="F52">
        <v>0.05</v>
      </c>
      <c r="G52">
        <v>5.1999999999999998E-3</v>
      </c>
      <c r="H52">
        <v>-2.7299000000000002</v>
      </c>
      <c r="I52">
        <v>0</v>
      </c>
      <c r="J52">
        <v>0</v>
      </c>
      <c r="K52">
        <v>0</v>
      </c>
      <c r="L52">
        <v>-8.8999999999999996E-2</v>
      </c>
    </row>
    <row r="53" spans="1:12" x14ac:dyDescent="0.35">
      <c r="A53">
        <v>-2.4500000000000002</v>
      </c>
      <c r="B53">
        <v>-0.22750000000000001</v>
      </c>
      <c r="C53">
        <v>1.8620000000000001E-2</v>
      </c>
      <c r="D53">
        <v>1.401E-2</v>
      </c>
      <c r="E53">
        <v>-7.9200000000000007E-2</v>
      </c>
      <c r="F53">
        <v>0.05</v>
      </c>
      <c r="G53">
        <v>5.1999999999999998E-3</v>
      </c>
      <c r="H53">
        <v>-2.7250999999999999</v>
      </c>
      <c r="I53">
        <v>0</v>
      </c>
      <c r="J53">
        <v>0</v>
      </c>
      <c r="K53">
        <v>0</v>
      </c>
      <c r="L53">
        <v>-0.1004</v>
      </c>
    </row>
    <row r="54" spans="1:12" x14ac:dyDescent="0.35">
      <c r="A54">
        <v>-2.4</v>
      </c>
      <c r="B54">
        <v>-0.21909999999999999</v>
      </c>
      <c r="C54">
        <v>1.7989999999999999E-2</v>
      </c>
      <c r="D54">
        <v>1.3310000000000001E-2</v>
      </c>
      <c r="E54">
        <v>-7.9100000000000004E-2</v>
      </c>
      <c r="F54">
        <v>0.05</v>
      </c>
      <c r="G54">
        <v>5.3E-3</v>
      </c>
      <c r="H54">
        <v>-2.7197</v>
      </c>
      <c r="I54">
        <v>0</v>
      </c>
      <c r="J54">
        <v>0</v>
      </c>
      <c r="K54">
        <v>0</v>
      </c>
      <c r="L54">
        <v>-0.113</v>
      </c>
    </row>
    <row r="55" spans="1:12" x14ac:dyDescent="0.35">
      <c r="A55">
        <v>-2.35</v>
      </c>
      <c r="B55">
        <v>-0.2104</v>
      </c>
      <c r="C55">
        <v>1.738E-2</v>
      </c>
      <c r="D55">
        <v>1.2630000000000001E-2</v>
      </c>
      <c r="E55">
        <v>-7.8899999999999998E-2</v>
      </c>
      <c r="F55">
        <v>0.05</v>
      </c>
      <c r="G55">
        <v>5.4000000000000003E-3</v>
      </c>
      <c r="H55">
        <v>-2.7139000000000002</v>
      </c>
      <c r="I55">
        <v>0</v>
      </c>
      <c r="J55">
        <v>0</v>
      </c>
      <c r="K55">
        <v>0</v>
      </c>
      <c r="L55">
        <v>-0.127</v>
      </c>
    </row>
    <row r="56" spans="1:12" x14ac:dyDescent="0.35">
      <c r="A56">
        <v>-2.2999999999999998</v>
      </c>
      <c r="B56">
        <v>-0.20150000000000001</v>
      </c>
      <c r="C56">
        <v>1.6789999999999999E-2</v>
      </c>
      <c r="D56">
        <v>1.196E-2</v>
      </c>
      <c r="E56">
        <v>-7.8600000000000003E-2</v>
      </c>
      <c r="F56">
        <v>0.05</v>
      </c>
      <c r="G56">
        <v>5.4999999999999997E-3</v>
      </c>
      <c r="H56">
        <v>-2.7075</v>
      </c>
      <c r="I56">
        <v>0</v>
      </c>
      <c r="J56">
        <v>0</v>
      </c>
      <c r="K56">
        <v>0</v>
      </c>
      <c r="L56">
        <v>-0.1426</v>
      </c>
    </row>
    <row r="57" spans="1:12" x14ac:dyDescent="0.35">
      <c r="A57">
        <v>-2.25</v>
      </c>
      <c r="B57">
        <v>-0.1923</v>
      </c>
      <c r="C57">
        <v>1.6209999999999999E-2</v>
      </c>
      <c r="D57">
        <v>1.1310000000000001E-2</v>
      </c>
      <c r="E57">
        <v>-7.8399999999999997E-2</v>
      </c>
      <c r="F57">
        <v>0.05</v>
      </c>
      <c r="G57">
        <v>5.5999999999999999E-3</v>
      </c>
      <c r="H57">
        <v>-2.7004999999999999</v>
      </c>
      <c r="I57">
        <v>0</v>
      </c>
      <c r="J57">
        <v>0</v>
      </c>
      <c r="K57">
        <v>0</v>
      </c>
      <c r="L57">
        <v>-0.16</v>
      </c>
    </row>
    <row r="58" spans="1:12" x14ac:dyDescent="0.35">
      <c r="A58">
        <v>-2.2000000000000002</v>
      </c>
      <c r="B58">
        <v>-0.18279999999999999</v>
      </c>
      <c r="C58">
        <v>1.5650000000000001E-2</v>
      </c>
      <c r="D58">
        <v>1.0670000000000001E-2</v>
      </c>
      <c r="E58">
        <v>-7.8100000000000003E-2</v>
      </c>
      <c r="F58">
        <v>0.05</v>
      </c>
      <c r="G58">
        <v>5.7999999999999996E-3</v>
      </c>
      <c r="H58">
        <v>-2.6924999999999999</v>
      </c>
      <c r="I58">
        <v>0</v>
      </c>
      <c r="J58">
        <v>0</v>
      </c>
      <c r="K58">
        <v>0</v>
      </c>
      <c r="L58">
        <v>-0.17949999999999999</v>
      </c>
    </row>
    <row r="59" spans="1:12" x14ac:dyDescent="0.35">
      <c r="A59">
        <v>-2.15</v>
      </c>
      <c r="B59">
        <v>-0.17319999999999999</v>
      </c>
      <c r="C59">
        <v>1.511E-2</v>
      </c>
      <c r="D59">
        <v>1.004E-2</v>
      </c>
      <c r="E59">
        <v>-7.7799999999999994E-2</v>
      </c>
      <c r="F59">
        <v>0.05</v>
      </c>
      <c r="G59">
        <v>5.8999999999999999E-3</v>
      </c>
      <c r="H59">
        <v>-2.6831999999999998</v>
      </c>
      <c r="I59">
        <v>0</v>
      </c>
      <c r="J59">
        <v>0</v>
      </c>
      <c r="K59">
        <v>0</v>
      </c>
      <c r="L59">
        <v>-0.20169999999999999</v>
      </c>
    </row>
    <row r="60" spans="1:12" x14ac:dyDescent="0.35">
      <c r="A60">
        <v>-2.1</v>
      </c>
      <c r="B60">
        <v>-0.1633</v>
      </c>
      <c r="C60">
        <v>1.4579999999999999E-2</v>
      </c>
      <c r="D60">
        <v>9.4299999999999991E-3</v>
      </c>
      <c r="E60">
        <v>-7.7499999999999999E-2</v>
      </c>
      <c r="F60">
        <v>0.05</v>
      </c>
      <c r="G60">
        <v>6.1000000000000004E-3</v>
      </c>
      <c r="H60">
        <v>-2.6718999999999999</v>
      </c>
      <c r="I60">
        <v>0</v>
      </c>
      <c r="J60">
        <v>0</v>
      </c>
      <c r="K60">
        <v>0</v>
      </c>
      <c r="L60">
        <v>-0.22700000000000001</v>
      </c>
    </row>
    <row r="61" spans="1:12" x14ac:dyDescent="0.35">
      <c r="A61">
        <v>-2.0499999999999998</v>
      </c>
      <c r="B61">
        <v>-0.1532</v>
      </c>
      <c r="C61">
        <v>1.406E-2</v>
      </c>
      <c r="D61">
        <v>8.8400000000000006E-3</v>
      </c>
      <c r="E61">
        <v>-7.7100000000000002E-2</v>
      </c>
      <c r="F61">
        <v>0.05</v>
      </c>
      <c r="G61">
        <v>6.3E-3</v>
      </c>
      <c r="H61">
        <v>-2.6579000000000002</v>
      </c>
      <c r="I61">
        <v>0</v>
      </c>
      <c r="J61">
        <v>0</v>
      </c>
      <c r="K61">
        <v>0</v>
      </c>
      <c r="L61">
        <v>-0.25590000000000002</v>
      </c>
    </row>
    <row r="62" spans="1:12" x14ac:dyDescent="0.35">
      <c r="A62">
        <v>-2</v>
      </c>
      <c r="B62">
        <v>-0.14299999999999999</v>
      </c>
      <c r="C62">
        <v>1.3559999999999999E-2</v>
      </c>
      <c r="D62">
        <v>8.26E-3</v>
      </c>
      <c r="E62">
        <v>-7.6799999999999993E-2</v>
      </c>
      <c r="F62">
        <v>0.05</v>
      </c>
      <c r="G62">
        <v>6.4999999999999997E-3</v>
      </c>
      <c r="H62">
        <v>-2.6402999999999999</v>
      </c>
      <c r="I62">
        <v>0</v>
      </c>
      <c r="J62">
        <v>0</v>
      </c>
      <c r="K62">
        <v>0</v>
      </c>
      <c r="L62">
        <v>-0.28939999999999999</v>
      </c>
    </row>
    <row r="63" spans="1:12" x14ac:dyDescent="0.35">
      <c r="A63">
        <v>-1.95</v>
      </c>
      <c r="B63">
        <v>-0.13270000000000001</v>
      </c>
      <c r="C63">
        <v>1.308E-2</v>
      </c>
      <c r="D63">
        <v>7.7000000000000002E-3</v>
      </c>
      <c r="E63">
        <v>-7.6399999999999996E-2</v>
      </c>
      <c r="F63">
        <v>0.05</v>
      </c>
      <c r="G63">
        <v>6.7000000000000002E-3</v>
      </c>
      <c r="H63">
        <v>-2.6181999999999999</v>
      </c>
      <c r="I63">
        <v>0</v>
      </c>
      <c r="J63">
        <v>0</v>
      </c>
      <c r="K63">
        <v>0</v>
      </c>
      <c r="L63">
        <v>-0.32850000000000001</v>
      </c>
    </row>
    <row r="64" spans="1:12" x14ac:dyDescent="0.35">
      <c r="A64">
        <v>-1.9</v>
      </c>
      <c r="B64">
        <v>-0.12230000000000001</v>
      </c>
      <c r="C64">
        <v>1.2619999999999999E-2</v>
      </c>
      <c r="D64">
        <v>7.1599999999999997E-3</v>
      </c>
      <c r="E64">
        <v>-7.5999999999999998E-2</v>
      </c>
      <c r="F64">
        <v>0.05</v>
      </c>
      <c r="G64">
        <v>7.1999999999999998E-3</v>
      </c>
      <c r="H64">
        <v>-2.5889000000000002</v>
      </c>
      <c r="I64">
        <v>0</v>
      </c>
      <c r="J64">
        <v>0</v>
      </c>
      <c r="K64">
        <v>0</v>
      </c>
      <c r="L64">
        <v>-0.3745</v>
      </c>
    </row>
    <row r="65" spans="1:12" x14ac:dyDescent="0.35">
      <c r="A65">
        <v>-1.85</v>
      </c>
      <c r="B65">
        <v>-0.1118</v>
      </c>
      <c r="C65">
        <v>1.217E-2</v>
      </c>
      <c r="D65">
        <v>6.6400000000000001E-3</v>
      </c>
      <c r="E65">
        <v>-7.5600000000000001E-2</v>
      </c>
      <c r="F65">
        <v>0.05</v>
      </c>
      <c r="G65">
        <v>7.7000000000000002E-3</v>
      </c>
      <c r="H65">
        <v>-2.5543</v>
      </c>
      <c r="I65">
        <v>0</v>
      </c>
      <c r="J65">
        <v>0</v>
      </c>
      <c r="K65">
        <v>0</v>
      </c>
      <c r="L65">
        <v>-0.42920000000000003</v>
      </c>
    </row>
    <row r="66" spans="1:12" x14ac:dyDescent="0.35">
      <c r="A66">
        <v>-1.8</v>
      </c>
      <c r="B66">
        <v>-0.1013</v>
      </c>
      <c r="C66">
        <v>1.174E-2</v>
      </c>
      <c r="D66">
        <v>6.1399999999999996E-3</v>
      </c>
      <c r="E66">
        <v>-7.51E-2</v>
      </c>
      <c r="F66">
        <v>0.05</v>
      </c>
      <c r="G66">
        <v>7.9000000000000008E-3</v>
      </c>
      <c r="H66">
        <v>-2.5150999999999999</v>
      </c>
      <c r="I66">
        <v>0</v>
      </c>
      <c r="J66">
        <v>0</v>
      </c>
      <c r="K66">
        <v>0</v>
      </c>
      <c r="L66">
        <v>-0.49509999999999998</v>
      </c>
    </row>
    <row r="67" spans="1:12" x14ac:dyDescent="0.35">
      <c r="A67">
        <v>-1.75</v>
      </c>
      <c r="B67">
        <v>-9.0899999999999995E-2</v>
      </c>
      <c r="C67">
        <v>1.133E-2</v>
      </c>
      <c r="D67">
        <v>5.6600000000000001E-3</v>
      </c>
      <c r="E67">
        <v>-7.4700000000000003E-2</v>
      </c>
      <c r="F67">
        <v>0.05</v>
      </c>
      <c r="G67">
        <v>8.0999999999999996E-3</v>
      </c>
      <c r="H67">
        <v>-2.5105</v>
      </c>
      <c r="I67">
        <v>0</v>
      </c>
      <c r="J67">
        <v>0</v>
      </c>
      <c r="K67">
        <v>0</v>
      </c>
      <c r="L67">
        <v>-0.57569999999999999</v>
      </c>
    </row>
    <row r="68" spans="1:12" x14ac:dyDescent="0.35">
      <c r="A68">
        <v>-1.7</v>
      </c>
      <c r="B68">
        <v>-8.0500000000000002E-2</v>
      </c>
      <c r="C68">
        <v>1.094E-2</v>
      </c>
      <c r="D68">
        <v>5.2100000000000002E-3</v>
      </c>
      <c r="E68">
        <v>-7.4200000000000002E-2</v>
      </c>
      <c r="F68">
        <v>0.05</v>
      </c>
      <c r="G68">
        <v>8.3000000000000001E-3</v>
      </c>
      <c r="H68">
        <v>-2.5133000000000001</v>
      </c>
      <c r="I68">
        <v>0</v>
      </c>
      <c r="J68">
        <v>0</v>
      </c>
      <c r="K68">
        <v>0</v>
      </c>
      <c r="L68">
        <v>-0.6764</v>
      </c>
    </row>
    <row r="69" spans="1:12" x14ac:dyDescent="0.35">
      <c r="A69">
        <v>-1.65</v>
      </c>
      <c r="B69">
        <v>-7.0099999999999996E-2</v>
      </c>
      <c r="C69">
        <v>1.0580000000000001E-2</v>
      </c>
      <c r="D69">
        <v>4.79E-3</v>
      </c>
      <c r="E69">
        <v>-7.3700000000000002E-2</v>
      </c>
      <c r="F69">
        <v>0.05</v>
      </c>
      <c r="G69">
        <v>8.6E-3</v>
      </c>
      <c r="H69">
        <v>-2.5093000000000001</v>
      </c>
      <c r="I69">
        <v>0</v>
      </c>
      <c r="J69">
        <v>0</v>
      </c>
      <c r="K69">
        <v>0</v>
      </c>
      <c r="L69">
        <v>-0.80569999999999997</v>
      </c>
    </row>
    <row r="70" spans="1:12" x14ac:dyDescent="0.35">
      <c r="A70">
        <v>-1.6</v>
      </c>
      <c r="B70">
        <v>-5.9900000000000002E-2</v>
      </c>
      <c r="C70">
        <v>1.025E-2</v>
      </c>
      <c r="D70">
        <v>4.4000000000000003E-3</v>
      </c>
      <c r="E70">
        <v>-7.3300000000000004E-2</v>
      </c>
      <c r="F70">
        <v>0.05</v>
      </c>
      <c r="G70">
        <v>8.9999999999999993E-3</v>
      </c>
      <c r="H70">
        <v>-2.4937</v>
      </c>
      <c r="I70">
        <v>0</v>
      </c>
      <c r="J70">
        <v>0</v>
      </c>
      <c r="K70">
        <v>0</v>
      </c>
      <c r="L70">
        <v>-0.97860000000000003</v>
      </c>
    </row>
    <row r="71" spans="1:12" x14ac:dyDescent="0.35">
      <c r="A71">
        <v>-1.55</v>
      </c>
      <c r="B71">
        <v>-4.9599999999999998E-2</v>
      </c>
      <c r="C71">
        <v>9.9600000000000001E-3</v>
      </c>
      <c r="D71">
        <v>4.0400000000000002E-3</v>
      </c>
      <c r="E71">
        <v>-7.2800000000000004E-2</v>
      </c>
      <c r="F71">
        <v>0.05</v>
      </c>
      <c r="G71">
        <v>9.4000000000000004E-3</v>
      </c>
      <c r="H71">
        <v>-2.4609000000000001</v>
      </c>
      <c r="I71">
        <v>0</v>
      </c>
      <c r="J71">
        <v>0</v>
      </c>
      <c r="K71">
        <v>0</v>
      </c>
      <c r="L71">
        <v>-1.2239</v>
      </c>
    </row>
    <row r="72" spans="1:12" x14ac:dyDescent="0.35">
      <c r="A72">
        <v>-1.5</v>
      </c>
      <c r="B72">
        <v>-3.9199999999999999E-2</v>
      </c>
      <c r="C72">
        <v>9.7000000000000003E-3</v>
      </c>
      <c r="D72">
        <v>3.7299999999999998E-3</v>
      </c>
      <c r="E72">
        <v>-7.2400000000000006E-2</v>
      </c>
      <c r="F72">
        <v>0.05</v>
      </c>
      <c r="G72">
        <v>9.7999999999999997E-3</v>
      </c>
      <c r="H72">
        <v>-2.4064999999999999</v>
      </c>
      <c r="I72">
        <v>0</v>
      </c>
      <c r="J72">
        <v>0</v>
      </c>
      <c r="K72">
        <v>0</v>
      </c>
      <c r="L72">
        <v>-1.6032999999999999</v>
      </c>
    </row>
    <row r="73" spans="1:12" x14ac:dyDescent="0.35">
      <c r="A73">
        <v>-1.45</v>
      </c>
      <c r="B73">
        <v>-2.87E-2</v>
      </c>
      <c r="C73">
        <v>9.4699999999999993E-3</v>
      </c>
      <c r="D73">
        <v>3.4499999999999999E-3</v>
      </c>
      <c r="E73">
        <v>-7.1999999999999995E-2</v>
      </c>
      <c r="F73">
        <v>0.05</v>
      </c>
      <c r="G73">
        <v>0.01</v>
      </c>
      <c r="H73">
        <v>-2.3325999999999998</v>
      </c>
      <c r="I73">
        <v>0</v>
      </c>
      <c r="J73">
        <v>0</v>
      </c>
      <c r="K73">
        <v>0</v>
      </c>
      <c r="L73">
        <v>-2.2719</v>
      </c>
    </row>
    <row r="74" spans="1:12" x14ac:dyDescent="0.35">
      <c r="A74">
        <v>-1.4</v>
      </c>
      <c r="B74">
        <v>-1.7999999999999999E-2</v>
      </c>
      <c r="C74">
        <v>9.2800000000000001E-3</v>
      </c>
      <c r="D74">
        <v>3.2100000000000002E-3</v>
      </c>
      <c r="E74">
        <v>-7.1599999999999997E-2</v>
      </c>
      <c r="F74">
        <v>0.05</v>
      </c>
      <c r="G74">
        <v>1.0200000000000001E-2</v>
      </c>
      <c r="H74">
        <v>-2.2454000000000001</v>
      </c>
      <c r="I74">
        <v>0</v>
      </c>
      <c r="J74">
        <v>0</v>
      </c>
      <c r="K74">
        <v>0</v>
      </c>
      <c r="L74">
        <v>-3.7454000000000001</v>
      </c>
    </row>
    <row r="75" spans="1:12" x14ac:dyDescent="0.35">
      <c r="A75">
        <v>-1.35</v>
      </c>
      <c r="B75">
        <v>-7.4000000000000003E-3</v>
      </c>
      <c r="C75">
        <v>9.0699999999999999E-3</v>
      </c>
      <c r="D75">
        <v>2.9399999999999999E-3</v>
      </c>
      <c r="E75">
        <v>-7.1300000000000002E-2</v>
      </c>
      <c r="F75">
        <v>0.05</v>
      </c>
      <c r="G75">
        <v>1.06E-2</v>
      </c>
      <c r="H75">
        <v>-2.1604000000000001</v>
      </c>
      <c r="I75">
        <v>0</v>
      </c>
      <c r="J75">
        <v>0</v>
      </c>
      <c r="K75">
        <v>0</v>
      </c>
      <c r="L75">
        <v>-9.3933</v>
      </c>
    </row>
    <row r="76" spans="1:12" x14ac:dyDescent="0.35">
      <c r="A76">
        <v>-1.3</v>
      </c>
      <c r="B76">
        <v>3.5000000000000001E-3</v>
      </c>
      <c r="C76">
        <v>8.9200000000000008E-3</v>
      </c>
      <c r="D76">
        <v>2.7399999999999998E-3</v>
      </c>
      <c r="E76">
        <v>-7.1099999999999997E-2</v>
      </c>
      <c r="F76">
        <v>0.05</v>
      </c>
      <c r="G76">
        <v>1.11E-2</v>
      </c>
      <c r="H76">
        <v>-2.0503</v>
      </c>
      <c r="I76">
        <v>0</v>
      </c>
      <c r="J76">
        <v>0</v>
      </c>
      <c r="K76">
        <v>0</v>
      </c>
      <c r="L76">
        <v>20.677099999999999</v>
      </c>
    </row>
    <row r="77" spans="1:12" x14ac:dyDescent="0.35">
      <c r="A77">
        <v>-1.25</v>
      </c>
      <c r="B77">
        <v>1.4500000000000001E-2</v>
      </c>
      <c r="C77">
        <v>8.7799999999999996E-3</v>
      </c>
      <c r="D77">
        <v>2.5500000000000002E-3</v>
      </c>
      <c r="E77">
        <v>-7.0800000000000002E-2</v>
      </c>
      <c r="F77">
        <v>0.05</v>
      </c>
      <c r="G77">
        <v>1.12E-2</v>
      </c>
      <c r="H77">
        <v>-1.9494</v>
      </c>
      <c r="I77">
        <v>0</v>
      </c>
      <c r="J77">
        <v>0</v>
      </c>
      <c r="K77">
        <v>0</v>
      </c>
      <c r="L77">
        <v>5.1581999999999999</v>
      </c>
    </row>
    <row r="78" spans="1:12" x14ac:dyDescent="0.35">
      <c r="A78">
        <v>-1.2</v>
      </c>
      <c r="B78">
        <v>2.5499999999999998E-2</v>
      </c>
      <c r="C78">
        <v>8.6599999999999993E-3</v>
      </c>
      <c r="D78">
        <v>2.3900000000000002E-3</v>
      </c>
      <c r="E78">
        <v>-7.0599999999999996E-2</v>
      </c>
      <c r="F78">
        <v>0.05</v>
      </c>
      <c r="G78">
        <v>1.12E-2</v>
      </c>
      <c r="H78">
        <v>-1.8848</v>
      </c>
      <c r="I78">
        <v>0</v>
      </c>
      <c r="J78">
        <v>0</v>
      </c>
      <c r="K78">
        <v>0</v>
      </c>
      <c r="L78">
        <v>3.0230999999999999</v>
      </c>
    </row>
    <row r="79" spans="1:12" x14ac:dyDescent="0.35">
      <c r="A79">
        <v>-1.1499999999999999</v>
      </c>
      <c r="B79">
        <v>3.6600000000000001E-2</v>
      </c>
      <c r="C79">
        <v>8.5699999999999995E-3</v>
      </c>
      <c r="D79">
        <v>2.2599999999999999E-3</v>
      </c>
      <c r="E79">
        <v>-7.0400000000000004E-2</v>
      </c>
      <c r="F79">
        <v>0.05</v>
      </c>
      <c r="G79">
        <v>1.1299999999999999E-2</v>
      </c>
      <c r="H79">
        <v>-1.8236000000000001</v>
      </c>
      <c r="I79">
        <v>0</v>
      </c>
      <c r="J79">
        <v>0</v>
      </c>
      <c r="K79">
        <v>0</v>
      </c>
      <c r="L79">
        <v>2.1764000000000001</v>
      </c>
    </row>
    <row r="80" spans="1:12" x14ac:dyDescent="0.35">
      <c r="A80">
        <v>-1.1000000000000001</v>
      </c>
      <c r="B80">
        <v>4.7800000000000002E-2</v>
      </c>
      <c r="C80">
        <v>8.4899999999999993E-3</v>
      </c>
      <c r="D80">
        <v>2.14E-3</v>
      </c>
      <c r="E80">
        <v>-7.0199999999999999E-2</v>
      </c>
      <c r="F80">
        <v>0.05</v>
      </c>
      <c r="G80">
        <v>1.1299999999999999E-2</v>
      </c>
      <c r="H80">
        <v>-1.7591000000000001</v>
      </c>
      <c r="I80">
        <v>0</v>
      </c>
      <c r="J80">
        <v>0</v>
      </c>
      <c r="K80">
        <v>0</v>
      </c>
      <c r="L80">
        <v>1.7233000000000001</v>
      </c>
    </row>
    <row r="81" spans="1:12" x14ac:dyDescent="0.35">
      <c r="A81">
        <v>-1.05</v>
      </c>
      <c r="B81">
        <v>5.8900000000000001E-2</v>
      </c>
      <c r="C81">
        <v>8.4200000000000004E-3</v>
      </c>
      <c r="D81">
        <v>2.0400000000000001E-3</v>
      </c>
      <c r="E81">
        <v>-7.0000000000000007E-2</v>
      </c>
      <c r="F81">
        <v>0.05</v>
      </c>
      <c r="G81">
        <v>1.15E-2</v>
      </c>
      <c r="H81">
        <v>-1.6917</v>
      </c>
      <c r="I81">
        <v>0</v>
      </c>
      <c r="J81">
        <v>0</v>
      </c>
      <c r="K81">
        <v>0</v>
      </c>
      <c r="L81">
        <v>1.4416</v>
      </c>
    </row>
    <row r="82" spans="1:12" x14ac:dyDescent="0.35">
      <c r="A82">
        <v>-1</v>
      </c>
      <c r="B82">
        <v>7.0000000000000007E-2</v>
      </c>
      <c r="C82">
        <v>8.3700000000000007E-3</v>
      </c>
      <c r="D82">
        <v>1.9599999999999999E-3</v>
      </c>
      <c r="E82">
        <v>-6.9900000000000004E-2</v>
      </c>
      <c r="F82">
        <v>0.05</v>
      </c>
      <c r="G82">
        <v>1.17E-2</v>
      </c>
      <c r="H82">
        <v>-1.6218999999999999</v>
      </c>
      <c r="I82">
        <v>0</v>
      </c>
      <c r="J82">
        <v>0</v>
      </c>
      <c r="K82">
        <v>0</v>
      </c>
      <c r="L82">
        <v>1.2497</v>
      </c>
    </row>
    <row r="83" spans="1:12" x14ac:dyDescent="0.35">
      <c r="A83">
        <v>-0.95</v>
      </c>
      <c r="B83">
        <v>8.1100000000000005E-2</v>
      </c>
      <c r="C83">
        <v>8.3300000000000006E-3</v>
      </c>
      <c r="D83">
        <v>1.89E-3</v>
      </c>
      <c r="E83">
        <v>-6.9699999999999998E-2</v>
      </c>
      <c r="F83">
        <v>0.05</v>
      </c>
      <c r="G83">
        <v>1.2E-2</v>
      </c>
      <c r="H83">
        <v>-1.5496000000000001</v>
      </c>
      <c r="I83">
        <v>0</v>
      </c>
      <c r="J83">
        <v>0</v>
      </c>
      <c r="K83">
        <v>0</v>
      </c>
      <c r="L83">
        <v>1.1109</v>
      </c>
    </row>
    <row r="84" spans="1:12" x14ac:dyDescent="0.35">
      <c r="A84">
        <v>-0.9</v>
      </c>
      <c r="B84">
        <v>9.2200000000000004E-2</v>
      </c>
      <c r="C84">
        <v>8.2900000000000005E-3</v>
      </c>
      <c r="D84">
        <v>1.83E-3</v>
      </c>
      <c r="E84">
        <v>-6.9599999999999995E-2</v>
      </c>
      <c r="F84">
        <v>0.05</v>
      </c>
      <c r="G84">
        <v>1.24E-2</v>
      </c>
      <c r="H84">
        <v>-1.4750000000000001</v>
      </c>
      <c r="I84">
        <v>0</v>
      </c>
      <c r="J84">
        <v>0</v>
      </c>
      <c r="K84">
        <v>0</v>
      </c>
      <c r="L84">
        <v>1.0058</v>
      </c>
    </row>
    <row r="85" spans="1:12" x14ac:dyDescent="0.35">
      <c r="A85">
        <v>-0.85</v>
      </c>
      <c r="B85">
        <v>0.1033</v>
      </c>
      <c r="C85">
        <v>8.26E-3</v>
      </c>
      <c r="D85">
        <v>1.7899999999999999E-3</v>
      </c>
      <c r="E85">
        <v>-6.9400000000000003E-2</v>
      </c>
      <c r="F85">
        <v>0.05</v>
      </c>
      <c r="G85">
        <v>1.29E-2</v>
      </c>
      <c r="H85">
        <v>-1.3987000000000001</v>
      </c>
      <c r="I85">
        <v>0</v>
      </c>
      <c r="J85">
        <v>0</v>
      </c>
      <c r="K85">
        <v>0</v>
      </c>
      <c r="L85">
        <v>0.92359999999999998</v>
      </c>
    </row>
    <row r="86" spans="1:12" x14ac:dyDescent="0.35">
      <c r="A86">
        <v>-0.8</v>
      </c>
      <c r="B86">
        <v>0.1143</v>
      </c>
      <c r="C86">
        <v>8.2400000000000008E-3</v>
      </c>
      <c r="D86">
        <v>1.75E-3</v>
      </c>
      <c r="E86">
        <v>-6.93E-2</v>
      </c>
      <c r="F86">
        <v>0.05</v>
      </c>
      <c r="G86">
        <v>1.35E-2</v>
      </c>
      <c r="H86">
        <v>-1.321</v>
      </c>
      <c r="I86">
        <v>0</v>
      </c>
      <c r="J86">
        <v>0</v>
      </c>
      <c r="K86">
        <v>0</v>
      </c>
      <c r="L86">
        <v>0.85760000000000003</v>
      </c>
    </row>
    <row r="87" spans="1:12" x14ac:dyDescent="0.35">
      <c r="A87">
        <v>-0.75</v>
      </c>
      <c r="B87">
        <v>0.12520000000000001</v>
      </c>
      <c r="C87">
        <v>8.2199999999999999E-3</v>
      </c>
      <c r="D87">
        <v>1.73E-3</v>
      </c>
      <c r="E87">
        <v>-6.9199999999999998E-2</v>
      </c>
      <c r="F87">
        <v>0.05</v>
      </c>
      <c r="G87">
        <v>1.4200000000000001E-2</v>
      </c>
      <c r="H87">
        <v>-1.2435</v>
      </c>
      <c r="I87">
        <v>0</v>
      </c>
      <c r="J87">
        <v>0</v>
      </c>
      <c r="K87">
        <v>0</v>
      </c>
      <c r="L87">
        <v>0.80349999999999999</v>
      </c>
    </row>
    <row r="88" spans="1:12" x14ac:dyDescent="0.35">
      <c r="A88">
        <v>-0.7</v>
      </c>
      <c r="B88">
        <v>0.1361</v>
      </c>
      <c r="C88">
        <v>8.2100000000000003E-3</v>
      </c>
      <c r="D88">
        <v>1.6999999999999999E-3</v>
      </c>
      <c r="E88">
        <v>-6.9099999999999995E-2</v>
      </c>
      <c r="F88">
        <v>0.05</v>
      </c>
      <c r="G88">
        <v>1.49E-2</v>
      </c>
      <c r="H88">
        <v>-1.1671</v>
      </c>
      <c r="I88">
        <v>0</v>
      </c>
      <c r="J88">
        <v>0</v>
      </c>
      <c r="K88">
        <v>0</v>
      </c>
      <c r="L88">
        <v>0.75829999999999997</v>
      </c>
    </row>
    <row r="89" spans="1:12" x14ac:dyDescent="0.35">
      <c r="A89">
        <v>-0.65</v>
      </c>
      <c r="B89">
        <v>0.14699999999999999</v>
      </c>
      <c r="C89">
        <v>8.2000000000000007E-3</v>
      </c>
      <c r="D89">
        <v>1.6800000000000001E-3</v>
      </c>
      <c r="E89">
        <v>-6.9000000000000006E-2</v>
      </c>
      <c r="F89">
        <v>0.05</v>
      </c>
      <c r="G89">
        <v>1.5699999999999999E-2</v>
      </c>
      <c r="H89">
        <v>-1.0922000000000001</v>
      </c>
      <c r="I89">
        <v>0</v>
      </c>
      <c r="J89">
        <v>0</v>
      </c>
      <c r="K89">
        <v>0</v>
      </c>
      <c r="L89">
        <v>0.72</v>
      </c>
    </row>
    <row r="90" spans="1:12" x14ac:dyDescent="0.35">
      <c r="A90">
        <v>-0.6</v>
      </c>
      <c r="B90">
        <v>0.15790000000000001</v>
      </c>
      <c r="C90">
        <v>8.1899999999999994E-3</v>
      </c>
      <c r="D90">
        <v>1.67E-3</v>
      </c>
      <c r="E90">
        <v>-6.9000000000000006E-2</v>
      </c>
      <c r="F90">
        <v>0.05</v>
      </c>
      <c r="G90">
        <v>1.6500000000000001E-2</v>
      </c>
      <c r="H90">
        <v>-1.0193000000000001</v>
      </c>
      <c r="I90">
        <v>0</v>
      </c>
      <c r="J90">
        <v>0</v>
      </c>
      <c r="K90">
        <v>0</v>
      </c>
      <c r="L90">
        <v>0.68710000000000004</v>
      </c>
    </row>
    <row r="91" spans="1:12" x14ac:dyDescent="0.35">
      <c r="A91">
        <v>-0.55000000000000004</v>
      </c>
      <c r="B91">
        <v>0.16869999999999999</v>
      </c>
      <c r="C91">
        <v>8.1799999999999998E-3</v>
      </c>
      <c r="D91">
        <v>1.65E-3</v>
      </c>
      <c r="E91">
        <v>-6.8900000000000003E-2</v>
      </c>
      <c r="F91">
        <v>0.05</v>
      </c>
      <c r="G91">
        <v>1.72E-2</v>
      </c>
      <c r="H91">
        <v>-0.94869999999999999</v>
      </c>
      <c r="I91">
        <v>0</v>
      </c>
      <c r="J91">
        <v>0</v>
      </c>
      <c r="K91">
        <v>0</v>
      </c>
      <c r="L91">
        <v>0.65859999999999996</v>
      </c>
    </row>
    <row r="92" spans="1:12" x14ac:dyDescent="0.35">
      <c r="A92">
        <v>-0.5</v>
      </c>
      <c r="B92">
        <v>0.17949999999999999</v>
      </c>
      <c r="C92">
        <v>8.1700000000000002E-3</v>
      </c>
      <c r="D92">
        <v>1.64E-3</v>
      </c>
      <c r="E92">
        <v>-6.88E-2</v>
      </c>
      <c r="F92">
        <v>0.05</v>
      </c>
      <c r="G92">
        <v>1.7899999999999999E-2</v>
      </c>
      <c r="H92">
        <v>-0.88119999999999998</v>
      </c>
      <c r="I92">
        <v>0</v>
      </c>
      <c r="J92">
        <v>0</v>
      </c>
      <c r="K92">
        <v>0</v>
      </c>
      <c r="L92">
        <v>0.63360000000000005</v>
      </c>
    </row>
    <row r="93" spans="1:12" x14ac:dyDescent="0.35">
      <c r="A93">
        <v>-0.45</v>
      </c>
      <c r="B93">
        <v>0.1903</v>
      </c>
      <c r="C93">
        <v>8.1700000000000002E-3</v>
      </c>
      <c r="D93">
        <v>1.6299999999999999E-3</v>
      </c>
      <c r="E93">
        <v>-6.88E-2</v>
      </c>
      <c r="F93">
        <v>0.05</v>
      </c>
      <c r="G93">
        <v>1.8700000000000001E-2</v>
      </c>
      <c r="H93">
        <v>-0.81740000000000002</v>
      </c>
      <c r="I93">
        <v>0</v>
      </c>
      <c r="J93">
        <v>0</v>
      </c>
      <c r="K93">
        <v>0</v>
      </c>
      <c r="L93">
        <v>0.61150000000000004</v>
      </c>
    </row>
    <row r="94" spans="1:12" x14ac:dyDescent="0.35">
      <c r="A94">
        <v>-0.4</v>
      </c>
      <c r="B94">
        <v>0.2011</v>
      </c>
      <c r="C94">
        <v>8.1600000000000006E-3</v>
      </c>
      <c r="D94">
        <v>1.6199999999999999E-3</v>
      </c>
      <c r="E94">
        <v>-6.8699999999999997E-2</v>
      </c>
      <c r="F94">
        <v>0.05</v>
      </c>
      <c r="G94">
        <v>2.01E-2</v>
      </c>
      <c r="H94">
        <v>-0.75290000000000001</v>
      </c>
      <c r="I94">
        <v>0</v>
      </c>
      <c r="J94">
        <v>0</v>
      </c>
      <c r="K94">
        <v>0</v>
      </c>
      <c r="L94">
        <v>0.59179999999999999</v>
      </c>
    </row>
    <row r="95" spans="1:12" x14ac:dyDescent="0.35">
      <c r="A95">
        <v>-0.35</v>
      </c>
      <c r="B95">
        <v>0.21179999999999999</v>
      </c>
      <c r="C95">
        <v>8.1600000000000006E-3</v>
      </c>
      <c r="D95">
        <v>1.6199999999999999E-3</v>
      </c>
      <c r="E95">
        <v>-6.8599999999999994E-2</v>
      </c>
      <c r="F95">
        <v>0.05</v>
      </c>
      <c r="G95">
        <v>2.2599999999999999E-2</v>
      </c>
      <c r="H95">
        <v>-0.69</v>
      </c>
      <c r="I95">
        <v>0</v>
      </c>
      <c r="J95">
        <v>0</v>
      </c>
      <c r="K95">
        <v>0</v>
      </c>
      <c r="L95">
        <v>0.57420000000000004</v>
      </c>
    </row>
    <row r="96" spans="1:12" x14ac:dyDescent="0.35">
      <c r="A96">
        <v>-0.3</v>
      </c>
      <c r="B96">
        <v>0.2225</v>
      </c>
      <c r="C96">
        <v>8.1499999999999993E-3</v>
      </c>
      <c r="D96">
        <v>1.6100000000000001E-3</v>
      </c>
      <c r="E96">
        <v>-6.8599999999999994E-2</v>
      </c>
      <c r="F96">
        <v>0.05</v>
      </c>
      <c r="G96">
        <v>2.5100000000000001E-2</v>
      </c>
      <c r="H96">
        <v>-0.62839999999999996</v>
      </c>
      <c r="I96">
        <v>0</v>
      </c>
      <c r="J96">
        <v>0</v>
      </c>
      <c r="K96">
        <v>0</v>
      </c>
      <c r="L96">
        <v>0.55840000000000001</v>
      </c>
    </row>
    <row r="97" spans="1:12" x14ac:dyDescent="0.35">
      <c r="A97">
        <v>-0.25</v>
      </c>
      <c r="B97">
        <v>0.23319999999999999</v>
      </c>
      <c r="C97">
        <v>8.1399999999999997E-3</v>
      </c>
      <c r="D97">
        <v>1.6100000000000001E-3</v>
      </c>
      <c r="E97">
        <v>-6.8599999999999994E-2</v>
      </c>
      <c r="F97">
        <v>0.05</v>
      </c>
      <c r="G97">
        <v>2.7300000000000001E-2</v>
      </c>
      <c r="H97">
        <v>-0.56869999999999998</v>
      </c>
      <c r="I97">
        <v>0</v>
      </c>
      <c r="J97">
        <v>0</v>
      </c>
      <c r="K97">
        <v>0</v>
      </c>
      <c r="L97">
        <v>0.54400000000000004</v>
      </c>
    </row>
    <row r="98" spans="1:12" x14ac:dyDescent="0.35">
      <c r="A98">
        <v>-0.2</v>
      </c>
      <c r="B98">
        <v>0.24390000000000001</v>
      </c>
      <c r="C98">
        <v>8.1399999999999997E-3</v>
      </c>
      <c r="D98">
        <v>1.6100000000000001E-3</v>
      </c>
      <c r="E98">
        <v>-6.8500000000000005E-2</v>
      </c>
      <c r="F98">
        <v>0.05</v>
      </c>
      <c r="G98">
        <v>2.8899999999999999E-2</v>
      </c>
      <c r="H98">
        <v>-0.51090000000000002</v>
      </c>
      <c r="I98">
        <v>0</v>
      </c>
      <c r="J98">
        <v>0</v>
      </c>
      <c r="K98">
        <v>0</v>
      </c>
      <c r="L98">
        <v>0.53090000000000004</v>
      </c>
    </row>
    <row r="99" spans="1:12" x14ac:dyDescent="0.35">
      <c r="A99">
        <v>-0.15</v>
      </c>
      <c r="B99">
        <v>0.25459999999999999</v>
      </c>
      <c r="C99">
        <v>8.1399999999999997E-3</v>
      </c>
      <c r="D99">
        <v>1.6100000000000001E-3</v>
      </c>
      <c r="E99">
        <v>-6.8500000000000005E-2</v>
      </c>
      <c r="F99">
        <v>0.05</v>
      </c>
      <c r="G99">
        <v>3.1300000000000001E-2</v>
      </c>
      <c r="H99">
        <v>-0.50590000000000002</v>
      </c>
      <c r="I99">
        <v>0</v>
      </c>
      <c r="J99">
        <v>0</v>
      </c>
      <c r="K99">
        <v>0</v>
      </c>
      <c r="L99">
        <v>0.51890000000000003</v>
      </c>
    </row>
    <row r="100" spans="1:12" x14ac:dyDescent="0.35">
      <c r="A100">
        <v>-0.1</v>
      </c>
      <c r="B100">
        <v>0.26519999999999999</v>
      </c>
      <c r="C100">
        <v>8.1399999999999997E-3</v>
      </c>
      <c r="D100">
        <v>1.6199999999999999E-3</v>
      </c>
      <c r="E100">
        <v>-6.8500000000000005E-2</v>
      </c>
      <c r="F100">
        <v>0.05</v>
      </c>
      <c r="G100">
        <v>3.5000000000000003E-2</v>
      </c>
      <c r="H100">
        <v>-0.51070000000000004</v>
      </c>
      <c r="I100">
        <v>0</v>
      </c>
      <c r="J100">
        <v>0</v>
      </c>
      <c r="K100">
        <v>0</v>
      </c>
      <c r="L100">
        <v>0.50790000000000002</v>
      </c>
    </row>
    <row r="101" spans="1:12" x14ac:dyDescent="0.35">
      <c r="A101">
        <v>-0.05</v>
      </c>
      <c r="B101">
        <v>0.27589999999999998</v>
      </c>
      <c r="C101">
        <v>8.1399999999999997E-3</v>
      </c>
      <c r="D101">
        <v>1.6199999999999999E-3</v>
      </c>
      <c r="E101">
        <v>-6.8400000000000002E-2</v>
      </c>
      <c r="F101">
        <v>0.05</v>
      </c>
      <c r="G101">
        <v>3.8600000000000002E-2</v>
      </c>
      <c r="H101">
        <v>-0.51549999999999996</v>
      </c>
      <c r="I101">
        <v>0</v>
      </c>
      <c r="J101">
        <v>0</v>
      </c>
      <c r="K101">
        <v>0</v>
      </c>
      <c r="L101">
        <v>0.49780000000000002</v>
      </c>
    </row>
    <row r="102" spans="1:12" x14ac:dyDescent="0.35">
      <c r="A102">
        <v>0</v>
      </c>
      <c r="B102">
        <v>0.28660000000000002</v>
      </c>
      <c r="C102">
        <v>8.1200000000000005E-3</v>
      </c>
      <c r="D102">
        <v>1.6299999999999999E-3</v>
      </c>
      <c r="E102">
        <v>-6.8400000000000002E-2</v>
      </c>
      <c r="F102">
        <v>0.05</v>
      </c>
      <c r="G102">
        <v>0.05</v>
      </c>
      <c r="H102">
        <v>-0.52049999999999996</v>
      </c>
      <c r="I102">
        <v>0</v>
      </c>
      <c r="J102">
        <v>0</v>
      </c>
      <c r="K102">
        <v>0</v>
      </c>
      <c r="L102">
        <v>0.48849999999999999</v>
      </c>
    </row>
    <row r="103" spans="1:12" x14ac:dyDescent="0.35">
      <c r="A103">
        <v>0.05</v>
      </c>
      <c r="B103">
        <v>0.29720000000000002</v>
      </c>
      <c r="C103">
        <v>8.1200000000000005E-3</v>
      </c>
      <c r="D103">
        <v>1.6299999999999999E-3</v>
      </c>
      <c r="E103">
        <v>-6.8400000000000002E-2</v>
      </c>
      <c r="F103">
        <v>0.05</v>
      </c>
      <c r="G103">
        <v>0.05</v>
      </c>
      <c r="H103">
        <v>-0.52539999999999998</v>
      </c>
      <c r="I103">
        <v>0</v>
      </c>
      <c r="J103">
        <v>0</v>
      </c>
      <c r="K103">
        <v>0</v>
      </c>
      <c r="L103">
        <v>0.4798</v>
      </c>
    </row>
    <row r="104" spans="1:12" x14ac:dyDescent="0.35">
      <c r="A104">
        <v>0.1</v>
      </c>
      <c r="B104">
        <v>0.30790000000000001</v>
      </c>
      <c r="C104">
        <v>8.1300000000000001E-3</v>
      </c>
      <c r="D104">
        <v>1.64E-3</v>
      </c>
      <c r="E104">
        <v>-6.83E-2</v>
      </c>
      <c r="F104">
        <v>0.05</v>
      </c>
      <c r="G104">
        <v>0.05</v>
      </c>
      <c r="H104">
        <v>-0.53029999999999999</v>
      </c>
      <c r="I104">
        <v>0</v>
      </c>
      <c r="J104">
        <v>0</v>
      </c>
      <c r="K104">
        <v>0</v>
      </c>
      <c r="L104">
        <v>0.47160000000000002</v>
      </c>
    </row>
    <row r="105" spans="1:12" x14ac:dyDescent="0.35">
      <c r="A105">
        <v>0.15</v>
      </c>
      <c r="B105">
        <v>0.31850000000000001</v>
      </c>
      <c r="C105">
        <v>8.1399999999999997E-3</v>
      </c>
      <c r="D105">
        <v>1.66E-3</v>
      </c>
      <c r="E105">
        <v>-6.83E-2</v>
      </c>
      <c r="F105">
        <v>0.05</v>
      </c>
      <c r="G105">
        <v>0.05</v>
      </c>
      <c r="H105">
        <v>-0.53539999999999999</v>
      </c>
      <c r="I105">
        <v>0</v>
      </c>
      <c r="J105">
        <v>0</v>
      </c>
      <c r="K105">
        <v>0</v>
      </c>
      <c r="L105">
        <v>0.46400000000000002</v>
      </c>
    </row>
    <row r="106" spans="1:12" x14ac:dyDescent="0.35">
      <c r="A106">
        <v>0.2</v>
      </c>
      <c r="B106">
        <v>0.32919999999999999</v>
      </c>
      <c r="C106">
        <v>8.1600000000000006E-3</v>
      </c>
      <c r="D106">
        <v>1.67E-3</v>
      </c>
      <c r="E106">
        <v>-6.8199999999999997E-2</v>
      </c>
      <c r="F106">
        <v>0.05</v>
      </c>
      <c r="G106">
        <v>0.05</v>
      </c>
      <c r="H106">
        <v>-0.54049999999999998</v>
      </c>
      <c r="I106">
        <v>0</v>
      </c>
      <c r="J106">
        <v>0</v>
      </c>
      <c r="K106">
        <v>0</v>
      </c>
      <c r="L106">
        <v>0.45689999999999997</v>
      </c>
    </row>
    <row r="107" spans="1:12" x14ac:dyDescent="0.35">
      <c r="A107">
        <v>0.25</v>
      </c>
      <c r="B107">
        <v>0.33989999999999998</v>
      </c>
      <c r="C107">
        <v>8.1700000000000002E-3</v>
      </c>
      <c r="D107">
        <v>1.6800000000000001E-3</v>
      </c>
      <c r="E107">
        <v>-6.8199999999999997E-2</v>
      </c>
      <c r="F107">
        <v>0.05</v>
      </c>
      <c r="G107">
        <v>0.05</v>
      </c>
      <c r="H107">
        <v>-0.54559999999999997</v>
      </c>
      <c r="I107">
        <v>0</v>
      </c>
      <c r="J107">
        <v>0</v>
      </c>
      <c r="K107">
        <v>0</v>
      </c>
      <c r="L107">
        <v>0.45019999999999999</v>
      </c>
    </row>
    <row r="108" spans="1:12" x14ac:dyDescent="0.35">
      <c r="A108">
        <v>0.3</v>
      </c>
      <c r="B108">
        <v>0.35049999999999998</v>
      </c>
      <c r="C108">
        <v>8.1799999999999998E-3</v>
      </c>
      <c r="D108">
        <v>1.6999999999999999E-3</v>
      </c>
      <c r="E108">
        <v>-6.8099999999999994E-2</v>
      </c>
      <c r="F108">
        <v>0.05</v>
      </c>
      <c r="G108">
        <v>0.05</v>
      </c>
      <c r="H108">
        <v>-0.55069999999999997</v>
      </c>
      <c r="I108">
        <v>0</v>
      </c>
      <c r="J108">
        <v>0</v>
      </c>
      <c r="K108">
        <v>0</v>
      </c>
      <c r="L108">
        <v>0.44400000000000001</v>
      </c>
    </row>
    <row r="109" spans="1:12" x14ac:dyDescent="0.35">
      <c r="A109">
        <v>0.35</v>
      </c>
      <c r="B109">
        <v>0.36120000000000002</v>
      </c>
      <c r="C109">
        <v>8.1899999999999994E-3</v>
      </c>
      <c r="D109">
        <v>1.7099999999999999E-3</v>
      </c>
      <c r="E109">
        <v>-6.8099999999999994E-2</v>
      </c>
      <c r="F109">
        <v>0.05</v>
      </c>
      <c r="G109">
        <v>0.05</v>
      </c>
      <c r="H109">
        <v>-0.55600000000000005</v>
      </c>
      <c r="I109">
        <v>0</v>
      </c>
      <c r="J109">
        <v>0</v>
      </c>
      <c r="K109">
        <v>0</v>
      </c>
      <c r="L109">
        <v>0.438</v>
      </c>
    </row>
    <row r="110" spans="1:12" x14ac:dyDescent="0.35">
      <c r="A110">
        <v>0.4</v>
      </c>
      <c r="B110">
        <v>0.37190000000000001</v>
      </c>
      <c r="C110">
        <v>8.2000000000000007E-3</v>
      </c>
      <c r="D110">
        <v>1.73E-3</v>
      </c>
      <c r="E110">
        <v>-6.8000000000000005E-2</v>
      </c>
      <c r="F110">
        <v>0.05</v>
      </c>
      <c r="G110">
        <v>0.05</v>
      </c>
      <c r="H110">
        <v>-0.56120000000000003</v>
      </c>
      <c r="I110">
        <v>0</v>
      </c>
      <c r="J110">
        <v>0</v>
      </c>
      <c r="K110">
        <v>0</v>
      </c>
      <c r="L110">
        <v>0.43240000000000001</v>
      </c>
    </row>
    <row r="111" spans="1:12" x14ac:dyDescent="0.35">
      <c r="A111">
        <v>0.45</v>
      </c>
      <c r="B111">
        <v>0.3826</v>
      </c>
      <c r="C111">
        <v>8.2199999999999999E-3</v>
      </c>
      <c r="D111">
        <v>1.75E-3</v>
      </c>
      <c r="E111">
        <v>-6.8000000000000005E-2</v>
      </c>
      <c r="F111">
        <v>0.05</v>
      </c>
      <c r="G111">
        <v>0.05</v>
      </c>
      <c r="H111">
        <v>-0.5665</v>
      </c>
      <c r="I111">
        <v>0</v>
      </c>
      <c r="J111">
        <v>0</v>
      </c>
      <c r="K111">
        <v>0</v>
      </c>
      <c r="L111">
        <v>0.42709999999999998</v>
      </c>
    </row>
    <row r="112" spans="1:12" x14ac:dyDescent="0.35">
      <c r="A112">
        <v>0.5</v>
      </c>
      <c r="B112">
        <v>0.39329999999999998</v>
      </c>
      <c r="C112">
        <v>8.2299999999999995E-3</v>
      </c>
      <c r="D112">
        <v>1.7700000000000001E-3</v>
      </c>
      <c r="E112">
        <v>-6.7900000000000002E-2</v>
      </c>
      <c r="F112">
        <v>0.05</v>
      </c>
      <c r="G112">
        <v>0.05</v>
      </c>
      <c r="H112">
        <v>-0.57179999999999997</v>
      </c>
      <c r="I112">
        <v>0</v>
      </c>
      <c r="J112">
        <v>0</v>
      </c>
      <c r="K112">
        <v>0</v>
      </c>
      <c r="L112">
        <v>0.42209999999999998</v>
      </c>
    </row>
    <row r="113" spans="1:12" x14ac:dyDescent="0.35">
      <c r="A113">
        <v>0.55000000000000004</v>
      </c>
      <c r="B113">
        <v>0.40400000000000003</v>
      </c>
      <c r="C113">
        <v>8.2400000000000008E-3</v>
      </c>
      <c r="D113">
        <v>1.7899999999999999E-3</v>
      </c>
      <c r="E113">
        <v>-6.7799999999999999E-2</v>
      </c>
      <c r="F113">
        <v>0.05</v>
      </c>
      <c r="G113">
        <v>0.05</v>
      </c>
      <c r="H113">
        <v>-0.61250000000000004</v>
      </c>
      <c r="I113">
        <v>0</v>
      </c>
      <c r="J113">
        <v>0</v>
      </c>
      <c r="K113">
        <v>0</v>
      </c>
      <c r="L113">
        <v>0.4173</v>
      </c>
    </row>
    <row r="114" spans="1:12" x14ac:dyDescent="0.35">
      <c r="A114">
        <v>0.6</v>
      </c>
      <c r="B114">
        <v>0.41470000000000001</v>
      </c>
      <c r="C114">
        <v>8.26E-3</v>
      </c>
      <c r="D114">
        <v>1.81E-3</v>
      </c>
      <c r="E114">
        <v>-6.7699999999999996E-2</v>
      </c>
      <c r="F114">
        <v>0.05</v>
      </c>
      <c r="G114">
        <v>0.05</v>
      </c>
      <c r="H114">
        <v>-0.66600000000000004</v>
      </c>
      <c r="I114">
        <v>0</v>
      </c>
      <c r="J114">
        <v>0</v>
      </c>
      <c r="K114">
        <v>0</v>
      </c>
      <c r="L114">
        <v>0.4128</v>
      </c>
    </row>
    <row r="115" spans="1:12" x14ac:dyDescent="0.35">
      <c r="A115">
        <v>0.65</v>
      </c>
      <c r="B115">
        <v>0.42549999999999999</v>
      </c>
      <c r="C115">
        <v>8.2699999999999996E-3</v>
      </c>
      <c r="D115">
        <v>1.8400000000000001E-3</v>
      </c>
      <c r="E115">
        <v>-6.7599999999999993E-2</v>
      </c>
      <c r="F115">
        <v>0.05</v>
      </c>
      <c r="G115">
        <v>0.05</v>
      </c>
      <c r="H115">
        <v>-0.72109999999999996</v>
      </c>
      <c r="I115">
        <v>0</v>
      </c>
      <c r="J115">
        <v>0</v>
      </c>
      <c r="K115">
        <v>0</v>
      </c>
      <c r="L115">
        <v>0.40839999999999999</v>
      </c>
    </row>
    <row r="116" spans="1:12" x14ac:dyDescent="0.35">
      <c r="A116">
        <v>0.7</v>
      </c>
      <c r="B116">
        <v>0.43619999999999998</v>
      </c>
      <c r="C116">
        <v>8.2900000000000005E-3</v>
      </c>
      <c r="D116">
        <v>1.8600000000000001E-3</v>
      </c>
      <c r="E116">
        <v>-6.7500000000000004E-2</v>
      </c>
      <c r="F116">
        <v>0.05</v>
      </c>
      <c r="G116">
        <v>0.05</v>
      </c>
      <c r="H116">
        <v>-0.77780000000000005</v>
      </c>
      <c r="I116">
        <v>0</v>
      </c>
      <c r="J116">
        <v>0</v>
      </c>
      <c r="K116">
        <v>0</v>
      </c>
      <c r="L116">
        <v>0.4042</v>
      </c>
    </row>
    <row r="117" spans="1:12" x14ac:dyDescent="0.35">
      <c r="A117">
        <v>0.8</v>
      </c>
      <c r="B117">
        <v>0.45679999999999998</v>
      </c>
      <c r="C117">
        <v>8.3899999999999999E-3</v>
      </c>
      <c r="D117">
        <v>1.9400000000000001E-3</v>
      </c>
      <c r="E117">
        <v>-6.7199999999999996E-2</v>
      </c>
      <c r="F117">
        <v>3.6200000000000003E-2</v>
      </c>
      <c r="G117">
        <v>0.05</v>
      </c>
      <c r="H117">
        <v>-0.89180000000000004</v>
      </c>
      <c r="I117">
        <v>0</v>
      </c>
      <c r="J117">
        <v>0</v>
      </c>
      <c r="K117">
        <v>0</v>
      </c>
      <c r="L117">
        <v>0.39639999999999997</v>
      </c>
    </row>
    <row r="118" spans="1:12" x14ac:dyDescent="0.35">
      <c r="A118">
        <v>0.85</v>
      </c>
      <c r="B118">
        <v>0.46729999999999999</v>
      </c>
      <c r="C118">
        <v>8.4200000000000004E-3</v>
      </c>
      <c r="D118">
        <v>1.98E-3</v>
      </c>
      <c r="E118">
        <v>-6.7000000000000004E-2</v>
      </c>
      <c r="F118">
        <v>3.2199999999999999E-2</v>
      </c>
      <c r="G118">
        <v>0.05</v>
      </c>
      <c r="H118">
        <v>-0.95230000000000004</v>
      </c>
      <c r="I118">
        <v>0</v>
      </c>
      <c r="J118">
        <v>0</v>
      </c>
      <c r="K118">
        <v>0</v>
      </c>
      <c r="L118">
        <v>0.39269999999999999</v>
      </c>
    </row>
    <row r="119" spans="1:12" x14ac:dyDescent="0.35">
      <c r="A119">
        <v>0.9</v>
      </c>
      <c r="B119">
        <v>0.47789999999999999</v>
      </c>
      <c r="C119">
        <v>8.4600000000000005E-3</v>
      </c>
      <c r="D119">
        <v>2.0200000000000001E-3</v>
      </c>
      <c r="E119">
        <v>-6.6799999999999998E-2</v>
      </c>
      <c r="F119">
        <v>2.9899999999999999E-2</v>
      </c>
      <c r="G119">
        <v>0.05</v>
      </c>
      <c r="H119">
        <v>-1.0150999999999999</v>
      </c>
      <c r="I119">
        <v>0</v>
      </c>
      <c r="J119">
        <v>0</v>
      </c>
      <c r="K119">
        <v>0</v>
      </c>
      <c r="L119">
        <v>0.38919999999999999</v>
      </c>
    </row>
    <row r="120" spans="1:12" x14ac:dyDescent="0.35">
      <c r="A120">
        <v>0.95</v>
      </c>
      <c r="B120">
        <v>0.4884</v>
      </c>
      <c r="C120">
        <v>8.5000000000000006E-3</v>
      </c>
      <c r="D120">
        <v>2.0600000000000002E-3</v>
      </c>
      <c r="E120">
        <v>-6.6699999999999995E-2</v>
      </c>
      <c r="F120">
        <v>2.7699999999999999E-2</v>
      </c>
      <c r="G120">
        <v>0.05</v>
      </c>
      <c r="H120">
        <v>-1.0797000000000001</v>
      </c>
      <c r="I120">
        <v>0</v>
      </c>
      <c r="J120">
        <v>0</v>
      </c>
      <c r="K120">
        <v>0</v>
      </c>
      <c r="L120">
        <v>0.38579999999999998</v>
      </c>
    </row>
    <row r="121" spans="1:12" x14ac:dyDescent="0.35">
      <c r="A121">
        <v>1</v>
      </c>
      <c r="B121">
        <v>0.499</v>
      </c>
      <c r="C121">
        <v>8.5299999999999994E-3</v>
      </c>
      <c r="D121">
        <v>2.1099999999999999E-3</v>
      </c>
      <c r="E121">
        <v>-6.6500000000000004E-2</v>
      </c>
      <c r="F121">
        <v>2.53E-2</v>
      </c>
      <c r="G121">
        <v>0.05</v>
      </c>
      <c r="H121">
        <v>-1.1459999999999999</v>
      </c>
      <c r="I121">
        <v>0</v>
      </c>
      <c r="J121">
        <v>0</v>
      </c>
      <c r="K121">
        <v>0</v>
      </c>
      <c r="L121">
        <v>0.38240000000000002</v>
      </c>
    </row>
    <row r="122" spans="1:12" x14ac:dyDescent="0.35">
      <c r="A122">
        <v>1.05</v>
      </c>
      <c r="B122">
        <v>0.50980000000000003</v>
      </c>
      <c r="C122">
        <v>8.5699999999999995E-3</v>
      </c>
      <c r="D122">
        <v>2.15E-3</v>
      </c>
      <c r="E122">
        <v>-6.6299999999999998E-2</v>
      </c>
      <c r="F122">
        <v>2.35E-2</v>
      </c>
      <c r="G122">
        <v>0.05</v>
      </c>
      <c r="H122">
        <v>-1.2136</v>
      </c>
      <c r="I122">
        <v>0</v>
      </c>
      <c r="J122">
        <v>0</v>
      </c>
      <c r="K122">
        <v>0</v>
      </c>
      <c r="L122">
        <v>0.37919999999999998</v>
      </c>
    </row>
    <row r="123" spans="1:12" x14ac:dyDescent="0.35">
      <c r="A123">
        <v>1.1000000000000001</v>
      </c>
      <c r="B123">
        <v>0.52059999999999995</v>
      </c>
      <c r="C123">
        <v>8.6E-3</v>
      </c>
      <c r="D123">
        <v>2.2000000000000001E-3</v>
      </c>
      <c r="E123">
        <v>-6.6100000000000006E-2</v>
      </c>
      <c r="F123">
        <v>2.2800000000000001E-2</v>
      </c>
      <c r="G123">
        <v>0.05</v>
      </c>
      <c r="H123">
        <v>-1.2855000000000001</v>
      </c>
      <c r="I123">
        <v>0</v>
      </c>
      <c r="J123">
        <v>0</v>
      </c>
      <c r="K123">
        <v>0</v>
      </c>
      <c r="L123">
        <v>0.37609999999999999</v>
      </c>
    </row>
    <row r="124" spans="1:12" x14ac:dyDescent="0.35">
      <c r="A124">
        <v>1.1499999999999999</v>
      </c>
      <c r="B124">
        <v>0.53129999999999999</v>
      </c>
      <c r="C124">
        <v>8.6400000000000001E-3</v>
      </c>
      <c r="D124">
        <v>2.2499999999999998E-3</v>
      </c>
      <c r="E124">
        <v>-6.5799999999999997E-2</v>
      </c>
      <c r="F124">
        <v>2.1899999999999999E-2</v>
      </c>
      <c r="G124">
        <v>0.05</v>
      </c>
      <c r="H124">
        <v>-1.3595999999999999</v>
      </c>
      <c r="I124">
        <v>0</v>
      </c>
      <c r="J124">
        <v>0</v>
      </c>
      <c r="K124">
        <v>0</v>
      </c>
      <c r="L124">
        <v>0.37309999999999999</v>
      </c>
    </row>
    <row r="125" spans="1:12" x14ac:dyDescent="0.35">
      <c r="A125">
        <v>1.2</v>
      </c>
      <c r="B125">
        <v>0.54210000000000003</v>
      </c>
      <c r="C125">
        <v>8.6700000000000006E-3</v>
      </c>
      <c r="D125">
        <v>2.3E-3</v>
      </c>
      <c r="E125">
        <v>-6.5600000000000006E-2</v>
      </c>
      <c r="F125">
        <v>2.0799999999999999E-2</v>
      </c>
      <c r="G125">
        <v>0.05</v>
      </c>
      <c r="H125">
        <v>-1.4357</v>
      </c>
      <c r="I125">
        <v>0</v>
      </c>
      <c r="J125">
        <v>0</v>
      </c>
      <c r="K125">
        <v>0</v>
      </c>
      <c r="L125">
        <v>0.37009999999999998</v>
      </c>
    </row>
    <row r="126" spans="1:12" x14ac:dyDescent="0.35">
      <c r="A126">
        <v>1.25</v>
      </c>
      <c r="B126">
        <v>0.55289999999999995</v>
      </c>
      <c r="C126">
        <v>8.7200000000000003E-3</v>
      </c>
      <c r="D126">
        <v>2.3600000000000001E-3</v>
      </c>
      <c r="E126">
        <v>-6.5299999999999997E-2</v>
      </c>
      <c r="F126">
        <v>1.95E-2</v>
      </c>
      <c r="G126">
        <v>0.05</v>
      </c>
      <c r="H126">
        <v>-1.5138</v>
      </c>
      <c r="I126">
        <v>0</v>
      </c>
      <c r="J126">
        <v>0</v>
      </c>
      <c r="K126">
        <v>0</v>
      </c>
      <c r="L126">
        <v>0.36720000000000003</v>
      </c>
    </row>
    <row r="127" spans="1:12" x14ac:dyDescent="0.35">
      <c r="A127">
        <v>1.3</v>
      </c>
      <c r="B127">
        <v>0.56369999999999998</v>
      </c>
      <c r="C127">
        <v>8.7600000000000004E-3</v>
      </c>
      <c r="D127">
        <v>2.4199999999999998E-3</v>
      </c>
      <c r="E127">
        <v>-6.5000000000000002E-2</v>
      </c>
      <c r="F127">
        <v>1.8100000000000002E-2</v>
      </c>
      <c r="G127">
        <v>0.05</v>
      </c>
      <c r="H127">
        <v>-1.5943000000000001</v>
      </c>
      <c r="I127">
        <v>0</v>
      </c>
      <c r="J127">
        <v>0</v>
      </c>
      <c r="K127">
        <v>0</v>
      </c>
      <c r="L127">
        <v>0.3644</v>
      </c>
    </row>
    <row r="128" spans="1:12" x14ac:dyDescent="0.35">
      <c r="A128">
        <v>1.35</v>
      </c>
      <c r="B128">
        <v>0.57440000000000002</v>
      </c>
      <c r="C128">
        <v>8.8199999999999997E-3</v>
      </c>
      <c r="D128">
        <v>2.49E-3</v>
      </c>
      <c r="E128">
        <v>-6.4699999999999994E-2</v>
      </c>
      <c r="F128">
        <v>1.67E-2</v>
      </c>
      <c r="G128">
        <v>0.05</v>
      </c>
      <c r="H128">
        <v>-1.6766000000000001</v>
      </c>
      <c r="I128">
        <v>0</v>
      </c>
      <c r="J128">
        <v>0</v>
      </c>
      <c r="K128">
        <v>0</v>
      </c>
      <c r="L128">
        <v>0.36170000000000002</v>
      </c>
    </row>
    <row r="129" spans="1:12" x14ac:dyDescent="0.35">
      <c r="A129">
        <v>1.4</v>
      </c>
      <c r="B129">
        <v>0.58509999999999995</v>
      </c>
      <c r="C129">
        <v>8.8699999999999994E-3</v>
      </c>
      <c r="D129">
        <v>2.5600000000000002E-3</v>
      </c>
      <c r="E129">
        <v>-6.4299999999999996E-2</v>
      </c>
      <c r="F129">
        <v>1.55E-2</v>
      </c>
      <c r="G129">
        <v>0.05</v>
      </c>
      <c r="H129">
        <v>-1.7582</v>
      </c>
      <c r="I129">
        <v>0</v>
      </c>
      <c r="J129">
        <v>0</v>
      </c>
      <c r="K129">
        <v>0</v>
      </c>
      <c r="L129">
        <v>0.3589</v>
      </c>
    </row>
    <row r="130" spans="1:12" x14ac:dyDescent="0.35">
      <c r="A130">
        <v>1.45</v>
      </c>
      <c r="B130">
        <v>0.59570000000000001</v>
      </c>
      <c r="C130">
        <v>8.94E-3</v>
      </c>
      <c r="D130">
        <v>2.66E-3</v>
      </c>
      <c r="E130">
        <v>-6.3899999999999998E-2</v>
      </c>
      <c r="F130">
        <v>1.47E-2</v>
      </c>
      <c r="G130">
        <v>0.05</v>
      </c>
      <c r="H130">
        <v>-1.8357000000000001</v>
      </c>
      <c r="I130">
        <v>0</v>
      </c>
      <c r="J130">
        <v>0</v>
      </c>
      <c r="K130">
        <v>0</v>
      </c>
      <c r="L130">
        <v>0.35620000000000002</v>
      </c>
    </row>
    <row r="131" spans="1:12" x14ac:dyDescent="0.35">
      <c r="A131">
        <v>1.5</v>
      </c>
      <c r="B131">
        <v>0.60629999999999995</v>
      </c>
      <c r="C131">
        <v>9.0200000000000002E-3</v>
      </c>
      <c r="D131">
        <v>2.7799999999999999E-3</v>
      </c>
      <c r="E131">
        <v>-6.3399999999999998E-2</v>
      </c>
      <c r="F131">
        <v>1.43E-2</v>
      </c>
      <c r="G131">
        <v>0.05</v>
      </c>
      <c r="H131">
        <v>-1.9088000000000001</v>
      </c>
      <c r="I131">
        <v>0</v>
      </c>
      <c r="J131">
        <v>0</v>
      </c>
      <c r="K131">
        <v>0</v>
      </c>
      <c r="L131">
        <v>0.35360000000000003</v>
      </c>
    </row>
    <row r="132" spans="1:12" x14ac:dyDescent="0.35">
      <c r="A132">
        <v>1.55</v>
      </c>
      <c r="B132">
        <v>0.61660000000000004</v>
      </c>
      <c r="C132">
        <v>9.1199999999999996E-3</v>
      </c>
      <c r="D132">
        <v>2.8999999999999998E-3</v>
      </c>
      <c r="E132">
        <v>-6.2899999999999998E-2</v>
      </c>
      <c r="F132">
        <v>1.4E-2</v>
      </c>
      <c r="G132">
        <v>0.05</v>
      </c>
      <c r="H132">
        <v>-1.9792000000000001</v>
      </c>
      <c r="I132">
        <v>0</v>
      </c>
      <c r="J132">
        <v>0</v>
      </c>
      <c r="K132">
        <v>0</v>
      </c>
      <c r="L132">
        <v>0.35099999999999998</v>
      </c>
    </row>
    <row r="133" spans="1:12" x14ac:dyDescent="0.35">
      <c r="A133">
        <v>1.6</v>
      </c>
      <c r="B133">
        <v>0.62680000000000002</v>
      </c>
      <c r="C133">
        <v>9.2099999999999994E-3</v>
      </c>
      <c r="D133">
        <v>3.0400000000000002E-3</v>
      </c>
      <c r="E133">
        <v>-6.2300000000000001E-2</v>
      </c>
      <c r="F133">
        <v>1.38E-2</v>
      </c>
      <c r="G133">
        <v>0.05</v>
      </c>
      <c r="H133">
        <v>-2.0598000000000001</v>
      </c>
      <c r="I133">
        <v>0</v>
      </c>
      <c r="J133">
        <v>0</v>
      </c>
      <c r="K133">
        <v>0</v>
      </c>
      <c r="L133">
        <v>0.34839999999999999</v>
      </c>
    </row>
    <row r="134" spans="1:12" x14ac:dyDescent="0.35">
      <c r="A134">
        <v>1.65</v>
      </c>
      <c r="B134">
        <v>0.63700000000000001</v>
      </c>
      <c r="C134">
        <v>9.3200000000000002E-3</v>
      </c>
      <c r="D134">
        <v>3.1900000000000001E-3</v>
      </c>
      <c r="E134">
        <v>-6.1699999999999998E-2</v>
      </c>
      <c r="F134">
        <v>1.38E-2</v>
      </c>
      <c r="G134">
        <v>0.05</v>
      </c>
      <c r="H134">
        <v>-2.1551</v>
      </c>
      <c r="I134">
        <v>0</v>
      </c>
      <c r="J134">
        <v>0</v>
      </c>
      <c r="K134">
        <v>0</v>
      </c>
      <c r="L134">
        <v>0.3458</v>
      </c>
    </row>
    <row r="135" spans="1:12" x14ac:dyDescent="0.35">
      <c r="A135">
        <v>1.7</v>
      </c>
      <c r="B135">
        <v>0.64700000000000002</v>
      </c>
      <c r="C135">
        <v>9.4500000000000001E-3</v>
      </c>
      <c r="D135">
        <v>3.3500000000000001E-3</v>
      </c>
      <c r="E135">
        <v>-6.0999999999999999E-2</v>
      </c>
      <c r="F135">
        <v>1.37E-2</v>
      </c>
      <c r="G135">
        <v>0.05</v>
      </c>
      <c r="H135">
        <v>-2.2477</v>
      </c>
      <c r="I135">
        <v>0</v>
      </c>
      <c r="J135">
        <v>0</v>
      </c>
      <c r="K135">
        <v>0</v>
      </c>
      <c r="L135">
        <v>0.34320000000000001</v>
      </c>
    </row>
    <row r="136" spans="1:12" x14ac:dyDescent="0.35">
      <c r="A136">
        <v>1.75</v>
      </c>
      <c r="B136">
        <v>0.65680000000000005</v>
      </c>
      <c r="C136">
        <v>9.58E-3</v>
      </c>
      <c r="D136">
        <v>3.5400000000000002E-3</v>
      </c>
      <c r="E136">
        <v>-6.0299999999999999E-2</v>
      </c>
      <c r="F136">
        <v>1.37E-2</v>
      </c>
      <c r="G136">
        <v>0.05</v>
      </c>
      <c r="H136">
        <v>-2.3365</v>
      </c>
      <c r="I136">
        <v>0</v>
      </c>
      <c r="J136">
        <v>0</v>
      </c>
      <c r="K136">
        <v>0</v>
      </c>
      <c r="L136">
        <v>0.3407</v>
      </c>
    </row>
    <row r="137" spans="1:12" x14ac:dyDescent="0.35">
      <c r="A137">
        <v>1.8</v>
      </c>
      <c r="B137">
        <v>0.66620000000000001</v>
      </c>
      <c r="C137">
        <v>9.7400000000000004E-3</v>
      </c>
      <c r="D137">
        <v>3.7399999999999998E-3</v>
      </c>
      <c r="E137">
        <v>-5.9499999999999997E-2</v>
      </c>
      <c r="F137">
        <v>1.3599999999999999E-2</v>
      </c>
      <c r="G137">
        <v>0.05</v>
      </c>
      <c r="H137">
        <v>-2.4205999999999999</v>
      </c>
      <c r="I137">
        <v>0</v>
      </c>
      <c r="J137">
        <v>0</v>
      </c>
      <c r="K137">
        <v>0</v>
      </c>
      <c r="L137">
        <v>0.33810000000000001</v>
      </c>
    </row>
    <row r="138" spans="1:12" x14ac:dyDescent="0.35">
      <c r="A138">
        <v>1.85</v>
      </c>
      <c r="B138">
        <v>0.6754</v>
      </c>
      <c r="C138">
        <v>9.9100000000000004E-3</v>
      </c>
      <c r="D138">
        <v>3.9699999999999996E-3</v>
      </c>
      <c r="E138">
        <v>-5.8599999999999999E-2</v>
      </c>
      <c r="F138">
        <v>1.3599999999999999E-2</v>
      </c>
      <c r="G138">
        <v>0.05</v>
      </c>
      <c r="H138">
        <v>-2.4992000000000001</v>
      </c>
      <c r="I138">
        <v>0</v>
      </c>
      <c r="J138">
        <v>0</v>
      </c>
      <c r="K138">
        <v>0</v>
      </c>
      <c r="L138">
        <v>0.33560000000000001</v>
      </c>
    </row>
    <row r="139" spans="1:12" x14ac:dyDescent="0.35">
      <c r="A139">
        <v>1.9</v>
      </c>
      <c r="B139">
        <v>0.68420000000000003</v>
      </c>
      <c r="C139">
        <v>1.0109999999999999E-2</v>
      </c>
      <c r="D139">
        <v>4.2199999999999998E-3</v>
      </c>
      <c r="E139">
        <v>-5.7700000000000001E-2</v>
      </c>
      <c r="F139">
        <v>1.35E-2</v>
      </c>
      <c r="G139">
        <v>0.05</v>
      </c>
      <c r="H139">
        <v>-2.5716999999999999</v>
      </c>
      <c r="I139">
        <v>0</v>
      </c>
      <c r="J139">
        <v>0</v>
      </c>
      <c r="K139">
        <v>0</v>
      </c>
      <c r="L139">
        <v>0.33300000000000002</v>
      </c>
    </row>
    <row r="140" spans="1:12" x14ac:dyDescent="0.35">
      <c r="A140">
        <v>1.95</v>
      </c>
      <c r="B140">
        <v>0.69269999999999998</v>
      </c>
      <c r="C140">
        <v>1.0319999999999999E-2</v>
      </c>
      <c r="D140">
        <v>4.4799999999999996E-3</v>
      </c>
      <c r="E140">
        <v>-5.6599999999999998E-2</v>
      </c>
      <c r="F140">
        <v>1.35E-2</v>
      </c>
      <c r="G140">
        <v>0.05</v>
      </c>
      <c r="H140">
        <v>-2.6379999999999999</v>
      </c>
      <c r="I140">
        <v>0</v>
      </c>
      <c r="J140">
        <v>0</v>
      </c>
      <c r="K140">
        <v>0</v>
      </c>
      <c r="L140">
        <v>0.33050000000000002</v>
      </c>
    </row>
    <row r="141" spans="1:12" x14ac:dyDescent="0.35">
      <c r="A141">
        <v>2</v>
      </c>
      <c r="B141">
        <v>0.70099999999999996</v>
      </c>
      <c r="C141">
        <v>1.055E-2</v>
      </c>
      <c r="D141">
        <v>4.7699999999999999E-3</v>
      </c>
      <c r="E141">
        <v>-5.5599999999999997E-2</v>
      </c>
      <c r="F141">
        <v>1.34E-2</v>
      </c>
      <c r="G141">
        <v>0.05</v>
      </c>
      <c r="H141">
        <v>-2.6978</v>
      </c>
      <c r="I141">
        <v>0</v>
      </c>
      <c r="J141">
        <v>0</v>
      </c>
      <c r="K141">
        <v>0</v>
      </c>
      <c r="L141">
        <v>0.32800000000000001</v>
      </c>
    </row>
    <row r="142" spans="1:12" x14ac:dyDescent="0.35">
      <c r="A142">
        <v>2.0499999999999998</v>
      </c>
      <c r="B142">
        <v>0.70909999999999995</v>
      </c>
      <c r="C142">
        <v>1.0800000000000001E-2</v>
      </c>
      <c r="D142">
        <v>5.0699999999999999E-3</v>
      </c>
      <c r="E142">
        <v>-5.4399999999999997E-2</v>
      </c>
      <c r="F142">
        <v>1.3299999999999999E-2</v>
      </c>
      <c r="G142">
        <v>0.05</v>
      </c>
      <c r="H142">
        <v>-2.7509999999999999</v>
      </c>
      <c r="I142">
        <v>0</v>
      </c>
      <c r="J142">
        <v>0</v>
      </c>
      <c r="K142">
        <v>0</v>
      </c>
      <c r="L142">
        <v>0.32540000000000002</v>
      </c>
    </row>
    <row r="143" spans="1:12" x14ac:dyDescent="0.35">
      <c r="A143">
        <v>2.1</v>
      </c>
      <c r="B143">
        <v>0.71719999999999995</v>
      </c>
      <c r="C143">
        <v>1.106E-2</v>
      </c>
      <c r="D143">
        <v>5.3899999999999998E-3</v>
      </c>
      <c r="E143">
        <v>-5.33E-2</v>
      </c>
      <c r="F143">
        <v>1.32E-2</v>
      </c>
      <c r="G143">
        <v>0.05</v>
      </c>
      <c r="H143">
        <v>-2.7974000000000001</v>
      </c>
      <c r="I143">
        <v>0</v>
      </c>
      <c r="J143">
        <v>0</v>
      </c>
      <c r="K143">
        <v>0</v>
      </c>
      <c r="L143">
        <v>0.32290000000000002</v>
      </c>
    </row>
    <row r="144" spans="1:12" x14ac:dyDescent="0.35">
      <c r="A144">
        <v>2.15</v>
      </c>
      <c r="B144">
        <v>0.72529999999999994</v>
      </c>
      <c r="C144">
        <v>1.1339999999999999E-2</v>
      </c>
      <c r="D144">
        <v>5.7299999999999999E-3</v>
      </c>
      <c r="E144">
        <v>-5.21E-2</v>
      </c>
      <c r="F144">
        <v>1.2999999999999999E-2</v>
      </c>
      <c r="G144">
        <v>0.05</v>
      </c>
      <c r="H144">
        <v>-2.8378999999999999</v>
      </c>
      <c r="I144">
        <v>0</v>
      </c>
      <c r="J144">
        <v>0</v>
      </c>
      <c r="K144">
        <v>0</v>
      </c>
      <c r="L144">
        <v>0.32050000000000001</v>
      </c>
    </row>
    <row r="145" spans="1:12" x14ac:dyDescent="0.35">
      <c r="A145">
        <v>2.2000000000000002</v>
      </c>
      <c r="B145">
        <v>0.73370000000000002</v>
      </c>
      <c r="C145">
        <v>1.1639999999999999E-2</v>
      </c>
      <c r="D145">
        <v>6.0800000000000003E-3</v>
      </c>
      <c r="E145">
        <v>-5.0999999999999997E-2</v>
      </c>
      <c r="F145">
        <v>1.29E-2</v>
      </c>
      <c r="G145">
        <v>0.05</v>
      </c>
      <c r="H145">
        <v>-2.8730000000000002</v>
      </c>
      <c r="I145">
        <v>0</v>
      </c>
      <c r="J145">
        <v>0</v>
      </c>
      <c r="K145">
        <v>0</v>
      </c>
      <c r="L145">
        <v>0.318</v>
      </c>
    </row>
    <row r="146" spans="1:12" x14ac:dyDescent="0.35">
      <c r="A146">
        <v>2.25</v>
      </c>
      <c r="B146">
        <v>0.74250000000000005</v>
      </c>
      <c r="C146">
        <v>1.196E-2</v>
      </c>
      <c r="D146">
        <v>6.45E-3</v>
      </c>
      <c r="E146">
        <v>-4.9799999999999997E-2</v>
      </c>
      <c r="F146">
        <v>1.2699999999999999E-2</v>
      </c>
      <c r="G146">
        <v>0.05</v>
      </c>
      <c r="H146">
        <v>-2.9030999999999998</v>
      </c>
      <c r="I146">
        <v>0</v>
      </c>
      <c r="J146">
        <v>0</v>
      </c>
      <c r="K146">
        <v>0</v>
      </c>
      <c r="L146">
        <v>0.31569999999999998</v>
      </c>
    </row>
    <row r="147" spans="1:12" x14ac:dyDescent="0.35">
      <c r="A147">
        <v>2.2999999999999998</v>
      </c>
      <c r="B147">
        <v>0.75170000000000003</v>
      </c>
      <c r="C147">
        <v>1.2290000000000001E-2</v>
      </c>
      <c r="D147">
        <v>6.8500000000000002E-3</v>
      </c>
      <c r="E147">
        <v>-4.8800000000000003E-2</v>
      </c>
      <c r="F147">
        <v>1.26E-2</v>
      </c>
      <c r="G147">
        <v>0.05</v>
      </c>
      <c r="H147">
        <v>-2.9293</v>
      </c>
      <c r="I147">
        <v>0</v>
      </c>
      <c r="J147">
        <v>0</v>
      </c>
      <c r="K147">
        <v>0</v>
      </c>
      <c r="L147">
        <v>0.31340000000000001</v>
      </c>
    </row>
    <row r="148" spans="1:12" x14ac:dyDescent="0.35">
      <c r="A148">
        <v>2.35</v>
      </c>
      <c r="B148">
        <v>0.76129999999999998</v>
      </c>
      <c r="C148">
        <v>1.265E-2</v>
      </c>
      <c r="D148">
        <v>7.26E-3</v>
      </c>
      <c r="E148">
        <v>-4.7699999999999999E-2</v>
      </c>
      <c r="F148">
        <v>1.24E-2</v>
      </c>
      <c r="G148">
        <v>0.05</v>
      </c>
      <c r="H148">
        <v>-2.9514</v>
      </c>
      <c r="I148">
        <v>0</v>
      </c>
      <c r="J148">
        <v>0</v>
      </c>
      <c r="K148">
        <v>0</v>
      </c>
      <c r="L148">
        <v>0.31109999999999999</v>
      </c>
    </row>
    <row r="149" spans="1:12" x14ac:dyDescent="0.35">
      <c r="A149">
        <v>2.4</v>
      </c>
      <c r="B149">
        <v>0.7712</v>
      </c>
      <c r="C149">
        <v>1.303E-2</v>
      </c>
      <c r="D149">
        <v>7.7000000000000002E-3</v>
      </c>
      <c r="E149">
        <v>-4.6699999999999998E-2</v>
      </c>
      <c r="F149">
        <v>1.23E-2</v>
      </c>
      <c r="G149">
        <v>0.05</v>
      </c>
      <c r="H149">
        <v>-2.9704999999999999</v>
      </c>
      <c r="I149">
        <v>0</v>
      </c>
      <c r="J149">
        <v>0</v>
      </c>
      <c r="K149">
        <v>0</v>
      </c>
      <c r="L149">
        <v>0.309</v>
      </c>
    </row>
    <row r="150" spans="1:12" x14ac:dyDescent="0.35">
      <c r="A150">
        <v>2.4500000000000002</v>
      </c>
      <c r="B150">
        <v>0.78149999999999997</v>
      </c>
      <c r="C150">
        <v>1.3429999999999999E-2</v>
      </c>
      <c r="D150">
        <v>8.1700000000000002E-3</v>
      </c>
      <c r="E150">
        <v>-4.5699999999999998E-2</v>
      </c>
      <c r="F150">
        <v>1.2200000000000001E-2</v>
      </c>
      <c r="G150">
        <v>0.05</v>
      </c>
      <c r="H150">
        <v>-2.9864000000000002</v>
      </c>
      <c r="I150">
        <v>0</v>
      </c>
      <c r="J150">
        <v>0</v>
      </c>
      <c r="K150">
        <v>0</v>
      </c>
      <c r="L150">
        <v>0.30690000000000001</v>
      </c>
    </row>
    <row r="151" spans="1:12" x14ac:dyDescent="0.35">
      <c r="A151">
        <v>2.5</v>
      </c>
      <c r="B151">
        <v>0.79190000000000005</v>
      </c>
      <c r="C151">
        <v>1.3860000000000001E-2</v>
      </c>
      <c r="D151">
        <v>8.6700000000000006E-3</v>
      </c>
      <c r="E151">
        <v>-4.48E-2</v>
      </c>
      <c r="F151">
        <v>1.2E-2</v>
      </c>
      <c r="G151">
        <v>0.05</v>
      </c>
      <c r="H151">
        <v>-2.9994999999999998</v>
      </c>
      <c r="I151">
        <v>0</v>
      </c>
      <c r="J151">
        <v>0</v>
      </c>
      <c r="K151">
        <v>0</v>
      </c>
      <c r="L151">
        <v>0.3049</v>
      </c>
    </row>
    <row r="152" spans="1:12" x14ac:dyDescent="0.35">
      <c r="A152">
        <v>2.5499999999999998</v>
      </c>
      <c r="B152">
        <v>0.80220000000000002</v>
      </c>
      <c r="C152">
        <v>1.431E-2</v>
      </c>
      <c r="D152">
        <v>9.1900000000000003E-3</v>
      </c>
      <c r="E152">
        <v>-4.3799999999999999E-2</v>
      </c>
      <c r="F152">
        <v>1.1900000000000001E-2</v>
      </c>
      <c r="G152">
        <v>0.05</v>
      </c>
      <c r="H152">
        <v>-3.0097999999999998</v>
      </c>
      <c r="I152">
        <v>0</v>
      </c>
      <c r="J152">
        <v>0</v>
      </c>
      <c r="K152">
        <v>0</v>
      </c>
      <c r="L152">
        <v>0.30299999999999999</v>
      </c>
    </row>
    <row r="153" spans="1:12" x14ac:dyDescent="0.35">
      <c r="A153">
        <v>2.6</v>
      </c>
      <c r="B153">
        <v>0.81220000000000003</v>
      </c>
      <c r="C153">
        <v>1.478E-2</v>
      </c>
      <c r="D153">
        <v>9.7400000000000004E-3</v>
      </c>
      <c r="E153">
        <v>-4.2799999999999998E-2</v>
      </c>
      <c r="F153">
        <v>1.18E-2</v>
      </c>
      <c r="G153">
        <v>0.05</v>
      </c>
      <c r="H153">
        <v>-3.0175999999999998</v>
      </c>
      <c r="I153">
        <v>0</v>
      </c>
      <c r="J153">
        <v>0</v>
      </c>
      <c r="K153">
        <v>0</v>
      </c>
      <c r="L153">
        <v>0.30109999999999998</v>
      </c>
    </row>
    <row r="154" spans="1:12" x14ac:dyDescent="0.35">
      <c r="A154">
        <v>2.65</v>
      </c>
      <c r="B154">
        <v>0.82189999999999996</v>
      </c>
      <c r="C154">
        <v>1.5270000000000001E-2</v>
      </c>
      <c r="D154">
        <v>1.031E-2</v>
      </c>
      <c r="E154">
        <v>-4.19E-2</v>
      </c>
      <c r="F154">
        <v>1.17E-2</v>
      </c>
      <c r="G154">
        <v>0.05</v>
      </c>
      <c r="H154">
        <v>-3.0228000000000002</v>
      </c>
      <c r="I154">
        <v>0</v>
      </c>
      <c r="J154">
        <v>0</v>
      </c>
      <c r="K154">
        <v>0</v>
      </c>
      <c r="L154">
        <v>0.29920000000000002</v>
      </c>
    </row>
    <row r="155" spans="1:12" x14ac:dyDescent="0.35">
      <c r="A155">
        <v>2.7</v>
      </c>
      <c r="B155">
        <v>0.83120000000000005</v>
      </c>
      <c r="C155">
        <v>1.5789999999999998E-2</v>
      </c>
      <c r="D155">
        <v>1.091E-2</v>
      </c>
      <c r="E155">
        <v>-4.0899999999999999E-2</v>
      </c>
      <c r="F155">
        <v>1.1599999999999999E-2</v>
      </c>
      <c r="G155">
        <v>0.05</v>
      </c>
      <c r="H155">
        <v>-3.0257000000000001</v>
      </c>
      <c r="I155">
        <v>0</v>
      </c>
      <c r="J155">
        <v>0</v>
      </c>
      <c r="K155">
        <v>0</v>
      </c>
      <c r="L155">
        <v>0.2974</v>
      </c>
    </row>
    <row r="156" spans="1:12" x14ac:dyDescent="0.35">
      <c r="A156">
        <v>2.75</v>
      </c>
      <c r="B156">
        <v>0.83979999999999999</v>
      </c>
      <c r="C156">
        <v>1.6330000000000001E-2</v>
      </c>
      <c r="D156">
        <v>1.153E-2</v>
      </c>
      <c r="E156">
        <v>-3.9899999999999998E-2</v>
      </c>
      <c r="F156">
        <v>1.15E-2</v>
      </c>
      <c r="G156">
        <v>0.05</v>
      </c>
      <c r="H156">
        <v>-3.0263</v>
      </c>
      <c r="I156">
        <v>0</v>
      </c>
      <c r="J156">
        <v>0</v>
      </c>
      <c r="K156">
        <v>0</v>
      </c>
      <c r="L156">
        <v>0.29570000000000002</v>
      </c>
    </row>
    <row r="157" spans="1:12" x14ac:dyDescent="0.35">
      <c r="A157">
        <v>2.8</v>
      </c>
      <c r="B157">
        <v>0.8478</v>
      </c>
      <c r="C157">
        <v>1.6889999999999999E-2</v>
      </c>
      <c r="D157">
        <v>1.217E-2</v>
      </c>
      <c r="E157">
        <v>-3.8800000000000001E-2</v>
      </c>
      <c r="F157">
        <v>1.14E-2</v>
      </c>
      <c r="G157">
        <v>0.05</v>
      </c>
      <c r="H157">
        <v>-3.0253000000000001</v>
      </c>
      <c r="I157">
        <v>0</v>
      </c>
      <c r="J157">
        <v>0</v>
      </c>
      <c r="K157">
        <v>0</v>
      </c>
      <c r="L157">
        <v>0.29399999999999998</v>
      </c>
    </row>
    <row r="158" spans="1:12" x14ac:dyDescent="0.35">
      <c r="A158">
        <v>2.85</v>
      </c>
      <c r="B158">
        <v>0.85509999999999997</v>
      </c>
      <c r="C158">
        <v>1.7479999999999999E-2</v>
      </c>
      <c r="D158">
        <v>1.2829999999999999E-2</v>
      </c>
      <c r="E158">
        <v>-3.78E-2</v>
      </c>
      <c r="F158">
        <v>1.1299999999999999E-2</v>
      </c>
      <c r="G158">
        <v>0.05</v>
      </c>
      <c r="H158">
        <v>-3.0228999999999999</v>
      </c>
      <c r="I158">
        <v>0</v>
      </c>
      <c r="J158">
        <v>0</v>
      </c>
      <c r="K158">
        <v>0</v>
      </c>
      <c r="L158">
        <v>0.29239999999999999</v>
      </c>
    </row>
    <row r="159" spans="1:12" x14ac:dyDescent="0.35">
      <c r="A159">
        <v>2.9</v>
      </c>
      <c r="B159">
        <v>0.86180000000000001</v>
      </c>
      <c r="C159">
        <v>1.8079999999999999E-2</v>
      </c>
      <c r="D159">
        <v>1.3520000000000001E-2</v>
      </c>
      <c r="E159">
        <v>-3.6700000000000003E-2</v>
      </c>
      <c r="F159">
        <v>1.12E-2</v>
      </c>
      <c r="G159">
        <v>0.05</v>
      </c>
      <c r="H159">
        <v>-3.0196999999999998</v>
      </c>
      <c r="I159">
        <v>0</v>
      </c>
      <c r="J159">
        <v>0</v>
      </c>
      <c r="K159">
        <v>0</v>
      </c>
      <c r="L159">
        <v>0.2908</v>
      </c>
    </row>
    <row r="160" spans="1:12" x14ac:dyDescent="0.35">
      <c r="A160">
        <v>2.95</v>
      </c>
      <c r="B160">
        <v>0.86780000000000002</v>
      </c>
      <c r="C160">
        <v>1.8689999999999998E-2</v>
      </c>
      <c r="D160">
        <v>1.421E-2</v>
      </c>
      <c r="E160">
        <v>-3.5700000000000003E-2</v>
      </c>
      <c r="F160">
        <v>1.0999999999999999E-2</v>
      </c>
      <c r="G160">
        <v>0.05</v>
      </c>
      <c r="H160">
        <v>-3.0164</v>
      </c>
      <c r="I160">
        <v>0</v>
      </c>
      <c r="J160">
        <v>0</v>
      </c>
      <c r="K160">
        <v>0</v>
      </c>
      <c r="L160">
        <v>0.28920000000000001</v>
      </c>
    </row>
    <row r="161" spans="1:12" x14ac:dyDescent="0.35">
      <c r="A161">
        <v>3</v>
      </c>
      <c r="B161">
        <v>0.87319999999999998</v>
      </c>
      <c r="C161">
        <v>1.933E-2</v>
      </c>
      <c r="D161">
        <v>1.4930000000000001E-2</v>
      </c>
      <c r="E161">
        <v>-3.4599999999999999E-2</v>
      </c>
      <c r="F161">
        <v>1.0800000000000001E-2</v>
      </c>
      <c r="G161">
        <v>0.05</v>
      </c>
      <c r="H161">
        <v>-3.0131000000000001</v>
      </c>
      <c r="I161">
        <v>0</v>
      </c>
      <c r="J161">
        <v>0</v>
      </c>
      <c r="K161">
        <v>0</v>
      </c>
      <c r="L161">
        <v>0.28770000000000001</v>
      </c>
    </row>
    <row r="162" spans="1:12" x14ac:dyDescent="0.35">
      <c r="A162">
        <v>3.05</v>
      </c>
      <c r="B162">
        <v>0.878</v>
      </c>
      <c r="C162">
        <v>1.9970000000000002E-2</v>
      </c>
      <c r="D162">
        <v>1.5650000000000001E-2</v>
      </c>
      <c r="E162">
        <v>-3.3599999999999998E-2</v>
      </c>
      <c r="F162">
        <v>1.0699999999999999E-2</v>
      </c>
      <c r="G162">
        <v>0.05</v>
      </c>
      <c r="H162">
        <v>-3.0099</v>
      </c>
      <c r="I162">
        <v>0</v>
      </c>
      <c r="J162">
        <v>0</v>
      </c>
      <c r="K162">
        <v>0</v>
      </c>
      <c r="L162">
        <v>0.2863</v>
      </c>
    </row>
    <row r="163" spans="1:12" x14ac:dyDescent="0.35">
      <c r="A163">
        <v>3.1</v>
      </c>
      <c r="B163">
        <v>0.8821</v>
      </c>
      <c r="C163">
        <v>2.0639999999999999E-2</v>
      </c>
      <c r="D163">
        <v>1.6389999999999998E-2</v>
      </c>
      <c r="E163">
        <v>-3.2500000000000001E-2</v>
      </c>
      <c r="F163">
        <v>1.06E-2</v>
      </c>
      <c r="G163">
        <v>0.05</v>
      </c>
      <c r="H163">
        <v>-3.0063</v>
      </c>
      <c r="I163">
        <v>0</v>
      </c>
      <c r="J163">
        <v>0</v>
      </c>
      <c r="K163">
        <v>0</v>
      </c>
      <c r="L163">
        <v>0.28489999999999999</v>
      </c>
    </row>
    <row r="164" spans="1:12" x14ac:dyDescent="0.35">
      <c r="A164">
        <v>3.15</v>
      </c>
      <c r="B164">
        <v>0.88560000000000005</v>
      </c>
      <c r="C164">
        <v>2.1309999999999999E-2</v>
      </c>
      <c r="D164">
        <v>1.7139999999999999E-2</v>
      </c>
      <c r="E164">
        <v>-3.15E-2</v>
      </c>
      <c r="F164">
        <v>1.0500000000000001E-2</v>
      </c>
      <c r="G164">
        <v>0.05</v>
      </c>
      <c r="H164">
        <v>-3.0021</v>
      </c>
      <c r="I164">
        <v>0</v>
      </c>
      <c r="J164">
        <v>0</v>
      </c>
      <c r="K164">
        <v>0</v>
      </c>
      <c r="L164">
        <v>0.28360000000000002</v>
      </c>
    </row>
    <row r="165" spans="1:12" x14ac:dyDescent="0.35">
      <c r="A165">
        <v>3.2</v>
      </c>
      <c r="B165">
        <v>0.88859999999999995</v>
      </c>
      <c r="C165">
        <v>2.1999999999999999E-2</v>
      </c>
      <c r="D165">
        <v>1.789E-2</v>
      </c>
      <c r="E165">
        <v>-3.0599999999999999E-2</v>
      </c>
      <c r="F165">
        <v>1.0500000000000001E-2</v>
      </c>
      <c r="G165">
        <v>0.05</v>
      </c>
      <c r="H165">
        <v>-2.9973000000000001</v>
      </c>
      <c r="I165">
        <v>0</v>
      </c>
      <c r="J165">
        <v>0</v>
      </c>
      <c r="K165">
        <v>0</v>
      </c>
      <c r="L165">
        <v>0.28239999999999998</v>
      </c>
    </row>
    <row r="166" spans="1:12" x14ac:dyDescent="0.35">
      <c r="A166">
        <v>3.25</v>
      </c>
      <c r="B166">
        <v>0.89100000000000001</v>
      </c>
      <c r="C166">
        <v>2.2710000000000001E-2</v>
      </c>
      <c r="D166">
        <v>1.866E-2</v>
      </c>
      <c r="E166">
        <v>-2.9600000000000001E-2</v>
      </c>
      <c r="F166">
        <v>1.0500000000000001E-2</v>
      </c>
      <c r="G166">
        <v>0.05</v>
      </c>
      <c r="H166">
        <v>-2.9918</v>
      </c>
      <c r="I166">
        <v>0</v>
      </c>
      <c r="J166">
        <v>0</v>
      </c>
      <c r="K166">
        <v>0</v>
      </c>
      <c r="L166">
        <v>0.28120000000000001</v>
      </c>
    </row>
    <row r="167" spans="1:12" x14ac:dyDescent="0.35">
      <c r="A167">
        <v>3.3</v>
      </c>
      <c r="B167">
        <v>0.89290000000000003</v>
      </c>
      <c r="C167">
        <v>2.342E-2</v>
      </c>
      <c r="D167">
        <v>1.9439999999999999E-2</v>
      </c>
      <c r="E167">
        <v>-2.87E-2</v>
      </c>
      <c r="F167">
        <v>1.04E-2</v>
      </c>
      <c r="G167">
        <v>0.05</v>
      </c>
      <c r="H167">
        <v>-2.9855999999999998</v>
      </c>
      <c r="I167">
        <v>0</v>
      </c>
      <c r="J167">
        <v>0</v>
      </c>
      <c r="K167">
        <v>0</v>
      </c>
      <c r="L167">
        <v>0.28010000000000002</v>
      </c>
    </row>
    <row r="168" spans="1:12" x14ac:dyDescent="0.35">
      <c r="A168">
        <v>3.35</v>
      </c>
      <c r="B168">
        <v>0.89429999999999998</v>
      </c>
      <c r="C168">
        <v>2.4150000000000001E-2</v>
      </c>
      <c r="D168">
        <v>2.0230000000000001E-2</v>
      </c>
      <c r="E168">
        <v>-2.7799999999999998E-2</v>
      </c>
      <c r="F168">
        <v>1.04E-2</v>
      </c>
      <c r="G168">
        <v>0.05</v>
      </c>
      <c r="H168">
        <v>-2.9790000000000001</v>
      </c>
      <c r="I168">
        <v>0</v>
      </c>
      <c r="J168">
        <v>0</v>
      </c>
      <c r="K168">
        <v>0</v>
      </c>
      <c r="L168">
        <v>0.27900000000000003</v>
      </c>
    </row>
    <row r="169" spans="1:12" x14ac:dyDescent="0.35">
      <c r="A169">
        <v>3.4</v>
      </c>
      <c r="B169">
        <v>0.89529999999999998</v>
      </c>
      <c r="C169">
        <v>2.4889999999999999E-2</v>
      </c>
      <c r="D169">
        <v>2.102E-2</v>
      </c>
      <c r="E169">
        <v>-2.7E-2</v>
      </c>
      <c r="F169">
        <v>1.04E-2</v>
      </c>
      <c r="G169">
        <v>0.05</v>
      </c>
      <c r="H169">
        <v>-2.9718</v>
      </c>
      <c r="I169">
        <v>0</v>
      </c>
      <c r="J169">
        <v>0</v>
      </c>
      <c r="K169">
        <v>0</v>
      </c>
      <c r="L169">
        <v>0.27810000000000001</v>
      </c>
    </row>
    <row r="170" spans="1:12" x14ac:dyDescent="0.35">
      <c r="A170">
        <v>3.45</v>
      </c>
      <c r="B170">
        <v>0.89570000000000005</v>
      </c>
      <c r="C170">
        <v>2.564E-2</v>
      </c>
      <c r="D170">
        <v>2.1829999999999999E-2</v>
      </c>
      <c r="E170">
        <v>-2.6200000000000001E-2</v>
      </c>
      <c r="F170">
        <v>1.04E-2</v>
      </c>
      <c r="G170">
        <v>0.05</v>
      </c>
      <c r="H170">
        <v>-2.9643000000000002</v>
      </c>
      <c r="I170">
        <v>0</v>
      </c>
      <c r="J170">
        <v>0</v>
      </c>
      <c r="K170">
        <v>0</v>
      </c>
      <c r="L170">
        <v>0.27710000000000001</v>
      </c>
    </row>
    <row r="171" spans="1:12" x14ac:dyDescent="0.35">
      <c r="A171">
        <v>3.5</v>
      </c>
      <c r="B171">
        <v>0.89570000000000005</v>
      </c>
      <c r="C171">
        <v>2.64E-2</v>
      </c>
      <c r="D171">
        <v>2.264E-2</v>
      </c>
      <c r="E171">
        <v>-2.5499999999999998E-2</v>
      </c>
      <c r="F171">
        <v>1.04E-2</v>
      </c>
      <c r="G171">
        <v>0.05</v>
      </c>
      <c r="H171">
        <v>-2.9622000000000002</v>
      </c>
      <c r="I171">
        <v>0</v>
      </c>
      <c r="J171">
        <v>0</v>
      </c>
      <c r="K171">
        <v>0</v>
      </c>
      <c r="L171">
        <v>0.27629999999999999</v>
      </c>
    </row>
    <row r="172" spans="1:12" x14ac:dyDescent="0.35">
      <c r="A172">
        <v>3.55</v>
      </c>
      <c r="B172">
        <v>0.89529999999999998</v>
      </c>
      <c r="C172">
        <v>2.7179999999999999E-2</v>
      </c>
      <c r="D172">
        <v>2.3460000000000002E-2</v>
      </c>
      <c r="E172">
        <v>-2.4799999999999999E-2</v>
      </c>
      <c r="F172">
        <v>1.04E-2</v>
      </c>
      <c r="G172">
        <v>0.05</v>
      </c>
      <c r="H172">
        <v>-2.98</v>
      </c>
      <c r="I172">
        <v>0</v>
      </c>
      <c r="J172">
        <v>0</v>
      </c>
      <c r="K172">
        <v>0</v>
      </c>
      <c r="L172">
        <v>0.27550000000000002</v>
      </c>
    </row>
    <row r="173" spans="1:12" x14ac:dyDescent="0.35">
      <c r="A173">
        <v>3.6</v>
      </c>
      <c r="B173">
        <v>0.89449999999999996</v>
      </c>
      <c r="C173">
        <v>2.7969999999999998E-2</v>
      </c>
      <c r="D173">
        <v>2.4299999999999999E-2</v>
      </c>
      <c r="E173">
        <v>-2.41E-2</v>
      </c>
      <c r="F173">
        <v>1.03E-2</v>
      </c>
      <c r="G173">
        <v>0.05</v>
      </c>
      <c r="H173">
        <v>-2.9969999999999999</v>
      </c>
      <c r="I173">
        <v>0</v>
      </c>
      <c r="J173">
        <v>0</v>
      </c>
      <c r="K173">
        <v>0</v>
      </c>
      <c r="L173">
        <v>0.27479999999999999</v>
      </c>
    </row>
    <row r="174" spans="1:12" x14ac:dyDescent="0.35">
      <c r="A174">
        <v>3.65</v>
      </c>
      <c r="B174">
        <v>0.89329999999999998</v>
      </c>
      <c r="C174">
        <v>2.8760000000000001E-2</v>
      </c>
      <c r="D174">
        <v>2.5139999999999999E-2</v>
      </c>
      <c r="E174">
        <v>-2.35E-2</v>
      </c>
      <c r="F174">
        <v>1.03E-2</v>
      </c>
      <c r="G174">
        <v>0.05</v>
      </c>
      <c r="H174">
        <v>-3.0122</v>
      </c>
      <c r="I174">
        <v>0</v>
      </c>
      <c r="J174">
        <v>0</v>
      </c>
      <c r="K174">
        <v>0</v>
      </c>
      <c r="L174">
        <v>0.27410000000000001</v>
      </c>
    </row>
    <row r="175" spans="1:12" x14ac:dyDescent="0.35">
      <c r="A175">
        <v>3.7</v>
      </c>
      <c r="B175">
        <v>0.89119999999999999</v>
      </c>
      <c r="C175">
        <v>2.9520000000000001E-2</v>
      </c>
      <c r="D175">
        <v>2.5940000000000001E-2</v>
      </c>
      <c r="E175">
        <v>-2.2800000000000001E-2</v>
      </c>
      <c r="F175">
        <v>1.01E-2</v>
      </c>
      <c r="G175">
        <v>0.05</v>
      </c>
      <c r="H175">
        <v>-3.0240999999999998</v>
      </c>
      <c r="I175">
        <v>0</v>
      </c>
      <c r="J175">
        <v>0</v>
      </c>
      <c r="K175">
        <v>0</v>
      </c>
      <c r="L175">
        <v>0.27339999999999998</v>
      </c>
    </row>
    <row r="176" spans="1:12" x14ac:dyDescent="0.35">
      <c r="A176">
        <v>3.75</v>
      </c>
      <c r="B176">
        <v>0.88800000000000001</v>
      </c>
      <c r="C176">
        <v>3.022E-2</v>
      </c>
      <c r="D176">
        <v>2.6669999999999999E-2</v>
      </c>
      <c r="E176">
        <v>-2.1999999999999999E-2</v>
      </c>
      <c r="F176">
        <v>9.9000000000000008E-3</v>
      </c>
      <c r="G176">
        <v>0.05</v>
      </c>
      <c r="H176">
        <v>-3.0329999999999999</v>
      </c>
      <c r="I176">
        <v>0</v>
      </c>
      <c r="J176">
        <v>0</v>
      </c>
      <c r="K176">
        <v>0</v>
      </c>
      <c r="L176">
        <v>0.27250000000000002</v>
      </c>
    </row>
    <row r="177" spans="1:12" x14ac:dyDescent="0.35">
      <c r="A177">
        <v>3.8</v>
      </c>
      <c r="B177">
        <v>0.88500000000000001</v>
      </c>
      <c r="C177">
        <v>3.0970000000000001E-2</v>
      </c>
      <c r="D177">
        <v>2.7449999999999999E-2</v>
      </c>
      <c r="E177">
        <v>-2.1299999999999999E-2</v>
      </c>
      <c r="F177">
        <v>9.7000000000000003E-3</v>
      </c>
      <c r="G177">
        <v>0.05</v>
      </c>
      <c r="H177">
        <v>-3.0404</v>
      </c>
      <c r="I177">
        <v>0</v>
      </c>
      <c r="J177">
        <v>0</v>
      </c>
      <c r="K177">
        <v>0</v>
      </c>
      <c r="L177">
        <v>0.27179999999999999</v>
      </c>
    </row>
    <row r="178" spans="1:12" x14ac:dyDescent="0.35">
      <c r="A178">
        <v>3.85</v>
      </c>
      <c r="B178">
        <v>0.88229999999999997</v>
      </c>
      <c r="C178">
        <v>3.1780000000000003E-2</v>
      </c>
      <c r="D178">
        <v>2.8289999999999999E-2</v>
      </c>
      <c r="E178">
        <v>-2.0799999999999999E-2</v>
      </c>
      <c r="F178">
        <v>9.4999999999999998E-3</v>
      </c>
      <c r="G178">
        <v>0.05</v>
      </c>
      <c r="H178">
        <v>-3.0464000000000002</v>
      </c>
      <c r="I178">
        <v>0</v>
      </c>
      <c r="J178">
        <v>0</v>
      </c>
      <c r="K178">
        <v>0</v>
      </c>
      <c r="L178">
        <v>0.27129999999999999</v>
      </c>
    </row>
    <row r="179" spans="1:12" x14ac:dyDescent="0.35">
      <c r="A179">
        <v>3.9</v>
      </c>
      <c r="B179">
        <v>0.87960000000000005</v>
      </c>
      <c r="C179">
        <v>3.2629999999999999E-2</v>
      </c>
      <c r="D179">
        <v>2.9170000000000001E-2</v>
      </c>
      <c r="E179">
        <v>-2.0500000000000001E-2</v>
      </c>
      <c r="F179">
        <v>9.2999999999999992E-3</v>
      </c>
      <c r="G179">
        <v>0.05</v>
      </c>
      <c r="H179">
        <v>-3.0501999999999998</v>
      </c>
      <c r="I179">
        <v>0</v>
      </c>
      <c r="J179">
        <v>0</v>
      </c>
      <c r="K179">
        <v>0</v>
      </c>
      <c r="L179">
        <v>0.27089999999999997</v>
      </c>
    </row>
    <row r="180" spans="1:12" x14ac:dyDescent="0.35">
      <c r="A180">
        <v>3.95</v>
      </c>
      <c r="B180">
        <v>0.87690000000000001</v>
      </c>
      <c r="C180">
        <v>3.3500000000000002E-2</v>
      </c>
      <c r="D180">
        <v>3.007E-2</v>
      </c>
      <c r="E180">
        <v>-2.0299999999999999E-2</v>
      </c>
      <c r="F180">
        <v>9.1999999999999998E-3</v>
      </c>
      <c r="G180">
        <v>0.05</v>
      </c>
      <c r="H180">
        <v>-3.0518999999999998</v>
      </c>
      <c r="I180">
        <v>0</v>
      </c>
      <c r="J180">
        <v>0</v>
      </c>
      <c r="K180">
        <v>0</v>
      </c>
      <c r="L180">
        <v>0.27079999999999999</v>
      </c>
    </row>
    <row r="181" spans="1:12" x14ac:dyDescent="0.35">
      <c r="A181">
        <v>4</v>
      </c>
      <c r="B181">
        <v>0.87419999999999998</v>
      </c>
      <c r="C181">
        <v>3.44E-2</v>
      </c>
      <c r="D181">
        <v>3.099E-2</v>
      </c>
      <c r="E181">
        <v>-2.0199999999999999E-2</v>
      </c>
      <c r="F181">
        <v>9.1000000000000004E-3</v>
      </c>
      <c r="G181">
        <v>0.05</v>
      </c>
      <c r="H181">
        <v>-3.0516999999999999</v>
      </c>
      <c r="I181">
        <v>0</v>
      </c>
      <c r="J181">
        <v>0</v>
      </c>
      <c r="K181">
        <v>0</v>
      </c>
      <c r="L181">
        <v>0.27079999999999999</v>
      </c>
    </row>
    <row r="182" spans="1:12" x14ac:dyDescent="0.35">
      <c r="A182">
        <v>4.05</v>
      </c>
      <c r="B182">
        <v>0.87139999999999995</v>
      </c>
      <c r="C182">
        <v>3.533E-2</v>
      </c>
      <c r="D182">
        <v>3.1949999999999999E-2</v>
      </c>
      <c r="E182">
        <v>-2.0299999999999999E-2</v>
      </c>
      <c r="F182">
        <v>8.9999999999999993E-3</v>
      </c>
      <c r="G182">
        <v>0.05</v>
      </c>
      <c r="H182">
        <v>-3.0495999999999999</v>
      </c>
      <c r="I182">
        <v>0</v>
      </c>
      <c r="J182">
        <v>0</v>
      </c>
      <c r="K182">
        <v>0</v>
      </c>
      <c r="L182">
        <v>0.27089999999999997</v>
      </c>
    </row>
    <row r="183" spans="1:12" x14ac:dyDescent="0.35">
      <c r="A183">
        <v>4.0999999999999996</v>
      </c>
      <c r="B183">
        <v>0.86870000000000003</v>
      </c>
      <c r="C183">
        <v>3.628E-2</v>
      </c>
      <c r="D183">
        <v>3.2930000000000001E-2</v>
      </c>
      <c r="E183">
        <v>-2.0500000000000001E-2</v>
      </c>
      <c r="F183">
        <v>8.8000000000000005E-3</v>
      </c>
      <c r="G183">
        <v>0.05</v>
      </c>
      <c r="H183">
        <v>-3.0461</v>
      </c>
      <c r="I183">
        <v>0</v>
      </c>
      <c r="J183">
        <v>0</v>
      </c>
      <c r="K183">
        <v>0</v>
      </c>
      <c r="L183">
        <v>0.2712</v>
      </c>
    </row>
    <row r="184" spans="1:12" x14ac:dyDescent="0.35">
      <c r="A184">
        <v>4.1500000000000004</v>
      </c>
      <c r="B184">
        <v>0.86609999999999998</v>
      </c>
      <c r="C184">
        <v>3.7269999999999998E-2</v>
      </c>
      <c r="D184">
        <v>3.3930000000000002E-2</v>
      </c>
      <c r="E184">
        <v>-2.0799999999999999E-2</v>
      </c>
      <c r="F184">
        <v>8.6999999999999994E-3</v>
      </c>
      <c r="G184">
        <v>0.05</v>
      </c>
      <c r="H184">
        <v>-3.0411000000000001</v>
      </c>
      <c r="I184">
        <v>0</v>
      </c>
      <c r="J184">
        <v>0</v>
      </c>
      <c r="K184">
        <v>0</v>
      </c>
      <c r="L184">
        <v>0.27160000000000001</v>
      </c>
    </row>
    <row r="185" spans="1:12" x14ac:dyDescent="0.35">
      <c r="A185">
        <v>4.2</v>
      </c>
      <c r="B185">
        <v>0.86339999999999995</v>
      </c>
      <c r="C185">
        <v>3.8280000000000002E-2</v>
      </c>
      <c r="D185">
        <v>3.4970000000000001E-2</v>
      </c>
      <c r="E185">
        <v>-2.1299999999999999E-2</v>
      </c>
      <c r="F185">
        <v>8.6E-3</v>
      </c>
      <c r="G185">
        <v>0.05</v>
      </c>
      <c r="H185">
        <v>-3.0348999999999999</v>
      </c>
      <c r="I185">
        <v>0</v>
      </c>
      <c r="J185">
        <v>0</v>
      </c>
      <c r="K185">
        <v>0</v>
      </c>
      <c r="L185">
        <v>0.2722</v>
      </c>
    </row>
    <row r="186" spans="1:12" x14ac:dyDescent="0.35">
      <c r="A186">
        <v>4.25</v>
      </c>
      <c r="B186">
        <v>0.8609</v>
      </c>
      <c r="C186">
        <v>3.9320000000000001E-2</v>
      </c>
      <c r="D186">
        <v>3.603E-2</v>
      </c>
      <c r="E186">
        <v>-2.18E-2</v>
      </c>
      <c r="F186">
        <v>8.5000000000000006E-3</v>
      </c>
      <c r="G186">
        <v>0.05</v>
      </c>
      <c r="H186">
        <v>-3.0276999999999998</v>
      </c>
      <c r="I186">
        <v>0</v>
      </c>
      <c r="J186">
        <v>0</v>
      </c>
      <c r="K186">
        <v>0</v>
      </c>
      <c r="L186">
        <v>0.27279999999999999</v>
      </c>
    </row>
    <row r="187" spans="1:12" x14ac:dyDescent="0.35">
      <c r="A187">
        <v>4.3</v>
      </c>
      <c r="B187">
        <v>0.85850000000000004</v>
      </c>
      <c r="C187">
        <v>4.0390000000000002E-2</v>
      </c>
      <c r="D187">
        <v>3.712E-2</v>
      </c>
      <c r="E187">
        <v>-2.2499999999999999E-2</v>
      </c>
      <c r="F187">
        <v>8.3000000000000001E-3</v>
      </c>
      <c r="G187">
        <v>0.05</v>
      </c>
      <c r="H187">
        <v>-3.0196999999999998</v>
      </c>
      <c r="I187">
        <v>0</v>
      </c>
      <c r="J187">
        <v>0</v>
      </c>
      <c r="K187">
        <v>0</v>
      </c>
      <c r="L187">
        <v>0.27360000000000001</v>
      </c>
    </row>
    <row r="188" spans="1:12" x14ac:dyDescent="0.35">
      <c r="A188">
        <v>4.3499999999999996</v>
      </c>
      <c r="B188">
        <v>0.85609999999999997</v>
      </c>
      <c r="C188">
        <v>4.1489999999999999E-2</v>
      </c>
      <c r="D188">
        <v>3.823E-2</v>
      </c>
      <c r="E188">
        <v>-2.3199999999999998E-2</v>
      </c>
      <c r="F188">
        <v>8.2000000000000007E-3</v>
      </c>
      <c r="G188">
        <v>0.05</v>
      </c>
      <c r="H188">
        <v>-3.0112000000000001</v>
      </c>
      <c r="I188">
        <v>0</v>
      </c>
      <c r="J188">
        <v>0</v>
      </c>
      <c r="K188">
        <v>0</v>
      </c>
      <c r="L188">
        <v>0.27460000000000001</v>
      </c>
    </row>
    <row r="189" spans="1:12" x14ac:dyDescent="0.35">
      <c r="A189">
        <v>4.4000000000000004</v>
      </c>
      <c r="B189">
        <v>0.85389999999999999</v>
      </c>
      <c r="C189">
        <v>4.2610000000000002E-2</v>
      </c>
      <c r="D189">
        <v>3.9370000000000002E-2</v>
      </c>
      <c r="E189">
        <v>-2.4E-2</v>
      </c>
      <c r="F189">
        <v>8.0000000000000002E-3</v>
      </c>
      <c r="G189">
        <v>0.05</v>
      </c>
      <c r="H189">
        <v>-3.0026000000000002</v>
      </c>
      <c r="I189">
        <v>0</v>
      </c>
      <c r="J189">
        <v>0</v>
      </c>
      <c r="K189">
        <v>0</v>
      </c>
      <c r="L189">
        <v>0.27560000000000001</v>
      </c>
    </row>
    <row r="190" spans="1:12" x14ac:dyDescent="0.35">
      <c r="A190">
        <v>4.45</v>
      </c>
      <c r="B190">
        <v>0.8518</v>
      </c>
      <c r="C190">
        <v>4.3770000000000003E-2</v>
      </c>
      <c r="D190">
        <v>4.054E-2</v>
      </c>
      <c r="E190">
        <v>-2.5000000000000001E-2</v>
      </c>
      <c r="F190">
        <v>7.9000000000000008E-3</v>
      </c>
      <c r="G190">
        <v>0.05</v>
      </c>
      <c r="H190">
        <v>-2.9943</v>
      </c>
      <c r="I190">
        <v>0</v>
      </c>
      <c r="J190">
        <v>0</v>
      </c>
      <c r="K190">
        <v>0</v>
      </c>
      <c r="L190">
        <v>0.2767</v>
      </c>
    </row>
    <row r="191" spans="1:12" x14ac:dyDescent="0.35">
      <c r="A191">
        <v>4.5</v>
      </c>
      <c r="B191">
        <v>0.84989999999999999</v>
      </c>
      <c r="C191">
        <v>4.4940000000000001E-2</v>
      </c>
      <c r="D191">
        <v>4.172E-2</v>
      </c>
      <c r="E191">
        <v>-2.5999999999999999E-2</v>
      </c>
      <c r="F191">
        <v>7.7000000000000002E-3</v>
      </c>
      <c r="G191">
        <v>0.05</v>
      </c>
      <c r="H191">
        <v>-2.9864999999999999</v>
      </c>
      <c r="I191">
        <v>0</v>
      </c>
      <c r="J191">
        <v>0</v>
      </c>
      <c r="K191">
        <v>0</v>
      </c>
      <c r="L191">
        <v>0.27789999999999998</v>
      </c>
    </row>
    <row r="192" spans="1:12" x14ac:dyDescent="0.35">
      <c r="A192">
        <v>4.55</v>
      </c>
      <c r="B192">
        <v>0.84809999999999997</v>
      </c>
      <c r="C192">
        <v>4.614E-2</v>
      </c>
      <c r="D192">
        <v>4.2930000000000003E-2</v>
      </c>
      <c r="E192">
        <v>-2.7E-2</v>
      </c>
      <c r="F192">
        <v>7.6E-3</v>
      </c>
      <c r="G192">
        <v>0.05</v>
      </c>
      <c r="H192">
        <v>-2.9794</v>
      </c>
      <c r="I192">
        <v>0</v>
      </c>
      <c r="J192">
        <v>0</v>
      </c>
      <c r="K192">
        <v>0</v>
      </c>
      <c r="L192">
        <v>0.2792</v>
      </c>
    </row>
    <row r="193" spans="1:12" x14ac:dyDescent="0.35">
      <c r="A193">
        <v>4.5999999999999996</v>
      </c>
      <c r="B193">
        <v>0.84650000000000003</v>
      </c>
      <c r="C193">
        <v>4.7359999999999999E-2</v>
      </c>
      <c r="D193">
        <v>4.4159999999999998E-2</v>
      </c>
      <c r="E193">
        <v>-2.81E-2</v>
      </c>
      <c r="F193">
        <v>7.4000000000000003E-3</v>
      </c>
      <c r="G193">
        <v>0.05</v>
      </c>
      <c r="H193">
        <v>-2.9727999999999999</v>
      </c>
      <c r="I193">
        <v>0</v>
      </c>
      <c r="J193">
        <v>0</v>
      </c>
      <c r="K193">
        <v>0</v>
      </c>
      <c r="L193">
        <v>0.28060000000000002</v>
      </c>
    </row>
    <row r="194" spans="1:12" x14ac:dyDescent="0.35">
      <c r="A194">
        <v>4.6500000000000004</v>
      </c>
      <c r="B194">
        <v>0.84499999999999997</v>
      </c>
      <c r="C194">
        <v>4.8599999999999997E-2</v>
      </c>
      <c r="D194">
        <v>4.5409999999999999E-2</v>
      </c>
      <c r="E194">
        <v>-2.93E-2</v>
      </c>
      <c r="F194">
        <v>7.3000000000000001E-3</v>
      </c>
      <c r="G194">
        <v>0.05</v>
      </c>
      <c r="H194">
        <v>-2.9666999999999999</v>
      </c>
      <c r="I194">
        <v>0</v>
      </c>
      <c r="J194">
        <v>0</v>
      </c>
      <c r="K194">
        <v>0</v>
      </c>
      <c r="L194">
        <v>0.28199999999999997</v>
      </c>
    </row>
    <row r="195" spans="1:12" x14ac:dyDescent="0.35">
      <c r="A195">
        <v>4.7</v>
      </c>
      <c r="B195">
        <v>0.84370000000000001</v>
      </c>
      <c r="C195">
        <v>4.9860000000000002E-2</v>
      </c>
      <c r="D195">
        <v>4.6679999999999999E-2</v>
      </c>
      <c r="E195">
        <v>-3.0599999999999999E-2</v>
      </c>
      <c r="F195">
        <v>7.1999999999999998E-3</v>
      </c>
      <c r="G195">
        <v>0.05</v>
      </c>
      <c r="H195">
        <v>-2.9609000000000001</v>
      </c>
      <c r="I195">
        <v>0</v>
      </c>
      <c r="J195">
        <v>0</v>
      </c>
      <c r="K195">
        <v>0</v>
      </c>
      <c r="L195">
        <v>0.28349999999999997</v>
      </c>
    </row>
    <row r="196" spans="1:12" x14ac:dyDescent="0.35">
      <c r="A196">
        <v>4.75</v>
      </c>
      <c r="B196">
        <v>0.84260000000000002</v>
      </c>
      <c r="C196">
        <v>5.1139999999999998E-2</v>
      </c>
      <c r="D196">
        <v>4.7969999999999999E-2</v>
      </c>
      <c r="E196">
        <v>-3.1800000000000002E-2</v>
      </c>
      <c r="F196">
        <v>7.1000000000000004E-3</v>
      </c>
      <c r="G196">
        <v>0.05</v>
      </c>
      <c r="H196">
        <v>-2.9554999999999998</v>
      </c>
      <c r="I196">
        <v>0</v>
      </c>
      <c r="J196">
        <v>0</v>
      </c>
      <c r="K196">
        <v>0</v>
      </c>
      <c r="L196">
        <v>0.28510000000000002</v>
      </c>
    </row>
    <row r="197" spans="1:12" x14ac:dyDescent="0.35">
      <c r="A197">
        <v>4.8</v>
      </c>
      <c r="B197">
        <v>0.84160000000000001</v>
      </c>
      <c r="C197">
        <v>5.2440000000000001E-2</v>
      </c>
      <c r="D197">
        <v>4.9279999999999997E-2</v>
      </c>
      <c r="E197">
        <v>-3.32E-2</v>
      </c>
      <c r="F197">
        <v>7.0000000000000001E-3</v>
      </c>
      <c r="G197">
        <v>0.05</v>
      </c>
      <c r="H197">
        <v>-2.9502000000000002</v>
      </c>
      <c r="I197">
        <v>0</v>
      </c>
      <c r="J197">
        <v>0</v>
      </c>
      <c r="K197">
        <v>0</v>
      </c>
      <c r="L197">
        <v>0.28670000000000001</v>
      </c>
    </row>
    <row r="198" spans="1:12" x14ac:dyDescent="0.35">
      <c r="A198">
        <v>4.8499999999999996</v>
      </c>
      <c r="B198">
        <v>0.8407</v>
      </c>
      <c r="C198">
        <v>5.3789999999999998E-2</v>
      </c>
      <c r="D198">
        <v>5.0639999999999998E-2</v>
      </c>
      <c r="E198">
        <v>-3.4599999999999999E-2</v>
      </c>
      <c r="F198">
        <v>6.8999999999999999E-3</v>
      </c>
      <c r="G198">
        <v>0.05</v>
      </c>
      <c r="H198">
        <v>-2.9275000000000002</v>
      </c>
      <c r="I198">
        <v>0</v>
      </c>
      <c r="J198">
        <v>0</v>
      </c>
      <c r="K198">
        <v>0</v>
      </c>
      <c r="L198">
        <v>0.28839999999999999</v>
      </c>
    </row>
    <row r="199" spans="1:12" x14ac:dyDescent="0.35">
      <c r="A199">
        <v>4.9000000000000004</v>
      </c>
      <c r="B199">
        <v>0.84</v>
      </c>
      <c r="C199">
        <v>5.518E-2</v>
      </c>
      <c r="D199">
        <v>5.203E-2</v>
      </c>
      <c r="E199">
        <v>-3.5999999999999997E-2</v>
      </c>
      <c r="F199">
        <v>6.7000000000000002E-3</v>
      </c>
      <c r="G199">
        <v>0.05</v>
      </c>
      <c r="H199">
        <v>-2.9041999999999999</v>
      </c>
      <c r="I199">
        <v>0</v>
      </c>
      <c r="J199">
        <v>0</v>
      </c>
      <c r="K199">
        <v>0</v>
      </c>
      <c r="L199">
        <v>0.29010000000000002</v>
      </c>
    </row>
    <row r="200" spans="1:12" x14ac:dyDescent="0.35">
      <c r="A200">
        <v>4.95</v>
      </c>
      <c r="B200">
        <v>0.83960000000000001</v>
      </c>
      <c r="C200">
        <v>5.6579999999999998E-2</v>
      </c>
      <c r="D200">
        <v>5.3440000000000001E-2</v>
      </c>
      <c r="E200">
        <v>-3.7600000000000001E-2</v>
      </c>
      <c r="F200">
        <v>6.7000000000000002E-3</v>
      </c>
      <c r="G200">
        <v>0.05</v>
      </c>
      <c r="H200">
        <v>-2.8822000000000001</v>
      </c>
      <c r="I200">
        <v>0</v>
      </c>
      <c r="J200">
        <v>0</v>
      </c>
      <c r="K200">
        <v>0</v>
      </c>
      <c r="L200">
        <v>0.29189999999999999</v>
      </c>
    </row>
    <row r="201" spans="1:12" x14ac:dyDescent="0.35">
      <c r="A201">
        <v>5</v>
      </c>
      <c r="B201">
        <v>0.83919999999999995</v>
      </c>
      <c r="C201">
        <v>5.7970000000000001E-2</v>
      </c>
      <c r="D201">
        <v>5.4820000000000001E-2</v>
      </c>
      <c r="E201">
        <v>-3.9E-2</v>
      </c>
      <c r="F201">
        <v>6.6E-3</v>
      </c>
      <c r="G201">
        <v>0.05</v>
      </c>
      <c r="H201">
        <v>-2.8613</v>
      </c>
      <c r="I201">
        <v>0</v>
      </c>
      <c r="J201">
        <v>0</v>
      </c>
      <c r="K201">
        <v>0</v>
      </c>
      <c r="L201">
        <v>0.29370000000000002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B96B5-5C2F-488E-B94B-F8D71D9B2C93}">
  <sheetPr codeName="Sheet30"/>
  <dimension ref="A1:L202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-5</v>
      </c>
      <c r="B2">
        <v>-0.38300000000000001</v>
      </c>
      <c r="C2">
        <v>6.1249999999999999E-2</v>
      </c>
      <c r="D2">
        <v>5.7389999999999997E-2</v>
      </c>
      <c r="E2">
        <v>-4.8599999999999997E-2</v>
      </c>
      <c r="F2">
        <v>0.05</v>
      </c>
      <c r="G2">
        <v>3.2000000000000002E-3</v>
      </c>
      <c r="H2">
        <v>-2.3176000000000001</v>
      </c>
      <c r="I2">
        <v>0</v>
      </c>
      <c r="J2">
        <v>0</v>
      </c>
      <c r="K2">
        <v>0</v>
      </c>
      <c r="L2">
        <v>0.1203</v>
      </c>
    </row>
    <row r="3" spans="1:12" x14ac:dyDescent="0.35">
      <c r="A3">
        <v>-4.95</v>
      </c>
      <c r="B3">
        <v>-0.38129999999999997</v>
      </c>
      <c r="C3">
        <v>6.0400000000000002E-2</v>
      </c>
      <c r="D3">
        <v>5.6550000000000003E-2</v>
      </c>
      <c r="E3">
        <v>-4.9200000000000001E-2</v>
      </c>
      <c r="F3">
        <v>0.05</v>
      </c>
      <c r="G3">
        <v>3.3E-3</v>
      </c>
      <c r="H3">
        <v>-2.3250999999999999</v>
      </c>
      <c r="I3">
        <v>0</v>
      </c>
      <c r="J3">
        <v>0</v>
      </c>
      <c r="K3">
        <v>0</v>
      </c>
      <c r="L3">
        <v>0.1182</v>
      </c>
    </row>
    <row r="4" spans="1:12" x14ac:dyDescent="0.35">
      <c r="A4">
        <v>-4.9000000000000004</v>
      </c>
      <c r="B4">
        <v>-0.37969999999999998</v>
      </c>
      <c r="C4">
        <v>5.9549999999999999E-2</v>
      </c>
      <c r="D4">
        <v>5.57E-2</v>
      </c>
      <c r="E4">
        <v>-4.9799999999999997E-2</v>
      </c>
      <c r="F4">
        <v>0.05</v>
      </c>
      <c r="G4">
        <v>3.3E-3</v>
      </c>
      <c r="H4">
        <v>-2.3325999999999998</v>
      </c>
      <c r="I4">
        <v>0</v>
      </c>
      <c r="J4">
        <v>0</v>
      </c>
      <c r="K4">
        <v>0</v>
      </c>
      <c r="L4">
        <v>0.11600000000000001</v>
      </c>
    </row>
    <row r="5" spans="1:12" x14ac:dyDescent="0.35">
      <c r="A5">
        <v>-4.8499999999999996</v>
      </c>
      <c r="B5">
        <v>-0.378</v>
      </c>
      <c r="C5">
        <v>5.8700000000000002E-2</v>
      </c>
      <c r="D5">
        <v>5.4859999999999999E-2</v>
      </c>
      <c r="E5">
        <v>-5.0500000000000003E-2</v>
      </c>
      <c r="F5">
        <v>0.05</v>
      </c>
      <c r="G5">
        <v>3.3E-3</v>
      </c>
      <c r="H5">
        <v>-2.3401999999999998</v>
      </c>
      <c r="I5">
        <v>0</v>
      </c>
      <c r="J5">
        <v>0</v>
      </c>
      <c r="K5">
        <v>0</v>
      </c>
      <c r="L5">
        <v>0.1138</v>
      </c>
    </row>
    <row r="6" spans="1:12" x14ac:dyDescent="0.35">
      <c r="A6">
        <v>-4.8</v>
      </c>
      <c r="B6">
        <v>-0.37640000000000001</v>
      </c>
      <c r="C6">
        <v>5.7849999999999999E-2</v>
      </c>
      <c r="D6">
        <v>5.4010000000000002E-2</v>
      </c>
      <c r="E6">
        <v>-5.11E-2</v>
      </c>
      <c r="F6">
        <v>0.05</v>
      </c>
      <c r="G6">
        <v>3.3999999999999998E-3</v>
      </c>
      <c r="H6">
        <v>-2.3479000000000001</v>
      </c>
      <c r="I6">
        <v>0</v>
      </c>
      <c r="J6">
        <v>0</v>
      </c>
      <c r="K6">
        <v>0</v>
      </c>
      <c r="L6">
        <v>0.1115</v>
      </c>
    </row>
    <row r="7" spans="1:12" x14ac:dyDescent="0.35">
      <c r="A7">
        <v>-4.75</v>
      </c>
      <c r="B7">
        <v>-0.37480000000000002</v>
      </c>
      <c r="C7">
        <v>5.7000000000000002E-2</v>
      </c>
      <c r="D7">
        <v>5.3159999999999999E-2</v>
      </c>
      <c r="E7">
        <v>-5.1799999999999999E-2</v>
      </c>
      <c r="F7">
        <v>0.05</v>
      </c>
      <c r="G7">
        <v>3.3999999999999998E-3</v>
      </c>
      <c r="H7">
        <v>-2.3555999999999999</v>
      </c>
      <c r="I7">
        <v>0</v>
      </c>
      <c r="J7">
        <v>0</v>
      </c>
      <c r="K7">
        <v>0</v>
      </c>
      <c r="L7">
        <v>0.10920000000000001</v>
      </c>
    </row>
    <row r="8" spans="1:12" x14ac:dyDescent="0.35">
      <c r="A8">
        <v>-4.7</v>
      </c>
      <c r="B8">
        <v>-0.37330000000000002</v>
      </c>
      <c r="C8">
        <v>5.6149999999999999E-2</v>
      </c>
      <c r="D8">
        <v>5.2319999999999998E-2</v>
      </c>
      <c r="E8">
        <v>-5.2400000000000002E-2</v>
      </c>
      <c r="F8">
        <v>0.05</v>
      </c>
      <c r="G8">
        <v>3.3999999999999998E-3</v>
      </c>
      <c r="H8">
        <v>-2.3635000000000002</v>
      </c>
      <c r="I8">
        <v>0</v>
      </c>
      <c r="J8">
        <v>0</v>
      </c>
      <c r="K8">
        <v>0</v>
      </c>
      <c r="L8">
        <v>0.1069</v>
      </c>
    </row>
    <row r="9" spans="1:12" x14ac:dyDescent="0.35">
      <c r="A9">
        <v>-4.6500000000000004</v>
      </c>
      <c r="B9">
        <v>-0.37180000000000002</v>
      </c>
      <c r="C9">
        <v>5.5300000000000002E-2</v>
      </c>
      <c r="D9">
        <v>5.1470000000000002E-2</v>
      </c>
      <c r="E9">
        <v>-5.3100000000000001E-2</v>
      </c>
      <c r="F9">
        <v>0.05</v>
      </c>
      <c r="G9">
        <v>3.5000000000000001E-3</v>
      </c>
      <c r="H9">
        <v>-2.3714</v>
      </c>
      <c r="I9">
        <v>0</v>
      </c>
      <c r="J9">
        <v>0</v>
      </c>
      <c r="K9">
        <v>0</v>
      </c>
      <c r="L9">
        <v>0.1045</v>
      </c>
    </row>
    <row r="10" spans="1:12" x14ac:dyDescent="0.35">
      <c r="A10">
        <v>-4.5999999999999996</v>
      </c>
      <c r="B10">
        <v>-0.37030000000000002</v>
      </c>
      <c r="C10">
        <v>5.4449999999999998E-2</v>
      </c>
      <c r="D10">
        <v>5.0619999999999998E-2</v>
      </c>
      <c r="E10">
        <v>-5.3800000000000001E-2</v>
      </c>
      <c r="F10">
        <v>0.05</v>
      </c>
      <c r="G10">
        <v>3.5000000000000001E-3</v>
      </c>
      <c r="H10">
        <v>-2.3795000000000002</v>
      </c>
      <c r="I10">
        <v>0</v>
      </c>
      <c r="J10">
        <v>0</v>
      </c>
      <c r="K10">
        <v>0</v>
      </c>
      <c r="L10">
        <v>0.1021</v>
      </c>
    </row>
    <row r="11" spans="1:12" x14ac:dyDescent="0.35">
      <c r="A11">
        <v>-4.55</v>
      </c>
      <c r="B11">
        <v>-0.36880000000000002</v>
      </c>
      <c r="C11">
        <v>5.3589999999999999E-2</v>
      </c>
      <c r="D11">
        <v>4.9770000000000002E-2</v>
      </c>
      <c r="E11">
        <v>-5.45E-2</v>
      </c>
      <c r="F11">
        <v>0.05</v>
      </c>
      <c r="G11">
        <v>3.5999999999999999E-3</v>
      </c>
      <c r="H11">
        <v>-2.3875999999999999</v>
      </c>
      <c r="I11">
        <v>0</v>
      </c>
      <c r="J11">
        <v>0</v>
      </c>
      <c r="K11">
        <v>0</v>
      </c>
      <c r="L11">
        <v>9.9599999999999994E-2</v>
      </c>
    </row>
    <row r="12" spans="1:12" x14ac:dyDescent="0.35">
      <c r="A12">
        <v>-4.5</v>
      </c>
      <c r="B12">
        <v>-0.36749999999999999</v>
      </c>
      <c r="C12">
        <v>5.2729999999999999E-2</v>
      </c>
      <c r="D12">
        <v>4.8910000000000002E-2</v>
      </c>
      <c r="E12">
        <v>-5.5300000000000002E-2</v>
      </c>
      <c r="F12">
        <v>0.05</v>
      </c>
      <c r="G12">
        <v>3.5999999999999999E-3</v>
      </c>
      <c r="H12">
        <v>-2.3957000000000002</v>
      </c>
      <c r="I12">
        <v>0</v>
      </c>
      <c r="J12">
        <v>0</v>
      </c>
      <c r="K12">
        <v>0</v>
      </c>
      <c r="L12">
        <v>9.7000000000000003E-2</v>
      </c>
    </row>
    <row r="13" spans="1:12" x14ac:dyDescent="0.35">
      <c r="A13">
        <v>-4.45</v>
      </c>
      <c r="B13">
        <v>-0.36620000000000003</v>
      </c>
      <c r="C13">
        <v>5.1869999999999999E-2</v>
      </c>
      <c r="D13">
        <v>4.8050000000000002E-2</v>
      </c>
      <c r="E13">
        <v>-5.6000000000000001E-2</v>
      </c>
      <c r="F13">
        <v>0.05</v>
      </c>
      <c r="G13">
        <v>3.7000000000000002E-3</v>
      </c>
      <c r="H13">
        <v>-2.4039999999999999</v>
      </c>
      <c r="I13">
        <v>0</v>
      </c>
      <c r="J13">
        <v>0</v>
      </c>
      <c r="K13">
        <v>0</v>
      </c>
      <c r="L13">
        <v>9.4500000000000001E-2</v>
      </c>
    </row>
    <row r="14" spans="1:12" x14ac:dyDescent="0.35">
      <c r="A14">
        <v>-4.4000000000000004</v>
      </c>
      <c r="B14">
        <v>-0.3649</v>
      </c>
      <c r="C14">
        <v>5.101E-2</v>
      </c>
      <c r="D14">
        <v>4.7190000000000003E-2</v>
      </c>
      <c r="E14">
        <v>-5.6800000000000003E-2</v>
      </c>
      <c r="F14">
        <v>0.05</v>
      </c>
      <c r="G14">
        <v>3.7000000000000002E-3</v>
      </c>
      <c r="H14">
        <v>-2.4123000000000001</v>
      </c>
      <c r="I14">
        <v>0</v>
      </c>
      <c r="J14">
        <v>0</v>
      </c>
      <c r="K14">
        <v>0</v>
      </c>
      <c r="L14">
        <v>9.1800000000000007E-2</v>
      </c>
    </row>
    <row r="15" spans="1:12" x14ac:dyDescent="0.35">
      <c r="A15">
        <v>-4.3499999999999996</v>
      </c>
      <c r="B15">
        <v>-0.3639</v>
      </c>
      <c r="C15">
        <v>5.0139999999999997E-2</v>
      </c>
      <c r="D15">
        <v>4.6330000000000003E-2</v>
      </c>
      <c r="E15">
        <v>-5.7599999999999998E-2</v>
      </c>
      <c r="F15">
        <v>0.05</v>
      </c>
      <c r="G15">
        <v>3.8E-3</v>
      </c>
      <c r="H15">
        <v>-2.4207999999999998</v>
      </c>
      <c r="I15">
        <v>0</v>
      </c>
      <c r="J15">
        <v>0</v>
      </c>
      <c r="K15">
        <v>0</v>
      </c>
      <c r="L15">
        <v>8.9099999999999999E-2</v>
      </c>
    </row>
    <row r="16" spans="1:12" x14ac:dyDescent="0.35">
      <c r="A16">
        <v>-4.3</v>
      </c>
      <c r="B16">
        <v>-0.36299999999999999</v>
      </c>
      <c r="C16">
        <v>4.9279999999999997E-2</v>
      </c>
      <c r="D16">
        <v>4.5469999999999997E-2</v>
      </c>
      <c r="E16">
        <v>-5.8500000000000003E-2</v>
      </c>
      <c r="F16">
        <v>0.05</v>
      </c>
      <c r="G16">
        <v>3.8999999999999998E-3</v>
      </c>
      <c r="H16">
        <v>-2.4293999999999998</v>
      </c>
      <c r="I16">
        <v>0</v>
      </c>
      <c r="J16">
        <v>0</v>
      </c>
      <c r="K16">
        <v>0</v>
      </c>
      <c r="L16">
        <v>8.6499999999999994E-2</v>
      </c>
    </row>
    <row r="17" spans="1:12" x14ac:dyDescent="0.35">
      <c r="A17">
        <v>-4.25</v>
      </c>
      <c r="B17">
        <v>-0.3624</v>
      </c>
      <c r="C17">
        <v>4.8430000000000001E-2</v>
      </c>
      <c r="D17">
        <v>4.4630000000000003E-2</v>
      </c>
      <c r="E17">
        <v>-5.9299999999999999E-2</v>
      </c>
      <c r="F17">
        <v>0.05</v>
      </c>
      <c r="G17">
        <v>3.8999999999999998E-3</v>
      </c>
      <c r="H17">
        <v>-2.4382000000000001</v>
      </c>
      <c r="I17">
        <v>0</v>
      </c>
      <c r="J17">
        <v>0</v>
      </c>
      <c r="K17">
        <v>0</v>
      </c>
      <c r="L17">
        <v>8.3900000000000002E-2</v>
      </c>
    </row>
    <row r="18" spans="1:12" x14ac:dyDescent="0.35">
      <c r="A18">
        <v>-4.2</v>
      </c>
      <c r="B18">
        <v>-0.36230000000000001</v>
      </c>
      <c r="C18">
        <v>4.761E-2</v>
      </c>
      <c r="D18">
        <v>4.3819999999999998E-2</v>
      </c>
      <c r="E18">
        <v>-6.0199999999999997E-2</v>
      </c>
      <c r="F18">
        <v>0.05</v>
      </c>
      <c r="G18">
        <v>4.0000000000000001E-3</v>
      </c>
      <c r="H18">
        <v>-2.4472999999999998</v>
      </c>
      <c r="I18">
        <v>0</v>
      </c>
      <c r="J18">
        <v>0</v>
      </c>
      <c r="K18">
        <v>0</v>
      </c>
      <c r="L18">
        <v>8.14E-2</v>
      </c>
    </row>
    <row r="19" spans="1:12" x14ac:dyDescent="0.35">
      <c r="A19">
        <v>-4.1500000000000004</v>
      </c>
      <c r="B19">
        <v>-0.36180000000000001</v>
      </c>
      <c r="C19">
        <v>4.6730000000000001E-2</v>
      </c>
      <c r="D19">
        <v>4.2939999999999999E-2</v>
      </c>
      <c r="E19">
        <v>-6.1400000000000003E-2</v>
      </c>
      <c r="F19">
        <v>0.05</v>
      </c>
      <c r="G19">
        <v>4.1000000000000003E-3</v>
      </c>
      <c r="H19">
        <v>-2.4567999999999999</v>
      </c>
      <c r="I19">
        <v>0</v>
      </c>
      <c r="J19">
        <v>0</v>
      </c>
      <c r="K19">
        <v>0</v>
      </c>
      <c r="L19">
        <v>7.8E-2</v>
      </c>
    </row>
    <row r="20" spans="1:12" x14ac:dyDescent="0.35">
      <c r="A20">
        <v>-4.0999999999999996</v>
      </c>
      <c r="B20">
        <v>-0.36020000000000002</v>
      </c>
      <c r="C20">
        <v>4.5780000000000001E-2</v>
      </c>
      <c r="D20">
        <v>4.1980000000000003E-2</v>
      </c>
      <c r="E20">
        <v>-6.2899999999999998E-2</v>
      </c>
      <c r="F20">
        <v>0.05</v>
      </c>
      <c r="G20">
        <v>4.1000000000000003E-3</v>
      </c>
      <c r="H20">
        <v>-2.4662999999999999</v>
      </c>
      <c r="I20">
        <v>0</v>
      </c>
      <c r="J20">
        <v>0</v>
      </c>
      <c r="K20">
        <v>0</v>
      </c>
      <c r="L20">
        <v>7.3200000000000001E-2</v>
      </c>
    </row>
    <row r="21" spans="1:12" x14ac:dyDescent="0.35">
      <c r="A21">
        <v>-4.05</v>
      </c>
      <c r="B21">
        <v>-0.35859999999999997</v>
      </c>
      <c r="C21">
        <v>4.4850000000000001E-2</v>
      </c>
      <c r="D21">
        <v>4.1050000000000003E-2</v>
      </c>
      <c r="E21">
        <v>-6.4100000000000004E-2</v>
      </c>
      <c r="F21">
        <v>0.05</v>
      </c>
      <c r="G21">
        <v>4.1999999999999997E-3</v>
      </c>
      <c r="H21">
        <v>-2.4748999999999999</v>
      </c>
      <c r="I21">
        <v>0</v>
      </c>
      <c r="J21">
        <v>0</v>
      </c>
      <c r="K21">
        <v>0</v>
      </c>
      <c r="L21">
        <v>6.9000000000000006E-2</v>
      </c>
    </row>
    <row r="22" spans="1:12" x14ac:dyDescent="0.35">
      <c r="A22">
        <v>-4</v>
      </c>
      <c r="B22">
        <v>-0.3569</v>
      </c>
      <c r="C22">
        <v>4.3970000000000002E-2</v>
      </c>
      <c r="D22">
        <v>4.0149999999999998E-2</v>
      </c>
      <c r="E22">
        <v>-6.5100000000000005E-2</v>
      </c>
      <c r="F22">
        <v>0.05</v>
      </c>
      <c r="G22">
        <v>4.3E-3</v>
      </c>
      <c r="H22">
        <v>-2.4826000000000001</v>
      </c>
      <c r="I22">
        <v>0</v>
      </c>
      <c r="J22">
        <v>0</v>
      </c>
      <c r="K22">
        <v>0</v>
      </c>
      <c r="L22">
        <v>6.54E-2</v>
      </c>
    </row>
    <row r="23" spans="1:12" x14ac:dyDescent="0.35">
      <c r="A23">
        <v>-3.95</v>
      </c>
      <c r="B23">
        <v>-0.35510000000000003</v>
      </c>
      <c r="C23">
        <v>4.3090000000000003E-2</v>
      </c>
      <c r="D23">
        <v>3.9269999999999999E-2</v>
      </c>
      <c r="E23">
        <v>-6.6000000000000003E-2</v>
      </c>
      <c r="F23">
        <v>0.05</v>
      </c>
      <c r="G23">
        <v>4.4000000000000003E-3</v>
      </c>
      <c r="H23">
        <v>-2.4900000000000002</v>
      </c>
      <c r="I23">
        <v>0</v>
      </c>
      <c r="J23">
        <v>0</v>
      </c>
      <c r="K23">
        <v>0</v>
      </c>
      <c r="L23">
        <v>6.1899999999999997E-2</v>
      </c>
    </row>
    <row r="24" spans="1:12" x14ac:dyDescent="0.35">
      <c r="A24">
        <v>-3.9</v>
      </c>
      <c r="B24">
        <v>-0.35339999999999999</v>
      </c>
      <c r="C24">
        <v>4.2209999999999998E-2</v>
      </c>
      <c r="D24">
        <v>3.8379999999999997E-2</v>
      </c>
      <c r="E24">
        <v>-6.6900000000000001E-2</v>
      </c>
      <c r="F24">
        <v>0.05</v>
      </c>
      <c r="G24">
        <v>4.4999999999999997E-3</v>
      </c>
      <c r="H24">
        <v>-2.4983</v>
      </c>
      <c r="I24">
        <v>0</v>
      </c>
      <c r="J24">
        <v>0</v>
      </c>
      <c r="K24">
        <v>0</v>
      </c>
      <c r="L24">
        <v>5.8400000000000001E-2</v>
      </c>
    </row>
    <row r="25" spans="1:12" x14ac:dyDescent="0.35">
      <c r="A25">
        <v>-3.85</v>
      </c>
      <c r="B25">
        <v>-0.35160000000000002</v>
      </c>
      <c r="C25">
        <v>4.1329999999999999E-2</v>
      </c>
      <c r="D25">
        <v>3.7490000000000002E-2</v>
      </c>
      <c r="E25">
        <v>-6.7799999999999999E-2</v>
      </c>
      <c r="F25">
        <v>0.05</v>
      </c>
      <c r="G25">
        <v>4.7999999999999996E-3</v>
      </c>
      <c r="H25">
        <v>-2.5135999999999998</v>
      </c>
      <c r="I25">
        <v>0</v>
      </c>
      <c r="J25">
        <v>0</v>
      </c>
      <c r="K25">
        <v>0</v>
      </c>
      <c r="L25">
        <v>5.5E-2</v>
      </c>
    </row>
    <row r="26" spans="1:12" x14ac:dyDescent="0.35">
      <c r="A26">
        <v>-3.8</v>
      </c>
      <c r="B26">
        <v>-0.34960000000000002</v>
      </c>
      <c r="C26">
        <v>4.0439999999999997E-2</v>
      </c>
      <c r="D26">
        <v>3.6589999999999998E-2</v>
      </c>
      <c r="E26">
        <v>-6.8599999999999994E-2</v>
      </c>
      <c r="F26">
        <v>0.05</v>
      </c>
      <c r="G26">
        <v>5.1999999999999998E-3</v>
      </c>
      <c r="H26">
        <v>-2.5402999999999998</v>
      </c>
      <c r="I26">
        <v>0</v>
      </c>
      <c r="J26">
        <v>0</v>
      </c>
      <c r="K26">
        <v>0</v>
      </c>
      <c r="L26">
        <v>5.16E-2</v>
      </c>
    </row>
    <row r="27" spans="1:12" x14ac:dyDescent="0.35">
      <c r="A27">
        <v>-3.75</v>
      </c>
      <c r="B27">
        <v>-0.3478</v>
      </c>
      <c r="C27">
        <v>3.9579999999999997E-2</v>
      </c>
      <c r="D27">
        <v>3.5720000000000002E-2</v>
      </c>
      <c r="E27">
        <v>-6.9500000000000006E-2</v>
      </c>
      <c r="F27">
        <v>0.05</v>
      </c>
      <c r="G27">
        <v>5.1999999999999998E-3</v>
      </c>
      <c r="H27">
        <v>-2.5347</v>
      </c>
      <c r="I27">
        <v>0</v>
      </c>
      <c r="J27">
        <v>0</v>
      </c>
      <c r="K27">
        <v>0</v>
      </c>
      <c r="L27">
        <v>4.82E-2</v>
      </c>
    </row>
    <row r="28" spans="1:12" x14ac:dyDescent="0.35">
      <c r="A28">
        <v>-3.7</v>
      </c>
      <c r="B28">
        <v>-0.3458</v>
      </c>
      <c r="C28">
        <v>3.8739999999999997E-2</v>
      </c>
      <c r="D28">
        <v>3.4860000000000002E-2</v>
      </c>
      <c r="E28">
        <v>-7.0300000000000001E-2</v>
      </c>
      <c r="F28">
        <v>0.05</v>
      </c>
      <c r="G28">
        <v>5.3E-3</v>
      </c>
      <c r="H28">
        <v>-2.5291000000000001</v>
      </c>
      <c r="I28">
        <v>0</v>
      </c>
      <c r="J28">
        <v>0</v>
      </c>
      <c r="K28">
        <v>0</v>
      </c>
      <c r="L28">
        <v>4.4699999999999997E-2</v>
      </c>
    </row>
    <row r="29" spans="1:12" x14ac:dyDescent="0.35">
      <c r="A29">
        <v>-3.65</v>
      </c>
      <c r="B29">
        <v>-0.34370000000000001</v>
      </c>
      <c r="C29">
        <v>3.789E-2</v>
      </c>
      <c r="D29">
        <v>3.4000000000000002E-2</v>
      </c>
      <c r="E29">
        <v>-7.0999999999999994E-2</v>
      </c>
      <c r="F29">
        <v>0.05</v>
      </c>
      <c r="G29">
        <v>5.3E-3</v>
      </c>
      <c r="H29">
        <v>-2.5238999999999998</v>
      </c>
      <c r="I29">
        <v>0</v>
      </c>
      <c r="J29">
        <v>0</v>
      </c>
      <c r="K29">
        <v>0</v>
      </c>
      <c r="L29">
        <v>4.1300000000000003E-2</v>
      </c>
    </row>
    <row r="30" spans="1:12" x14ac:dyDescent="0.35">
      <c r="A30">
        <v>-3.6</v>
      </c>
      <c r="B30">
        <v>-0.34150000000000003</v>
      </c>
      <c r="C30">
        <v>3.705E-2</v>
      </c>
      <c r="D30">
        <v>3.3149999999999999E-2</v>
      </c>
      <c r="E30">
        <v>-7.1800000000000003E-2</v>
      </c>
      <c r="F30">
        <v>0.05</v>
      </c>
      <c r="G30">
        <v>5.4000000000000003E-3</v>
      </c>
      <c r="H30">
        <v>-2.5190999999999999</v>
      </c>
      <c r="I30">
        <v>0</v>
      </c>
      <c r="J30">
        <v>0</v>
      </c>
      <c r="K30">
        <v>0</v>
      </c>
      <c r="L30">
        <v>3.78E-2</v>
      </c>
    </row>
    <row r="31" spans="1:12" x14ac:dyDescent="0.35">
      <c r="A31">
        <v>-3.55</v>
      </c>
      <c r="B31">
        <v>-0.33910000000000001</v>
      </c>
      <c r="C31">
        <v>3.6209999999999999E-2</v>
      </c>
      <c r="D31">
        <v>3.2289999999999999E-2</v>
      </c>
      <c r="E31">
        <v>-7.2499999999999995E-2</v>
      </c>
      <c r="F31">
        <v>0.05</v>
      </c>
      <c r="G31">
        <v>5.4000000000000003E-3</v>
      </c>
      <c r="H31">
        <v>-2.5150000000000001</v>
      </c>
      <c r="I31">
        <v>0</v>
      </c>
      <c r="J31">
        <v>0</v>
      </c>
      <c r="K31">
        <v>0</v>
      </c>
      <c r="L31">
        <v>3.4299999999999997E-2</v>
      </c>
    </row>
    <row r="32" spans="1:12" x14ac:dyDescent="0.35">
      <c r="A32">
        <v>-3.5</v>
      </c>
      <c r="B32">
        <v>-0.3367</v>
      </c>
      <c r="C32">
        <v>3.5380000000000002E-2</v>
      </c>
      <c r="D32">
        <v>3.1440000000000003E-2</v>
      </c>
      <c r="E32">
        <v>-7.3099999999999998E-2</v>
      </c>
      <c r="F32">
        <v>0.05</v>
      </c>
      <c r="G32">
        <v>5.4000000000000003E-3</v>
      </c>
      <c r="H32">
        <v>-2.5099</v>
      </c>
      <c r="I32">
        <v>0</v>
      </c>
      <c r="J32">
        <v>0</v>
      </c>
      <c r="K32">
        <v>0</v>
      </c>
      <c r="L32">
        <v>3.0800000000000001E-2</v>
      </c>
    </row>
    <row r="33" spans="1:12" x14ac:dyDescent="0.35">
      <c r="A33">
        <v>-3.45</v>
      </c>
      <c r="B33">
        <v>-0.33410000000000001</v>
      </c>
      <c r="C33">
        <v>3.4549999999999997E-2</v>
      </c>
      <c r="D33">
        <v>3.0589999999999999E-2</v>
      </c>
      <c r="E33">
        <v>-7.3800000000000004E-2</v>
      </c>
      <c r="F33">
        <v>0.05</v>
      </c>
      <c r="G33">
        <v>5.4000000000000003E-3</v>
      </c>
      <c r="H33">
        <v>-2.5036</v>
      </c>
      <c r="I33">
        <v>0</v>
      </c>
      <c r="J33">
        <v>0</v>
      </c>
      <c r="K33">
        <v>0</v>
      </c>
      <c r="L33">
        <v>2.7199999999999998E-2</v>
      </c>
    </row>
    <row r="34" spans="1:12" x14ac:dyDescent="0.35">
      <c r="A34">
        <v>-3.4</v>
      </c>
      <c r="B34">
        <v>-0.33129999999999998</v>
      </c>
      <c r="C34">
        <v>3.372E-2</v>
      </c>
      <c r="D34">
        <v>2.9739999999999999E-2</v>
      </c>
      <c r="E34">
        <v>-7.4399999999999994E-2</v>
      </c>
      <c r="F34">
        <v>0.05</v>
      </c>
      <c r="G34">
        <v>5.4000000000000003E-3</v>
      </c>
      <c r="H34">
        <v>-2.4961000000000002</v>
      </c>
      <c r="I34">
        <v>0</v>
      </c>
      <c r="J34">
        <v>0</v>
      </c>
      <c r="K34">
        <v>0</v>
      </c>
      <c r="L34">
        <v>2.35E-2</v>
      </c>
    </row>
    <row r="35" spans="1:12" x14ac:dyDescent="0.35">
      <c r="A35">
        <v>-3.35</v>
      </c>
      <c r="B35">
        <v>-0.32829999999999998</v>
      </c>
      <c r="C35">
        <v>3.2899999999999999E-2</v>
      </c>
      <c r="D35">
        <v>2.8889999999999999E-2</v>
      </c>
      <c r="E35">
        <v>-7.4899999999999994E-2</v>
      </c>
      <c r="F35">
        <v>0.05</v>
      </c>
      <c r="G35">
        <v>5.4000000000000003E-3</v>
      </c>
      <c r="H35">
        <v>-2.4870999999999999</v>
      </c>
      <c r="I35">
        <v>0</v>
      </c>
      <c r="J35">
        <v>0</v>
      </c>
      <c r="K35">
        <v>0</v>
      </c>
      <c r="L35">
        <v>1.9800000000000002E-2</v>
      </c>
    </row>
    <row r="36" spans="1:12" x14ac:dyDescent="0.35">
      <c r="A36">
        <v>-3.3</v>
      </c>
      <c r="B36">
        <v>-0.3251</v>
      </c>
      <c r="C36">
        <v>3.2079999999999997E-2</v>
      </c>
      <c r="D36">
        <v>2.8039999999999999E-2</v>
      </c>
      <c r="E36">
        <v>-7.5399999999999995E-2</v>
      </c>
      <c r="F36">
        <v>0.05</v>
      </c>
      <c r="G36">
        <v>5.4000000000000003E-3</v>
      </c>
      <c r="H36">
        <v>-2.4964</v>
      </c>
      <c r="I36">
        <v>0</v>
      </c>
      <c r="J36">
        <v>0</v>
      </c>
      <c r="K36">
        <v>0</v>
      </c>
      <c r="L36">
        <v>1.6E-2</v>
      </c>
    </row>
    <row r="37" spans="1:12" x14ac:dyDescent="0.35">
      <c r="A37">
        <v>-3.25</v>
      </c>
      <c r="B37">
        <v>-0.32169999999999999</v>
      </c>
      <c r="C37">
        <v>3.1269999999999999E-2</v>
      </c>
      <c r="D37">
        <v>2.7199999999999998E-2</v>
      </c>
      <c r="E37">
        <v>-7.5899999999999995E-2</v>
      </c>
      <c r="F37">
        <v>0.05</v>
      </c>
      <c r="G37">
        <v>5.4999999999999997E-3</v>
      </c>
      <c r="H37">
        <v>-2.5066000000000002</v>
      </c>
      <c r="I37">
        <v>0</v>
      </c>
      <c r="J37">
        <v>0</v>
      </c>
      <c r="K37">
        <v>0</v>
      </c>
      <c r="L37">
        <v>1.2E-2</v>
      </c>
    </row>
    <row r="38" spans="1:12" x14ac:dyDescent="0.35">
      <c r="A38">
        <v>-3.2</v>
      </c>
      <c r="B38">
        <v>-0.31809999999999999</v>
      </c>
      <c r="C38">
        <v>3.0460000000000001E-2</v>
      </c>
      <c r="D38">
        <v>2.6360000000000001E-2</v>
      </c>
      <c r="E38">
        <v>-7.6399999999999996E-2</v>
      </c>
      <c r="F38">
        <v>0.05</v>
      </c>
      <c r="G38">
        <v>5.4999999999999997E-3</v>
      </c>
      <c r="H38">
        <v>-2.5171999999999999</v>
      </c>
      <c r="I38">
        <v>0</v>
      </c>
      <c r="J38">
        <v>0</v>
      </c>
      <c r="K38">
        <v>0</v>
      </c>
      <c r="L38">
        <v>7.9000000000000008E-3</v>
      </c>
    </row>
    <row r="39" spans="1:12" x14ac:dyDescent="0.35">
      <c r="A39">
        <v>-3.15</v>
      </c>
      <c r="B39">
        <v>-0.31430000000000002</v>
      </c>
      <c r="C39">
        <v>2.9659999999999999E-2</v>
      </c>
      <c r="D39">
        <v>2.5520000000000001E-2</v>
      </c>
      <c r="E39">
        <v>-7.6799999999999993E-2</v>
      </c>
      <c r="F39">
        <v>0.05</v>
      </c>
      <c r="G39">
        <v>5.4999999999999997E-3</v>
      </c>
      <c r="H39">
        <v>-2.5278999999999998</v>
      </c>
      <c r="I39">
        <v>0</v>
      </c>
      <c r="J39">
        <v>0</v>
      </c>
      <c r="K39">
        <v>0</v>
      </c>
      <c r="L39">
        <v>3.5999999999999999E-3</v>
      </c>
    </row>
    <row r="40" spans="1:12" x14ac:dyDescent="0.35">
      <c r="A40">
        <v>-3.1</v>
      </c>
      <c r="B40">
        <v>-0.31019999999999998</v>
      </c>
      <c r="C40">
        <v>2.887E-2</v>
      </c>
      <c r="D40">
        <v>2.469E-2</v>
      </c>
      <c r="E40">
        <v>-7.7200000000000005E-2</v>
      </c>
      <c r="F40">
        <v>0.05</v>
      </c>
      <c r="G40">
        <v>5.4999999999999997E-3</v>
      </c>
      <c r="H40">
        <v>-2.5386000000000002</v>
      </c>
      <c r="I40">
        <v>0</v>
      </c>
      <c r="J40">
        <v>0</v>
      </c>
      <c r="K40">
        <v>0</v>
      </c>
      <c r="L40">
        <v>-8.0000000000000004E-4</v>
      </c>
    </row>
    <row r="41" spans="1:12" x14ac:dyDescent="0.35">
      <c r="A41">
        <v>-3.05</v>
      </c>
      <c r="B41">
        <v>-0.30580000000000002</v>
      </c>
      <c r="C41">
        <v>2.8080000000000001E-2</v>
      </c>
      <c r="D41">
        <v>2.3859999999999999E-2</v>
      </c>
      <c r="E41">
        <v>-7.7499999999999999E-2</v>
      </c>
      <c r="F41">
        <v>0.05</v>
      </c>
      <c r="G41">
        <v>5.4999999999999997E-3</v>
      </c>
      <c r="H41">
        <v>-2.5493000000000001</v>
      </c>
      <c r="I41">
        <v>0</v>
      </c>
      <c r="J41">
        <v>0</v>
      </c>
      <c r="K41">
        <v>0</v>
      </c>
      <c r="L41">
        <v>-5.4999999999999997E-3</v>
      </c>
    </row>
    <row r="42" spans="1:12" x14ac:dyDescent="0.35">
      <c r="A42">
        <v>-3</v>
      </c>
      <c r="B42">
        <v>-0.30109999999999998</v>
      </c>
      <c r="C42">
        <v>2.7300000000000001E-2</v>
      </c>
      <c r="D42">
        <v>2.3029999999999998E-2</v>
      </c>
      <c r="E42">
        <v>-7.7799999999999994E-2</v>
      </c>
      <c r="F42">
        <v>0.05</v>
      </c>
      <c r="G42">
        <v>5.4999999999999997E-3</v>
      </c>
      <c r="H42">
        <v>-2.5596999999999999</v>
      </c>
      <c r="I42">
        <v>0</v>
      </c>
      <c r="J42">
        <v>0</v>
      </c>
      <c r="K42">
        <v>0</v>
      </c>
      <c r="L42">
        <v>-1.04E-2</v>
      </c>
    </row>
    <row r="43" spans="1:12" x14ac:dyDescent="0.35">
      <c r="A43">
        <v>-2.95</v>
      </c>
      <c r="B43">
        <v>-0.29620000000000002</v>
      </c>
      <c r="C43">
        <v>2.6519999999999998E-2</v>
      </c>
      <c r="D43">
        <v>2.2210000000000001E-2</v>
      </c>
      <c r="E43">
        <v>-7.8100000000000003E-2</v>
      </c>
      <c r="F43">
        <v>0.05</v>
      </c>
      <c r="G43">
        <v>5.4999999999999997E-3</v>
      </c>
      <c r="H43">
        <v>-2.5697000000000001</v>
      </c>
      <c r="I43">
        <v>0</v>
      </c>
      <c r="J43">
        <v>0</v>
      </c>
      <c r="K43">
        <v>0</v>
      </c>
      <c r="L43">
        <v>-1.5599999999999999E-2</v>
      </c>
    </row>
    <row r="44" spans="1:12" x14ac:dyDescent="0.35">
      <c r="A44">
        <v>-2.9</v>
      </c>
      <c r="B44">
        <v>-0.29089999999999999</v>
      </c>
      <c r="C44">
        <v>2.5760000000000002E-2</v>
      </c>
      <c r="D44">
        <v>2.1399999999999999E-2</v>
      </c>
      <c r="E44">
        <v>-7.8299999999999995E-2</v>
      </c>
      <c r="F44">
        <v>0.05</v>
      </c>
      <c r="G44">
        <v>5.5999999999999999E-3</v>
      </c>
      <c r="H44">
        <v>-2.5790000000000002</v>
      </c>
      <c r="I44">
        <v>0</v>
      </c>
      <c r="J44">
        <v>0</v>
      </c>
      <c r="K44">
        <v>0</v>
      </c>
      <c r="L44">
        <v>-2.1100000000000001E-2</v>
      </c>
    </row>
    <row r="45" spans="1:12" x14ac:dyDescent="0.35">
      <c r="A45">
        <v>-2.85</v>
      </c>
      <c r="B45">
        <v>-0.2853</v>
      </c>
      <c r="C45">
        <v>2.5010000000000001E-2</v>
      </c>
      <c r="D45">
        <v>2.06E-2</v>
      </c>
      <c r="E45">
        <v>-7.85E-2</v>
      </c>
      <c r="F45">
        <v>0.05</v>
      </c>
      <c r="G45">
        <v>5.5999999999999999E-3</v>
      </c>
      <c r="H45">
        <v>-2.5876999999999999</v>
      </c>
      <c r="I45">
        <v>0</v>
      </c>
      <c r="J45">
        <v>0</v>
      </c>
      <c r="K45">
        <v>0</v>
      </c>
      <c r="L45">
        <v>-2.7E-2</v>
      </c>
    </row>
    <row r="46" spans="1:12" x14ac:dyDescent="0.35">
      <c r="A46">
        <v>-2.8</v>
      </c>
      <c r="B46">
        <v>-0.27939999999999998</v>
      </c>
      <c r="C46">
        <v>2.427E-2</v>
      </c>
      <c r="D46">
        <v>1.9800000000000002E-2</v>
      </c>
      <c r="E46">
        <v>-7.8600000000000003E-2</v>
      </c>
      <c r="F46">
        <v>0.05</v>
      </c>
      <c r="G46">
        <v>5.5999999999999999E-3</v>
      </c>
      <c r="H46">
        <v>-2.5954000000000002</v>
      </c>
      <c r="I46">
        <v>0</v>
      </c>
      <c r="J46">
        <v>0</v>
      </c>
      <c r="K46">
        <v>0</v>
      </c>
      <c r="L46">
        <v>-3.32E-2</v>
      </c>
    </row>
    <row r="47" spans="1:12" x14ac:dyDescent="0.35">
      <c r="A47">
        <v>-2.75</v>
      </c>
      <c r="B47">
        <v>-0.2732</v>
      </c>
      <c r="C47">
        <v>2.3539999999999998E-2</v>
      </c>
      <c r="D47">
        <v>1.9019999999999999E-2</v>
      </c>
      <c r="E47">
        <v>-7.8700000000000006E-2</v>
      </c>
      <c r="F47">
        <v>0.05</v>
      </c>
      <c r="G47">
        <v>5.7000000000000002E-3</v>
      </c>
      <c r="H47">
        <v>-2.6023000000000001</v>
      </c>
      <c r="I47">
        <v>0</v>
      </c>
      <c r="J47">
        <v>0</v>
      </c>
      <c r="K47">
        <v>0</v>
      </c>
      <c r="L47">
        <v>-0.04</v>
      </c>
    </row>
    <row r="48" spans="1:12" x14ac:dyDescent="0.35">
      <c r="A48">
        <v>-2.7</v>
      </c>
      <c r="B48">
        <v>-0.26669999999999999</v>
      </c>
      <c r="C48">
        <v>2.283E-2</v>
      </c>
      <c r="D48">
        <v>1.8239999999999999E-2</v>
      </c>
      <c r="E48">
        <v>-7.8700000000000006E-2</v>
      </c>
      <c r="F48">
        <v>0.05</v>
      </c>
      <c r="G48">
        <v>5.7000000000000002E-3</v>
      </c>
      <c r="H48">
        <v>-2.6080999999999999</v>
      </c>
      <c r="I48">
        <v>0</v>
      </c>
      <c r="J48">
        <v>0</v>
      </c>
      <c r="K48">
        <v>0</v>
      </c>
      <c r="L48">
        <v>-4.7199999999999999E-2</v>
      </c>
    </row>
    <row r="49" spans="1:12" x14ac:dyDescent="0.35">
      <c r="A49">
        <v>-2.65</v>
      </c>
      <c r="B49">
        <v>-0.25990000000000002</v>
      </c>
      <c r="C49">
        <v>2.213E-2</v>
      </c>
      <c r="D49">
        <v>1.7479999999999999E-2</v>
      </c>
      <c r="E49">
        <v>-7.8700000000000006E-2</v>
      </c>
      <c r="F49">
        <v>0.05</v>
      </c>
      <c r="G49">
        <v>5.7999999999999996E-3</v>
      </c>
      <c r="H49">
        <v>-2.6128999999999998</v>
      </c>
      <c r="I49">
        <v>0</v>
      </c>
      <c r="J49">
        <v>0</v>
      </c>
      <c r="K49">
        <v>0</v>
      </c>
      <c r="L49">
        <v>-5.5E-2</v>
      </c>
    </row>
    <row r="50" spans="1:12" x14ac:dyDescent="0.35">
      <c r="A50">
        <v>-2.6</v>
      </c>
      <c r="B50">
        <v>-0.25269999999999998</v>
      </c>
      <c r="C50">
        <v>2.1440000000000001E-2</v>
      </c>
      <c r="D50">
        <v>1.6719999999999999E-2</v>
      </c>
      <c r="E50">
        <v>-7.8700000000000006E-2</v>
      </c>
      <c r="F50">
        <v>0.05</v>
      </c>
      <c r="G50">
        <v>5.7999999999999996E-3</v>
      </c>
      <c r="H50">
        <v>-2.6168</v>
      </c>
      <c r="I50">
        <v>0</v>
      </c>
      <c r="J50">
        <v>0</v>
      </c>
      <c r="K50">
        <v>0</v>
      </c>
      <c r="L50">
        <v>-6.3500000000000001E-2</v>
      </c>
    </row>
    <row r="51" spans="1:12" x14ac:dyDescent="0.35">
      <c r="A51">
        <v>-2.5499999999999998</v>
      </c>
      <c r="B51">
        <v>-0.24529999999999999</v>
      </c>
      <c r="C51">
        <v>2.077E-2</v>
      </c>
      <c r="D51">
        <v>1.5980000000000001E-2</v>
      </c>
      <c r="E51">
        <v>-7.8700000000000006E-2</v>
      </c>
      <c r="F51">
        <v>0.05</v>
      </c>
      <c r="G51">
        <v>5.8999999999999999E-3</v>
      </c>
      <c r="H51">
        <v>-2.6198000000000001</v>
      </c>
      <c r="I51">
        <v>0</v>
      </c>
      <c r="J51">
        <v>0</v>
      </c>
      <c r="K51">
        <v>0</v>
      </c>
      <c r="L51">
        <v>-7.2700000000000001E-2</v>
      </c>
    </row>
    <row r="52" spans="1:12" x14ac:dyDescent="0.35">
      <c r="A52">
        <v>-2.5</v>
      </c>
      <c r="B52">
        <v>-0.23749999999999999</v>
      </c>
      <c r="C52">
        <v>2.0109999999999999E-2</v>
      </c>
      <c r="D52">
        <v>1.525E-2</v>
      </c>
      <c r="E52">
        <v>-7.8600000000000003E-2</v>
      </c>
      <c r="F52">
        <v>0.05</v>
      </c>
      <c r="G52">
        <v>6.0000000000000001E-3</v>
      </c>
      <c r="H52">
        <v>-2.6217000000000001</v>
      </c>
      <c r="I52">
        <v>0</v>
      </c>
      <c r="J52">
        <v>0</v>
      </c>
      <c r="K52">
        <v>0</v>
      </c>
      <c r="L52">
        <v>-8.2799999999999999E-2</v>
      </c>
    </row>
    <row r="53" spans="1:12" x14ac:dyDescent="0.35">
      <c r="A53">
        <v>-2.4500000000000002</v>
      </c>
      <c r="B53">
        <v>-0.22950000000000001</v>
      </c>
      <c r="C53">
        <v>1.9460000000000002E-2</v>
      </c>
      <c r="D53">
        <v>1.453E-2</v>
      </c>
      <c r="E53">
        <v>-7.8399999999999997E-2</v>
      </c>
      <c r="F53">
        <v>0.05</v>
      </c>
      <c r="G53">
        <v>6.1999999999999998E-3</v>
      </c>
      <c r="H53">
        <v>-2.6225000000000001</v>
      </c>
      <c r="I53">
        <v>0</v>
      </c>
      <c r="J53">
        <v>0</v>
      </c>
      <c r="K53">
        <v>0</v>
      </c>
      <c r="L53">
        <v>-9.3899999999999997E-2</v>
      </c>
    </row>
    <row r="54" spans="1:12" x14ac:dyDescent="0.35">
      <c r="A54">
        <v>-2.4</v>
      </c>
      <c r="B54">
        <v>-0.22120000000000001</v>
      </c>
      <c r="C54">
        <v>1.8839999999999999E-2</v>
      </c>
      <c r="D54">
        <v>1.383E-2</v>
      </c>
      <c r="E54">
        <v>-7.8299999999999995E-2</v>
      </c>
      <c r="F54">
        <v>0.05</v>
      </c>
      <c r="G54">
        <v>6.3E-3</v>
      </c>
      <c r="H54">
        <v>-2.6221000000000001</v>
      </c>
      <c r="I54">
        <v>0</v>
      </c>
      <c r="J54">
        <v>0</v>
      </c>
      <c r="K54">
        <v>0</v>
      </c>
      <c r="L54">
        <v>-0.106</v>
      </c>
    </row>
    <row r="55" spans="1:12" x14ac:dyDescent="0.35">
      <c r="A55">
        <v>-2.35</v>
      </c>
      <c r="B55">
        <v>-0.21260000000000001</v>
      </c>
      <c r="C55">
        <v>1.822E-2</v>
      </c>
      <c r="D55">
        <v>1.3140000000000001E-2</v>
      </c>
      <c r="E55">
        <v>-7.8100000000000003E-2</v>
      </c>
      <c r="F55">
        <v>0.05</v>
      </c>
      <c r="G55">
        <v>6.4999999999999997E-3</v>
      </c>
      <c r="H55">
        <v>-2.6204000000000001</v>
      </c>
      <c r="I55">
        <v>0</v>
      </c>
      <c r="J55">
        <v>0</v>
      </c>
      <c r="K55">
        <v>0</v>
      </c>
      <c r="L55">
        <v>-0.1195</v>
      </c>
    </row>
    <row r="56" spans="1:12" x14ac:dyDescent="0.35">
      <c r="A56">
        <v>-2.2999999999999998</v>
      </c>
      <c r="B56">
        <v>-0.20369999999999999</v>
      </c>
      <c r="C56">
        <v>1.762E-2</v>
      </c>
      <c r="D56">
        <v>1.2460000000000001E-2</v>
      </c>
      <c r="E56">
        <v>-7.7899999999999997E-2</v>
      </c>
      <c r="F56">
        <v>0.05</v>
      </c>
      <c r="G56">
        <v>6.6E-3</v>
      </c>
      <c r="H56">
        <v>-2.617</v>
      </c>
      <c r="I56">
        <v>0</v>
      </c>
      <c r="J56">
        <v>0</v>
      </c>
      <c r="K56">
        <v>0</v>
      </c>
      <c r="L56">
        <v>-0.13450000000000001</v>
      </c>
    </row>
    <row r="57" spans="1:12" x14ac:dyDescent="0.35">
      <c r="A57">
        <v>-2.25</v>
      </c>
      <c r="B57">
        <v>-0.1946</v>
      </c>
      <c r="C57">
        <v>1.704E-2</v>
      </c>
      <c r="D57">
        <v>1.18E-2</v>
      </c>
      <c r="E57">
        <v>-7.7600000000000002E-2</v>
      </c>
      <c r="F57">
        <v>0.05</v>
      </c>
      <c r="G57">
        <v>6.7999999999999996E-3</v>
      </c>
      <c r="H57">
        <v>-2.6118000000000001</v>
      </c>
      <c r="I57">
        <v>0</v>
      </c>
      <c r="J57">
        <v>0</v>
      </c>
      <c r="K57">
        <v>0</v>
      </c>
      <c r="L57">
        <v>-0.1512</v>
      </c>
    </row>
    <row r="58" spans="1:12" x14ac:dyDescent="0.35">
      <c r="A58">
        <v>-2.2000000000000002</v>
      </c>
      <c r="B58">
        <v>-0.1852</v>
      </c>
      <c r="C58">
        <v>1.6480000000000002E-2</v>
      </c>
      <c r="D58">
        <v>1.115E-2</v>
      </c>
      <c r="E58">
        <v>-7.7399999999999997E-2</v>
      </c>
      <c r="F58">
        <v>0.05</v>
      </c>
      <c r="G58">
        <v>7.0000000000000001E-3</v>
      </c>
      <c r="H58">
        <v>-2.6044</v>
      </c>
      <c r="I58">
        <v>0</v>
      </c>
      <c r="J58">
        <v>0</v>
      </c>
      <c r="K58">
        <v>0</v>
      </c>
      <c r="L58">
        <v>-0.1699</v>
      </c>
    </row>
    <row r="59" spans="1:12" x14ac:dyDescent="0.35">
      <c r="A59">
        <v>-2.15</v>
      </c>
      <c r="B59">
        <v>-0.1757</v>
      </c>
      <c r="C59">
        <v>1.592E-2</v>
      </c>
      <c r="D59">
        <v>1.051E-2</v>
      </c>
      <c r="E59">
        <v>-7.7100000000000002E-2</v>
      </c>
      <c r="F59">
        <v>0.05</v>
      </c>
      <c r="G59">
        <v>7.1999999999999998E-3</v>
      </c>
      <c r="H59">
        <v>-2.5941999999999998</v>
      </c>
      <c r="I59">
        <v>0</v>
      </c>
      <c r="J59">
        <v>0</v>
      </c>
      <c r="K59">
        <v>0</v>
      </c>
      <c r="L59">
        <v>-0.19109999999999999</v>
      </c>
    </row>
    <row r="60" spans="1:12" x14ac:dyDescent="0.35">
      <c r="A60">
        <v>-2.1</v>
      </c>
      <c r="B60">
        <v>-0.16589999999999999</v>
      </c>
      <c r="C60">
        <v>1.5389999999999999E-2</v>
      </c>
      <c r="D60">
        <v>9.8899999999999995E-3</v>
      </c>
      <c r="E60">
        <v>-7.6700000000000004E-2</v>
      </c>
      <c r="F60">
        <v>0.05</v>
      </c>
      <c r="G60">
        <v>7.4999999999999997E-3</v>
      </c>
      <c r="H60">
        <v>-2.58</v>
      </c>
      <c r="I60">
        <v>0</v>
      </c>
      <c r="J60">
        <v>0</v>
      </c>
      <c r="K60">
        <v>0</v>
      </c>
      <c r="L60">
        <v>-0.2152</v>
      </c>
    </row>
    <row r="61" spans="1:12" x14ac:dyDescent="0.35">
      <c r="A61">
        <v>-2.0499999999999998</v>
      </c>
      <c r="B61">
        <v>-0.15590000000000001</v>
      </c>
      <c r="C61">
        <v>1.487E-2</v>
      </c>
      <c r="D61">
        <v>9.2899999999999996E-3</v>
      </c>
      <c r="E61">
        <v>-7.6399999999999996E-2</v>
      </c>
      <c r="F61">
        <v>0.05</v>
      </c>
      <c r="G61">
        <v>8.0000000000000002E-3</v>
      </c>
      <c r="H61">
        <v>-2.5613999999999999</v>
      </c>
      <c r="I61">
        <v>0</v>
      </c>
      <c r="J61">
        <v>0</v>
      </c>
      <c r="K61">
        <v>0</v>
      </c>
      <c r="L61">
        <v>-0.24279999999999999</v>
      </c>
    </row>
    <row r="62" spans="1:12" x14ac:dyDescent="0.35">
      <c r="A62">
        <v>-2</v>
      </c>
      <c r="B62">
        <v>-0.1457</v>
      </c>
      <c r="C62">
        <v>1.4370000000000001E-2</v>
      </c>
      <c r="D62">
        <v>8.6999999999999994E-3</v>
      </c>
      <c r="E62">
        <v>-7.5999999999999998E-2</v>
      </c>
      <c r="F62">
        <v>0.05</v>
      </c>
      <c r="G62">
        <v>8.5000000000000006E-3</v>
      </c>
      <c r="H62">
        <v>-2.5405000000000002</v>
      </c>
      <c r="I62">
        <v>0</v>
      </c>
      <c r="J62">
        <v>0</v>
      </c>
      <c r="K62">
        <v>0</v>
      </c>
      <c r="L62">
        <v>-0.27450000000000002</v>
      </c>
    </row>
    <row r="63" spans="1:12" x14ac:dyDescent="0.35">
      <c r="A63">
        <v>-1.95</v>
      </c>
      <c r="B63">
        <v>-0.13550000000000001</v>
      </c>
      <c r="C63">
        <v>1.388E-2</v>
      </c>
      <c r="D63">
        <v>8.1300000000000001E-3</v>
      </c>
      <c r="E63">
        <v>-7.5700000000000003E-2</v>
      </c>
      <c r="F63">
        <v>0.05</v>
      </c>
      <c r="G63">
        <v>8.6999999999999994E-3</v>
      </c>
      <c r="H63">
        <v>-2.5163000000000002</v>
      </c>
      <c r="I63">
        <v>0</v>
      </c>
      <c r="J63">
        <v>0</v>
      </c>
      <c r="K63">
        <v>0</v>
      </c>
      <c r="L63">
        <v>-0.31130000000000002</v>
      </c>
    </row>
    <row r="64" spans="1:12" x14ac:dyDescent="0.35">
      <c r="A64">
        <v>-1.9</v>
      </c>
      <c r="B64">
        <v>-0.12509999999999999</v>
      </c>
      <c r="C64">
        <v>1.341E-2</v>
      </c>
      <c r="D64">
        <v>7.5799999999999999E-3</v>
      </c>
      <c r="E64">
        <v>-7.5300000000000006E-2</v>
      </c>
      <c r="F64">
        <v>0.05</v>
      </c>
      <c r="G64">
        <v>8.8999999999999999E-3</v>
      </c>
      <c r="H64">
        <v>-2.4866999999999999</v>
      </c>
      <c r="I64">
        <v>0</v>
      </c>
      <c r="J64">
        <v>0</v>
      </c>
      <c r="K64">
        <v>0</v>
      </c>
      <c r="L64">
        <v>-0.35449999999999998</v>
      </c>
    </row>
    <row r="65" spans="1:12" x14ac:dyDescent="0.35">
      <c r="A65">
        <v>-1.85</v>
      </c>
      <c r="B65">
        <v>-0.1147</v>
      </c>
      <c r="C65">
        <v>1.2959999999999999E-2</v>
      </c>
      <c r="D65">
        <v>7.0499999999999998E-3</v>
      </c>
      <c r="E65">
        <v>-7.4800000000000005E-2</v>
      </c>
      <c r="F65">
        <v>0.05</v>
      </c>
      <c r="G65">
        <v>8.9999999999999993E-3</v>
      </c>
      <c r="H65">
        <v>-2.4586999999999999</v>
      </c>
      <c r="I65">
        <v>0</v>
      </c>
      <c r="J65">
        <v>0</v>
      </c>
      <c r="K65">
        <v>0</v>
      </c>
      <c r="L65">
        <v>-0.40550000000000003</v>
      </c>
    </row>
    <row r="66" spans="1:12" x14ac:dyDescent="0.35">
      <c r="A66">
        <v>-1.8</v>
      </c>
      <c r="B66">
        <v>-0.1043</v>
      </c>
      <c r="C66">
        <v>1.2529999999999999E-2</v>
      </c>
      <c r="D66">
        <v>6.5399999999999998E-3</v>
      </c>
      <c r="E66">
        <v>-7.4399999999999994E-2</v>
      </c>
      <c r="F66">
        <v>0.05</v>
      </c>
      <c r="G66">
        <v>9.1000000000000004E-3</v>
      </c>
      <c r="H66">
        <v>-2.4638</v>
      </c>
      <c r="I66">
        <v>0</v>
      </c>
      <c r="J66">
        <v>0</v>
      </c>
      <c r="K66">
        <v>0</v>
      </c>
      <c r="L66">
        <v>-0.46679999999999999</v>
      </c>
    </row>
    <row r="67" spans="1:12" x14ac:dyDescent="0.35">
      <c r="A67">
        <v>-1.75</v>
      </c>
      <c r="B67">
        <v>-9.3899999999999997E-2</v>
      </c>
      <c r="C67">
        <v>1.2120000000000001E-2</v>
      </c>
      <c r="D67">
        <v>6.0600000000000003E-3</v>
      </c>
      <c r="E67">
        <v>-7.3899999999999993E-2</v>
      </c>
      <c r="F67">
        <v>0.05</v>
      </c>
      <c r="G67">
        <v>9.2999999999999992E-3</v>
      </c>
      <c r="H67">
        <v>-2.4666000000000001</v>
      </c>
      <c r="I67">
        <v>0</v>
      </c>
      <c r="J67">
        <v>0</v>
      </c>
      <c r="K67">
        <v>0</v>
      </c>
      <c r="L67">
        <v>-0.54120000000000001</v>
      </c>
    </row>
    <row r="68" spans="1:12" x14ac:dyDescent="0.35">
      <c r="A68">
        <v>-1.7</v>
      </c>
      <c r="B68">
        <v>-8.3500000000000005E-2</v>
      </c>
      <c r="C68">
        <v>1.174E-2</v>
      </c>
      <c r="D68">
        <v>5.6100000000000004E-3</v>
      </c>
      <c r="E68">
        <v>-7.3499999999999996E-2</v>
      </c>
      <c r="F68">
        <v>0.05</v>
      </c>
      <c r="G68">
        <v>9.5999999999999992E-3</v>
      </c>
      <c r="H68">
        <v>-2.4632999999999998</v>
      </c>
      <c r="I68">
        <v>0</v>
      </c>
      <c r="J68">
        <v>0</v>
      </c>
      <c r="K68">
        <v>0</v>
      </c>
      <c r="L68">
        <v>-0.63360000000000005</v>
      </c>
    </row>
    <row r="69" spans="1:12" x14ac:dyDescent="0.35">
      <c r="A69">
        <v>-1.65</v>
      </c>
      <c r="B69">
        <v>-7.3200000000000001E-2</v>
      </c>
      <c r="C69">
        <v>1.1379999999999999E-2</v>
      </c>
      <c r="D69">
        <v>5.1999999999999998E-3</v>
      </c>
      <c r="E69">
        <v>-7.2999999999999995E-2</v>
      </c>
      <c r="F69">
        <v>0.05</v>
      </c>
      <c r="G69">
        <v>9.7999999999999997E-3</v>
      </c>
      <c r="H69">
        <v>-2.4510999999999998</v>
      </c>
      <c r="I69">
        <v>0</v>
      </c>
      <c r="J69">
        <v>0</v>
      </c>
      <c r="K69">
        <v>0</v>
      </c>
      <c r="L69">
        <v>-0.75139999999999996</v>
      </c>
    </row>
    <row r="70" spans="1:12" x14ac:dyDescent="0.35">
      <c r="A70">
        <v>-1.6</v>
      </c>
      <c r="B70">
        <v>-6.2899999999999998E-2</v>
      </c>
      <c r="C70">
        <v>1.106E-2</v>
      </c>
      <c r="D70">
        <v>4.8199999999999996E-3</v>
      </c>
      <c r="E70">
        <v>-7.2499999999999995E-2</v>
      </c>
      <c r="F70">
        <v>0.05</v>
      </c>
      <c r="G70">
        <v>1.01E-2</v>
      </c>
      <c r="H70">
        <v>-2.4253999999999998</v>
      </c>
      <c r="I70">
        <v>0</v>
      </c>
      <c r="J70">
        <v>0</v>
      </c>
      <c r="K70">
        <v>0</v>
      </c>
      <c r="L70">
        <v>-0.90720000000000001</v>
      </c>
    </row>
    <row r="71" spans="1:12" x14ac:dyDescent="0.35">
      <c r="A71">
        <v>-1.55</v>
      </c>
      <c r="B71">
        <v>-5.2699999999999997E-2</v>
      </c>
      <c r="C71">
        <v>1.076E-2</v>
      </c>
      <c r="D71">
        <v>4.4400000000000004E-3</v>
      </c>
      <c r="E71">
        <v>-7.2099999999999997E-2</v>
      </c>
      <c r="F71">
        <v>0.05</v>
      </c>
      <c r="G71">
        <v>1.04E-2</v>
      </c>
      <c r="H71">
        <v>-2.3788999999999998</v>
      </c>
      <c r="I71">
        <v>0</v>
      </c>
      <c r="J71">
        <v>0</v>
      </c>
      <c r="K71">
        <v>0</v>
      </c>
      <c r="L71">
        <v>-1.1222000000000001</v>
      </c>
    </row>
    <row r="72" spans="1:12" x14ac:dyDescent="0.35">
      <c r="A72">
        <v>-1.5</v>
      </c>
      <c r="B72">
        <v>-4.24E-2</v>
      </c>
      <c r="C72">
        <v>1.0489999999999999E-2</v>
      </c>
      <c r="D72">
        <v>4.1200000000000004E-3</v>
      </c>
      <c r="E72">
        <v>-7.1599999999999997E-2</v>
      </c>
      <c r="F72">
        <v>0.05</v>
      </c>
      <c r="G72">
        <v>1.0699999999999999E-2</v>
      </c>
      <c r="H72">
        <v>-2.3170999999999999</v>
      </c>
      <c r="I72">
        <v>0</v>
      </c>
      <c r="J72">
        <v>0</v>
      </c>
      <c r="K72">
        <v>0</v>
      </c>
      <c r="L72">
        <v>-1.4451000000000001</v>
      </c>
    </row>
    <row r="73" spans="1:12" x14ac:dyDescent="0.35">
      <c r="A73">
        <v>-1.45</v>
      </c>
      <c r="B73">
        <v>-3.2000000000000001E-2</v>
      </c>
      <c r="C73">
        <v>1.026E-2</v>
      </c>
      <c r="D73">
        <v>3.8300000000000001E-3</v>
      </c>
      <c r="E73">
        <v>-7.1199999999999999E-2</v>
      </c>
      <c r="F73">
        <v>0.05</v>
      </c>
      <c r="G73">
        <v>1.11E-2</v>
      </c>
      <c r="H73">
        <v>-2.2437999999999998</v>
      </c>
      <c r="I73">
        <v>0</v>
      </c>
      <c r="J73">
        <v>0</v>
      </c>
      <c r="K73">
        <v>0</v>
      </c>
      <c r="L73">
        <v>-1.9838</v>
      </c>
    </row>
    <row r="74" spans="1:12" x14ac:dyDescent="0.35">
      <c r="A74">
        <v>-1.4</v>
      </c>
      <c r="B74">
        <v>-2.1399999999999999E-2</v>
      </c>
      <c r="C74">
        <v>1.0059999999999999E-2</v>
      </c>
      <c r="D74">
        <v>3.5799999999999998E-3</v>
      </c>
      <c r="E74">
        <v>-7.0800000000000002E-2</v>
      </c>
      <c r="F74">
        <v>0.05</v>
      </c>
      <c r="G74">
        <v>1.15E-2</v>
      </c>
      <c r="H74">
        <v>-2.1560999999999999</v>
      </c>
      <c r="I74">
        <v>0</v>
      </c>
      <c r="J74">
        <v>0</v>
      </c>
      <c r="K74">
        <v>0</v>
      </c>
      <c r="L74">
        <v>-3.0669</v>
      </c>
    </row>
    <row r="75" spans="1:12" x14ac:dyDescent="0.35">
      <c r="A75">
        <v>-1.35</v>
      </c>
      <c r="B75">
        <v>-1.0699999999999999E-2</v>
      </c>
      <c r="C75">
        <v>9.9000000000000008E-3</v>
      </c>
      <c r="D75">
        <v>3.3700000000000002E-3</v>
      </c>
      <c r="E75">
        <v>-7.0499999999999993E-2</v>
      </c>
      <c r="F75">
        <v>0.05</v>
      </c>
      <c r="G75">
        <v>1.2200000000000001E-2</v>
      </c>
      <c r="H75">
        <v>-2.0541999999999998</v>
      </c>
      <c r="I75">
        <v>0</v>
      </c>
      <c r="J75">
        <v>0</v>
      </c>
      <c r="K75">
        <v>0</v>
      </c>
      <c r="L75">
        <v>-6.3586</v>
      </c>
    </row>
    <row r="76" spans="1:12" x14ac:dyDescent="0.35">
      <c r="A76">
        <v>-1.3</v>
      </c>
      <c r="B76">
        <v>0</v>
      </c>
      <c r="C76">
        <v>9.7400000000000004E-3</v>
      </c>
      <c r="D76">
        <v>3.16E-3</v>
      </c>
      <c r="E76">
        <v>-7.0199999999999999E-2</v>
      </c>
      <c r="F76">
        <v>0.05</v>
      </c>
      <c r="G76">
        <v>1.2500000000000001E-2</v>
      </c>
      <c r="H76">
        <v>-1.964</v>
      </c>
      <c r="I76">
        <v>0</v>
      </c>
      <c r="J76">
        <v>0</v>
      </c>
      <c r="K76">
        <v>0</v>
      </c>
      <c r="L76">
        <v>-2722.4315999999999</v>
      </c>
    </row>
    <row r="77" spans="1:12" x14ac:dyDescent="0.35">
      <c r="A77">
        <v>-1.25</v>
      </c>
      <c r="B77">
        <v>1.0699999999999999E-2</v>
      </c>
      <c r="C77">
        <v>9.58E-3</v>
      </c>
      <c r="D77">
        <v>2.9499999999999999E-3</v>
      </c>
      <c r="E77">
        <v>-6.9900000000000004E-2</v>
      </c>
      <c r="F77">
        <v>0.05</v>
      </c>
      <c r="G77">
        <v>1.2500000000000001E-2</v>
      </c>
      <c r="H77">
        <v>-1.8772</v>
      </c>
      <c r="I77">
        <v>0</v>
      </c>
      <c r="J77">
        <v>0</v>
      </c>
      <c r="K77">
        <v>0</v>
      </c>
      <c r="L77">
        <v>6.8125999999999998</v>
      </c>
    </row>
    <row r="78" spans="1:12" x14ac:dyDescent="0.35">
      <c r="A78">
        <v>-1.2</v>
      </c>
      <c r="B78">
        <v>2.1499999999999998E-2</v>
      </c>
      <c r="C78">
        <v>9.4400000000000005E-3</v>
      </c>
      <c r="D78">
        <v>2.7699999999999999E-3</v>
      </c>
      <c r="E78">
        <v>-6.9699999999999998E-2</v>
      </c>
      <c r="F78">
        <v>0.05</v>
      </c>
      <c r="G78">
        <v>1.26E-2</v>
      </c>
      <c r="H78">
        <v>-1.8072999999999999</v>
      </c>
      <c r="I78">
        <v>0</v>
      </c>
      <c r="J78">
        <v>0</v>
      </c>
      <c r="K78">
        <v>0</v>
      </c>
      <c r="L78">
        <v>3.5</v>
      </c>
    </row>
    <row r="79" spans="1:12" x14ac:dyDescent="0.35">
      <c r="A79">
        <v>-1.1499999999999999</v>
      </c>
      <c r="B79">
        <v>3.2399999999999998E-2</v>
      </c>
      <c r="C79">
        <v>9.3200000000000002E-3</v>
      </c>
      <c r="D79">
        <v>2.6099999999999999E-3</v>
      </c>
      <c r="E79">
        <v>-6.9400000000000003E-2</v>
      </c>
      <c r="F79">
        <v>0.05</v>
      </c>
      <c r="G79">
        <v>1.2699999999999999E-2</v>
      </c>
      <c r="H79">
        <v>-1.7557</v>
      </c>
      <c r="I79">
        <v>0</v>
      </c>
      <c r="J79">
        <v>0</v>
      </c>
      <c r="K79">
        <v>0</v>
      </c>
      <c r="L79">
        <v>2.4001000000000001</v>
      </c>
    </row>
    <row r="80" spans="1:12" x14ac:dyDescent="0.35">
      <c r="A80">
        <v>-1.1000000000000001</v>
      </c>
      <c r="B80">
        <v>4.3299999999999998E-2</v>
      </c>
      <c r="C80">
        <v>9.2200000000000008E-3</v>
      </c>
      <c r="D80">
        <v>2.47E-3</v>
      </c>
      <c r="E80">
        <v>-6.9199999999999998E-2</v>
      </c>
      <c r="F80">
        <v>0.05</v>
      </c>
      <c r="G80">
        <v>1.29E-2</v>
      </c>
      <c r="H80">
        <v>-1.7002999999999999</v>
      </c>
      <c r="I80">
        <v>0</v>
      </c>
      <c r="J80">
        <v>0</v>
      </c>
      <c r="K80">
        <v>0</v>
      </c>
      <c r="L80">
        <v>1.8522000000000001</v>
      </c>
    </row>
    <row r="81" spans="1:12" x14ac:dyDescent="0.35">
      <c r="A81">
        <v>-1.05</v>
      </c>
      <c r="B81">
        <v>5.4300000000000001E-2</v>
      </c>
      <c r="C81">
        <v>9.1400000000000006E-3</v>
      </c>
      <c r="D81">
        <v>2.3400000000000001E-3</v>
      </c>
      <c r="E81">
        <v>-6.9000000000000006E-2</v>
      </c>
      <c r="F81">
        <v>0.05</v>
      </c>
      <c r="G81">
        <v>1.3100000000000001E-2</v>
      </c>
      <c r="H81">
        <v>-1.6414</v>
      </c>
      <c r="I81">
        <v>0</v>
      </c>
      <c r="J81">
        <v>0</v>
      </c>
      <c r="K81">
        <v>0</v>
      </c>
      <c r="L81">
        <v>1.5247999999999999</v>
      </c>
    </row>
    <row r="82" spans="1:12" x14ac:dyDescent="0.35">
      <c r="A82">
        <v>-1</v>
      </c>
      <c r="B82">
        <v>6.5299999999999997E-2</v>
      </c>
      <c r="C82">
        <v>9.0699999999999999E-3</v>
      </c>
      <c r="D82">
        <v>2.2399999999999998E-3</v>
      </c>
      <c r="E82">
        <v>-6.8900000000000003E-2</v>
      </c>
      <c r="F82">
        <v>0.05</v>
      </c>
      <c r="G82">
        <v>1.34E-2</v>
      </c>
      <c r="H82">
        <v>-1.5788</v>
      </c>
      <c r="I82">
        <v>0</v>
      </c>
      <c r="J82">
        <v>0</v>
      </c>
      <c r="K82">
        <v>0</v>
      </c>
      <c r="L82">
        <v>1.3075000000000001</v>
      </c>
    </row>
    <row r="83" spans="1:12" x14ac:dyDescent="0.35">
      <c r="A83">
        <v>-0.95</v>
      </c>
      <c r="B83">
        <v>7.6300000000000007E-2</v>
      </c>
      <c r="C83">
        <v>9.0100000000000006E-3</v>
      </c>
      <c r="D83">
        <v>2.16E-3</v>
      </c>
      <c r="E83">
        <v>-6.8699999999999997E-2</v>
      </c>
      <c r="F83">
        <v>0.05</v>
      </c>
      <c r="G83">
        <v>1.38E-2</v>
      </c>
      <c r="H83">
        <v>-1.5129999999999999</v>
      </c>
      <c r="I83">
        <v>0</v>
      </c>
      <c r="J83">
        <v>0</v>
      </c>
      <c r="K83">
        <v>0</v>
      </c>
      <c r="L83">
        <v>1.153</v>
      </c>
    </row>
    <row r="84" spans="1:12" x14ac:dyDescent="0.35">
      <c r="A84">
        <v>-0.9</v>
      </c>
      <c r="B84">
        <v>8.72E-2</v>
      </c>
      <c r="C84">
        <v>8.9700000000000005E-3</v>
      </c>
      <c r="D84">
        <v>2.0899999999999998E-3</v>
      </c>
      <c r="E84">
        <v>-6.8599999999999994E-2</v>
      </c>
      <c r="F84">
        <v>0.05</v>
      </c>
      <c r="G84">
        <v>1.43E-2</v>
      </c>
      <c r="H84">
        <v>-1.4443999999999999</v>
      </c>
      <c r="I84">
        <v>0</v>
      </c>
      <c r="J84">
        <v>0</v>
      </c>
      <c r="K84">
        <v>0</v>
      </c>
      <c r="L84">
        <v>1.0376000000000001</v>
      </c>
    </row>
    <row r="85" spans="1:12" x14ac:dyDescent="0.35">
      <c r="A85">
        <v>-0.85</v>
      </c>
      <c r="B85">
        <v>9.8199999999999996E-2</v>
      </c>
      <c r="C85">
        <v>8.9300000000000004E-3</v>
      </c>
      <c r="D85">
        <v>2.0300000000000001E-3</v>
      </c>
      <c r="E85">
        <v>-6.8400000000000002E-2</v>
      </c>
      <c r="F85">
        <v>0.05</v>
      </c>
      <c r="G85">
        <v>1.49E-2</v>
      </c>
      <c r="H85">
        <v>-1.3734999999999999</v>
      </c>
      <c r="I85">
        <v>0</v>
      </c>
      <c r="J85">
        <v>0</v>
      </c>
      <c r="K85">
        <v>0</v>
      </c>
      <c r="L85">
        <v>0.94830000000000003</v>
      </c>
    </row>
    <row r="86" spans="1:12" x14ac:dyDescent="0.35">
      <c r="A86">
        <v>-0.8</v>
      </c>
      <c r="B86">
        <v>0.1091</v>
      </c>
      <c r="C86">
        <v>8.8999999999999999E-3</v>
      </c>
      <c r="D86">
        <v>1.98E-3</v>
      </c>
      <c r="E86">
        <v>-6.83E-2</v>
      </c>
      <c r="F86">
        <v>0.05</v>
      </c>
      <c r="G86">
        <v>1.55E-2</v>
      </c>
      <c r="H86">
        <v>-1.3012999999999999</v>
      </c>
      <c r="I86">
        <v>0</v>
      </c>
      <c r="J86">
        <v>0</v>
      </c>
      <c r="K86">
        <v>0</v>
      </c>
      <c r="L86">
        <v>0.87719999999999998</v>
      </c>
    </row>
    <row r="87" spans="1:12" x14ac:dyDescent="0.35">
      <c r="A87">
        <v>-0.75</v>
      </c>
      <c r="B87">
        <v>0.11990000000000001</v>
      </c>
      <c r="C87">
        <v>8.8699999999999994E-3</v>
      </c>
      <c r="D87">
        <v>1.9400000000000001E-3</v>
      </c>
      <c r="E87">
        <v>-6.8199999999999997E-2</v>
      </c>
      <c r="F87">
        <v>0.05</v>
      </c>
      <c r="G87">
        <v>1.6199999999999999E-2</v>
      </c>
      <c r="H87">
        <v>-1.2285999999999999</v>
      </c>
      <c r="I87">
        <v>0</v>
      </c>
      <c r="J87">
        <v>0</v>
      </c>
      <c r="K87">
        <v>0</v>
      </c>
      <c r="L87">
        <v>0.81930000000000003</v>
      </c>
    </row>
    <row r="88" spans="1:12" x14ac:dyDescent="0.35">
      <c r="A88">
        <v>-0.7</v>
      </c>
      <c r="B88">
        <v>0.1308</v>
      </c>
      <c r="C88">
        <v>8.8500000000000002E-3</v>
      </c>
      <c r="D88">
        <v>1.9E-3</v>
      </c>
      <c r="E88">
        <v>-6.8099999999999994E-2</v>
      </c>
      <c r="F88">
        <v>0.05</v>
      </c>
      <c r="G88">
        <v>1.6899999999999998E-2</v>
      </c>
      <c r="H88">
        <v>-1.1560999999999999</v>
      </c>
      <c r="I88">
        <v>0</v>
      </c>
      <c r="J88">
        <v>0</v>
      </c>
      <c r="K88">
        <v>0</v>
      </c>
      <c r="L88">
        <v>0.7712</v>
      </c>
    </row>
    <row r="89" spans="1:12" x14ac:dyDescent="0.35">
      <c r="A89">
        <v>-0.65</v>
      </c>
      <c r="B89">
        <v>0.1416</v>
      </c>
      <c r="C89">
        <v>8.8400000000000006E-3</v>
      </c>
      <c r="D89">
        <v>1.8699999999999999E-3</v>
      </c>
      <c r="E89">
        <v>-6.8000000000000005E-2</v>
      </c>
      <c r="F89">
        <v>0.05</v>
      </c>
      <c r="G89">
        <v>1.7600000000000001E-2</v>
      </c>
      <c r="H89">
        <v>-1.0846</v>
      </c>
      <c r="I89">
        <v>0</v>
      </c>
      <c r="J89">
        <v>0</v>
      </c>
      <c r="K89">
        <v>0</v>
      </c>
      <c r="L89">
        <v>0.73060000000000003</v>
      </c>
    </row>
    <row r="90" spans="1:12" x14ac:dyDescent="0.35">
      <c r="A90">
        <v>-0.6</v>
      </c>
      <c r="B90">
        <v>0.15240000000000001</v>
      </c>
      <c r="C90">
        <v>8.8199999999999997E-3</v>
      </c>
      <c r="D90">
        <v>1.8500000000000001E-3</v>
      </c>
      <c r="E90">
        <v>-6.7900000000000002E-2</v>
      </c>
      <c r="F90">
        <v>0.05</v>
      </c>
      <c r="G90">
        <v>1.8200000000000001E-2</v>
      </c>
      <c r="H90">
        <v>-1.0144</v>
      </c>
      <c r="I90">
        <v>0</v>
      </c>
      <c r="J90">
        <v>0</v>
      </c>
      <c r="K90">
        <v>0</v>
      </c>
      <c r="L90">
        <v>0.69599999999999995</v>
      </c>
    </row>
    <row r="91" spans="1:12" x14ac:dyDescent="0.35">
      <c r="A91">
        <v>-0.55000000000000004</v>
      </c>
      <c r="B91">
        <v>0.16309999999999999</v>
      </c>
      <c r="C91">
        <v>8.8100000000000001E-3</v>
      </c>
      <c r="D91">
        <v>1.83E-3</v>
      </c>
      <c r="E91">
        <v>-6.7799999999999999E-2</v>
      </c>
      <c r="F91">
        <v>0.05</v>
      </c>
      <c r="G91">
        <v>1.8700000000000001E-2</v>
      </c>
      <c r="H91">
        <v>-0.94610000000000005</v>
      </c>
      <c r="I91">
        <v>0</v>
      </c>
      <c r="J91">
        <v>0</v>
      </c>
      <c r="K91">
        <v>0</v>
      </c>
      <c r="L91">
        <v>0.66600000000000004</v>
      </c>
    </row>
    <row r="92" spans="1:12" x14ac:dyDescent="0.35">
      <c r="A92">
        <v>-0.5</v>
      </c>
      <c r="B92">
        <v>0.1739</v>
      </c>
      <c r="C92">
        <v>8.8000000000000005E-3</v>
      </c>
      <c r="D92">
        <v>1.81E-3</v>
      </c>
      <c r="E92">
        <v>-6.7699999999999996E-2</v>
      </c>
      <c r="F92">
        <v>0.05</v>
      </c>
      <c r="G92">
        <v>1.9900000000000001E-2</v>
      </c>
      <c r="H92">
        <v>-0.88229999999999997</v>
      </c>
      <c r="I92">
        <v>0</v>
      </c>
      <c r="J92">
        <v>0</v>
      </c>
      <c r="K92">
        <v>0</v>
      </c>
      <c r="L92">
        <v>0.63980000000000004</v>
      </c>
    </row>
    <row r="93" spans="1:12" x14ac:dyDescent="0.35">
      <c r="A93">
        <v>-0.45</v>
      </c>
      <c r="B93">
        <v>0.18459999999999999</v>
      </c>
      <c r="C93">
        <v>8.7899999999999992E-3</v>
      </c>
      <c r="D93">
        <v>1.7899999999999999E-3</v>
      </c>
      <c r="E93">
        <v>-6.7599999999999993E-2</v>
      </c>
      <c r="F93">
        <v>0.05</v>
      </c>
      <c r="G93">
        <v>2.1999999999999999E-2</v>
      </c>
      <c r="H93">
        <v>-0.82210000000000005</v>
      </c>
      <c r="I93">
        <v>0</v>
      </c>
      <c r="J93">
        <v>0</v>
      </c>
      <c r="K93">
        <v>0</v>
      </c>
      <c r="L93">
        <v>0.61670000000000003</v>
      </c>
    </row>
    <row r="94" spans="1:12" x14ac:dyDescent="0.35">
      <c r="A94">
        <v>-0.4</v>
      </c>
      <c r="B94">
        <v>0.19520000000000001</v>
      </c>
      <c r="C94">
        <v>8.7799999999999996E-3</v>
      </c>
      <c r="D94">
        <v>1.7799999999999999E-3</v>
      </c>
      <c r="E94">
        <v>-6.7599999999999993E-2</v>
      </c>
      <c r="F94">
        <v>0.05</v>
      </c>
      <c r="G94">
        <v>2.4199999999999999E-2</v>
      </c>
      <c r="H94">
        <v>-0.75800000000000001</v>
      </c>
      <c r="I94">
        <v>0</v>
      </c>
      <c r="J94">
        <v>0</v>
      </c>
      <c r="K94">
        <v>0</v>
      </c>
      <c r="L94">
        <v>0.59630000000000005</v>
      </c>
    </row>
    <row r="95" spans="1:12" x14ac:dyDescent="0.35">
      <c r="A95">
        <v>-0.35</v>
      </c>
      <c r="B95">
        <v>0.2059</v>
      </c>
      <c r="C95">
        <v>8.77E-3</v>
      </c>
      <c r="D95">
        <v>1.7700000000000001E-3</v>
      </c>
      <c r="E95">
        <v>-6.7500000000000004E-2</v>
      </c>
      <c r="F95">
        <v>0.05</v>
      </c>
      <c r="G95">
        <v>2.64E-2</v>
      </c>
      <c r="H95">
        <v>-0.69569999999999999</v>
      </c>
      <c r="I95">
        <v>0</v>
      </c>
      <c r="J95">
        <v>0</v>
      </c>
      <c r="K95">
        <v>0</v>
      </c>
      <c r="L95">
        <v>0.57809999999999995</v>
      </c>
    </row>
    <row r="96" spans="1:12" x14ac:dyDescent="0.35">
      <c r="A96">
        <v>-0.3</v>
      </c>
      <c r="B96">
        <v>0.2165</v>
      </c>
      <c r="C96">
        <v>8.7600000000000004E-3</v>
      </c>
      <c r="D96">
        <v>1.7600000000000001E-3</v>
      </c>
      <c r="E96">
        <v>-6.7500000000000004E-2</v>
      </c>
      <c r="F96">
        <v>0.05</v>
      </c>
      <c r="G96">
        <v>2.8299999999999999E-2</v>
      </c>
      <c r="H96">
        <v>-0.6351</v>
      </c>
      <c r="I96">
        <v>0</v>
      </c>
      <c r="J96">
        <v>0</v>
      </c>
      <c r="K96">
        <v>0</v>
      </c>
      <c r="L96">
        <v>0.56159999999999999</v>
      </c>
    </row>
    <row r="97" spans="1:12" x14ac:dyDescent="0.35">
      <c r="A97">
        <v>-0.25</v>
      </c>
      <c r="B97">
        <v>0.22720000000000001</v>
      </c>
      <c r="C97">
        <v>8.7600000000000004E-3</v>
      </c>
      <c r="D97">
        <v>1.7600000000000001E-3</v>
      </c>
      <c r="E97">
        <v>-6.7400000000000002E-2</v>
      </c>
      <c r="F97">
        <v>0.05</v>
      </c>
      <c r="G97">
        <v>3.04E-2</v>
      </c>
      <c r="H97">
        <v>-0.57640000000000002</v>
      </c>
      <c r="I97">
        <v>0</v>
      </c>
      <c r="J97">
        <v>0</v>
      </c>
      <c r="K97">
        <v>0</v>
      </c>
      <c r="L97">
        <v>0.54669999999999996</v>
      </c>
    </row>
    <row r="98" spans="1:12" x14ac:dyDescent="0.35">
      <c r="A98">
        <v>-0.2</v>
      </c>
      <c r="B98">
        <v>0.23780000000000001</v>
      </c>
      <c r="C98">
        <v>8.7500000000000008E-3</v>
      </c>
      <c r="D98">
        <v>1.7600000000000001E-3</v>
      </c>
      <c r="E98">
        <v>-6.7400000000000002E-2</v>
      </c>
      <c r="F98">
        <v>0.05</v>
      </c>
      <c r="G98">
        <v>3.4299999999999997E-2</v>
      </c>
      <c r="H98">
        <v>-0.51970000000000005</v>
      </c>
      <c r="I98">
        <v>0</v>
      </c>
      <c r="J98">
        <v>0</v>
      </c>
      <c r="K98">
        <v>0</v>
      </c>
      <c r="L98">
        <v>0.5333</v>
      </c>
    </row>
    <row r="99" spans="1:12" x14ac:dyDescent="0.35">
      <c r="A99">
        <v>-0.15</v>
      </c>
      <c r="B99">
        <v>0.24840000000000001</v>
      </c>
      <c r="C99">
        <v>8.7399999999999995E-3</v>
      </c>
      <c r="D99">
        <v>1.7600000000000001E-3</v>
      </c>
      <c r="E99">
        <v>-6.7299999999999999E-2</v>
      </c>
      <c r="F99">
        <v>0.05</v>
      </c>
      <c r="G99">
        <v>3.8300000000000001E-2</v>
      </c>
      <c r="H99">
        <v>-0.50249999999999995</v>
      </c>
      <c r="I99">
        <v>0</v>
      </c>
      <c r="J99">
        <v>0</v>
      </c>
      <c r="K99">
        <v>0</v>
      </c>
      <c r="L99">
        <v>0.52100000000000002</v>
      </c>
    </row>
    <row r="100" spans="1:12" x14ac:dyDescent="0.35">
      <c r="A100">
        <v>-0.1</v>
      </c>
      <c r="B100">
        <v>0.25900000000000001</v>
      </c>
      <c r="C100">
        <v>8.7200000000000003E-3</v>
      </c>
      <c r="D100">
        <v>1.7600000000000001E-3</v>
      </c>
      <c r="E100">
        <v>-6.7299999999999999E-2</v>
      </c>
      <c r="F100">
        <v>0.05</v>
      </c>
      <c r="G100">
        <v>0.05</v>
      </c>
      <c r="H100">
        <v>-0.50719999999999998</v>
      </c>
      <c r="I100">
        <v>0</v>
      </c>
      <c r="J100">
        <v>0</v>
      </c>
      <c r="K100">
        <v>0</v>
      </c>
      <c r="L100">
        <v>0.50980000000000003</v>
      </c>
    </row>
    <row r="101" spans="1:12" x14ac:dyDescent="0.35">
      <c r="A101">
        <v>-0.05</v>
      </c>
      <c r="B101">
        <v>0.26950000000000002</v>
      </c>
      <c r="C101">
        <v>8.7299999999999999E-3</v>
      </c>
      <c r="D101">
        <v>1.7600000000000001E-3</v>
      </c>
      <c r="E101">
        <v>-6.7299999999999999E-2</v>
      </c>
      <c r="F101">
        <v>0.05</v>
      </c>
      <c r="G101">
        <v>0.05</v>
      </c>
      <c r="H101">
        <v>-0.51200000000000001</v>
      </c>
      <c r="I101">
        <v>0</v>
      </c>
      <c r="J101">
        <v>0</v>
      </c>
      <c r="K101">
        <v>0</v>
      </c>
      <c r="L101">
        <v>0.49930000000000002</v>
      </c>
    </row>
    <row r="102" spans="1:12" x14ac:dyDescent="0.35">
      <c r="A102">
        <v>0</v>
      </c>
      <c r="B102">
        <v>0.28010000000000002</v>
      </c>
      <c r="C102">
        <v>8.7399999999999995E-3</v>
      </c>
      <c r="D102">
        <v>1.7700000000000001E-3</v>
      </c>
      <c r="E102">
        <v>-6.7199999999999996E-2</v>
      </c>
      <c r="F102">
        <v>0.05</v>
      </c>
      <c r="G102">
        <v>0.05</v>
      </c>
      <c r="H102">
        <v>-0.51690000000000003</v>
      </c>
      <c r="I102">
        <v>0</v>
      </c>
      <c r="J102">
        <v>0</v>
      </c>
      <c r="K102">
        <v>0</v>
      </c>
      <c r="L102">
        <v>0.48970000000000002</v>
      </c>
    </row>
    <row r="103" spans="1:12" x14ac:dyDescent="0.35">
      <c r="A103">
        <v>0.05</v>
      </c>
      <c r="B103">
        <v>0.29070000000000001</v>
      </c>
      <c r="C103">
        <v>8.7500000000000008E-3</v>
      </c>
      <c r="D103">
        <v>1.7799999999999999E-3</v>
      </c>
      <c r="E103">
        <v>-6.7100000000000007E-2</v>
      </c>
      <c r="F103">
        <v>0.05</v>
      </c>
      <c r="G103">
        <v>0.05</v>
      </c>
      <c r="H103">
        <v>-0.52180000000000004</v>
      </c>
      <c r="I103">
        <v>0</v>
      </c>
      <c r="J103">
        <v>0</v>
      </c>
      <c r="K103">
        <v>0</v>
      </c>
      <c r="L103">
        <v>0.48070000000000002</v>
      </c>
    </row>
    <row r="104" spans="1:12" x14ac:dyDescent="0.35">
      <c r="A104">
        <v>0.1</v>
      </c>
      <c r="B104">
        <v>0.30130000000000001</v>
      </c>
      <c r="C104">
        <v>8.7600000000000004E-3</v>
      </c>
      <c r="D104">
        <v>1.7899999999999999E-3</v>
      </c>
      <c r="E104">
        <v>-6.7100000000000007E-2</v>
      </c>
      <c r="F104">
        <v>0.05</v>
      </c>
      <c r="G104">
        <v>0.05</v>
      </c>
      <c r="H104">
        <v>-0.52669999999999995</v>
      </c>
      <c r="I104">
        <v>0</v>
      </c>
      <c r="J104">
        <v>0</v>
      </c>
      <c r="K104">
        <v>0</v>
      </c>
      <c r="L104">
        <v>0.47239999999999999</v>
      </c>
    </row>
    <row r="105" spans="1:12" x14ac:dyDescent="0.35">
      <c r="A105">
        <v>0.15</v>
      </c>
      <c r="B105">
        <v>0.31190000000000001</v>
      </c>
      <c r="C105">
        <v>8.77E-3</v>
      </c>
      <c r="D105">
        <v>1.8E-3</v>
      </c>
      <c r="E105">
        <v>-6.7000000000000004E-2</v>
      </c>
      <c r="F105">
        <v>0.05</v>
      </c>
      <c r="G105">
        <v>0.05</v>
      </c>
      <c r="H105">
        <v>-0.53169999999999995</v>
      </c>
      <c r="I105">
        <v>0</v>
      </c>
      <c r="J105">
        <v>0</v>
      </c>
      <c r="K105">
        <v>0</v>
      </c>
      <c r="L105">
        <v>0.46460000000000001</v>
      </c>
    </row>
    <row r="106" spans="1:12" x14ac:dyDescent="0.35">
      <c r="A106">
        <v>0.2</v>
      </c>
      <c r="B106">
        <v>0.32240000000000002</v>
      </c>
      <c r="C106">
        <v>8.7799999999999996E-3</v>
      </c>
      <c r="D106">
        <v>1.81E-3</v>
      </c>
      <c r="E106">
        <v>-6.7000000000000004E-2</v>
      </c>
      <c r="F106">
        <v>0.05</v>
      </c>
      <c r="G106">
        <v>0.05</v>
      </c>
      <c r="H106">
        <v>-0.53680000000000005</v>
      </c>
      <c r="I106">
        <v>0</v>
      </c>
      <c r="J106">
        <v>0</v>
      </c>
      <c r="K106">
        <v>0</v>
      </c>
      <c r="L106">
        <v>0.45739999999999997</v>
      </c>
    </row>
    <row r="107" spans="1:12" x14ac:dyDescent="0.35">
      <c r="A107">
        <v>0.25</v>
      </c>
      <c r="B107">
        <v>0.33300000000000002</v>
      </c>
      <c r="C107">
        <v>8.7899999999999992E-3</v>
      </c>
      <c r="D107">
        <v>1.83E-3</v>
      </c>
      <c r="E107">
        <v>-6.6900000000000001E-2</v>
      </c>
      <c r="F107">
        <v>0.05</v>
      </c>
      <c r="G107">
        <v>0.05</v>
      </c>
      <c r="H107">
        <v>-0.54179999999999995</v>
      </c>
      <c r="I107">
        <v>0</v>
      </c>
      <c r="J107">
        <v>0</v>
      </c>
      <c r="K107">
        <v>0</v>
      </c>
      <c r="L107">
        <v>0.4506</v>
      </c>
    </row>
    <row r="108" spans="1:12" x14ac:dyDescent="0.35">
      <c r="A108">
        <v>0.3</v>
      </c>
      <c r="B108">
        <v>0.34360000000000002</v>
      </c>
      <c r="C108">
        <v>8.8000000000000005E-3</v>
      </c>
      <c r="D108">
        <v>1.8500000000000001E-3</v>
      </c>
      <c r="E108">
        <v>-6.6799999999999998E-2</v>
      </c>
      <c r="F108">
        <v>0.05</v>
      </c>
      <c r="G108">
        <v>0.05</v>
      </c>
      <c r="H108">
        <v>-0.54690000000000005</v>
      </c>
      <c r="I108">
        <v>0</v>
      </c>
      <c r="J108">
        <v>0</v>
      </c>
      <c r="K108">
        <v>0</v>
      </c>
      <c r="L108">
        <v>0.44419999999999998</v>
      </c>
    </row>
    <row r="109" spans="1:12" x14ac:dyDescent="0.35">
      <c r="A109">
        <v>0.35</v>
      </c>
      <c r="B109">
        <v>0.35410000000000003</v>
      </c>
      <c r="C109">
        <v>8.8199999999999997E-3</v>
      </c>
      <c r="D109">
        <v>1.8600000000000001E-3</v>
      </c>
      <c r="E109">
        <v>-6.6799999999999998E-2</v>
      </c>
      <c r="F109">
        <v>0.05</v>
      </c>
      <c r="G109">
        <v>0.05</v>
      </c>
      <c r="H109">
        <v>-0.55210000000000004</v>
      </c>
      <c r="I109">
        <v>0</v>
      </c>
      <c r="J109">
        <v>0</v>
      </c>
      <c r="K109">
        <v>0</v>
      </c>
      <c r="L109">
        <v>0.43809999999999999</v>
      </c>
    </row>
    <row r="110" spans="1:12" x14ac:dyDescent="0.35">
      <c r="A110">
        <v>0.4</v>
      </c>
      <c r="B110">
        <v>0.36470000000000002</v>
      </c>
      <c r="C110">
        <v>8.8299999999999993E-3</v>
      </c>
      <c r="D110">
        <v>1.8799999999999999E-3</v>
      </c>
      <c r="E110">
        <v>-6.6699999999999995E-2</v>
      </c>
      <c r="F110">
        <v>0.05</v>
      </c>
      <c r="G110">
        <v>0.05</v>
      </c>
      <c r="H110">
        <v>-0.55730000000000002</v>
      </c>
      <c r="I110">
        <v>0</v>
      </c>
      <c r="J110">
        <v>0</v>
      </c>
      <c r="K110">
        <v>0</v>
      </c>
      <c r="L110">
        <v>0.43240000000000001</v>
      </c>
    </row>
    <row r="111" spans="1:12" x14ac:dyDescent="0.35">
      <c r="A111">
        <v>0.45</v>
      </c>
      <c r="B111">
        <v>0.37530000000000002</v>
      </c>
      <c r="C111">
        <v>8.8500000000000002E-3</v>
      </c>
      <c r="D111">
        <v>1.9E-3</v>
      </c>
      <c r="E111">
        <v>-6.6600000000000006E-2</v>
      </c>
      <c r="F111">
        <v>0.05</v>
      </c>
      <c r="G111">
        <v>0.05</v>
      </c>
      <c r="H111">
        <v>-0.56240000000000001</v>
      </c>
      <c r="I111">
        <v>0</v>
      </c>
      <c r="J111">
        <v>0</v>
      </c>
      <c r="K111">
        <v>0</v>
      </c>
      <c r="L111">
        <v>0.42709999999999998</v>
      </c>
    </row>
    <row r="112" spans="1:12" x14ac:dyDescent="0.35">
      <c r="A112">
        <v>0.5</v>
      </c>
      <c r="B112">
        <v>0.38590000000000002</v>
      </c>
      <c r="C112">
        <v>8.8599999999999998E-3</v>
      </c>
      <c r="D112">
        <v>1.9300000000000001E-3</v>
      </c>
      <c r="E112">
        <v>-6.6600000000000006E-2</v>
      </c>
      <c r="F112">
        <v>0.05</v>
      </c>
      <c r="G112">
        <v>0.05</v>
      </c>
      <c r="H112">
        <v>-0.56769999999999998</v>
      </c>
      <c r="I112">
        <v>0</v>
      </c>
      <c r="J112">
        <v>0</v>
      </c>
      <c r="K112">
        <v>0</v>
      </c>
      <c r="L112">
        <v>0.4219</v>
      </c>
    </row>
    <row r="113" spans="1:12" x14ac:dyDescent="0.35">
      <c r="A113">
        <v>0.55000000000000004</v>
      </c>
      <c r="B113">
        <v>0.39650000000000002</v>
      </c>
      <c r="C113">
        <v>8.8800000000000007E-3</v>
      </c>
      <c r="D113">
        <v>1.9499999999999999E-3</v>
      </c>
      <c r="E113">
        <v>-6.6500000000000004E-2</v>
      </c>
      <c r="F113">
        <v>0.05</v>
      </c>
      <c r="G113">
        <v>0.05</v>
      </c>
      <c r="H113">
        <v>-0.59109999999999996</v>
      </c>
      <c r="I113">
        <v>0</v>
      </c>
      <c r="J113">
        <v>0</v>
      </c>
      <c r="K113">
        <v>0</v>
      </c>
      <c r="L113">
        <v>0.41710000000000003</v>
      </c>
    </row>
    <row r="114" spans="1:12" x14ac:dyDescent="0.35">
      <c r="A114">
        <v>0.6</v>
      </c>
      <c r="B114">
        <v>0.40720000000000001</v>
      </c>
      <c r="C114">
        <v>8.8900000000000003E-3</v>
      </c>
      <c r="D114">
        <v>1.97E-3</v>
      </c>
      <c r="E114">
        <v>-6.6400000000000001E-2</v>
      </c>
      <c r="F114">
        <v>0.05</v>
      </c>
      <c r="G114">
        <v>0.05</v>
      </c>
      <c r="H114">
        <v>-0.64359999999999995</v>
      </c>
      <c r="I114">
        <v>0</v>
      </c>
      <c r="J114">
        <v>0</v>
      </c>
      <c r="K114">
        <v>0</v>
      </c>
      <c r="L114">
        <v>0.41249999999999998</v>
      </c>
    </row>
    <row r="115" spans="1:12" x14ac:dyDescent="0.35">
      <c r="A115">
        <v>0.65</v>
      </c>
      <c r="B115">
        <v>0.4178</v>
      </c>
      <c r="C115">
        <v>8.9099999999999995E-3</v>
      </c>
      <c r="D115">
        <v>2E-3</v>
      </c>
      <c r="E115">
        <v>-6.6299999999999998E-2</v>
      </c>
      <c r="F115">
        <v>0.05</v>
      </c>
      <c r="G115">
        <v>0.05</v>
      </c>
      <c r="H115">
        <v>-0.69769999999999999</v>
      </c>
      <c r="I115">
        <v>0</v>
      </c>
      <c r="J115">
        <v>0</v>
      </c>
      <c r="K115">
        <v>0</v>
      </c>
      <c r="L115">
        <v>0.40799999999999997</v>
      </c>
    </row>
    <row r="116" spans="1:12" x14ac:dyDescent="0.35">
      <c r="A116">
        <v>0.7</v>
      </c>
      <c r="B116">
        <v>0.42849999999999999</v>
      </c>
      <c r="C116">
        <v>8.9300000000000004E-3</v>
      </c>
      <c r="D116">
        <v>2.0300000000000001E-3</v>
      </c>
      <c r="E116">
        <v>-6.6199999999999995E-2</v>
      </c>
      <c r="F116">
        <v>0.05</v>
      </c>
      <c r="G116">
        <v>0.05</v>
      </c>
      <c r="H116">
        <v>-0.75339999999999996</v>
      </c>
      <c r="I116">
        <v>0</v>
      </c>
      <c r="J116">
        <v>0</v>
      </c>
      <c r="K116">
        <v>0</v>
      </c>
      <c r="L116">
        <v>0.40379999999999999</v>
      </c>
    </row>
    <row r="117" spans="1:12" x14ac:dyDescent="0.35">
      <c r="A117">
        <v>0.75</v>
      </c>
      <c r="B117">
        <v>0.43909999999999999</v>
      </c>
      <c r="C117">
        <v>8.9499999999999996E-3</v>
      </c>
      <c r="D117">
        <v>2.0600000000000002E-3</v>
      </c>
      <c r="E117">
        <v>-6.6100000000000006E-2</v>
      </c>
      <c r="F117">
        <v>0.05</v>
      </c>
      <c r="G117">
        <v>0.05</v>
      </c>
      <c r="H117">
        <v>-0.81069999999999998</v>
      </c>
      <c r="I117">
        <v>0</v>
      </c>
      <c r="J117">
        <v>0</v>
      </c>
      <c r="K117">
        <v>0</v>
      </c>
      <c r="L117">
        <v>0.39979999999999999</v>
      </c>
    </row>
    <row r="118" spans="1:12" x14ac:dyDescent="0.35">
      <c r="A118">
        <v>0.8</v>
      </c>
      <c r="B118">
        <v>0.44979999999999998</v>
      </c>
      <c r="C118">
        <v>8.9599999999999992E-3</v>
      </c>
      <c r="D118">
        <v>2.0899999999999998E-3</v>
      </c>
      <c r="E118">
        <v>-6.59E-2</v>
      </c>
      <c r="F118">
        <v>0.05</v>
      </c>
      <c r="G118">
        <v>0.05</v>
      </c>
      <c r="H118">
        <v>-0.86970000000000003</v>
      </c>
      <c r="I118">
        <v>0</v>
      </c>
      <c r="J118">
        <v>0</v>
      </c>
      <c r="K118">
        <v>0</v>
      </c>
      <c r="L118">
        <v>0.39589999999999997</v>
      </c>
    </row>
    <row r="119" spans="1:12" x14ac:dyDescent="0.35">
      <c r="A119">
        <v>0.85</v>
      </c>
      <c r="B119">
        <v>0.46060000000000001</v>
      </c>
      <c r="C119">
        <v>8.9800000000000001E-3</v>
      </c>
      <c r="D119">
        <v>2.1199999999999999E-3</v>
      </c>
      <c r="E119">
        <v>-6.5799999999999997E-2</v>
      </c>
      <c r="F119">
        <v>0.05</v>
      </c>
      <c r="G119">
        <v>0.05</v>
      </c>
      <c r="H119">
        <v>-0.93030000000000002</v>
      </c>
      <c r="I119">
        <v>0</v>
      </c>
      <c r="J119">
        <v>0</v>
      </c>
      <c r="K119">
        <v>0</v>
      </c>
      <c r="L119">
        <v>0.39219999999999999</v>
      </c>
    </row>
    <row r="120" spans="1:12" x14ac:dyDescent="0.35">
      <c r="A120">
        <v>0.9</v>
      </c>
      <c r="B120">
        <v>0.47039999999999998</v>
      </c>
      <c r="C120">
        <v>9.0600000000000003E-3</v>
      </c>
      <c r="D120">
        <v>2.1800000000000001E-3</v>
      </c>
      <c r="E120">
        <v>-6.5500000000000003E-2</v>
      </c>
      <c r="F120">
        <v>3.9100000000000003E-2</v>
      </c>
      <c r="G120">
        <v>0.05</v>
      </c>
      <c r="H120">
        <v>-0.98870000000000002</v>
      </c>
      <c r="I120">
        <v>0</v>
      </c>
      <c r="J120">
        <v>0</v>
      </c>
      <c r="K120">
        <v>0</v>
      </c>
      <c r="L120">
        <v>0.3886</v>
      </c>
    </row>
    <row r="121" spans="1:12" x14ac:dyDescent="0.35">
      <c r="A121">
        <v>0.95</v>
      </c>
      <c r="B121">
        <v>0.48060000000000003</v>
      </c>
      <c r="C121">
        <v>9.11E-3</v>
      </c>
      <c r="D121">
        <v>2.2300000000000002E-3</v>
      </c>
      <c r="E121">
        <v>-6.5299999999999997E-2</v>
      </c>
      <c r="F121">
        <v>3.3300000000000003E-2</v>
      </c>
      <c r="G121">
        <v>0.05</v>
      </c>
      <c r="H121">
        <v>-1.0504</v>
      </c>
      <c r="I121">
        <v>0</v>
      </c>
      <c r="J121">
        <v>0</v>
      </c>
      <c r="K121">
        <v>0</v>
      </c>
      <c r="L121">
        <v>0.3851</v>
      </c>
    </row>
    <row r="122" spans="1:12" x14ac:dyDescent="0.35">
      <c r="A122">
        <v>1</v>
      </c>
      <c r="B122">
        <v>0.49109999999999998</v>
      </c>
      <c r="C122">
        <v>9.1500000000000001E-3</v>
      </c>
      <c r="D122">
        <v>2.2799999999999999E-3</v>
      </c>
      <c r="E122">
        <v>-6.5100000000000005E-2</v>
      </c>
      <c r="F122">
        <v>3.0800000000000001E-2</v>
      </c>
      <c r="G122">
        <v>0.05</v>
      </c>
      <c r="H122">
        <v>-1.1153</v>
      </c>
      <c r="I122">
        <v>0</v>
      </c>
      <c r="J122">
        <v>0</v>
      </c>
      <c r="K122">
        <v>0</v>
      </c>
      <c r="L122">
        <v>0.38179999999999997</v>
      </c>
    </row>
    <row r="123" spans="1:12" x14ac:dyDescent="0.35">
      <c r="A123">
        <v>1.05</v>
      </c>
      <c r="B123">
        <v>0.50149999999999995</v>
      </c>
      <c r="C123">
        <v>9.1999999999999998E-3</v>
      </c>
      <c r="D123">
        <v>2.33E-3</v>
      </c>
      <c r="E123">
        <v>-6.4899999999999999E-2</v>
      </c>
      <c r="F123">
        <v>2.8500000000000001E-2</v>
      </c>
      <c r="G123">
        <v>0.05</v>
      </c>
      <c r="H123">
        <v>-1.1818</v>
      </c>
      <c r="I123">
        <v>0</v>
      </c>
      <c r="J123">
        <v>0</v>
      </c>
      <c r="K123">
        <v>0</v>
      </c>
      <c r="L123">
        <v>0.37859999999999999</v>
      </c>
    </row>
    <row r="124" spans="1:12" x14ac:dyDescent="0.35">
      <c r="A124">
        <v>1.1000000000000001</v>
      </c>
      <c r="B124">
        <v>0.51200000000000001</v>
      </c>
      <c r="C124">
        <v>9.2499999999999995E-3</v>
      </c>
      <c r="D124">
        <v>2.3900000000000002E-3</v>
      </c>
      <c r="E124">
        <v>-6.4600000000000005E-2</v>
      </c>
      <c r="F124">
        <v>2.63E-2</v>
      </c>
      <c r="G124">
        <v>0.05</v>
      </c>
      <c r="H124">
        <v>-1.2499</v>
      </c>
      <c r="I124">
        <v>0</v>
      </c>
      <c r="J124">
        <v>0</v>
      </c>
      <c r="K124">
        <v>0</v>
      </c>
      <c r="L124">
        <v>0.37540000000000001</v>
      </c>
    </row>
    <row r="125" spans="1:12" x14ac:dyDescent="0.35">
      <c r="A125">
        <v>1.1499999999999999</v>
      </c>
      <c r="B125">
        <v>0.52249999999999996</v>
      </c>
      <c r="C125">
        <v>9.2899999999999996E-3</v>
      </c>
      <c r="D125">
        <v>2.4499999999999999E-3</v>
      </c>
      <c r="E125">
        <v>-6.4299999999999996E-2</v>
      </c>
      <c r="F125">
        <v>2.41E-2</v>
      </c>
      <c r="G125">
        <v>0.05</v>
      </c>
      <c r="H125">
        <v>-1.3185</v>
      </c>
      <c r="I125">
        <v>0</v>
      </c>
      <c r="J125">
        <v>0</v>
      </c>
      <c r="K125">
        <v>0</v>
      </c>
      <c r="L125">
        <v>0.37230000000000002</v>
      </c>
    </row>
    <row r="126" spans="1:12" x14ac:dyDescent="0.35">
      <c r="A126">
        <v>1.2</v>
      </c>
      <c r="B126">
        <v>0.53310000000000002</v>
      </c>
      <c r="C126">
        <v>9.3399999999999993E-3</v>
      </c>
      <c r="D126">
        <v>2.5100000000000001E-3</v>
      </c>
      <c r="E126">
        <v>-6.4100000000000004E-2</v>
      </c>
      <c r="F126">
        <v>2.3E-2</v>
      </c>
      <c r="G126">
        <v>0.05</v>
      </c>
      <c r="H126">
        <v>-1.39</v>
      </c>
      <c r="I126">
        <v>0</v>
      </c>
      <c r="J126">
        <v>0</v>
      </c>
      <c r="K126">
        <v>0</v>
      </c>
      <c r="L126">
        <v>0.36940000000000001</v>
      </c>
    </row>
    <row r="127" spans="1:12" x14ac:dyDescent="0.35">
      <c r="A127">
        <v>1.25</v>
      </c>
      <c r="B127">
        <v>0.54369999999999996</v>
      </c>
      <c r="C127">
        <v>9.3799999999999994E-3</v>
      </c>
      <c r="D127">
        <v>2.5799999999999998E-3</v>
      </c>
      <c r="E127">
        <v>-6.3799999999999996E-2</v>
      </c>
      <c r="F127">
        <v>2.2100000000000002E-2</v>
      </c>
      <c r="G127">
        <v>0.05</v>
      </c>
      <c r="H127">
        <v>-1.4643999999999999</v>
      </c>
      <c r="I127">
        <v>0</v>
      </c>
      <c r="J127">
        <v>0</v>
      </c>
      <c r="K127">
        <v>0</v>
      </c>
      <c r="L127">
        <v>0.3664</v>
      </c>
    </row>
    <row r="128" spans="1:12" x14ac:dyDescent="0.35">
      <c r="A128">
        <v>1.3</v>
      </c>
      <c r="B128">
        <v>0.55430000000000001</v>
      </c>
      <c r="C128">
        <v>9.4299999999999991E-3</v>
      </c>
      <c r="D128">
        <v>2.65E-3</v>
      </c>
      <c r="E128">
        <v>-6.3500000000000001E-2</v>
      </c>
      <c r="F128">
        <v>2.1100000000000001E-2</v>
      </c>
      <c r="G128">
        <v>0.05</v>
      </c>
      <c r="H128">
        <v>-1.5397000000000001</v>
      </c>
      <c r="I128">
        <v>0</v>
      </c>
      <c r="J128">
        <v>0</v>
      </c>
      <c r="K128">
        <v>0</v>
      </c>
      <c r="L128">
        <v>0.36359999999999998</v>
      </c>
    </row>
    <row r="129" spans="1:12" x14ac:dyDescent="0.35">
      <c r="A129">
        <v>1.35</v>
      </c>
      <c r="B129">
        <v>0.56489999999999996</v>
      </c>
      <c r="C129">
        <v>9.4900000000000002E-3</v>
      </c>
      <c r="D129">
        <v>2.7299999999999998E-3</v>
      </c>
      <c r="E129">
        <v>-6.3100000000000003E-2</v>
      </c>
      <c r="F129">
        <v>0.02</v>
      </c>
      <c r="G129">
        <v>0.05</v>
      </c>
      <c r="H129">
        <v>-1.6152</v>
      </c>
      <c r="I129">
        <v>0</v>
      </c>
      <c r="J129">
        <v>0</v>
      </c>
      <c r="K129">
        <v>0</v>
      </c>
      <c r="L129">
        <v>0.36080000000000001</v>
      </c>
    </row>
    <row r="130" spans="1:12" x14ac:dyDescent="0.35">
      <c r="A130">
        <v>1.4</v>
      </c>
      <c r="B130">
        <v>0.57540000000000002</v>
      </c>
      <c r="C130">
        <v>9.5499999999999995E-3</v>
      </c>
      <c r="D130">
        <v>2.82E-3</v>
      </c>
      <c r="E130">
        <v>-6.2700000000000006E-2</v>
      </c>
      <c r="F130">
        <v>1.9099999999999999E-2</v>
      </c>
      <c r="G130">
        <v>0.05</v>
      </c>
      <c r="H130">
        <v>-1.69</v>
      </c>
      <c r="I130">
        <v>0</v>
      </c>
      <c r="J130">
        <v>0</v>
      </c>
      <c r="K130">
        <v>0</v>
      </c>
      <c r="L130">
        <v>0.35809999999999997</v>
      </c>
    </row>
    <row r="131" spans="1:12" x14ac:dyDescent="0.35">
      <c r="A131">
        <v>1.45</v>
      </c>
      <c r="B131">
        <v>0.58589999999999998</v>
      </c>
      <c r="C131">
        <v>9.6200000000000001E-3</v>
      </c>
      <c r="D131">
        <v>2.9199999999999999E-3</v>
      </c>
      <c r="E131">
        <v>-6.2300000000000001E-2</v>
      </c>
      <c r="F131">
        <v>1.83E-2</v>
      </c>
      <c r="G131">
        <v>0.05</v>
      </c>
      <c r="H131">
        <v>-1.7636000000000001</v>
      </c>
      <c r="I131">
        <v>0</v>
      </c>
      <c r="J131">
        <v>0</v>
      </c>
      <c r="K131">
        <v>0</v>
      </c>
      <c r="L131">
        <v>0.35539999999999999</v>
      </c>
    </row>
    <row r="132" spans="1:12" x14ac:dyDescent="0.35">
      <c r="A132">
        <v>1.5</v>
      </c>
      <c r="B132">
        <v>0.59619999999999995</v>
      </c>
      <c r="C132">
        <v>9.7000000000000003E-3</v>
      </c>
      <c r="D132">
        <v>3.0300000000000001E-3</v>
      </c>
      <c r="E132">
        <v>-6.1899999999999997E-2</v>
      </c>
      <c r="F132">
        <v>1.7500000000000002E-2</v>
      </c>
      <c r="G132">
        <v>0.05</v>
      </c>
      <c r="H132">
        <v>-1.8364</v>
      </c>
      <c r="I132">
        <v>0</v>
      </c>
      <c r="J132">
        <v>0</v>
      </c>
      <c r="K132">
        <v>0</v>
      </c>
      <c r="L132">
        <v>0.35270000000000001</v>
      </c>
    </row>
    <row r="133" spans="1:12" x14ac:dyDescent="0.35">
      <c r="A133">
        <v>1.55</v>
      </c>
      <c r="B133">
        <v>0.60650000000000004</v>
      </c>
      <c r="C133">
        <v>9.7900000000000001E-3</v>
      </c>
      <c r="D133">
        <v>3.15E-3</v>
      </c>
      <c r="E133">
        <v>-6.13E-2</v>
      </c>
      <c r="F133">
        <v>1.6899999999999998E-2</v>
      </c>
      <c r="G133">
        <v>0.05</v>
      </c>
      <c r="H133">
        <v>-1.9089</v>
      </c>
      <c r="I133">
        <v>0</v>
      </c>
      <c r="J133">
        <v>0</v>
      </c>
      <c r="K133">
        <v>0</v>
      </c>
      <c r="L133">
        <v>0.35010000000000002</v>
      </c>
    </row>
    <row r="134" spans="1:12" x14ac:dyDescent="0.35">
      <c r="A134">
        <v>1.6</v>
      </c>
      <c r="B134">
        <v>0.61660000000000004</v>
      </c>
      <c r="C134">
        <v>9.9000000000000008E-3</v>
      </c>
      <c r="D134">
        <v>3.29E-3</v>
      </c>
      <c r="E134">
        <v>-6.08E-2</v>
      </c>
      <c r="F134">
        <v>1.6400000000000001E-2</v>
      </c>
      <c r="G134">
        <v>0.05</v>
      </c>
      <c r="H134">
        <v>-1.9809000000000001</v>
      </c>
      <c r="I134">
        <v>0</v>
      </c>
      <c r="J134">
        <v>0</v>
      </c>
      <c r="K134">
        <v>0</v>
      </c>
      <c r="L134">
        <v>0.34749999999999998</v>
      </c>
    </row>
    <row r="135" spans="1:12" x14ac:dyDescent="0.35">
      <c r="A135">
        <v>1.65</v>
      </c>
      <c r="B135">
        <v>0.62660000000000005</v>
      </c>
      <c r="C135">
        <v>1.001E-2</v>
      </c>
      <c r="D135">
        <v>3.4399999999999999E-3</v>
      </c>
      <c r="E135">
        <v>-6.0199999999999997E-2</v>
      </c>
      <c r="F135">
        <v>1.5900000000000001E-2</v>
      </c>
      <c r="G135">
        <v>0.05</v>
      </c>
      <c r="H135">
        <v>-2.0516000000000001</v>
      </c>
      <c r="I135">
        <v>0</v>
      </c>
      <c r="J135">
        <v>0</v>
      </c>
      <c r="K135">
        <v>0</v>
      </c>
      <c r="L135">
        <v>0.34489999999999998</v>
      </c>
    </row>
    <row r="136" spans="1:12" x14ac:dyDescent="0.35">
      <c r="A136">
        <v>1.7</v>
      </c>
      <c r="B136">
        <v>0.63629999999999998</v>
      </c>
      <c r="C136">
        <v>1.014E-2</v>
      </c>
      <c r="D136">
        <v>3.62E-3</v>
      </c>
      <c r="E136">
        <v>-5.9499999999999997E-2</v>
      </c>
      <c r="F136">
        <v>1.5599999999999999E-2</v>
      </c>
      <c r="G136">
        <v>0.05</v>
      </c>
      <c r="H136">
        <v>-2.1257999999999999</v>
      </c>
      <c r="I136">
        <v>0</v>
      </c>
      <c r="J136">
        <v>0</v>
      </c>
      <c r="K136">
        <v>0</v>
      </c>
      <c r="L136">
        <v>0.34229999999999999</v>
      </c>
    </row>
    <row r="137" spans="1:12" x14ac:dyDescent="0.35">
      <c r="A137">
        <v>1.75</v>
      </c>
      <c r="B137">
        <v>0.64580000000000004</v>
      </c>
      <c r="C137">
        <v>1.0279999999999999E-2</v>
      </c>
      <c r="D137">
        <v>3.81E-3</v>
      </c>
      <c r="E137">
        <v>-5.8700000000000002E-2</v>
      </c>
      <c r="F137">
        <v>1.5299999999999999E-2</v>
      </c>
      <c r="G137">
        <v>0.05</v>
      </c>
      <c r="H137">
        <v>-2.2077</v>
      </c>
      <c r="I137">
        <v>0</v>
      </c>
      <c r="J137">
        <v>0</v>
      </c>
      <c r="K137">
        <v>0</v>
      </c>
      <c r="L137">
        <v>0.33979999999999999</v>
      </c>
    </row>
    <row r="138" spans="1:12" x14ac:dyDescent="0.35">
      <c r="A138">
        <v>1.8</v>
      </c>
      <c r="B138">
        <v>0.65500000000000003</v>
      </c>
      <c r="C138">
        <v>1.044E-2</v>
      </c>
      <c r="D138">
        <v>4.0200000000000001E-3</v>
      </c>
      <c r="E138">
        <v>-5.79E-2</v>
      </c>
      <c r="F138">
        <v>1.52E-2</v>
      </c>
      <c r="G138">
        <v>0.05</v>
      </c>
      <c r="H138">
        <v>-2.2845</v>
      </c>
      <c r="I138">
        <v>0</v>
      </c>
      <c r="J138">
        <v>0</v>
      </c>
      <c r="K138">
        <v>0</v>
      </c>
      <c r="L138">
        <v>0.33729999999999999</v>
      </c>
    </row>
    <row r="139" spans="1:12" x14ac:dyDescent="0.35">
      <c r="A139">
        <v>1.85</v>
      </c>
      <c r="B139">
        <v>0.66390000000000005</v>
      </c>
      <c r="C139">
        <v>1.0619999999999999E-2</v>
      </c>
      <c r="D139">
        <v>4.2500000000000003E-3</v>
      </c>
      <c r="E139">
        <v>-5.7099999999999998E-2</v>
      </c>
      <c r="F139">
        <v>1.5100000000000001E-2</v>
      </c>
      <c r="G139">
        <v>0.05</v>
      </c>
      <c r="H139">
        <v>-2.3569</v>
      </c>
      <c r="I139">
        <v>0</v>
      </c>
      <c r="J139">
        <v>0</v>
      </c>
      <c r="K139">
        <v>0</v>
      </c>
      <c r="L139">
        <v>0.3347</v>
      </c>
    </row>
    <row r="140" spans="1:12" x14ac:dyDescent="0.35">
      <c r="A140">
        <v>1.9</v>
      </c>
      <c r="B140">
        <v>0.67259999999999998</v>
      </c>
      <c r="C140">
        <v>1.082E-2</v>
      </c>
      <c r="D140">
        <v>4.4999999999999997E-3</v>
      </c>
      <c r="E140">
        <v>-5.6099999999999997E-2</v>
      </c>
      <c r="F140">
        <v>1.4999999999999999E-2</v>
      </c>
      <c r="G140">
        <v>0.05</v>
      </c>
      <c r="H140">
        <v>-2.4247999999999998</v>
      </c>
      <c r="I140">
        <v>0</v>
      </c>
      <c r="J140">
        <v>0</v>
      </c>
      <c r="K140">
        <v>0</v>
      </c>
      <c r="L140">
        <v>0.3322</v>
      </c>
    </row>
    <row r="141" spans="1:12" x14ac:dyDescent="0.35">
      <c r="A141">
        <v>1.95</v>
      </c>
      <c r="B141">
        <v>0.68100000000000005</v>
      </c>
      <c r="C141">
        <v>1.103E-2</v>
      </c>
      <c r="D141">
        <v>4.7600000000000003E-3</v>
      </c>
      <c r="E141">
        <v>-5.5100000000000003E-2</v>
      </c>
      <c r="F141">
        <v>1.4999999999999999E-2</v>
      </c>
      <c r="G141">
        <v>0.05</v>
      </c>
      <c r="H141">
        <v>-2.4883000000000002</v>
      </c>
      <c r="I141">
        <v>0</v>
      </c>
      <c r="J141">
        <v>0</v>
      </c>
      <c r="K141">
        <v>0</v>
      </c>
      <c r="L141">
        <v>0.32969999999999999</v>
      </c>
    </row>
    <row r="142" spans="1:12" x14ac:dyDescent="0.35">
      <c r="A142">
        <v>2</v>
      </c>
      <c r="B142">
        <v>0.68920000000000003</v>
      </c>
      <c r="C142">
        <v>1.125E-2</v>
      </c>
      <c r="D142">
        <v>5.0400000000000002E-3</v>
      </c>
      <c r="E142">
        <v>-5.4100000000000002E-2</v>
      </c>
      <c r="F142">
        <v>1.49E-2</v>
      </c>
      <c r="G142">
        <v>0.05</v>
      </c>
      <c r="H142">
        <v>-2.5474999999999999</v>
      </c>
      <c r="I142">
        <v>0</v>
      </c>
      <c r="J142">
        <v>0</v>
      </c>
      <c r="K142">
        <v>0</v>
      </c>
      <c r="L142">
        <v>0.3271</v>
      </c>
    </row>
    <row r="143" spans="1:12" x14ac:dyDescent="0.35">
      <c r="A143">
        <v>2.0499999999999998</v>
      </c>
      <c r="B143">
        <v>0.69730000000000003</v>
      </c>
      <c r="C143">
        <v>1.149E-2</v>
      </c>
      <c r="D143">
        <v>5.3400000000000001E-3</v>
      </c>
      <c r="E143">
        <v>-5.2999999999999999E-2</v>
      </c>
      <c r="F143">
        <v>1.49E-2</v>
      </c>
      <c r="G143">
        <v>0.05</v>
      </c>
      <c r="H143">
        <v>-2.6023999999999998</v>
      </c>
      <c r="I143">
        <v>0</v>
      </c>
      <c r="J143">
        <v>0</v>
      </c>
      <c r="K143">
        <v>0</v>
      </c>
      <c r="L143">
        <v>0.3246</v>
      </c>
    </row>
    <row r="144" spans="1:12" x14ac:dyDescent="0.35">
      <c r="A144">
        <v>2.1</v>
      </c>
      <c r="B144">
        <v>0.70530000000000004</v>
      </c>
      <c r="C144">
        <v>1.175E-2</v>
      </c>
      <c r="D144">
        <v>5.6499999999999996E-3</v>
      </c>
      <c r="E144">
        <v>-5.1900000000000002E-2</v>
      </c>
      <c r="F144">
        <v>1.4800000000000001E-2</v>
      </c>
      <c r="G144">
        <v>0.05</v>
      </c>
      <c r="H144">
        <v>-2.6535000000000002</v>
      </c>
      <c r="I144">
        <v>0</v>
      </c>
      <c r="J144">
        <v>0</v>
      </c>
      <c r="K144">
        <v>0</v>
      </c>
      <c r="L144">
        <v>0.3221</v>
      </c>
    </row>
    <row r="145" spans="1:12" x14ac:dyDescent="0.35">
      <c r="A145">
        <v>2.15</v>
      </c>
      <c r="B145">
        <v>0.71350000000000002</v>
      </c>
      <c r="C145">
        <v>1.2019999999999999E-2</v>
      </c>
      <c r="D145">
        <v>5.9800000000000001E-3</v>
      </c>
      <c r="E145">
        <v>-5.0700000000000002E-2</v>
      </c>
      <c r="F145">
        <v>1.47E-2</v>
      </c>
      <c r="G145">
        <v>0.05</v>
      </c>
      <c r="H145">
        <v>-2.7010000000000001</v>
      </c>
      <c r="I145">
        <v>0</v>
      </c>
      <c r="J145">
        <v>0</v>
      </c>
      <c r="K145">
        <v>0</v>
      </c>
      <c r="L145">
        <v>0.31969999999999998</v>
      </c>
    </row>
    <row r="146" spans="1:12" x14ac:dyDescent="0.35">
      <c r="A146">
        <v>2.2000000000000002</v>
      </c>
      <c r="B146">
        <v>0.7218</v>
      </c>
      <c r="C146">
        <v>1.231E-2</v>
      </c>
      <c r="D146">
        <v>6.3299999999999997E-3</v>
      </c>
      <c r="E146">
        <v>-4.9599999999999998E-2</v>
      </c>
      <c r="F146">
        <v>1.46E-2</v>
      </c>
      <c r="G146">
        <v>0.05</v>
      </c>
      <c r="H146">
        <v>-2.7452000000000001</v>
      </c>
      <c r="I146">
        <v>0</v>
      </c>
      <c r="J146">
        <v>0</v>
      </c>
      <c r="K146">
        <v>0</v>
      </c>
      <c r="L146">
        <v>0.31719999999999998</v>
      </c>
    </row>
    <row r="147" spans="1:12" x14ac:dyDescent="0.35">
      <c r="A147">
        <v>2.25</v>
      </c>
      <c r="B147">
        <v>0.73050000000000004</v>
      </c>
      <c r="C147">
        <v>1.2619999999999999E-2</v>
      </c>
      <c r="D147">
        <v>6.7000000000000002E-3</v>
      </c>
      <c r="E147">
        <v>-4.8500000000000001E-2</v>
      </c>
      <c r="F147">
        <v>1.4500000000000001E-2</v>
      </c>
      <c r="G147">
        <v>0.05</v>
      </c>
      <c r="H147">
        <v>-2.7858999999999998</v>
      </c>
      <c r="I147">
        <v>0</v>
      </c>
      <c r="J147">
        <v>0</v>
      </c>
      <c r="K147">
        <v>0</v>
      </c>
      <c r="L147">
        <v>0.31490000000000001</v>
      </c>
    </row>
    <row r="148" spans="1:12" x14ac:dyDescent="0.35">
      <c r="A148">
        <v>2.2999999999999998</v>
      </c>
      <c r="B148">
        <v>0.73950000000000005</v>
      </c>
      <c r="C148">
        <v>1.295E-2</v>
      </c>
      <c r="D148">
        <v>7.0899999999999999E-3</v>
      </c>
      <c r="E148">
        <v>-4.7399999999999998E-2</v>
      </c>
      <c r="F148">
        <v>1.44E-2</v>
      </c>
      <c r="G148">
        <v>0.05</v>
      </c>
      <c r="H148">
        <v>-2.8235000000000001</v>
      </c>
      <c r="I148">
        <v>0</v>
      </c>
      <c r="J148">
        <v>0</v>
      </c>
      <c r="K148">
        <v>0</v>
      </c>
      <c r="L148">
        <v>0.3125</v>
      </c>
    </row>
    <row r="149" spans="1:12" x14ac:dyDescent="0.35">
      <c r="A149">
        <v>2.35</v>
      </c>
      <c r="B149">
        <v>0.74890000000000001</v>
      </c>
      <c r="C149">
        <v>1.3299999999999999E-2</v>
      </c>
      <c r="D149">
        <v>7.4999999999999997E-3</v>
      </c>
      <c r="E149">
        <v>-4.6300000000000001E-2</v>
      </c>
      <c r="F149">
        <v>1.43E-2</v>
      </c>
      <c r="G149">
        <v>0.05</v>
      </c>
      <c r="H149">
        <v>-2.8576999999999999</v>
      </c>
      <c r="I149">
        <v>0</v>
      </c>
      <c r="J149">
        <v>0</v>
      </c>
      <c r="K149">
        <v>0</v>
      </c>
      <c r="L149">
        <v>0.31030000000000002</v>
      </c>
    </row>
    <row r="150" spans="1:12" x14ac:dyDescent="0.35">
      <c r="A150">
        <v>2.4</v>
      </c>
      <c r="B150">
        <v>0.75880000000000003</v>
      </c>
      <c r="C150">
        <v>1.367E-2</v>
      </c>
      <c r="D150">
        <v>7.9399999999999991E-3</v>
      </c>
      <c r="E150">
        <v>-4.53E-2</v>
      </c>
      <c r="F150">
        <v>1.4200000000000001E-2</v>
      </c>
      <c r="G150">
        <v>0.05</v>
      </c>
      <c r="H150">
        <v>-2.8887</v>
      </c>
      <c r="I150">
        <v>0</v>
      </c>
      <c r="J150">
        <v>0</v>
      </c>
      <c r="K150">
        <v>0</v>
      </c>
      <c r="L150">
        <v>0.30809999999999998</v>
      </c>
    </row>
    <row r="151" spans="1:12" x14ac:dyDescent="0.35">
      <c r="A151">
        <v>2.4500000000000002</v>
      </c>
      <c r="B151">
        <v>0.76890000000000003</v>
      </c>
      <c r="C151">
        <v>1.4069999999999999E-2</v>
      </c>
      <c r="D151">
        <v>8.4100000000000008E-3</v>
      </c>
      <c r="E151">
        <v>-4.4299999999999999E-2</v>
      </c>
      <c r="F151">
        <v>1.41E-2</v>
      </c>
      <c r="G151">
        <v>0.05</v>
      </c>
      <c r="H151">
        <v>-2.9165999999999999</v>
      </c>
      <c r="I151">
        <v>0</v>
      </c>
      <c r="J151">
        <v>0</v>
      </c>
      <c r="K151">
        <v>0</v>
      </c>
      <c r="L151">
        <v>0.30599999999999999</v>
      </c>
    </row>
    <row r="152" spans="1:12" x14ac:dyDescent="0.35">
      <c r="A152">
        <v>2.5</v>
      </c>
      <c r="B152">
        <v>0.77929999999999999</v>
      </c>
      <c r="C152">
        <v>1.4489999999999999E-2</v>
      </c>
      <c r="D152">
        <v>8.9099999999999995E-3</v>
      </c>
      <c r="E152">
        <v>-4.3299999999999998E-2</v>
      </c>
      <c r="F152">
        <v>1.4E-2</v>
      </c>
      <c r="G152">
        <v>0.05</v>
      </c>
      <c r="H152">
        <v>-2.9413</v>
      </c>
      <c r="I152">
        <v>0</v>
      </c>
      <c r="J152">
        <v>0</v>
      </c>
      <c r="K152">
        <v>0</v>
      </c>
      <c r="L152">
        <v>0.30399999999999999</v>
      </c>
    </row>
    <row r="153" spans="1:12" x14ac:dyDescent="0.35">
      <c r="A153">
        <v>2.5499999999999998</v>
      </c>
      <c r="B153">
        <v>0.78959999999999997</v>
      </c>
      <c r="C153">
        <v>1.4930000000000001E-2</v>
      </c>
      <c r="D153">
        <v>9.4299999999999991E-3</v>
      </c>
      <c r="E153">
        <v>-4.24E-2</v>
      </c>
      <c r="F153">
        <v>1.3899999999999999E-2</v>
      </c>
      <c r="G153">
        <v>0.05</v>
      </c>
      <c r="H153">
        <v>-2.9622999999999999</v>
      </c>
      <c r="I153">
        <v>0</v>
      </c>
      <c r="J153">
        <v>0</v>
      </c>
      <c r="K153">
        <v>0</v>
      </c>
      <c r="L153">
        <v>0.30199999999999999</v>
      </c>
    </row>
    <row r="154" spans="1:12" x14ac:dyDescent="0.35">
      <c r="A154">
        <v>2.6</v>
      </c>
      <c r="B154">
        <v>0.79979999999999996</v>
      </c>
      <c r="C154">
        <v>1.54E-2</v>
      </c>
      <c r="D154">
        <v>9.9699999999999997E-3</v>
      </c>
      <c r="E154">
        <v>-4.1500000000000002E-2</v>
      </c>
      <c r="F154">
        <v>1.37E-2</v>
      </c>
      <c r="G154">
        <v>0.05</v>
      </c>
      <c r="H154">
        <v>-2.9752000000000001</v>
      </c>
      <c r="I154">
        <v>0</v>
      </c>
      <c r="J154">
        <v>0</v>
      </c>
      <c r="K154">
        <v>0</v>
      </c>
      <c r="L154">
        <v>0.30020000000000002</v>
      </c>
    </row>
    <row r="155" spans="1:12" x14ac:dyDescent="0.35">
      <c r="A155">
        <v>2.65</v>
      </c>
      <c r="B155">
        <v>0.80969999999999998</v>
      </c>
      <c r="C155">
        <v>1.5890000000000001E-2</v>
      </c>
      <c r="D155">
        <v>1.0540000000000001E-2</v>
      </c>
      <c r="E155">
        <v>-4.0500000000000001E-2</v>
      </c>
      <c r="F155">
        <v>1.3599999999999999E-2</v>
      </c>
      <c r="G155">
        <v>0.05</v>
      </c>
      <c r="H155">
        <v>-2.9855</v>
      </c>
      <c r="I155">
        <v>0</v>
      </c>
      <c r="J155">
        <v>0</v>
      </c>
      <c r="K155">
        <v>0</v>
      </c>
      <c r="L155">
        <v>0.29830000000000001</v>
      </c>
    </row>
    <row r="156" spans="1:12" x14ac:dyDescent="0.35">
      <c r="A156">
        <v>2.7</v>
      </c>
      <c r="B156">
        <v>0.81910000000000005</v>
      </c>
      <c r="C156">
        <v>1.6400000000000001E-2</v>
      </c>
      <c r="D156">
        <v>1.1140000000000001E-2</v>
      </c>
      <c r="E156">
        <v>-3.9600000000000003E-2</v>
      </c>
      <c r="F156">
        <v>1.35E-2</v>
      </c>
      <c r="G156">
        <v>0.05</v>
      </c>
      <c r="H156">
        <v>-2.9933999999999998</v>
      </c>
      <c r="I156">
        <v>0</v>
      </c>
      <c r="J156">
        <v>0</v>
      </c>
      <c r="K156">
        <v>0</v>
      </c>
      <c r="L156">
        <v>0.29659999999999997</v>
      </c>
    </row>
    <row r="157" spans="1:12" x14ac:dyDescent="0.35">
      <c r="A157">
        <v>2.75</v>
      </c>
      <c r="B157">
        <v>0.82799999999999996</v>
      </c>
      <c r="C157">
        <v>1.6930000000000001E-2</v>
      </c>
      <c r="D157">
        <v>1.175E-2</v>
      </c>
      <c r="E157">
        <v>-3.8600000000000002E-2</v>
      </c>
      <c r="F157">
        <v>1.34E-2</v>
      </c>
      <c r="G157">
        <v>0.05</v>
      </c>
      <c r="H157">
        <v>-2.9988000000000001</v>
      </c>
      <c r="I157">
        <v>0</v>
      </c>
      <c r="J157">
        <v>0</v>
      </c>
      <c r="K157">
        <v>0</v>
      </c>
      <c r="L157">
        <v>0.29480000000000001</v>
      </c>
    </row>
    <row r="158" spans="1:12" x14ac:dyDescent="0.35">
      <c r="A158">
        <v>2.8</v>
      </c>
      <c r="B158">
        <v>0.83630000000000004</v>
      </c>
      <c r="C158">
        <v>1.7479999999999999E-2</v>
      </c>
      <c r="D158">
        <v>1.239E-2</v>
      </c>
      <c r="E158">
        <v>-3.7600000000000001E-2</v>
      </c>
      <c r="F158">
        <v>1.3299999999999999E-2</v>
      </c>
      <c r="G158">
        <v>0.05</v>
      </c>
      <c r="H158">
        <v>-3.0021</v>
      </c>
      <c r="I158">
        <v>0</v>
      </c>
      <c r="J158">
        <v>0</v>
      </c>
      <c r="K158">
        <v>0</v>
      </c>
      <c r="L158">
        <v>0.29320000000000002</v>
      </c>
    </row>
    <row r="159" spans="1:12" x14ac:dyDescent="0.35">
      <c r="A159">
        <v>2.85</v>
      </c>
      <c r="B159">
        <v>0.84399999999999997</v>
      </c>
      <c r="C159">
        <v>1.805E-2</v>
      </c>
      <c r="D159">
        <v>1.304E-2</v>
      </c>
      <c r="E159">
        <v>-3.6600000000000001E-2</v>
      </c>
      <c r="F159">
        <v>1.32E-2</v>
      </c>
      <c r="G159">
        <v>0.05</v>
      </c>
      <c r="H159">
        <v>-3.0034000000000001</v>
      </c>
      <c r="I159">
        <v>0</v>
      </c>
      <c r="J159">
        <v>0</v>
      </c>
      <c r="K159">
        <v>0</v>
      </c>
      <c r="L159">
        <v>0.29160000000000003</v>
      </c>
    </row>
    <row r="160" spans="1:12" x14ac:dyDescent="0.35">
      <c r="A160">
        <v>2.9</v>
      </c>
      <c r="B160">
        <v>0.85099999999999998</v>
      </c>
      <c r="C160">
        <v>1.864E-2</v>
      </c>
      <c r="D160">
        <v>1.371E-2</v>
      </c>
      <c r="E160">
        <v>-3.56E-2</v>
      </c>
      <c r="F160">
        <v>1.32E-2</v>
      </c>
      <c r="G160">
        <v>0.05</v>
      </c>
      <c r="H160">
        <v>-3.0028000000000001</v>
      </c>
      <c r="I160">
        <v>0</v>
      </c>
      <c r="J160">
        <v>0</v>
      </c>
      <c r="K160">
        <v>0</v>
      </c>
      <c r="L160">
        <v>0.28999999999999998</v>
      </c>
    </row>
    <row r="161" spans="1:12" x14ac:dyDescent="0.35">
      <c r="A161">
        <v>2.95</v>
      </c>
      <c r="B161">
        <v>0.85729999999999995</v>
      </c>
      <c r="C161">
        <v>1.924E-2</v>
      </c>
      <c r="D161">
        <v>1.44E-2</v>
      </c>
      <c r="E161">
        <v>-3.4599999999999999E-2</v>
      </c>
      <c r="F161">
        <v>1.3100000000000001E-2</v>
      </c>
      <c r="G161">
        <v>0.05</v>
      </c>
      <c r="H161">
        <v>-3.0005000000000002</v>
      </c>
      <c r="I161">
        <v>0</v>
      </c>
      <c r="J161">
        <v>0</v>
      </c>
      <c r="K161">
        <v>0</v>
      </c>
      <c r="L161">
        <v>0.28849999999999998</v>
      </c>
    </row>
    <row r="162" spans="1:12" x14ac:dyDescent="0.35">
      <c r="A162">
        <v>3</v>
      </c>
      <c r="B162">
        <v>0.86299999999999999</v>
      </c>
      <c r="C162">
        <v>1.9859999999999999E-2</v>
      </c>
      <c r="D162">
        <v>1.511E-2</v>
      </c>
      <c r="E162">
        <v>-3.3599999999999998E-2</v>
      </c>
      <c r="F162">
        <v>1.29E-2</v>
      </c>
      <c r="G162">
        <v>0.05</v>
      </c>
      <c r="H162">
        <v>-2.9969999999999999</v>
      </c>
      <c r="I162">
        <v>0</v>
      </c>
      <c r="J162">
        <v>0</v>
      </c>
      <c r="K162">
        <v>0</v>
      </c>
      <c r="L162">
        <v>0.28699999999999998</v>
      </c>
    </row>
    <row r="163" spans="1:12" x14ac:dyDescent="0.35">
      <c r="A163">
        <v>3.05</v>
      </c>
      <c r="B163">
        <v>0.86799999999999999</v>
      </c>
      <c r="C163">
        <v>2.0500000000000001E-2</v>
      </c>
      <c r="D163">
        <v>1.5820000000000001E-2</v>
      </c>
      <c r="E163">
        <v>-3.2599999999999997E-2</v>
      </c>
      <c r="F163">
        <v>1.2800000000000001E-2</v>
      </c>
      <c r="G163">
        <v>0.05</v>
      </c>
      <c r="H163">
        <v>-2.9923999999999999</v>
      </c>
      <c r="I163">
        <v>0</v>
      </c>
      <c r="J163">
        <v>0</v>
      </c>
      <c r="K163">
        <v>0</v>
      </c>
      <c r="L163">
        <v>0.28560000000000002</v>
      </c>
    </row>
    <row r="164" spans="1:12" x14ac:dyDescent="0.35">
      <c r="A164">
        <v>3.1</v>
      </c>
      <c r="B164">
        <v>0.87239999999999995</v>
      </c>
      <c r="C164">
        <v>2.1160000000000002E-2</v>
      </c>
      <c r="D164">
        <v>1.6570000000000001E-2</v>
      </c>
      <c r="E164">
        <v>-3.1600000000000003E-2</v>
      </c>
      <c r="F164">
        <v>1.26E-2</v>
      </c>
      <c r="G164">
        <v>0.05</v>
      </c>
      <c r="H164">
        <v>-2.9866999999999999</v>
      </c>
      <c r="I164">
        <v>0</v>
      </c>
      <c r="J164">
        <v>0</v>
      </c>
      <c r="K164">
        <v>0</v>
      </c>
      <c r="L164">
        <v>0.2843</v>
      </c>
    </row>
    <row r="165" spans="1:12" x14ac:dyDescent="0.35">
      <c r="A165">
        <v>3.15</v>
      </c>
      <c r="B165">
        <v>0.87619999999999998</v>
      </c>
      <c r="C165">
        <v>2.1829999999999999E-2</v>
      </c>
      <c r="D165">
        <v>1.7309999999999999E-2</v>
      </c>
      <c r="E165">
        <v>-3.0599999999999999E-2</v>
      </c>
      <c r="F165">
        <v>1.2500000000000001E-2</v>
      </c>
      <c r="G165">
        <v>0.05</v>
      </c>
      <c r="H165">
        <v>-2.9815999999999998</v>
      </c>
      <c r="I165">
        <v>0</v>
      </c>
      <c r="J165">
        <v>0</v>
      </c>
      <c r="K165">
        <v>0</v>
      </c>
      <c r="L165">
        <v>0.28299999999999997</v>
      </c>
    </row>
    <row r="166" spans="1:12" x14ac:dyDescent="0.35">
      <c r="A166">
        <v>3.2</v>
      </c>
      <c r="B166">
        <v>0.87939999999999996</v>
      </c>
      <c r="C166">
        <v>2.2509999999999999E-2</v>
      </c>
      <c r="D166">
        <v>1.8069999999999999E-2</v>
      </c>
      <c r="E166">
        <v>-2.9700000000000001E-2</v>
      </c>
      <c r="F166">
        <v>1.23E-2</v>
      </c>
      <c r="G166">
        <v>0.05</v>
      </c>
      <c r="H166">
        <v>-2.9765999999999999</v>
      </c>
      <c r="I166">
        <v>0</v>
      </c>
      <c r="J166">
        <v>0</v>
      </c>
      <c r="K166">
        <v>0</v>
      </c>
      <c r="L166">
        <v>0.28170000000000001</v>
      </c>
    </row>
    <row r="167" spans="1:12" x14ac:dyDescent="0.35">
      <c r="A167">
        <v>3.25</v>
      </c>
      <c r="B167">
        <v>0.8821</v>
      </c>
      <c r="C167">
        <v>2.3210000000000001E-2</v>
      </c>
      <c r="D167">
        <v>1.883E-2</v>
      </c>
      <c r="E167">
        <v>-2.8799999999999999E-2</v>
      </c>
      <c r="F167">
        <v>1.21E-2</v>
      </c>
      <c r="G167">
        <v>0.05</v>
      </c>
      <c r="H167">
        <v>-2.9716</v>
      </c>
      <c r="I167">
        <v>0</v>
      </c>
      <c r="J167">
        <v>0</v>
      </c>
      <c r="K167">
        <v>0</v>
      </c>
      <c r="L167">
        <v>0.28060000000000002</v>
      </c>
    </row>
    <row r="168" spans="1:12" x14ac:dyDescent="0.35">
      <c r="A168">
        <v>3.3</v>
      </c>
      <c r="B168">
        <v>0.88419999999999999</v>
      </c>
      <c r="C168">
        <v>2.3910000000000001E-2</v>
      </c>
      <c r="D168">
        <v>1.9609999999999999E-2</v>
      </c>
      <c r="E168">
        <v>-2.7900000000000001E-2</v>
      </c>
      <c r="F168">
        <v>1.2E-2</v>
      </c>
      <c r="G168">
        <v>0.05</v>
      </c>
      <c r="H168">
        <v>-2.9664000000000001</v>
      </c>
      <c r="I168">
        <v>0</v>
      </c>
      <c r="J168">
        <v>0</v>
      </c>
      <c r="K168">
        <v>0</v>
      </c>
      <c r="L168">
        <v>0.27950000000000003</v>
      </c>
    </row>
    <row r="169" spans="1:12" x14ac:dyDescent="0.35">
      <c r="A169">
        <v>3.35</v>
      </c>
      <c r="B169">
        <v>0.88580000000000003</v>
      </c>
      <c r="C169">
        <v>2.4639999999999999E-2</v>
      </c>
      <c r="D169">
        <v>2.0389999999999998E-2</v>
      </c>
      <c r="E169">
        <v>-2.7E-2</v>
      </c>
      <c r="F169">
        <v>1.1900000000000001E-2</v>
      </c>
      <c r="G169">
        <v>0.05</v>
      </c>
      <c r="H169">
        <v>-2.9607000000000001</v>
      </c>
      <c r="I169">
        <v>0</v>
      </c>
      <c r="J169">
        <v>0</v>
      </c>
      <c r="K169">
        <v>0</v>
      </c>
      <c r="L169">
        <v>0.27850000000000003</v>
      </c>
    </row>
    <row r="170" spans="1:12" x14ac:dyDescent="0.35">
      <c r="A170">
        <v>3.4</v>
      </c>
      <c r="B170">
        <v>0.88690000000000002</v>
      </c>
      <c r="C170">
        <v>2.537E-2</v>
      </c>
      <c r="D170">
        <v>2.1190000000000001E-2</v>
      </c>
      <c r="E170">
        <v>-2.6200000000000001E-2</v>
      </c>
      <c r="F170">
        <v>1.1900000000000001E-2</v>
      </c>
      <c r="G170">
        <v>0.05</v>
      </c>
      <c r="H170">
        <v>-2.9546000000000001</v>
      </c>
      <c r="I170">
        <v>0</v>
      </c>
      <c r="J170">
        <v>0</v>
      </c>
      <c r="K170">
        <v>0</v>
      </c>
      <c r="L170">
        <v>0.27750000000000002</v>
      </c>
    </row>
    <row r="171" spans="1:12" x14ac:dyDescent="0.35">
      <c r="A171">
        <v>3.45</v>
      </c>
      <c r="B171">
        <v>0.88749999999999996</v>
      </c>
      <c r="C171">
        <v>2.6110000000000001E-2</v>
      </c>
      <c r="D171">
        <v>2.1989999999999999E-2</v>
      </c>
      <c r="E171">
        <v>-2.5499999999999998E-2</v>
      </c>
      <c r="F171">
        <v>1.18E-2</v>
      </c>
      <c r="G171">
        <v>0.05</v>
      </c>
      <c r="H171">
        <v>-2.9479000000000002</v>
      </c>
      <c r="I171">
        <v>0</v>
      </c>
      <c r="J171">
        <v>0</v>
      </c>
      <c r="K171">
        <v>0</v>
      </c>
      <c r="L171">
        <v>0.27660000000000001</v>
      </c>
    </row>
    <row r="172" spans="1:12" x14ac:dyDescent="0.35">
      <c r="A172">
        <v>3.5</v>
      </c>
      <c r="B172">
        <v>0.88770000000000004</v>
      </c>
      <c r="C172">
        <v>2.6870000000000002E-2</v>
      </c>
      <c r="D172">
        <v>2.2800000000000001E-2</v>
      </c>
      <c r="E172">
        <v>-2.47E-2</v>
      </c>
      <c r="F172">
        <v>1.17E-2</v>
      </c>
      <c r="G172">
        <v>0.05</v>
      </c>
      <c r="H172">
        <v>-2.9407000000000001</v>
      </c>
      <c r="I172">
        <v>0</v>
      </c>
      <c r="J172">
        <v>0</v>
      </c>
      <c r="K172">
        <v>0</v>
      </c>
      <c r="L172">
        <v>0.2757</v>
      </c>
    </row>
    <row r="173" spans="1:12" x14ac:dyDescent="0.35">
      <c r="A173">
        <v>3.55</v>
      </c>
      <c r="B173">
        <v>0.88739999999999997</v>
      </c>
      <c r="C173">
        <v>2.7640000000000001E-2</v>
      </c>
      <c r="D173">
        <v>2.3619999999999999E-2</v>
      </c>
      <c r="E173">
        <v>-2.41E-2</v>
      </c>
      <c r="F173">
        <v>1.17E-2</v>
      </c>
      <c r="G173">
        <v>0.05</v>
      </c>
      <c r="H173">
        <v>-2.9329999999999998</v>
      </c>
      <c r="I173">
        <v>0</v>
      </c>
      <c r="J173">
        <v>0</v>
      </c>
      <c r="K173">
        <v>0</v>
      </c>
      <c r="L173">
        <v>0.27500000000000002</v>
      </c>
    </row>
    <row r="174" spans="1:12" x14ac:dyDescent="0.35">
      <c r="A174">
        <v>3.6</v>
      </c>
      <c r="B174">
        <v>0.88670000000000004</v>
      </c>
      <c r="C174">
        <v>2.8420000000000001E-2</v>
      </c>
      <c r="D174">
        <v>2.445E-2</v>
      </c>
      <c r="E174">
        <v>-2.35E-2</v>
      </c>
      <c r="F174">
        <v>1.17E-2</v>
      </c>
      <c r="G174">
        <v>0.05</v>
      </c>
      <c r="H174">
        <v>-2.9247999999999998</v>
      </c>
      <c r="I174">
        <v>0</v>
      </c>
      <c r="J174">
        <v>0</v>
      </c>
      <c r="K174">
        <v>0</v>
      </c>
      <c r="L174">
        <v>0.27429999999999999</v>
      </c>
    </row>
    <row r="175" spans="1:12" x14ac:dyDescent="0.35">
      <c r="A175">
        <v>3.65</v>
      </c>
      <c r="B175">
        <v>0.88560000000000005</v>
      </c>
      <c r="C175">
        <v>2.921E-2</v>
      </c>
      <c r="D175">
        <v>2.529E-2</v>
      </c>
      <c r="E175">
        <v>-2.29E-2</v>
      </c>
      <c r="F175">
        <v>1.1599999999999999E-2</v>
      </c>
      <c r="G175">
        <v>0.05</v>
      </c>
      <c r="H175">
        <v>-2.9161000000000001</v>
      </c>
      <c r="I175">
        <v>0</v>
      </c>
      <c r="J175">
        <v>0</v>
      </c>
      <c r="K175">
        <v>0</v>
      </c>
      <c r="L175">
        <v>0.27360000000000001</v>
      </c>
    </row>
    <row r="176" spans="1:12" x14ac:dyDescent="0.35">
      <c r="A176">
        <v>3.7</v>
      </c>
      <c r="B176">
        <v>0.88329999999999997</v>
      </c>
      <c r="C176">
        <v>2.9940000000000001E-2</v>
      </c>
      <c r="D176">
        <v>2.606E-2</v>
      </c>
      <c r="E176">
        <v>-2.2100000000000002E-2</v>
      </c>
      <c r="F176">
        <v>1.1599999999999999E-2</v>
      </c>
      <c r="G176">
        <v>0.05</v>
      </c>
      <c r="H176">
        <v>-2.9073000000000002</v>
      </c>
      <c r="I176">
        <v>0</v>
      </c>
      <c r="J176">
        <v>0</v>
      </c>
      <c r="K176">
        <v>0</v>
      </c>
      <c r="L176">
        <v>0.27279999999999999</v>
      </c>
    </row>
    <row r="177" spans="1:12" x14ac:dyDescent="0.35">
      <c r="A177">
        <v>3.75</v>
      </c>
      <c r="B177">
        <v>0.88029999999999997</v>
      </c>
      <c r="C177">
        <v>3.065E-2</v>
      </c>
      <c r="D177">
        <v>2.681E-2</v>
      </c>
      <c r="E177">
        <v>-2.1299999999999999E-2</v>
      </c>
      <c r="F177">
        <v>1.1599999999999999E-2</v>
      </c>
      <c r="G177">
        <v>0.05</v>
      </c>
      <c r="H177">
        <v>-2.8984000000000001</v>
      </c>
      <c r="I177">
        <v>0</v>
      </c>
      <c r="J177">
        <v>0</v>
      </c>
      <c r="K177">
        <v>0</v>
      </c>
      <c r="L177">
        <v>0.27200000000000002</v>
      </c>
    </row>
    <row r="178" spans="1:12" x14ac:dyDescent="0.35">
      <c r="A178">
        <v>3.8</v>
      </c>
      <c r="B178">
        <v>0.87770000000000004</v>
      </c>
      <c r="C178">
        <v>3.143E-2</v>
      </c>
      <c r="D178">
        <v>2.7619999999999999E-2</v>
      </c>
      <c r="E178">
        <v>-2.0799999999999999E-2</v>
      </c>
      <c r="F178">
        <v>1.1599999999999999E-2</v>
      </c>
      <c r="G178">
        <v>0.05</v>
      </c>
      <c r="H178">
        <v>-2.8889999999999998</v>
      </c>
      <c r="I178">
        <v>0</v>
      </c>
      <c r="J178">
        <v>0</v>
      </c>
      <c r="K178">
        <v>0</v>
      </c>
      <c r="L178">
        <v>0.27139999999999997</v>
      </c>
    </row>
    <row r="179" spans="1:12" x14ac:dyDescent="0.35">
      <c r="A179">
        <v>3.85</v>
      </c>
      <c r="B179">
        <v>0.87509999999999999</v>
      </c>
      <c r="C179">
        <v>3.2259999999999997E-2</v>
      </c>
      <c r="D179">
        <v>2.8479999999999998E-2</v>
      </c>
      <c r="E179">
        <v>-2.0400000000000001E-2</v>
      </c>
      <c r="F179">
        <v>1.15E-2</v>
      </c>
      <c r="G179">
        <v>0.05</v>
      </c>
      <c r="H179">
        <v>-2.8980000000000001</v>
      </c>
      <c r="I179">
        <v>0</v>
      </c>
      <c r="J179">
        <v>0</v>
      </c>
      <c r="K179">
        <v>0</v>
      </c>
      <c r="L179">
        <v>0.27100000000000002</v>
      </c>
    </row>
    <row r="180" spans="1:12" x14ac:dyDescent="0.35">
      <c r="A180">
        <v>3.9</v>
      </c>
      <c r="B180">
        <v>0.87260000000000004</v>
      </c>
      <c r="C180">
        <v>3.3119999999999997E-2</v>
      </c>
      <c r="D180">
        <v>2.937E-2</v>
      </c>
      <c r="E180">
        <v>-2.01E-2</v>
      </c>
      <c r="F180">
        <v>1.15E-2</v>
      </c>
      <c r="G180">
        <v>0.05</v>
      </c>
      <c r="H180">
        <v>-2.9074</v>
      </c>
      <c r="I180">
        <v>0</v>
      </c>
      <c r="J180">
        <v>0</v>
      </c>
      <c r="K180">
        <v>0</v>
      </c>
      <c r="L180">
        <v>0.2707</v>
      </c>
    </row>
    <row r="181" spans="1:12" x14ac:dyDescent="0.35">
      <c r="A181">
        <v>3.95</v>
      </c>
      <c r="B181">
        <v>0.87</v>
      </c>
      <c r="C181">
        <v>3.4000000000000002E-2</v>
      </c>
      <c r="D181">
        <v>3.0290000000000001E-2</v>
      </c>
      <c r="E181">
        <v>-0.02</v>
      </c>
      <c r="F181">
        <v>1.15E-2</v>
      </c>
      <c r="G181">
        <v>0.05</v>
      </c>
      <c r="H181">
        <v>-2.9157000000000002</v>
      </c>
      <c r="I181">
        <v>0</v>
      </c>
      <c r="J181">
        <v>0</v>
      </c>
      <c r="K181">
        <v>0</v>
      </c>
      <c r="L181">
        <v>0.27060000000000001</v>
      </c>
    </row>
    <row r="182" spans="1:12" x14ac:dyDescent="0.35">
      <c r="A182">
        <v>4</v>
      </c>
      <c r="B182">
        <v>0.86729999999999996</v>
      </c>
      <c r="C182">
        <v>3.492E-2</v>
      </c>
      <c r="D182">
        <v>3.124E-2</v>
      </c>
      <c r="E182">
        <v>-0.02</v>
      </c>
      <c r="F182">
        <v>1.14E-2</v>
      </c>
      <c r="G182">
        <v>0.05</v>
      </c>
      <c r="H182">
        <v>-2.9226999999999999</v>
      </c>
      <c r="I182">
        <v>0</v>
      </c>
      <c r="J182">
        <v>0</v>
      </c>
      <c r="K182">
        <v>0</v>
      </c>
      <c r="L182">
        <v>0.2707</v>
      </c>
    </row>
    <row r="183" spans="1:12" x14ac:dyDescent="0.35">
      <c r="A183">
        <v>4.05</v>
      </c>
      <c r="B183">
        <v>0.86460000000000004</v>
      </c>
      <c r="C183">
        <v>3.5869999999999999E-2</v>
      </c>
      <c r="D183">
        <v>3.2210000000000003E-2</v>
      </c>
      <c r="E183">
        <v>-2.01E-2</v>
      </c>
      <c r="F183">
        <v>1.14E-2</v>
      </c>
      <c r="G183">
        <v>0.05</v>
      </c>
      <c r="H183">
        <v>-2.9281000000000001</v>
      </c>
      <c r="I183">
        <v>0</v>
      </c>
      <c r="J183">
        <v>0</v>
      </c>
      <c r="K183">
        <v>0</v>
      </c>
      <c r="L183">
        <v>0.27089999999999997</v>
      </c>
    </row>
    <row r="184" spans="1:12" x14ac:dyDescent="0.35">
      <c r="A184">
        <v>4.0999999999999996</v>
      </c>
      <c r="B184">
        <v>0.86199999999999999</v>
      </c>
      <c r="C184">
        <v>3.6839999999999998E-2</v>
      </c>
      <c r="D184">
        <v>3.3210000000000003E-2</v>
      </c>
      <c r="E184">
        <v>-2.0400000000000001E-2</v>
      </c>
      <c r="F184">
        <v>1.12E-2</v>
      </c>
      <c r="G184">
        <v>0.05</v>
      </c>
      <c r="H184">
        <v>-2.9318</v>
      </c>
      <c r="I184">
        <v>0</v>
      </c>
      <c r="J184">
        <v>0</v>
      </c>
      <c r="K184">
        <v>0</v>
      </c>
      <c r="L184">
        <v>0.2712</v>
      </c>
    </row>
    <row r="185" spans="1:12" x14ac:dyDescent="0.35">
      <c r="A185">
        <v>4.1500000000000004</v>
      </c>
      <c r="B185">
        <v>0.85940000000000005</v>
      </c>
      <c r="C185">
        <v>3.7839999999999999E-2</v>
      </c>
      <c r="D185">
        <v>3.4229999999999997E-2</v>
      </c>
      <c r="E185">
        <v>-2.0799999999999999E-2</v>
      </c>
      <c r="F185">
        <v>1.0999999999999999E-2</v>
      </c>
      <c r="G185">
        <v>0.05</v>
      </c>
      <c r="H185">
        <v>-2.9340000000000002</v>
      </c>
      <c r="I185">
        <v>0</v>
      </c>
      <c r="J185">
        <v>0</v>
      </c>
      <c r="K185">
        <v>0</v>
      </c>
      <c r="L185">
        <v>0.2717</v>
      </c>
    </row>
    <row r="186" spans="1:12" x14ac:dyDescent="0.35">
      <c r="A186">
        <v>4.2</v>
      </c>
      <c r="B186">
        <v>0.8569</v>
      </c>
      <c r="C186">
        <v>3.8870000000000002E-2</v>
      </c>
      <c r="D186">
        <v>3.5279999999999999E-2</v>
      </c>
      <c r="E186">
        <v>-2.12E-2</v>
      </c>
      <c r="F186">
        <v>1.0699999999999999E-2</v>
      </c>
      <c r="G186">
        <v>0.05</v>
      </c>
      <c r="H186">
        <v>-2.9348000000000001</v>
      </c>
      <c r="I186">
        <v>0</v>
      </c>
      <c r="J186">
        <v>0</v>
      </c>
      <c r="K186">
        <v>0</v>
      </c>
      <c r="L186">
        <v>0.27229999999999999</v>
      </c>
    </row>
    <row r="187" spans="1:12" x14ac:dyDescent="0.35">
      <c r="A187">
        <v>4.25</v>
      </c>
      <c r="B187">
        <v>0.85450000000000004</v>
      </c>
      <c r="C187">
        <v>3.9919999999999997E-2</v>
      </c>
      <c r="D187">
        <v>3.6360000000000003E-2</v>
      </c>
      <c r="E187">
        <v>-2.18E-2</v>
      </c>
      <c r="F187">
        <v>1.04E-2</v>
      </c>
      <c r="G187">
        <v>0.05</v>
      </c>
      <c r="H187">
        <v>-2.9344999999999999</v>
      </c>
      <c r="I187">
        <v>0</v>
      </c>
      <c r="J187">
        <v>0</v>
      </c>
      <c r="K187">
        <v>0</v>
      </c>
      <c r="L187">
        <v>0.27300000000000002</v>
      </c>
    </row>
    <row r="188" spans="1:12" x14ac:dyDescent="0.35">
      <c r="A188">
        <v>4.3</v>
      </c>
      <c r="B188">
        <v>0.85209999999999997</v>
      </c>
      <c r="C188">
        <v>4.1000000000000002E-2</v>
      </c>
      <c r="D188">
        <v>3.746E-2</v>
      </c>
      <c r="E188">
        <v>-2.2499999999999999E-2</v>
      </c>
      <c r="F188">
        <v>1.0200000000000001E-2</v>
      </c>
      <c r="G188">
        <v>0.05</v>
      </c>
      <c r="H188">
        <v>-2.9327999999999999</v>
      </c>
      <c r="I188">
        <v>0</v>
      </c>
      <c r="J188">
        <v>0</v>
      </c>
      <c r="K188">
        <v>0</v>
      </c>
      <c r="L188">
        <v>0.27389999999999998</v>
      </c>
    </row>
    <row r="189" spans="1:12" x14ac:dyDescent="0.35">
      <c r="A189">
        <v>4.3499999999999996</v>
      </c>
      <c r="B189">
        <v>0.84989999999999999</v>
      </c>
      <c r="C189">
        <v>4.2110000000000002E-2</v>
      </c>
      <c r="D189">
        <v>3.8580000000000003E-2</v>
      </c>
      <c r="E189">
        <v>-2.3300000000000001E-2</v>
      </c>
      <c r="F189">
        <v>9.9000000000000008E-3</v>
      </c>
      <c r="G189">
        <v>0.05</v>
      </c>
      <c r="H189">
        <v>-2.9293999999999998</v>
      </c>
      <c r="I189">
        <v>0</v>
      </c>
      <c r="J189">
        <v>0</v>
      </c>
      <c r="K189">
        <v>0</v>
      </c>
      <c r="L189">
        <v>0.27479999999999999</v>
      </c>
    </row>
    <row r="190" spans="1:12" x14ac:dyDescent="0.35">
      <c r="A190">
        <v>4.4000000000000004</v>
      </c>
      <c r="B190">
        <v>0.84770000000000001</v>
      </c>
      <c r="C190">
        <v>4.3240000000000001E-2</v>
      </c>
      <c r="D190">
        <v>3.9730000000000001E-2</v>
      </c>
      <c r="E190">
        <v>-2.41E-2</v>
      </c>
      <c r="F190">
        <v>9.7999999999999997E-3</v>
      </c>
      <c r="G190">
        <v>0.05</v>
      </c>
      <c r="H190">
        <v>-2.9243000000000001</v>
      </c>
      <c r="I190">
        <v>0</v>
      </c>
      <c r="J190">
        <v>0</v>
      </c>
      <c r="K190">
        <v>0</v>
      </c>
      <c r="L190">
        <v>0.27589999999999998</v>
      </c>
    </row>
    <row r="191" spans="1:12" x14ac:dyDescent="0.35">
      <c r="A191">
        <v>4.45</v>
      </c>
      <c r="B191">
        <v>0.8458</v>
      </c>
      <c r="C191">
        <v>4.4389999999999999E-2</v>
      </c>
      <c r="D191">
        <v>4.0899999999999999E-2</v>
      </c>
      <c r="E191">
        <v>-2.5000000000000001E-2</v>
      </c>
      <c r="F191">
        <v>9.5999999999999992E-3</v>
      </c>
      <c r="G191">
        <v>0.05</v>
      </c>
      <c r="H191">
        <v>-2.9180000000000001</v>
      </c>
      <c r="I191">
        <v>0</v>
      </c>
      <c r="J191">
        <v>0</v>
      </c>
      <c r="K191">
        <v>0</v>
      </c>
      <c r="L191">
        <v>0.27700000000000002</v>
      </c>
    </row>
    <row r="192" spans="1:12" x14ac:dyDescent="0.35">
      <c r="A192">
        <v>4.5</v>
      </c>
      <c r="B192">
        <v>0.84389999999999998</v>
      </c>
      <c r="C192">
        <v>4.5569999999999999E-2</v>
      </c>
      <c r="D192">
        <v>4.2090000000000002E-2</v>
      </c>
      <c r="E192">
        <v>-2.5999999999999999E-2</v>
      </c>
      <c r="F192">
        <v>9.4000000000000004E-3</v>
      </c>
      <c r="G192">
        <v>0.05</v>
      </c>
      <c r="H192">
        <v>-2.9108000000000001</v>
      </c>
      <c r="I192">
        <v>0</v>
      </c>
      <c r="J192">
        <v>0</v>
      </c>
      <c r="K192">
        <v>0</v>
      </c>
      <c r="L192">
        <v>0.27829999999999999</v>
      </c>
    </row>
    <row r="193" spans="1:12" x14ac:dyDescent="0.35">
      <c r="A193">
        <v>4.55</v>
      </c>
      <c r="B193">
        <v>0.84219999999999995</v>
      </c>
      <c r="C193">
        <v>4.6769999999999999E-2</v>
      </c>
      <c r="D193">
        <v>4.3299999999999998E-2</v>
      </c>
      <c r="E193">
        <v>-2.7099999999999999E-2</v>
      </c>
      <c r="F193">
        <v>9.1999999999999998E-3</v>
      </c>
      <c r="G193">
        <v>0.05</v>
      </c>
      <c r="H193">
        <v>-2.9028999999999998</v>
      </c>
      <c r="I193">
        <v>0</v>
      </c>
      <c r="J193">
        <v>0</v>
      </c>
      <c r="K193">
        <v>0</v>
      </c>
      <c r="L193">
        <v>0.27960000000000002</v>
      </c>
    </row>
    <row r="194" spans="1:12" x14ac:dyDescent="0.35">
      <c r="A194">
        <v>4.5999999999999996</v>
      </c>
      <c r="B194">
        <v>0.8407</v>
      </c>
      <c r="C194">
        <v>4.7989999999999998E-2</v>
      </c>
      <c r="D194">
        <v>4.453E-2</v>
      </c>
      <c r="E194">
        <v>-2.8199999999999999E-2</v>
      </c>
      <c r="F194">
        <v>8.9999999999999993E-3</v>
      </c>
      <c r="G194">
        <v>0.05</v>
      </c>
      <c r="H194">
        <v>-2.8944999999999999</v>
      </c>
      <c r="I194">
        <v>0</v>
      </c>
      <c r="J194">
        <v>0</v>
      </c>
      <c r="K194">
        <v>0</v>
      </c>
      <c r="L194">
        <v>0.28089999999999998</v>
      </c>
    </row>
    <row r="195" spans="1:12" x14ac:dyDescent="0.35">
      <c r="A195">
        <v>4.6500000000000004</v>
      </c>
      <c r="B195">
        <v>0.83940000000000003</v>
      </c>
      <c r="C195">
        <v>4.922E-2</v>
      </c>
      <c r="D195">
        <v>4.5780000000000001E-2</v>
      </c>
      <c r="E195">
        <v>-2.9399999999999999E-2</v>
      </c>
      <c r="F195">
        <v>8.6999999999999994E-3</v>
      </c>
      <c r="G195">
        <v>0.05</v>
      </c>
      <c r="H195">
        <v>-2.8858000000000001</v>
      </c>
      <c r="I195">
        <v>0</v>
      </c>
      <c r="J195">
        <v>0</v>
      </c>
      <c r="K195">
        <v>0</v>
      </c>
      <c r="L195">
        <v>0.28239999999999998</v>
      </c>
    </row>
    <row r="196" spans="1:12" x14ac:dyDescent="0.35">
      <c r="A196">
        <v>4.7</v>
      </c>
      <c r="B196">
        <v>0.83819999999999995</v>
      </c>
      <c r="C196">
        <v>5.0479999999999997E-2</v>
      </c>
      <c r="D196">
        <v>4.7050000000000002E-2</v>
      </c>
      <c r="E196">
        <v>-3.0599999999999999E-2</v>
      </c>
      <c r="F196">
        <v>8.5000000000000006E-3</v>
      </c>
      <c r="G196">
        <v>0.05</v>
      </c>
      <c r="H196">
        <v>-2.8767999999999998</v>
      </c>
      <c r="I196">
        <v>0</v>
      </c>
      <c r="J196">
        <v>0</v>
      </c>
      <c r="K196">
        <v>0</v>
      </c>
      <c r="L196">
        <v>0.2838</v>
      </c>
    </row>
    <row r="197" spans="1:12" x14ac:dyDescent="0.35">
      <c r="A197">
        <v>4.75</v>
      </c>
      <c r="B197">
        <v>0.83730000000000004</v>
      </c>
      <c r="C197">
        <v>5.1749999999999997E-2</v>
      </c>
      <c r="D197">
        <v>4.8329999999999998E-2</v>
      </c>
      <c r="E197">
        <v>-3.1899999999999998E-2</v>
      </c>
      <c r="F197">
        <v>8.3999999999999995E-3</v>
      </c>
      <c r="G197">
        <v>0.05</v>
      </c>
      <c r="H197">
        <v>-2.8675000000000002</v>
      </c>
      <c r="I197">
        <v>0</v>
      </c>
      <c r="J197">
        <v>0</v>
      </c>
      <c r="K197">
        <v>0</v>
      </c>
      <c r="L197">
        <v>0.28539999999999999</v>
      </c>
    </row>
    <row r="198" spans="1:12" x14ac:dyDescent="0.35">
      <c r="A198">
        <v>4.8</v>
      </c>
      <c r="B198">
        <v>0.83650000000000002</v>
      </c>
      <c r="C198">
        <v>5.305E-2</v>
      </c>
      <c r="D198">
        <v>4.9630000000000001E-2</v>
      </c>
      <c r="E198">
        <v>-3.32E-2</v>
      </c>
      <c r="F198">
        <v>8.2000000000000007E-3</v>
      </c>
      <c r="G198">
        <v>0.05</v>
      </c>
      <c r="H198">
        <v>-2.8580000000000001</v>
      </c>
      <c r="I198">
        <v>0</v>
      </c>
      <c r="J198">
        <v>0</v>
      </c>
      <c r="K198">
        <v>0</v>
      </c>
      <c r="L198">
        <v>0.28689999999999999</v>
      </c>
    </row>
    <row r="199" spans="1:12" x14ac:dyDescent="0.35">
      <c r="A199">
        <v>4.8499999999999996</v>
      </c>
      <c r="B199">
        <v>0.83589999999999998</v>
      </c>
      <c r="C199">
        <v>5.4359999999999999E-2</v>
      </c>
      <c r="D199">
        <v>5.0950000000000002E-2</v>
      </c>
      <c r="E199">
        <v>-3.4500000000000003E-2</v>
      </c>
      <c r="F199">
        <v>8.0000000000000002E-3</v>
      </c>
      <c r="G199">
        <v>0.05</v>
      </c>
      <c r="H199">
        <v>-2.8481000000000001</v>
      </c>
      <c r="I199">
        <v>0</v>
      </c>
      <c r="J199">
        <v>0</v>
      </c>
      <c r="K199">
        <v>0</v>
      </c>
      <c r="L199">
        <v>0.28860000000000002</v>
      </c>
    </row>
    <row r="200" spans="1:12" x14ac:dyDescent="0.35">
      <c r="A200">
        <v>4.9000000000000004</v>
      </c>
      <c r="B200">
        <v>0.83550000000000002</v>
      </c>
      <c r="C200">
        <v>5.5710000000000003E-2</v>
      </c>
      <c r="D200">
        <v>5.2299999999999999E-2</v>
      </c>
      <c r="E200">
        <v>-3.5900000000000001E-2</v>
      </c>
      <c r="F200">
        <v>7.9000000000000008E-3</v>
      </c>
      <c r="G200">
        <v>0.05</v>
      </c>
      <c r="H200">
        <v>-2.8376000000000001</v>
      </c>
      <c r="I200">
        <v>0</v>
      </c>
      <c r="J200">
        <v>0</v>
      </c>
      <c r="K200">
        <v>0</v>
      </c>
      <c r="L200">
        <v>0.2903</v>
      </c>
    </row>
    <row r="201" spans="1:12" x14ac:dyDescent="0.35">
      <c r="A201">
        <v>4.95</v>
      </c>
      <c r="B201">
        <v>0.83530000000000004</v>
      </c>
      <c r="C201">
        <v>5.7070000000000003E-2</v>
      </c>
      <c r="D201">
        <v>5.3659999999999999E-2</v>
      </c>
      <c r="E201">
        <v>-3.7400000000000003E-2</v>
      </c>
      <c r="F201">
        <v>7.7999999999999996E-3</v>
      </c>
      <c r="G201">
        <v>0.05</v>
      </c>
      <c r="H201">
        <v>-2.8269000000000002</v>
      </c>
      <c r="I201">
        <v>0</v>
      </c>
      <c r="J201">
        <v>0</v>
      </c>
      <c r="K201">
        <v>0</v>
      </c>
      <c r="L201">
        <v>0.29199999999999998</v>
      </c>
    </row>
    <row r="202" spans="1:12" x14ac:dyDescent="0.35">
      <c r="A202">
        <v>5</v>
      </c>
      <c r="B202">
        <v>0.83509999999999995</v>
      </c>
      <c r="C202">
        <v>5.8409999999999997E-2</v>
      </c>
      <c r="D202">
        <v>5.5E-2</v>
      </c>
      <c r="E202">
        <v>-3.8699999999999998E-2</v>
      </c>
      <c r="F202">
        <v>7.6E-3</v>
      </c>
      <c r="G202">
        <v>0.05</v>
      </c>
      <c r="H202">
        <v>-2.8161999999999998</v>
      </c>
      <c r="I202">
        <v>0</v>
      </c>
      <c r="J202">
        <v>0</v>
      </c>
      <c r="K202">
        <v>0</v>
      </c>
      <c r="L202">
        <v>0.29360000000000003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C653C-28D9-483F-8A5A-6C710BBF3E25}">
  <sheetPr codeName="Sheet29"/>
  <dimension ref="A1:L202"/>
  <sheetViews>
    <sheetView workbookViewId="0"/>
  </sheetViews>
  <sheetFormatPr defaultRowHeight="14.5" x14ac:dyDescent="0.35"/>
  <cols>
    <col min="1" max="1" width="7.81640625" bestFit="1" customWidth="1"/>
    <col min="2" max="2" width="7.453125" bestFit="1" customWidth="1"/>
    <col min="3" max="4" width="7.81640625" bestFit="1" customWidth="1"/>
    <col min="5" max="5" width="7.453125" bestFit="1" customWidth="1"/>
    <col min="6" max="6" width="8.81640625" bestFit="1" customWidth="1"/>
    <col min="7" max="7" width="8.54296875" bestFit="1" customWidth="1"/>
    <col min="9" max="9" width="9" bestFit="1" customWidth="1"/>
    <col min="10" max="10" width="6.54296875" bestFit="1" customWidth="1"/>
    <col min="11" max="12" width="11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5</v>
      </c>
      <c r="I1" t="s">
        <v>6</v>
      </c>
      <c r="J1" t="s">
        <v>7</v>
      </c>
      <c r="K1" t="s">
        <v>10</v>
      </c>
      <c r="L1" t="s">
        <v>11</v>
      </c>
    </row>
    <row r="2" spans="1:12" x14ac:dyDescent="0.35">
      <c r="A2">
        <v>-5</v>
      </c>
      <c r="B2">
        <v>-0.38400000000000001</v>
      </c>
      <c r="C2">
        <v>6.2449999999999999E-2</v>
      </c>
      <c r="D2">
        <v>5.8029999999999998E-2</v>
      </c>
      <c r="E2">
        <v>-4.7E-2</v>
      </c>
      <c r="F2">
        <v>0.05</v>
      </c>
      <c r="G2">
        <v>5.5999999999999999E-3</v>
      </c>
      <c r="H2">
        <v>-2.2637999999999998</v>
      </c>
      <c r="I2">
        <v>0</v>
      </c>
      <c r="J2">
        <v>0</v>
      </c>
      <c r="K2">
        <v>0</v>
      </c>
      <c r="L2">
        <v>0.12470000000000001</v>
      </c>
    </row>
    <row r="3" spans="1:12" x14ac:dyDescent="0.35">
      <c r="A3">
        <v>-4.95</v>
      </c>
      <c r="B3">
        <v>-0.38229999999999997</v>
      </c>
      <c r="C3">
        <v>6.1620000000000001E-2</v>
      </c>
      <c r="D3">
        <v>5.7200000000000001E-2</v>
      </c>
      <c r="E3">
        <v>-4.7699999999999999E-2</v>
      </c>
      <c r="F3">
        <v>0.05</v>
      </c>
      <c r="G3">
        <v>5.7000000000000002E-3</v>
      </c>
      <c r="H3">
        <v>-2.2593000000000001</v>
      </c>
      <c r="I3">
        <v>0</v>
      </c>
      <c r="J3">
        <v>0</v>
      </c>
      <c r="K3">
        <v>0</v>
      </c>
      <c r="L3">
        <v>0.1226</v>
      </c>
    </row>
    <row r="4" spans="1:12" x14ac:dyDescent="0.35">
      <c r="A4">
        <v>-4.9000000000000004</v>
      </c>
      <c r="B4">
        <v>-0.38059999999999999</v>
      </c>
      <c r="C4">
        <v>6.0780000000000001E-2</v>
      </c>
      <c r="D4">
        <v>5.6370000000000003E-2</v>
      </c>
      <c r="E4">
        <v>-4.8300000000000003E-2</v>
      </c>
      <c r="F4">
        <v>0.05</v>
      </c>
      <c r="G4">
        <v>5.7999999999999996E-3</v>
      </c>
      <c r="H4">
        <v>-2.2555000000000001</v>
      </c>
      <c r="I4">
        <v>0</v>
      </c>
      <c r="J4">
        <v>0</v>
      </c>
      <c r="K4">
        <v>0</v>
      </c>
      <c r="L4">
        <v>0.12039999999999999</v>
      </c>
    </row>
    <row r="5" spans="1:12" x14ac:dyDescent="0.35">
      <c r="A5">
        <v>-4.8499999999999996</v>
      </c>
      <c r="B5">
        <v>-0.37890000000000001</v>
      </c>
      <c r="C5">
        <v>5.9950000000000003E-2</v>
      </c>
      <c r="D5">
        <v>5.5530000000000003E-2</v>
      </c>
      <c r="E5">
        <v>-4.8899999999999999E-2</v>
      </c>
      <c r="F5">
        <v>0.05</v>
      </c>
      <c r="G5">
        <v>6.0000000000000001E-3</v>
      </c>
      <c r="H5">
        <v>-2.2526000000000002</v>
      </c>
      <c r="I5">
        <v>0</v>
      </c>
      <c r="J5">
        <v>0</v>
      </c>
      <c r="K5">
        <v>0</v>
      </c>
      <c r="L5">
        <v>0.1183</v>
      </c>
    </row>
    <row r="6" spans="1:12" x14ac:dyDescent="0.35">
      <c r="A6">
        <v>-4.8</v>
      </c>
      <c r="B6">
        <v>-0.37719999999999998</v>
      </c>
      <c r="C6">
        <v>5.9110000000000003E-2</v>
      </c>
      <c r="D6">
        <v>5.4699999999999999E-2</v>
      </c>
      <c r="E6">
        <v>-4.9500000000000002E-2</v>
      </c>
      <c r="F6">
        <v>0.05</v>
      </c>
      <c r="G6">
        <v>6.1000000000000004E-3</v>
      </c>
      <c r="H6">
        <v>-2.2505999999999999</v>
      </c>
      <c r="I6">
        <v>0</v>
      </c>
      <c r="J6">
        <v>0</v>
      </c>
      <c r="K6">
        <v>0</v>
      </c>
      <c r="L6">
        <v>0.11600000000000001</v>
      </c>
    </row>
    <row r="7" spans="1:12" x14ac:dyDescent="0.35">
      <c r="A7">
        <v>-4.75</v>
      </c>
      <c r="B7">
        <v>-0.3755</v>
      </c>
      <c r="C7">
        <v>5.8270000000000002E-2</v>
      </c>
      <c r="D7">
        <v>5.3870000000000001E-2</v>
      </c>
      <c r="E7">
        <v>-5.0099999999999999E-2</v>
      </c>
      <c r="F7">
        <v>0.05</v>
      </c>
      <c r="G7">
        <v>6.1999999999999998E-3</v>
      </c>
      <c r="H7">
        <v>-2.2496</v>
      </c>
      <c r="I7">
        <v>0</v>
      </c>
      <c r="J7">
        <v>0</v>
      </c>
      <c r="K7">
        <v>0</v>
      </c>
      <c r="L7">
        <v>0.1138</v>
      </c>
    </row>
    <row r="8" spans="1:12" x14ac:dyDescent="0.35">
      <c r="A8">
        <v>-4.7</v>
      </c>
      <c r="B8">
        <v>-0.37390000000000001</v>
      </c>
      <c r="C8">
        <v>5.7430000000000002E-2</v>
      </c>
      <c r="D8">
        <v>5.3030000000000001E-2</v>
      </c>
      <c r="E8">
        <v>-5.0799999999999998E-2</v>
      </c>
      <c r="F8">
        <v>0.05</v>
      </c>
      <c r="G8">
        <v>6.4000000000000003E-3</v>
      </c>
      <c r="H8">
        <v>-2.2496</v>
      </c>
      <c r="I8">
        <v>0</v>
      </c>
      <c r="J8">
        <v>0</v>
      </c>
      <c r="K8">
        <v>0</v>
      </c>
      <c r="L8">
        <v>0.1115</v>
      </c>
    </row>
    <row r="9" spans="1:12" x14ac:dyDescent="0.35">
      <c r="A9">
        <v>-4.6500000000000004</v>
      </c>
      <c r="B9">
        <v>-0.37230000000000002</v>
      </c>
      <c r="C9">
        <v>5.6590000000000001E-2</v>
      </c>
      <c r="D9">
        <v>5.219E-2</v>
      </c>
      <c r="E9">
        <v>-5.1499999999999997E-2</v>
      </c>
      <c r="F9">
        <v>0.05</v>
      </c>
      <c r="G9">
        <v>6.4999999999999997E-3</v>
      </c>
      <c r="H9">
        <v>-2.2505999999999999</v>
      </c>
      <c r="I9">
        <v>0</v>
      </c>
      <c r="J9">
        <v>0</v>
      </c>
      <c r="K9">
        <v>0</v>
      </c>
      <c r="L9">
        <v>0.10920000000000001</v>
      </c>
    </row>
    <row r="10" spans="1:12" x14ac:dyDescent="0.35">
      <c r="A10">
        <v>-4.5999999999999996</v>
      </c>
      <c r="B10">
        <v>-0.37080000000000002</v>
      </c>
      <c r="C10">
        <v>5.5750000000000001E-2</v>
      </c>
      <c r="D10">
        <v>5.135E-2</v>
      </c>
      <c r="E10">
        <v>-5.21E-2</v>
      </c>
      <c r="F10">
        <v>0.05</v>
      </c>
      <c r="G10">
        <v>6.6E-3</v>
      </c>
      <c r="H10">
        <v>-2.2526999999999999</v>
      </c>
      <c r="I10">
        <v>0</v>
      </c>
      <c r="J10">
        <v>0</v>
      </c>
      <c r="K10">
        <v>0</v>
      </c>
      <c r="L10">
        <v>0.10680000000000001</v>
      </c>
    </row>
    <row r="11" spans="1:12" x14ac:dyDescent="0.35">
      <c r="A11">
        <v>-4.55</v>
      </c>
      <c r="B11">
        <v>-0.36930000000000002</v>
      </c>
      <c r="C11">
        <v>5.4899999999999997E-2</v>
      </c>
      <c r="D11">
        <v>5.0509999999999999E-2</v>
      </c>
      <c r="E11">
        <v>-5.28E-2</v>
      </c>
      <c r="F11">
        <v>0.05</v>
      </c>
      <c r="G11">
        <v>6.7000000000000002E-3</v>
      </c>
      <c r="H11">
        <v>-2.2555999999999998</v>
      </c>
      <c r="I11">
        <v>0</v>
      </c>
      <c r="J11">
        <v>0</v>
      </c>
      <c r="K11">
        <v>0</v>
      </c>
      <c r="L11">
        <v>0.10440000000000001</v>
      </c>
    </row>
    <row r="12" spans="1:12" x14ac:dyDescent="0.35">
      <c r="A12">
        <v>-4.5</v>
      </c>
      <c r="B12">
        <v>-0.36780000000000002</v>
      </c>
      <c r="C12">
        <v>5.4050000000000001E-2</v>
      </c>
      <c r="D12">
        <v>4.9660000000000003E-2</v>
      </c>
      <c r="E12">
        <v>-5.3499999999999999E-2</v>
      </c>
      <c r="F12">
        <v>0.05</v>
      </c>
      <c r="G12">
        <v>6.7000000000000002E-3</v>
      </c>
      <c r="H12">
        <v>-2.2593999999999999</v>
      </c>
      <c r="I12">
        <v>0</v>
      </c>
      <c r="J12">
        <v>0</v>
      </c>
      <c r="K12">
        <v>0</v>
      </c>
      <c r="L12">
        <v>0.1019</v>
      </c>
    </row>
    <row r="13" spans="1:12" x14ac:dyDescent="0.35">
      <c r="A13">
        <v>-4.45</v>
      </c>
      <c r="B13">
        <v>-0.3664</v>
      </c>
      <c r="C13">
        <v>5.3190000000000001E-2</v>
      </c>
      <c r="D13">
        <v>4.8809999999999999E-2</v>
      </c>
      <c r="E13">
        <v>-5.4300000000000001E-2</v>
      </c>
      <c r="F13">
        <v>0.05</v>
      </c>
      <c r="G13">
        <v>6.7999999999999996E-3</v>
      </c>
      <c r="H13">
        <v>-2.2639</v>
      </c>
      <c r="I13">
        <v>0</v>
      </c>
      <c r="J13">
        <v>0</v>
      </c>
      <c r="K13">
        <v>0</v>
      </c>
      <c r="L13">
        <v>9.9400000000000002E-2</v>
      </c>
    </row>
    <row r="14" spans="1:12" x14ac:dyDescent="0.35">
      <c r="A14">
        <v>-4.4000000000000004</v>
      </c>
      <c r="B14">
        <v>-0.36509999999999998</v>
      </c>
      <c r="C14">
        <v>5.2339999999999998E-2</v>
      </c>
      <c r="D14">
        <v>4.7960000000000003E-2</v>
      </c>
      <c r="E14">
        <v>-5.5E-2</v>
      </c>
      <c r="F14">
        <v>0.05</v>
      </c>
      <c r="G14">
        <v>6.7999999999999996E-3</v>
      </c>
      <c r="H14">
        <v>-2.2684000000000002</v>
      </c>
      <c r="I14">
        <v>0</v>
      </c>
      <c r="J14">
        <v>0</v>
      </c>
      <c r="K14">
        <v>0</v>
      </c>
      <c r="L14">
        <v>9.6799999999999997E-2</v>
      </c>
    </row>
    <row r="15" spans="1:12" x14ac:dyDescent="0.35">
      <c r="A15">
        <v>-4.3499999999999996</v>
      </c>
      <c r="B15">
        <v>-0.3639</v>
      </c>
      <c r="C15">
        <v>5.1479999999999998E-2</v>
      </c>
      <c r="D15">
        <v>4.7109999999999999E-2</v>
      </c>
      <c r="E15">
        <v>-5.5800000000000002E-2</v>
      </c>
      <c r="F15">
        <v>0.05</v>
      </c>
      <c r="G15">
        <v>6.7999999999999996E-3</v>
      </c>
      <c r="H15">
        <v>-2.2726999999999999</v>
      </c>
      <c r="I15">
        <v>0</v>
      </c>
      <c r="J15">
        <v>0</v>
      </c>
      <c r="K15">
        <v>0</v>
      </c>
      <c r="L15">
        <v>9.4200000000000006E-2</v>
      </c>
    </row>
    <row r="16" spans="1:12" x14ac:dyDescent="0.35">
      <c r="A16">
        <v>-4.3</v>
      </c>
      <c r="B16">
        <v>-0.36280000000000001</v>
      </c>
      <c r="C16">
        <v>5.0619999999999998E-2</v>
      </c>
      <c r="D16">
        <v>4.6249999999999999E-2</v>
      </c>
      <c r="E16">
        <v>-5.6599999999999998E-2</v>
      </c>
      <c r="F16">
        <v>0.05</v>
      </c>
      <c r="G16">
        <v>6.7999999999999996E-3</v>
      </c>
      <c r="H16">
        <v>-2.2768999999999999</v>
      </c>
      <c r="I16">
        <v>0</v>
      </c>
      <c r="J16">
        <v>0</v>
      </c>
      <c r="K16">
        <v>0</v>
      </c>
      <c r="L16">
        <v>9.1600000000000001E-2</v>
      </c>
    </row>
    <row r="17" spans="1:12" x14ac:dyDescent="0.35">
      <c r="A17">
        <v>-4.25</v>
      </c>
      <c r="B17">
        <v>-0.36199999999999999</v>
      </c>
      <c r="C17">
        <v>4.9770000000000002E-2</v>
      </c>
      <c r="D17">
        <v>4.5409999999999999E-2</v>
      </c>
      <c r="E17">
        <v>-5.74E-2</v>
      </c>
      <c r="F17">
        <v>0.05</v>
      </c>
      <c r="G17">
        <v>6.8999999999999999E-3</v>
      </c>
      <c r="H17">
        <v>-2.2810999999999999</v>
      </c>
      <c r="I17">
        <v>0</v>
      </c>
      <c r="J17">
        <v>0</v>
      </c>
      <c r="K17">
        <v>0</v>
      </c>
      <c r="L17">
        <v>8.8999999999999996E-2</v>
      </c>
    </row>
    <row r="18" spans="1:12" x14ac:dyDescent="0.35">
      <c r="A18">
        <v>-4.2</v>
      </c>
      <c r="B18">
        <v>-0.36149999999999999</v>
      </c>
      <c r="C18">
        <v>4.895E-2</v>
      </c>
      <c r="D18">
        <v>4.4589999999999998E-2</v>
      </c>
      <c r="E18">
        <v>-5.8200000000000002E-2</v>
      </c>
      <c r="F18">
        <v>0.05</v>
      </c>
      <c r="G18">
        <v>6.8999999999999999E-3</v>
      </c>
      <c r="H18">
        <v>-2.2852999999999999</v>
      </c>
      <c r="I18">
        <v>0</v>
      </c>
      <c r="J18">
        <v>0</v>
      </c>
      <c r="K18">
        <v>0</v>
      </c>
      <c r="L18">
        <v>8.6599999999999996E-2</v>
      </c>
    </row>
    <row r="19" spans="1:12" x14ac:dyDescent="0.35">
      <c r="A19">
        <v>-4.1500000000000004</v>
      </c>
      <c r="B19">
        <v>-0.36109999999999998</v>
      </c>
      <c r="C19">
        <v>4.8120000000000003E-2</v>
      </c>
      <c r="D19">
        <v>4.376E-2</v>
      </c>
      <c r="E19">
        <v>-5.91E-2</v>
      </c>
      <c r="F19">
        <v>0.05</v>
      </c>
      <c r="G19">
        <v>6.8999999999999999E-3</v>
      </c>
      <c r="H19">
        <v>-2.2894999999999999</v>
      </c>
      <c r="I19">
        <v>0</v>
      </c>
      <c r="J19">
        <v>0</v>
      </c>
      <c r="K19">
        <v>0</v>
      </c>
      <c r="L19">
        <v>8.3900000000000002E-2</v>
      </c>
    </row>
    <row r="20" spans="1:12" x14ac:dyDescent="0.35">
      <c r="A20">
        <v>-4.0999999999999996</v>
      </c>
      <c r="B20">
        <v>-0.36030000000000001</v>
      </c>
      <c r="C20">
        <v>4.7239999999999997E-2</v>
      </c>
      <c r="D20">
        <v>4.2880000000000001E-2</v>
      </c>
      <c r="E20">
        <v>-6.0299999999999999E-2</v>
      </c>
      <c r="F20">
        <v>0.05</v>
      </c>
      <c r="G20">
        <v>7.0000000000000001E-3</v>
      </c>
      <c r="H20">
        <v>-2.2934000000000001</v>
      </c>
      <c r="I20">
        <v>0</v>
      </c>
      <c r="J20">
        <v>0</v>
      </c>
      <c r="K20">
        <v>0</v>
      </c>
      <c r="L20">
        <v>8.0399999999999999E-2</v>
      </c>
    </row>
    <row r="21" spans="1:12" x14ac:dyDescent="0.35">
      <c r="A21">
        <v>-4.05</v>
      </c>
      <c r="B21">
        <v>-0.35870000000000002</v>
      </c>
      <c r="C21">
        <v>4.6300000000000001E-2</v>
      </c>
      <c r="D21">
        <v>4.1939999999999998E-2</v>
      </c>
      <c r="E21">
        <v>-6.1600000000000002E-2</v>
      </c>
      <c r="F21">
        <v>0.05</v>
      </c>
      <c r="G21">
        <v>7.0000000000000001E-3</v>
      </c>
      <c r="H21">
        <v>-2.2965</v>
      </c>
      <c r="I21">
        <v>0</v>
      </c>
      <c r="J21">
        <v>0</v>
      </c>
      <c r="K21">
        <v>0</v>
      </c>
      <c r="L21">
        <v>7.5899999999999995E-2</v>
      </c>
    </row>
    <row r="22" spans="1:12" x14ac:dyDescent="0.35">
      <c r="A22">
        <v>-4</v>
      </c>
      <c r="B22">
        <v>-0.35699999999999998</v>
      </c>
      <c r="C22">
        <v>4.5400000000000003E-2</v>
      </c>
      <c r="D22">
        <v>4.1029999999999997E-2</v>
      </c>
      <c r="E22">
        <v>-6.2799999999999995E-2</v>
      </c>
      <c r="F22">
        <v>0.05</v>
      </c>
      <c r="G22">
        <v>7.0000000000000001E-3</v>
      </c>
      <c r="H22">
        <v>-2.2982999999999998</v>
      </c>
      <c r="I22">
        <v>0</v>
      </c>
      <c r="J22">
        <v>0</v>
      </c>
      <c r="K22">
        <v>0</v>
      </c>
      <c r="L22">
        <v>7.1999999999999995E-2</v>
      </c>
    </row>
    <row r="23" spans="1:12" x14ac:dyDescent="0.35">
      <c r="A23">
        <v>-3.95</v>
      </c>
      <c r="B23">
        <v>-0.3553</v>
      </c>
      <c r="C23">
        <v>4.4519999999999997E-2</v>
      </c>
      <c r="D23">
        <v>4.0140000000000002E-2</v>
      </c>
      <c r="E23">
        <v>-6.3700000000000007E-2</v>
      </c>
      <c r="F23">
        <v>0.05</v>
      </c>
      <c r="G23">
        <v>7.1000000000000004E-3</v>
      </c>
      <c r="H23">
        <v>-2.2989999999999999</v>
      </c>
      <c r="I23">
        <v>0</v>
      </c>
      <c r="J23">
        <v>0</v>
      </c>
      <c r="K23">
        <v>0</v>
      </c>
      <c r="L23">
        <v>6.8500000000000005E-2</v>
      </c>
    </row>
    <row r="24" spans="1:12" x14ac:dyDescent="0.35">
      <c r="A24">
        <v>-3.9</v>
      </c>
      <c r="B24">
        <v>-0.35360000000000003</v>
      </c>
      <c r="C24">
        <v>4.3650000000000001E-2</v>
      </c>
      <c r="D24">
        <v>3.9260000000000003E-2</v>
      </c>
      <c r="E24">
        <v>-6.4600000000000005E-2</v>
      </c>
      <c r="F24">
        <v>0.05</v>
      </c>
      <c r="G24">
        <v>7.1000000000000004E-3</v>
      </c>
      <c r="H24">
        <v>-2.2988</v>
      </c>
      <c r="I24">
        <v>0</v>
      </c>
      <c r="J24">
        <v>0</v>
      </c>
      <c r="K24">
        <v>0</v>
      </c>
      <c r="L24">
        <v>6.5100000000000005E-2</v>
      </c>
    </row>
    <row r="25" spans="1:12" x14ac:dyDescent="0.35">
      <c r="A25">
        <v>-3.85</v>
      </c>
      <c r="B25">
        <v>-0.35189999999999999</v>
      </c>
      <c r="C25">
        <v>4.2779999999999999E-2</v>
      </c>
      <c r="D25">
        <v>3.8390000000000001E-2</v>
      </c>
      <c r="E25">
        <v>-6.5500000000000003E-2</v>
      </c>
      <c r="F25">
        <v>0.05</v>
      </c>
      <c r="G25">
        <v>7.1000000000000004E-3</v>
      </c>
      <c r="H25">
        <v>-2.2978999999999998</v>
      </c>
      <c r="I25">
        <v>0</v>
      </c>
      <c r="J25">
        <v>0</v>
      </c>
      <c r="K25">
        <v>0</v>
      </c>
      <c r="L25">
        <v>6.1699999999999998E-2</v>
      </c>
    </row>
    <row r="26" spans="1:12" x14ac:dyDescent="0.35">
      <c r="A26">
        <v>-3.8</v>
      </c>
      <c r="B26">
        <v>-0.35010000000000002</v>
      </c>
      <c r="C26">
        <v>4.1930000000000002E-2</v>
      </c>
      <c r="D26">
        <v>3.7519999999999998E-2</v>
      </c>
      <c r="E26">
        <v>-6.6400000000000001E-2</v>
      </c>
      <c r="F26">
        <v>0.05</v>
      </c>
      <c r="G26">
        <v>7.1999999999999998E-3</v>
      </c>
      <c r="H26">
        <v>-2.2959999999999998</v>
      </c>
      <c r="I26">
        <v>0</v>
      </c>
      <c r="J26">
        <v>0</v>
      </c>
      <c r="K26">
        <v>0</v>
      </c>
      <c r="L26">
        <v>5.8299999999999998E-2</v>
      </c>
    </row>
    <row r="27" spans="1:12" x14ac:dyDescent="0.35">
      <c r="A27">
        <v>-3.75</v>
      </c>
      <c r="B27">
        <v>-0.34820000000000001</v>
      </c>
      <c r="C27">
        <v>4.1070000000000002E-2</v>
      </c>
      <c r="D27">
        <v>3.6650000000000002E-2</v>
      </c>
      <c r="E27">
        <v>-6.7199999999999996E-2</v>
      </c>
      <c r="F27">
        <v>0.05</v>
      </c>
      <c r="G27">
        <v>7.1999999999999998E-3</v>
      </c>
      <c r="H27">
        <v>-2.2970999999999999</v>
      </c>
      <c r="I27">
        <v>0</v>
      </c>
      <c r="J27">
        <v>0</v>
      </c>
      <c r="K27">
        <v>0</v>
      </c>
      <c r="L27">
        <v>5.5E-2</v>
      </c>
    </row>
    <row r="28" spans="1:12" x14ac:dyDescent="0.35">
      <c r="A28">
        <v>-3.7</v>
      </c>
      <c r="B28">
        <v>-0.3463</v>
      </c>
      <c r="C28">
        <v>4.0219999999999999E-2</v>
      </c>
      <c r="D28">
        <v>3.5779999999999999E-2</v>
      </c>
      <c r="E28">
        <v>-6.8000000000000005E-2</v>
      </c>
      <c r="F28">
        <v>0.05</v>
      </c>
      <c r="G28">
        <v>7.1999999999999998E-3</v>
      </c>
      <c r="H28">
        <v>-2.3098000000000001</v>
      </c>
      <c r="I28">
        <v>0</v>
      </c>
      <c r="J28">
        <v>0</v>
      </c>
      <c r="K28">
        <v>0</v>
      </c>
      <c r="L28">
        <v>5.16E-2</v>
      </c>
    </row>
    <row r="29" spans="1:12" x14ac:dyDescent="0.35">
      <c r="A29">
        <v>-3.65</v>
      </c>
      <c r="B29">
        <v>-0.34429999999999999</v>
      </c>
      <c r="C29">
        <v>3.9370000000000002E-2</v>
      </c>
      <c r="D29">
        <v>3.492E-2</v>
      </c>
      <c r="E29">
        <v>-6.8699999999999997E-2</v>
      </c>
      <c r="F29">
        <v>0.05</v>
      </c>
      <c r="G29">
        <v>7.1999999999999998E-3</v>
      </c>
      <c r="H29">
        <v>-2.3227000000000002</v>
      </c>
      <c r="I29">
        <v>0</v>
      </c>
      <c r="J29">
        <v>0</v>
      </c>
      <c r="K29">
        <v>0</v>
      </c>
      <c r="L29">
        <v>4.8300000000000003E-2</v>
      </c>
    </row>
    <row r="30" spans="1:12" x14ac:dyDescent="0.35">
      <c r="A30">
        <v>-3.6</v>
      </c>
      <c r="B30">
        <v>-0.3422</v>
      </c>
      <c r="C30">
        <v>3.8530000000000002E-2</v>
      </c>
      <c r="D30">
        <v>3.406E-2</v>
      </c>
      <c r="E30">
        <v>-6.9500000000000006E-2</v>
      </c>
      <c r="F30">
        <v>0.05</v>
      </c>
      <c r="G30">
        <v>7.3000000000000001E-3</v>
      </c>
      <c r="H30">
        <v>-2.3355999999999999</v>
      </c>
      <c r="I30">
        <v>0</v>
      </c>
      <c r="J30">
        <v>0</v>
      </c>
      <c r="K30">
        <v>0</v>
      </c>
      <c r="L30">
        <v>4.4900000000000002E-2</v>
      </c>
    </row>
    <row r="31" spans="1:12" x14ac:dyDescent="0.35">
      <c r="A31">
        <v>-3.55</v>
      </c>
      <c r="B31">
        <v>-0.33989999999999998</v>
      </c>
      <c r="C31">
        <v>3.7690000000000001E-2</v>
      </c>
      <c r="D31">
        <v>3.3210000000000003E-2</v>
      </c>
      <c r="E31">
        <v>-7.0199999999999999E-2</v>
      </c>
      <c r="F31">
        <v>0.05</v>
      </c>
      <c r="G31">
        <v>7.3000000000000001E-3</v>
      </c>
      <c r="H31">
        <v>-2.3485999999999998</v>
      </c>
      <c r="I31">
        <v>0</v>
      </c>
      <c r="J31">
        <v>0</v>
      </c>
      <c r="K31">
        <v>0</v>
      </c>
      <c r="L31">
        <v>4.1500000000000002E-2</v>
      </c>
    </row>
    <row r="32" spans="1:12" x14ac:dyDescent="0.35">
      <c r="A32">
        <v>-3.5</v>
      </c>
      <c r="B32">
        <v>-0.33760000000000001</v>
      </c>
      <c r="C32">
        <v>3.6859999999999997E-2</v>
      </c>
      <c r="D32">
        <v>3.2349999999999997E-2</v>
      </c>
      <c r="E32">
        <v>-7.0900000000000005E-2</v>
      </c>
      <c r="F32">
        <v>0.05</v>
      </c>
      <c r="G32">
        <v>7.3000000000000001E-3</v>
      </c>
      <c r="H32">
        <v>-2.3616000000000001</v>
      </c>
      <c r="I32">
        <v>0</v>
      </c>
      <c r="J32">
        <v>0</v>
      </c>
      <c r="K32">
        <v>0</v>
      </c>
      <c r="L32">
        <v>3.7999999999999999E-2</v>
      </c>
    </row>
    <row r="33" spans="1:12" x14ac:dyDescent="0.35">
      <c r="A33">
        <v>-3.45</v>
      </c>
      <c r="B33">
        <v>-0.33510000000000001</v>
      </c>
      <c r="C33">
        <v>3.603E-2</v>
      </c>
      <c r="D33">
        <v>3.15E-2</v>
      </c>
      <c r="E33">
        <v>-7.1499999999999994E-2</v>
      </c>
      <c r="F33">
        <v>0.05</v>
      </c>
      <c r="G33">
        <v>7.4000000000000003E-3</v>
      </c>
      <c r="H33">
        <v>-2.3746</v>
      </c>
      <c r="I33">
        <v>0</v>
      </c>
      <c r="J33">
        <v>0</v>
      </c>
      <c r="K33">
        <v>0</v>
      </c>
      <c r="L33">
        <v>3.4599999999999999E-2</v>
      </c>
    </row>
    <row r="34" spans="1:12" x14ac:dyDescent="0.35">
      <c r="A34">
        <v>-3.4</v>
      </c>
      <c r="B34">
        <v>-0.33239999999999997</v>
      </c>
      <c r="C34">
        <v>3.5209999999999998E-2</v>
      </c>
      <c r="D34">
        <v>3.065E-2</v>
      </c>
      <c r="E34">
        <v>-7.2099999999999997E-2</v>
      </c>
      <c r="F34">
        <v>0.05</v>
      </c>
      <c r="G34">
        <v>7.4000000000000003E-3</v>
      </c>
      <c r="H34">
        <v>-2.3875000000000002</v>
      </c>
      <c r="I34">
        <v>0</v>
      </c>
      <c r="J34">
        <v>0</v>
      </c>
      <c r="K34">
        <v>0</v>
      </c>
      <c r="L34">
        <v>3.1E-2</v>
      </c>
    </row>
    <row r="35" spans="1:12" x14ac:dyDescent="0.35">
      <c r="A35">
        <v>-3.35</v>
      </c>
      <c r="B35">
        <v>-0.3296</v>
      </c>
      <c r="C35">
        <v>3.4389999999999997E-2</v>
      </c>
      <c r="D35">
        <v>2.98E-2</v>
      </c>
      <c r="E35">
        <v>-7.2700000000000001E-2</v>
      </c>
      <c r="F35">
        <v>0.05</v>
      </c>
      <c r="G35">
        <v>7.4000000000000003E-3</v>
      </c>
      <c r="H35">
        <v>-2.4003999999999999</v>
      </c>
      <c r="I35">
        <v>0</v>
      </c>
      <c r="J35">
        <v>0</v>
      </c>
      <c r="K35">
        <v>0</v>
      </c>
      <c r="L35">
        <v>2.7400000000000001E-2</v>
      </c>
    </row>
    <row r="36" spans="1:12" x14ac:dyDescent="0.35">
      <c r="A36">
        <v>-3.3</v>
      </c>
      <c r="B36">
        <v>-0.3266</v>
      </c>
      <c r="C36">
        <v>3.3570000000000003E-2</v>
      </c>
      <c r="D36">
        <v>2.896E-2</v>
      </c>
      <c r="E36">
        <v>-7.3300000000000004E-2</v>
      </c>
      <c r="F36">
        <v>0.05</v>
      </c>
      <c r="G36">
        <v>7.4999999999999997E-3</v>
      </c>
      <c r="H36">
        <v>-2.4131999999999998</v>
      </c>
      <c r="I36">
        <v>0</v>
      </c>
      <c r="J36">
        <v>0</v>
      </c>
      <c r="K36">
        <v>0</v>
      </c>
      <c r="L36">
        <v>2.3599999999999999E-2</v>
      </c>
    </row>
    <row r="37" spans="1:12" x14ac:dyDescent="0.35">
      <c r="A37">
        <v>-3.25</v>
      </c>
      <c r="B37">
        <v>-0.32329999999999998</v>
      </c>
      <c r="C37">
        <v>3.2759999999999997E-2</v>
      </c>
      <c r="D37">
        <v>2.8119999999999999E-2</v>
      </c>
      <c r="E37">
        <v>-7.3800000000000004E-2</v>
      </c>
      <c r="F37">
        <v>0.05</v>
      </c>
      <c r="G37">
        <v>7.4999999999999997E-3</v>
      </c>
      <c r="H37">
        <v>-2.4258000000000002</v>
      </c>
      <c r="I37">
        <v>0</v>
      </c>
      <c r="J37">
        <v>0</v>
      </c>
      <c r="K37">
        <v>0</v>
      </c>
      <c r="L37">
        <v>1.9800000000000002E-2</v>
      </c>
    </row>
    <row r="38" spans="1:12" x14ac:dyDescent="0.35">
      <c r="A38">
        <v>-3.2</v>
      </c>
      <c r="B38">
        <v>-0.31990000000000002</v>
      </c>
      <c r="C38">
        <v>3.1960000000000002E-2</v>
      </c>
      <c r="D38">
        <v>2.7279999999999999E-2</v>
      </c>
      <c r="E38">
        <v>-7.4300000000000005E-2</v>
      </c>
      <c r="F38">
        <v>0.05</v>
      </c>
      <c r="G38">
        <v>7.4999999999999997E-3</v>
      </c>
      <c r="H38">
        <v>-2.4380999999999999</v>
      </c>
      <c r="I38">
        <v>0</v>
      </c>
      <c r="J38">
        <v>0</v>
      </c>
      <c r="K38">
        <v>0</v>
      </c>
      <c r="L38">
        <v>1.5800000000000002E-2</v>
      </c>
    </row>
    <row r="39" spans="1:12" x14ac:dyDescent="0.35">
      <c r="A39">
        <v>-3.15</v>
      </c>
      <c r="B39">
        <v>-0.31609999999999999</v>
      </c>
      <c r="C39">
        <v>3.116E-2</v>
      </c>
      <c r="D39">
        <v>2.6440000000000002E-2</v>
      </c>
      <c r="E39">
        <v>-7.4700000000000003E-2</v>
      </c>
      <c r="F39">
        <v>0.05</v>
      </c>
      <c r="G39">
        <v>7.6E-3</v>
      </c>
      <c r="H39">
        <v>-2.4500000000000002</v>
      </c>
      <c r="I39">
        <v>0</v>
      </c>
      <c r="J39">
        <v>0</v>
      </c>
      <c r="K39">
        <v>0</v>
      </c>
      <c r="L39">
        <v>1.17E-2</v>
      </c>
    </row>
    <row r="40" spans="1:12" x14ac:dyDescent="0.35">
      <c r="A40">
        <v>-3.1</v>
      </c>
      <c r="B40">
        <v>-0.31219999999999998</v>
      </c>
      <c r="C40">
        <v>3.0370000000000001E-2</v>
      </c>
      <c r="D40">
        <v>2.5610000000000001E-2</v>
      </c>
      <c r="E40">
        <v>-7.51E-2</v>
      </c>
      <c r="F40">
        <v>0.05</v>
      </c>
      <c r="G40">
        <v>7.6E-3</v>
      </c>
      <c r="H40">
        <v>-2.4615999999999998</v>
      </c>
      <c r="I40">
        <v>0</v>
      </c>
      <c r="J40">
        <v>0</v>
      </c>
      <c r="K40">
        <v>0</v>
      </c>
      <c r="L40">
        <v>7.4000000000000003E-3</v>
      </c>
    </row>
    <row r="41" spans="1:12" x14ac:dyDescent="0.35">
      <c r="A41">
        <v>-3.05</v>
      </c>
      <c r="B41">
        <v>-0.30790000000000001</v>
      </c>
      <c r="C41">
        <v>2.9590000000000002E-2</v>
      </c>
      <c r="D41">
        <v>2.479E-2</v>
      </c>
      <c r="E41">
        <v>-7.5499999999999998E-2</v>
      </c>
      <c r="F41">
        <v>0.05</v>
      </c>
      <c r="G41">
        <v>7.7000000000000002E-3</v>
      </c>
      <c r="H41">
        <v>-2.4725999999999999</v>
      </c>
      <c r="I41">
        <v>0</v>
      </c>
      <c r="J41">
        <v>0</v>
      </c>
      <c r="K41">
        <v>0</v>
      </c>
      <c r="L41">
        <v>2.8999999999999998E-3</v>
      </c>
    </row>
    <row r="42" spans="1:12" x14ac:dyDescent="0.35">
      <c r="A42">
        <v>-3</v>
      </c>
      <c r="B42">
        <v>-0.3034</v>
      </c>
      <c r="C42">
        <v>2.8819999999999998E-2</v>
      </c>
      <c r="D42">
        <v>2.3970000000000002E-2</v>
      </c>
      <c r="E42">
        <v>-7.5800000000000006E-2</v>
      </c>
      <c r="F42">
        <v>0.05</v>
      </c>
      <c r="G42">
        <v>7.7999999999999996E-3</v>
      </c>
      <c r="H42">
        <v>-2.4830999999999999</v>
      </c>
      <c r="I42">
        <v>0</v>
      </c>
      <c r="J42">
        <v>0</v>
      </c>
      <c r="K42">
        <v>0</v>
      </c>
      <c r="L42">
        <v>-1.8E-3</v>
      </c>
    </row>
    <row r="43" spans="1:12" x14ac:dyDescent="0.35">
      <c r="A43">
        <v>-2.95</v>
      </c>
      <c r="B43">
        <v>-0.29859999999999998</v>
      </c>
      <c r="C43">
        <v>2.8049999999999999E-2</v>
      </c>
      <c r="D43">
        <v>2.315E-2</v>
      </c>
      <c r="E43">
        <v>-7.6100000000000001E-2</v>
      </c>
      <c r="F43">
        <v>0.05</v>
      </c>
      <c r="G43">
        <v>7.9000000000000008E-3</v>
      </c>
      <c r="H43">
        <v>-2.4929999999999999</v>
      </c>
      <c r="I43">
        <v>0</v>
      </c>
      <c r="J43">
        <v>0</v>
      </c>
      <c r="K43">
        <v>0</v>
      </c>
      <c r="L43">
        <v>-6.7999999999999996E-3</v>
      </c>
    </row>
    <row r="44" spans="1:12" x14ac:dyDescent="0.35">
      <c r="A44">
        <v>-2.9</v>
      </c>
      <c r="B44">
        <v>-0.29349999999999998</v>
      </c>
      <c r="C44">
        <v>2.7300000000000001E-2</v>
      </c>
      <c r="D44">
        <v>2.2339999999999999E-2</v>
      </c>
      <c r="E44">
        <v>-7.6399999999999996E-2</v>
      </c>
      <c r="F44">
        <v>0.05</v>
      </c>
      <c r="G44">
        <v>8.0000000000000002E-3</v>
      </c>
      <c r="H44">
        <v>-2.5019999999999998</v>
      </c>
      <c r="I44">
        <v>0</v>
      </c>
      <c r="J44">
        <v>0</v>
      </c>
      <c r="K44">
        <v>0</v>
      </c>
      <c r="L44">
        <v>-1.21E-2</v>
      </c>
    </row>
    <row r="45" spans="1:12" x14ac:dyDescent="0.35">
      <c r="A45">
        <v>-2.85</v>
      </c>
      <c r="B45">
        <v>-0.28810000000000002</v>
      </c>
      <c r="C45">
        <v>2.6550000000000001E-2</v>
      </c>
      <c r="D45">
        <v>2.154E-2</v>
      </c>
      <c r="E45">
        <v>-7.6600000000000001E-2</v>
      </c>
      <c r="F45">
        <v>0.05</v>
      </c>
      <c r="G45">
        <v>8.0999999999999996E-3</v>
      </c>
      <c r="H45">
        <v>-2.5102000000000002</v>
      </c>
      <c r="I45">
        <v>0</v>
      </c>
      <c r="J45">
        <v>0</v>
      </c>
      <c r="K45">
        <v>0</v>
      </c>
      <c r="L45">
        <v>-1.77E-2</v>
      </c>
    </row>
    <row r="46" spans="1:12" x14ac:dyDescent="0.35">
      <c r="A46">
        <v>-2.8</v>
      </c>
      <c r="B46">
        <v>-0.28239999999999998</v>
      </c>
      <c r="C46">
        <v>2.5819999999999999E-2</v>
      </c>
      <c r="D46">
        <v>2.0740000000000001E-2</v>
      </c>
      <c r="E46">
        <v>-7.6799999999999993E-2</v>
      </c>
      <c r="F46">
        <v>0.05</v>
      </c>
      <c r="G46">
        <v>8.2000000000000007E-3</v>
      </c>
      <c r="H46">
        <v>-2.5173999999999999</v>
      </c>
      <c r="I46">
        <v>0</v>
      </c>
      <c r="J46">
        <v>0</v>
      </c>
      <c r="K46">
        <v>0</v>
      </c>
      <c r="L46">
        <v>-2.3699999999999999E-2</v>
      </c>
    </row>
    <row r="47" spans="1:12" x14ac:dyDescent="0.35">
      <c r="A47">
        <v>-2.75</v>
      </c>
      <c r="B47">
        <v>-0.27629999999999999</v>
      </c>
      <c r="C47">
        <v>2.5090000000000001E-2</v>
      </c>
      <c r="D47">
        <v>1.9959999999999999E-2</v>
      </c>
      <c r="E47">
        <v>-7.6899999999999996E-2</v>
      </c>
      <c r="F47">
        <v>0.05</v>
      </c>
      <c r="G47">
        <v>8.3000000000000001E-3</v>
      </c>
      <c r="H47">
        <v>-2.5234000000000001</v>
      </c>
      <c r="I47">
        <v>0</v>
      </c>
      <c r="J47">
        <v>0</v>
      </c>
      <c r="K47">
        <v>0</v>
      </c>
      <c r="L47">
        <v>-3.0200000000000001E-2</v>
      </c>
    </row>
    <row r="48" spans="1:12" x14ac:dyDescent="0.35">
      <c r="A48">
        <v>-2.7</v>
      </c>
      <c r="B48">
        <v>-0.27</v>
      </c>
      <c r="C48">
        <v>2.4379999999999999E-2</v>
      </c>
      <c r="D48">
        <v>1.9179999999999999E-2</v>
      </c>
      <c r="E48">
        <v>-7.6999999999999999E-2</v>
      </c>
      <c r="F48">
        <v>0.05</v>
      </c>
      <c r="G48">
        <v>8.5000000000000006E-3</v>
      </c>
      <c r="H48">
        <v>-2.5283000000000002</v>
      </c>
      <c r="I48">
        <v>0</v>
      </c>
      <c r="J48">
        <v>0</v>
      </c>
      <c r="K48">
        <v>0</v>
      </c>
      <c r="L48">
        <v>-3.7100000000000001E-2</v>
      </c>
    </row>
    <row r="49" spans="1:12" x14ac:dyDescent="0.35">
      <c r="A49">
        <v>-2.65</v>
      </c>
      <c r="B49">
        <v>-0.26329999999999998</v>
      </c>
      <c r="C49">
        <v>2.368E-2</v>
      </c>
      <c r="D49">
        <v>1.8409999999999999E-2</v>
      </c>
      <c r="E49">
        <v>-7.6999999999999999E-2</v>
      </c>
      <c r="F49">
        <v>0.05</v>
      </c>
      <c r="G49">
        <v>8.6999999999999994E-3</v>
      </c>
      <c r="H49">
        <v>-2.5320999999999998</v>
      </c>
      <c r="I49">
        <v>0</v>
      </c>
      <c r="J49">
        <v>0</v>
      </c>
      <c r="K49">
        <v>0</v>
      </c>
      <c r="L49">
        <v>-4.4499999999999998E-2</v>
      </c>
    </row>
    <row r="50" spans="1:12" x14ac:dyDescent="0.35">
      <c r="A50">
        <v>-2.6</v>
      </c>
      <c r="B50">
        <v>-0.25619999999999998</v>
      </c>
      <c r="C50">
        <v>2.299E-2</v>
      </c>
      <c r="D50">
        <v>1.7649999999999999E-2</v>
      </c>
      <c r="E50">
        <v>-7.6999999999999999E-2</v>
      </c>
      <c r="F50">
        <v>0.05</v>
      </c>
      <c r="G50">
        <v>9.2999999999999992E-3</v>
      </c>
      <c r="H50">
        <v>-2.5381999999999998</v>
      </c>
      <c r="I50">
        <v>0</v>
      </c>
      <c r="J50">
        <v>0</v>
      </c>
      <c r="K50">
        <v>0</v>
      </c>
      <c r="L50">
        <v>-5.2699999999999997E-2</v>
      </c>
    </row>
    <row r="51" spans="1:12" x14ac:dyDescent="0.35">
      <c r="A51">
        <v>-2.5499999999999998</v>
      </c>
      <c r="B51">
        <v>-0.248</v>
      </c>
      <c r="C51">
        <v>2.23E-2</v>
      </c>
      <c r="D51">
        <v>1.6899999999999998E-2</v>
      </c>
      <c r="E51">
        <v>-7.6899999999999996E-2</v>
      </c>
      <c r="F51">
        <v>0.05</v>
      </c>
      <c r="G51">
        <v>1.0200000000000001E-2</v>
      </c>
      <c r="H51">
        <v>-2.5666000000000002</v>
      </c>
      <c r="I51">
        <v>0</v>
      </c>
      <c r="J51">
        <v>0</v>
      </c>
      <c r="K51">
        <v>0</v>
      </c>
      <c r="L51">
        <v>-6.2300000000000001E-2</v>
      </c>
    </row>
    <row r="52" spans="1:12" x14ac:dyDescent="0.35">
      <c r="A52">
        <v>-2.5</v>
      </c>
      <c r="B52">
        <v>-0.24079999999999999</v>
      </c>
      <c r="C52">
        <v>2.164E-2</v>
      </c>
      <c r="D52">
        <v>1.6150000000000001E-2</v>
      </c>
      <c r="E52">
        <v>-7.6899999999999996E-2</v>
      </c>
      <c r="F52">
        <v>0.05</v>
      </c>
      <c r="G52">
        <v>1.03E-2</v>
      </c>
      <c r="H52">
        <v>-2.5535999999999999</v>
      </c>
      <c r="I52">
        <v>0</v>
      </c>
      <c r="J52">
        <v>0</v>
      </c>
      <c r="K52">
        <v>0</v>
      </c>
      <c r="L52">
        <v>-7.1400000000000005E-2</v>
      </c>
    </row>
    <row r="53" spans="1:12" x14ac:dyDescent="0.35">
      <c r="A53">
        <v>-2.4500000000000002</v>
      </c>
      <c r="B53">
        <v>-0.23319999999999999</v>
      </c>
      <c r="C53">
        <v>2.0990000000000002E-2</v>
      </c>
      <c r="D53">
        <v>1.542E-2</v>
      </c>
      <c r="E53">
        <v>-7.6799999999999993E-2</v>
      </c>
      <c r="F53">
        <v>0.05</v>
      </c>
      <c r="G53">
        <v>1.04E-2</v>
      </c>
      <c r="H53">
        <v>-2.5405000000000002</v>
      </c>
      <c r="I53">
        <v>0</v>
      </c>
      <c r="J53">
        <v>0</v>
      </c>
      <c r="K53">
        <v>0</v>
      </c>
      <c r="L53">
        <v>-8.1600000000000006E-2</v>
      </c>
    </row>
    <row r="54" spans="1:12" x14ac:dyDescent="0.35">
      <c r="A54">
        <v>-2.4</v>
      </c>
      <c r="B54">
        <v>-0.22520000000000001</v>
      </c>
      <c r="C54">
        <v>2.036E-2</v>
      </c>
      <c r="D54">
        <v>1.4710000000000001E-2</v>
      </c>
      <c r="E54">
        <v>-7.6700000000000004E-2</v>
      </c>
      <c r="F54">
        <v>0.05</v>
      </c>
      <c r="G54">
        <v>1.0500000000000001E-2</v>
      </c>
      <c r="H54">
        <v>-2.5287000000000002</v>
      </c>
      <c r="I54">
        <v>0</v>
      </c>
      <c r="J54">
        <v>0</v>
      </c>
      <c r="K54">
        <v>0</v>
      </c>
      <c r="L54">
        <v>-9.2899999999999996E-2</v>
      </c>
    </row>
    <row r="55" spans="1:12" x14ac:dyDescent="0.35">
      <c r="A55">
        <v>-2.35</v>
      </c>
      <c r="B55">
        <v>-0.21679999999999999</v>
      </c>
      <c r="C55">
        <v>1.9740000000000001E-2</v>
      </c>
      <c r="D55">
        <v>1.4E-2</v>
      </c>
      <c r="E55">
        <v>-7.6600000000000001E-2</v>
      </c>
      <c r="F55">
        <v>0.05</v>
      </c>
      <c r="G55">
        <v>1.0500000000000001E-2</v>
      </c>
      <c r="H55">
        <v>-2.5163000000000002</v>
      </c>
      <c r="I55">
        <v>0</v>
      </c>
      <c r="J55">
        <v>0</v>
      </c>
      <c r="K55">
        <v>0</v>
      </c>
      <c r="L55">
        <v>-0.1053</v>
      </c>
    </row>
    <row r="56" spans="1:12" x14ac:dyDescent="0.35">
      <c r="A56">
        <v>-2.2999999999999998</v>
      </c>
      <c r="B56">
        <v>-0.2082</v>
      </c>
      <c r="C56">
        <v>1.9140000000000001E-2</v>
      </c>
      <c r="D56">
        <v>1.3310000000000001E-2</v>
      </c>
      <c r="E56">
        <v>-7.6399999999999996E-2</v>
      </c>
      <c r="F56">
        <v>0.05</v>
      </c>
      <c r="G56">
        <v>1.06E-2</v>
      </c>
      <c r="H56">
        <v>-2.5017999999999998</v>
      </c>
      <c r="I56">
        <v>0</v>
      </c>
      <c r="J56">
        <v>0</v>
      </c>
      <c r="K56">
        <v>0</v>
      </c>
      <c r="L56">
        <v>-0.1192</v>
      </c>
    </row>
    <row r="57" spans="1:12" x14ac:dyDescent="0.35">
      <c r="A57">
        <v>-2.25</v>
      </c>
      <c r="B57">
        <v>-0.1993</v>
      </c>
      <c r="C57">
        <v>1.856E-2</v>
      </c>
      <c r="D57">
        <v>1.264E-2</v>
      </c>
      <c r="E57">
        <v>-7.6200000000000004E-2</v>
      </c>
      <c r="F57">
        <v>0.05</v>
      </c>
      <c r="G57">
        <v>1.06E-2</v>
      </c>
      <c r="H57">
        <v>-2.4851000000000001</v>
      </c>
      <c r="I57">
        <v>0</v>
      </c>
      <c r="J57">
        <v>0</v>
      </c>
      <c r="K57">
        <v>0</v>
      </c>
      <c r="L57">
        <v>-0.13450000000000001</v>
      </c>
    </row>
    <row r="58" spans="1:12" x14ac:dyDescent="0.35">
      <c r="A58">
        <v>-2.2000000000000002</v>
      </c>
      <c r="B58">
        <v>-0.19009999999999999</v>
      </c>
      <c r="C58">
        <v>1.7989999999999999E-2</v>
      </c>
      <c r="D58">
        <v>1.1979999999999999E-2</v>
      </c>
      <c r="E58">
        <v>-7.5999999999999998E-2</v>
      </c>
      <c r="F58">
        <v>0.05</v>
      </c>
      <c r="G58">
        <v>1.0699999999999999E-2</v>
      </c>
      <c r="H58">
        <v>-2.4659</v>
      </c>
      <c r="I58">
        <v>0</v>
      </c>
      <c r="J58">
        <v>0</v>
      </c>
      <c r="K58">
        <v>0</v>
      </c>
      <c r="L58">
        <v>-0.15179999999999999</v>
      </c>
    </row>
    <row r="59" spans="1:12" x14ac:dyDescent="0.35">
      <c r="A59">
        <v>-2.15</v>
      </c>
      <c r="B59">
        <v>-0.1807</v>
      </c>
      <c r="C59">
        <v>1.7440000000000001E-2</v>
      </c>
      <c r="D59">
        <v>1.133E-2</v>
      </c>
      <c r="E59">
        <v>-7.5700000000000003E-2</v>
      </c>
      <c r="F59">
        <v>0.05</v>
      </c>
      <c r="G59">
        <v>1.0699999999999999E-2</v>
      </c>
      <c r="H59">
        <v>-2.4441000000000002</v>
      </c>
      <c r="I59">
        <v>0</v>
      </c>
      <c r="J59">
        <v>0</v>
      </c>
      <c r="K59">
        <v>0</v>
      </c>
      <c r="L59">
        <v>-0.1711</v>
      </c>
    </row>
    <row r="60" spans="1:12" x14ac:dyDescent="0.35">
      <c r="A60">
        <v>-2.1</v>
      </c>
      <c r="B60">
        <v>-0.1711</v>
      </c>
      <c r="C60">
        <v>1.6899999999999998E-2</v>
      </c>
      <c r="D60">
        <v>1.0699999999999999E-2</v>
      </c>
      <c r="E60">
        <v>-7.5399999999999995E-2</v>
      </c>
      <c r="F60">
        <v>0.05</v>
      </c>
      <c r="G60">
        <v>1.0800000000000001E-2</v>
      </c>
      <c r="H60">
        <v>-2.4194</v>
      </c>
      <c r="I60">
        <v>0</v>
      </c>
      <c r="J60">
        <v>0</v>
      </c>
      <c r="K60">
        <v>0</v>
      </c>
      <c r="L60">
        <v>-0.19309999999999999</v>
      </c>
    </row>
    <row r="61" spans="1:12" x14ac:dyDescent="0.35">
      <c r="A61">
        <v>-2.0499999999999998</v>
      </c>
      <c r="B61">
        <v>-0.1613</v>
      </c>
      <c r="C61">
        <v>1.6389999999999998E-2</v>
      </c>
      <c r="D61">
        <v>1.009E-2</v>
      </c>
      <c r="E61">
        <v>-7.51E-2</v>
      </c>
      <c r="F61">
        <v>0.05</v>
      </c>
      <c r="G61">
        <v>1.09E-2</v>
      </c>
      <c r="H61">
        <v>-2.3915999999999999</v>
      </c>
      <c r="I61">
        <v>0</v>
      </c>
      <c r="J61">
        <v>0</v>
      </c>
      <c r="K61">
        <v>0</v>
      </c>
      <c r="L61">
        <v>-0.21809999999999999</v>
      </c>
    </row>
    <row r="62" spans="1:12" x14ac:dyDescent="0.35">
      <c r="A62">
        <v>-2</v>
      </c>
      <c r="B62">
        <v>-0.1512</v>
      </c>
      <c r="C62">
        <v>1.5890000000000001E-2</v>
      </c>
      <c r="D62">
        <v>9.4999999999999998E-3</v>
      </c>
      <c r="E62">
        <v>-7.4700000000000003E-2</v>
      </c>
      <c r="F62">
        <v>0.05</v>
      </c>
      <c r="G62">
        <v>1.0999999999999999E-2</v>
      </c>
      <c r="H62">
        <v>-2.3677999999999999</v>
      </c>
      <c r="I62">
        <v>0</v>
      </c>
      <c r="J62">
        <v>0</v>
      </c>
      <c r="K62">
        <v>0</v>
      </c>
      <c r="L62">
        <v>-0.2467</v>
      </c>
    </row>
    <row r="63" spans="1:12" x14ac:dyDescent="0.35">
      <c r="A63">
        <v>-1.95</v>
      </c>
      <c r="B63">
        <v>-0.1411</v>
      </c>
      <c r="C63">
        <v>1.542E-2</v>
      </c>
      <c r="D63">
        <v>8.94E-3</v>
      </c>
      <c r="E63">
        <v>-7.4399999999999994E-2</v>
      </c>
      <c r="F63">
        <v>0.05</v>
      </c>
      <c r="G63">
        <v>1.11E-2</v>
      </c>
      <c r="H63">
        <v>-2.3607</v>
      </c>
      <c r="I63">
        <v>0</v>
      </c>
      <c r="J63">
        <v>0</v>
      </c>
      <c r="K63">
        <v>0</v>
      </c>
      <c r="L63">
        <v>-0.27989999999999998</v>
      </c>
    </row>
    <row r="64" spans="1:12" x14ac:dyDescent="0.35">
      <c r="A64">
        <v>-1.9</v>
      </c>
      <c r="B64">
        <v>-0.1308</v>
      </c>
      <c r="C64">
        <v>1.4959999999999999E-2</v>
      </c>
      <c r="D64">
        <v>8.3899999999999999E-3</v>
      </c>
      <c r="E64">
        <v>-7.3999999999999996E-2</v>
      </c>
      <c r="F64">
        <v>0.05</v>
      </c>
      <c r="G64">
        <v>1.1299999999999999E-2</v>
      </c>
      <c r="H64">
        <v>-2.3515000000000001</v>
      </c>
      <c r="I64">
        <v>0</v>
      </c>
      <c r="J64">
        <v>0</v>
      </c>
      <c r="K64">
        <v>0</v>
      </c>
      <c r="L64">
        <v>-0.31850000000000001</v>
      </c>
    </row>
    <row r="65" spans="1:12" x14ac:dyDescent="0.35">
      <c r="A65">
        <v>-1.85</v>
      </c>
      <c r="B65">
        <v>-0.12039999999999999</v>
      </c>
      <c r="C65">
        <v>1.453E-2</v>
      </c>
      <c r="D65">
        <v>7.8700000000000003E-3</v>
      </c>
      <c r="E65">
        <v>-7.3499999999999996E-2</v>
      </c>
      <c r="F65">
        <v>0.05</v>
      </c>
      <c r="G65">
        <v>1.15E-2</v>
      </c>
      <c r="H65">
        <v>-2.3395999999999999</v>
      </c>
      <c r="I65">
        <v>0</v>
      </c>
      <c r="J65">
        <v>0</v>
      </c>
      <c r="K65">
        <v>0</v>
      </c>
      <c r="L65">
        <v>-0.36399999999999999</v>
      </c>
    </row>
    <row r="66" spans="1:12" x14ac:dyDescent="0.35">
      <c r="A66">
        <v>-1.8</v>
      </c>
      <c r="B66">
        <v>-0.1099</v>
      </c>
      <c r="C66">
        <v>1.4120000000000001E-2</v>
      </c>
      <c r="D66">
        <v>7.3800000000000003E-3</v>
      </c>
      <c r="E66">
        <v>-7.3099999999999998E-2</v>
      </c>
      <c r="F66">
        <v>0.05</v>
      </c>
      <c r="G66">
        <v>1.17E-2</v>
      </c>
      <c r="H66">
        <v>-2.3243</v>
      </c>
      <c r="I66">
        <v>0</v>
      </c>
      <c r="J66">
        <v>0</v>
      </c>
      <c r="K66">
        <v>0</v>
      </c>
      <c r="L66">
        <v>-0.41830000000000001</v>
      </c>
    </row>
    <row r="67" spans="1:12" x14ac:dyDescent="0.35">
      <c r="A67">
        <v>-1.75</v>
      </c>
      <c r="B67">
        <v>-9.9500000000000005E-2</v>
      </c>
      <c r="C67">
        <v>1.374E-2</v>
      </c>
      <c r="D67">
        <v>6.9100000000000003E-3</v>
      </c>
      <c r="E67">
        <v>-7.2599999999999998E-2</v>
      </c>
      <c r="F67">
        <v>0.05</v>
      </c>
      <c r="G67">
        <v>1.2E-2</v>
      </c>
      <c r="H67">
        <v>-2.3047</v>
      </c>
      <c r="I67">
        <v>0</v>
      </c>
      <c r="J67">
        <v>0</v>
      </c>
      <c r="K67">
        <v>0</v>
      </c>
      <c r="L67">
        <v>-0.48380000000000001</v>
      </c>
    </row>
    <row r="68" spans="1:12" x14ac:dyDescent="0.35">
      <c r="A68">
        <v>-1.7</v>
      </c>
      <c r="B68">
        <v>-8.8999999999999996E-2</v>
      </c>
      <c r="C68">
        <v>1.338E-2</v>
      </c>
      <c r="D68">
        <v>6.4799999999999996E-3</v>
      </c>
      <c r="E68">
        <v>-7.22E-2</v>
      </c>
      <c r="F68">
        <v>0.05</v>
      </c>
      <c r="G68">
        <v>1.23E-2</v>
      </c>
      <c r="H68">
        <v>-2.2801</v>
      </c>
      <c r="I68">
        <v>0</v>
      </c>
      <c r="J68">
        <v>0</v>
      </c>
      <c r="K68">
        <v>0</v>
      </c>
      <c r="L68">
        <v>-0.5645</v>
      </c>
    </row>
    <row r="69" spans="1:12" x14ac:dyDescent="0.35">
      <c r="A69">
        <v>-1.65</v>
      </c>
      <c r="B69">
        <v>-7.8600000000000003E-2</v>
      </c>
      <c r="C69">
        <v>1.304E-2</v>
      </c>
      <c r="D69">
        <v>6.0699999999999999E-3</v>
      </c>
      <c r="E69">
        <v>-7.17E-2</v>
      </c>
      <c r="F69">
        <v>0.05</v>
      </c>
      <c r="G69">
        <v>1.26E-2</v>
      </c>
      <c r="H69">
        <v>-2.2494999999999998</v>
      </c>
      <c r="I69">
        <v>0</v>
      </c>
      <c r="J69">
        <v>0</v>
      </c>
      <c r="K69">
        <v>0</v>
      </c>
      <c r="L69">
        <v>-0.66590000000000005</v>
      </c>
    </row>
    <row r="70" spans="1:12" x14ac:dyDescent="0.35">
      <c r="A70">
        <v>-1.6</v>
      </c>
      <c r="B70">
        <v>-6.83E-2</v>
      </c>
      <c r="C70">
        <v>1.273E-2</v>
      </c>
      <c r="D70">
        <v>5.6800000000000002E-3</v>
      </c>
      <c r="E70">
        <v>-7.1199999999999999E-2</v>
      </c>
      <c r="F70">
        <v>0.05</v>
      </c>
      <c r="G70">
        <v>1.2999999999999999E-2</v>
      </c>
      <c r="H70">
        <v>-2.2115999999999998</v>
      </c>
      <c r="I70">
        <v>0</v>
      </c>
      <c r="J70">
        <v>0</v>
      </c>
      <c r="K70">
        <v>0</v>
      </c>
      <c r="L70">
        <v>-0.79749999999999999</v>
      </c>
    </row>
    <row r="71" spans="1:12" x14ac:dyDescent="0.35">
      <c r="A71">
        <v>-1.55</v>
      </c>
      <c r="B71">
        <v>-5.79E-2</v>
      </c>
      <c r="C71">
        <v>1.2449999999999999E-2</v>
      </c>
      <c r="D71">
        <v>5.3299999999999997E-3</v>
      </c>
      <c r="E71">
        <v>-7.0699999999999999E-2</v>
      </c>
      <c r="F71">
        <v>0.05</v>
      </c>
      <c r="G71">
        <v>1.3899999999999999E-2</v>
      </c>
      <c r="H71">
        <v>-2.1564000000000001</v>
      </c>
      <c r="I71">
        <v>0</v>
      </c>
      <c r="J71">
        <v>0</v>
      </c>
      <c r="K71">
        <v>0</v>
      </c>
      <c r="L71">
        <v>-0.97650000000000003</v>
      </c>
    </row>
    <row r="72" spans="1:12" x14ac:dyDescent="0.35">
      <c r="A72">
        <v>-1.5</v>
      </c>
      <c r="B72">
        <v>-4.7600000000000003E-2</v>
      </c>
      <c r="C72">
        <v>1.2200000000000001E-2</v>
      </c>
      <c r="D72">
        <v>5.0200000000000002E-3</v>
      </c>
      <c r="E72">
        <v>-7.0199999999999999E-2</v>
      </c>
      <c r="F72">
        <v>0.05</v>
      </c>
      <c r="G72">
        <v>1.49E-2</v>
      </c>
      <c r="H72">
        <v>-2.097</v>
      </c>
      <c r="I72">
        <v>0</v>
      </c>
      <c r="J72">
        <v>0</v>
      </c>
      <c r="K72">
        <v>0</v>
      </c>
      <c r="L72">
        <v>-1.2326999999999999</v>
      </c>
    </row>
    <row r="73" spans="1:12" x14ac:dyDescent="0.35">
      <c r="A73">
        <v>-1.45</v>
      </c>
      <c r="B73">
        <v>-3.73E-2</v>
      </c>
      <c r="C73">
        <v>1.196E-2</v>
      </c>
      <c r="D73">
        <v>4.7200000000000002E-3</v>
      </c>
      <c r="E73">
        <v>-6.9800000000000001E-2</v>
      </c>
      <c r="F73">
        <v>0.05</v>
      </c>
      <c r="G73">
        <v>1.54E-2</v>
      </c>
      <c r="H73">
        <v>-2.0388000000000002</v>
      </c>
      <c r="I73">
        <v>0</v>
      </c>
      <c r="J73">
        <v>0</v>
      </c>
      <c r="K73">
        <v>0</v>
      </c>
      <c r="L73">
        <v>-1.6269</v>
      </c>
    </row>
    <row r="74" spans="1:12" x14ac:dyDescent="0.35">
      <c r="A74">
        <v>-1.4</v>
      </c>
      <c r="B74">
        <v>-2.7199999999999998E-2</v>
      </c>
      <c r="C74">
        <v>1.172E-2</v>
      </c>
      <c r="D74">
        <v>4.4299999999999999E-3</v>
      </c>
      <c r="E74">
        <v>-6.93E-2</v>
      </c>
      <c r="F74">
        <v>0.05</v>
      </c>
      <c r="G74">
        <v>1.55E-2</v>
      </c>
      <c r="H74">
        <v>-1.9806999999999999</v>
      </c>
      <c r="I74">
        <v>0</v>
      </c>
      <c r="J74">
        <v>0</v>
      </c>
      <c r="K74">
        <v>0</v>
      </c>
      <c r="L74">
        <v>-2.3123999999999998</v>
      </c>
    </row>
    <row r="75" spans="1:12" x14ac:dyDescent="0.35">
      <c r="A75">
        <v>-1.35</v>
      </c>
      <c r="B75">
        <v>-1.7000000000000001E-2</v>
      </c>
      <c r="C75">
        <v>1.15E-2</v>
      </c>
      <c r="D75">
        <v>4.1599999999999996E-3</v>
      </c>
      <c r="E75">
        <v>-6.8900000000000003E-2</v>
      </c>
      <c r="F75">
        <v>0.05</v>
      </c>
      <c r="G75">
        <v>1.55E-2</v>
      </c>
      <c r="H75">
        <v>-1.9164000000000001</v>
      </c>
      <c r="I75">
        <v>0</v>
      </c>
      <c r="J75">
        <v>0</v>
      </c>
      <c r="K75">
        <v>0</v>
      </c>
      <c r="L75">
        <v>-3.8256999999999999</v>
      </c>
    </row>
    <row r="76" spans="1:12" x14ac:dyDescent="0.35">
      <c r="A76">
        <v>-1.3</v>
      </c>
      <c r="B76">
        <v>-6.7000000000000002E-3</v>
      </c>
      <c r="C76">
        <v>1.1310000000000001E-2</v>
      </c>
      <c r="D76">
        <v>3.9100000000000003E-3</v>
      </c>
      <c r="E76">
        <v>-6.8599999999999994E-2</v>
      </c>
      <c r="F76">
        <v>0.05</v>
      </c>
      <c r="G76">
        <v>1.5599999999999999E-2</v>
      </c>
      <c r="H76">
        <v>-1.8464</v>
      </c>
      <c r="I76">
        <v>0</v>
      </c>
      <c r="J76">
        <v>0</v>
      </c>
      <c r="K76">
        <v>0</v>
      </c>
      <c r="L76">
        <v>-9.9801000000000002</v>
      </c>
    </row>
    <row r="77" spans="1:12" x14ac:dyDescent="0.35">
      <c r="A77">
        <v>-1.25</v>
      </c>
      <c r="B77">
        <v>3.5999999999999999E-3</v>
      </c>
      <c r="C77">
        <v>1.1129999999999999E-2</v>
      </c>
      <c r="D77">
        <v>3.6800000000000001E-3</v>
      </c>
      <c r="E77">
        <v>-6.8199999999999997E-2</v>
      </c>
      <c r="F77">
        <v>0.05</v>
      </c>
      <c r="G77">
        <v>1.5800000000000002E-2</v>
      </c>
      <c r="H77">
        <v>-1.7716000000000001</v>
      </c>
      <c r="I77">
        <v>0</v>
      </c>
      <c r="J77">
        <v>0</v>
      </c>
      <c r="K77">
        <v>0</v>
      </c>
      <c r="L77">
        <v>19.226199999999999</v>
      </c>
    </row>
    <row r="78" spans="1:12" x14ac:dyDescent="0.35">
      <c r="A78">
        <v>-1.2</v>
      </c>
      <c r="B78">
        <v>1.4E-2</v>
      </c>
      <c r="C78">
        <v>1.0970000000000001E-2</v>
      </c>
      <c r="D78">
        <v>3.47E-3</v>
      </c>
      <c r="E78">
        <v>-6.7900000000000002E-2</v>
      </c>
      <c r="F78">
        <v>0.05</v>
      </c>
      <c r="G78">
        <v>1.5900000000000001E-2</v>
      </c>
      <c r="H78">
        <v>-1.7121999999999999</v>
      </c>
      <c r="I78">
        <v>0</v>
      </c>
      <c r="J78">
        <v>0</v>
      </c>
      <c r="K78">
        <v>0</v>
      </c>
      <c r="L78">
        <v>5.1067</v>
      </c>
    </row>
    <row r="79" spans="1:12" x14ac:dyDescent="0.35">
      <c r="A79">
        <v>-1.1499999999999999</v>
      </c>
      <c r="B79">
        <v>2.4500000000000001E-2</v>
      </c>
      <c r="C79">
        <v>1.0829999999999999E-2</v>
      </c>
      <c r="D79">
        <v>3.2799999999999999E-3</v>
      </c>
      <c r="E79">
        <v>-6.7699999999999996E-2</v>
      </c>
      <c r="F79">
        <v>0.05</v>
      </c>
      <c r="G79">
        <v>1.6199999999999999E-2</v>
      </c>
      <c r="H79">
        <v>-1.6666000000000001</v>
      </c>
      <c r="I79">
        <v>0</v>
      </c>
      <c r="J79">
        <v>0</v>
      </c>
      <c r="K79">
        <v>0</v>
      </c>
      <c r="L79">
        <v>3.0154000000000001</v>
      </c>
    </row>
    <row r="80" spans="1:12" x14ac:dyDescent="0.35">
      <c r="A80">
        <v>-1.1000000000000001</v>
      </c>
      <c r="B80">
        <v>3.5099999999999999E-2</v>
      </c>
      <c r="C80">
        <v>1.0699999999999999E-2</v>
      </c>
      <c r="D80">
        <v>3.1099999999999999E-3</v>
      </c>
      <c r="E80">
        <v>-6.7400000000000002E-2</v>
      </c>
      <c r="F80">
        <v>0.05</v>
      </c>
      <c r="G80">
        <v>1.6500000000000001E-2</v>
      </c>
      <c r="H80">
        <v>-1.6176999999999999</v>
      </c>
      <c r="I80">
        <v>0</v>
      </c>
      <c r="J80">
        <v>0</v>
      </c>
      <c r="K80">
        <v>0</v>
      </c>
      <c r="L80">
        <v>2.1749000000000001</v>
      </c>
    </row>
    <row r="81" spans="1:12" x14ac:dyDescent="0.35">
      <c r="A81">
        <v>-1.05</v>
      </c>
      <c r="B81">
        <v>4.58E-2</v>
      </c>
      <c r="C81">
        <v>1.059E-2</v>
      </c>
      <c r="D81">
        <v>2.96E-3</v>
      </c>
      <c r="E81">
        <v>-6.7199999999999996E-2</v>
      </c>
      <c r="F81">
        <v>0.05</v>
      </c>
      <c r="G81">
        <v>1.6799999999999999E-2</v>
      </c>
      <c r="H81">
        <v>-1.5656000000000001</v>
      </c>
      <c r="I81">
        <v>0</v>
      </c>
      <c r="J81">
        <v>0</v>
      </c>
      <c r="K81">
        <v>0</v>
      </c>
      <c r="L81">
        <v>1.7222999999999999</v>
      </c>
    </row>
    <row r="82" spans="1:12" x14ac:dyDescent="0.35">
      <c r="A82">
        <v>-1</v>
      </c>
      <c r="B82">
        <v>5.6500000000000002E-2</v>
      </c>
      <c r="C82">
        <v>1.0500000000000001E-2</v>
      </c>
      <c r="D82">
        <v>2.8300000000000001E-3</v>
      </c>
      <c r="E82">
        <v>-6.7000000000000004E-2</v>
      </c>
      <c r="F82">
        <v>0.05</v>
      </c>
      <c r="G82">
        <v>1.72E-2</v>
      </c>
      <c r="H82">
        <v>-1.5101</v>
      </c>
      <c r="I82">
        <v>0</v>
      </c>
      <c r="J82">
        <v>0</v>
      </c>
      <c r="K82">
        <v>0</v>
      </c>
      <c r="L82">
        <v>1.4399</v>
      </c>
    </row>
    <row r="83" spans="1:12" x14ac:dyDescent="0.35">
      <c r="A83">
        <v>-0.95</v>
      </c>
      <c r="B83">
        <v>6.7199999999999996E-2</v>
      </c>
      <c r="C83">
        <v>1.042E-2</v>
      </c>
      <c r="D83">
        <v>2.7100000000000002E-3</v>
      </c>
      <c r="E83">
        <v>-6.6799999999999998E-2</v>
      </c>
      <c r="F83">
        <v>0.05</v>
      </c>
      <c r="G83">
        <v>1.77E-2</v>
      </c>
      <c r="H83">
        <v>-1.4511000000000001</v>
      </c>
      <c r="I83">
        <v>0</v>
      </c>
      <c r="J83">
        <v>0</v>
      </c>
      <c r="K83">
        <v>0</v>
      </c>
      <c r="L83">
        <v>1.2473000000000001</v>
      </c>
    </row>
    <row r="84" spans="1:12" x14ac:dyDescent="0.35">
      <c r="A84">
        <v>-0.9</v>
      </c>
      <c r="B84">
        <v>7.7899999999999997E-2</v>
      </c>
      <c r="C84">
        <v>1.035E-2</v>
      </c>
      <c r="D84">
        <v>2.6099999999999999E-3</v>
      </c>
      <c r="E84">
        <v>-6.6699999999999995E-2</v>
      </c>
      <c r="F84">
        <v>0.05</v>
      </c>
      <c r="G84">
        <v>1.8100000000000002E-2</v>
      </c>
      <c r="H84">
        <v>-1.389</v>
      </c>
      <c r="I84">
        <v>0</v>
      </c>
      <c r="J84">
        <v>0</v>
      </c>
      <c r="K84">
        <v>0</v>
      </c>
      <c r="L84">
        <v>1.1077999999999999</v>
      </c>
    </row>
    <row r="85" spans="1:12" x14ac:dyDescent="0.35">
      <c r="A85">
        <v>-0.85</v>
      </c>
      <c r="B85">
        <v>8.8599999999999998E-2</v>
      </c>
      <c r="C85">
        <v>1.03E-2</v>
      </c>
      <c r="D85">
        <v>2.5200000000000001E-3</v>
      </c>
      <c r="E85">
        <v>-6.6500000000000004E-2</v>
      </c>
      <c r="F85">
        <v>0.05</v>
      </c>
      <c r="G85">
        <v>1.8599999999999998E-2</v>
      </c>
      <c r="H85">
        <v>-1.3243</v>
      </c>
      <c r="I85">
        <v>0</v>
      </c>
      <c r="J85">
        <v>0</v>
      </c>
      <c r="K85">
        <v>0</v>
      </c>
      <c r="L85">
        <v>1.0021</v>
      </c>
    </row>
    <row r="86" spans="1:12" x14ac:dyDescent="0.35">
      <c r="A86">
        <v>-0.8</v>
      </c>
      <c r="B86">
        <v>9.9299999999999999E-2</v>
      </c>
      <c r="C86">
        <v>1.025E-2</v>
      </c>
      <c r="D86">
        <v>2.4499999999999999E-3</v>
      </c>
      <c r="E86">
        <v>-6.6299999999999998E-2</v>
      </c>
      <c r="F86">
        <v>0.05</v>
      </c>
      <c r="G86">
        <v>1.9E-2</v>
      </c>
      <c r="H86">
        <v>-1.2585</v>
      </c>
      <c r="I86">
        <v>0</v>
      </c>
      <c r="J86">
        <v>0</v>
      </c>
      <c r="K86">
        <v>0</v>
      </c>
      <c r="L86">
        <v>0.91949999999999998</v>
      </c>
    </row>
    <row r="87" spans="1:12" x14ac:dyDescent="0.35">
      <c r="A87">
        <v>-0.75</v>
      </c>
      <c r="B87">
        <v>0.1099</v>
      </c>
      <c r="C87">
        <v>1.018E-2</v>
      </c>
      <c r="D87">
        <v>2.3700000000000001E-3</v>
      </c>
      <c r="E87">
        <v>-6.6199999999999995E-2</v>
      </c>
      <c r="F87">
        <v>0.05</v>
      </c>
      <c r="G87">
        <v>1.9900000000000001E-2</v>
      </c>
      <c r="H87">
        <v>-1.1995</v>
      </c>
      <c r="I87">
        <v>0</v>
      </c>
      <c r="J87">
        <v>0</v>
      </c>
      <c r="K87">
        <v>0</v>
      </c>
      <c r="L87">
        <v>0.85340000000000005</v>
      </c>
    </row>
    <row r="88" spans="1:12" x14ac:dyDescent="0.35">
      <c r="A88">
        <v>-0.7</v>
      </c>
      <c r="B88">
        <v>0.1206</v>
      </c>
      <c r="C88">
        <v>1.014E-2</v>
      </c>
      <c r="D88">
        <v>2.3E-3</v>
      </c>
      <c r="E88">
        <v>-6.6100000000000006E-2</v>
      </c>
      <c r="F88">
        <v>0.05</v>
      </c>
      <c r="G88">
        <v>2.1000000000000001E-2</v>
      </c>
      <c r="H88">
        <v>-1.1356999999999999</v>
      </c>
      <c r="I88">
        <v>0</v>
      </c>
      <c r="J88">
        <v>0</v>
      </c>
      <c r="K88">
        <v>0</v>
      </c>
      <c r="L88">
        <v>0.79900000000000004</v>
      </c>
    </row>
    <row r="89" spans="1:12" x14ac:dyDescent="0.35">
      <c r="A89">
        <v>-0.65</v>
      </c>
      <c r="B89">
        <v>0.13120000000000001</v>
      </c>
      <c r="C89">
        <v>1.01E-2</v>
      </c>
      <c r="D89">
        <v>2.2499999999999998E-3</v>
      </c>
      <c r="E89">
        <v>-6.6000000000000003E-2</v>
      </c>
      <c r="F89">
        <v>0.05</v>
      </c>
      <c r="G89">
        <v>2.23E-2</v>
      </c>
      <c r="H89">
        <v>-1.0705</v>
      </c>
      <c r="I89">
        <v>0</v>
      </c>
      <c r="J89">
        <v>0</v>
      </c>
      <c r="K89">
        <v>0</v>
      </c>
      <c r="L89">
        <v>0.75349999999999995</v>
      </c>
    </row>
    <row r="90" spans="1:12" x14ac:dyDescent="0.35">
      <c r="A90">
        <v>-0.6</v>
      </c>
      <c r="B90">
        <v>0.14180000000000001</v>
      </c>
      <c r="C90">
        <v>1.0070000000000001E-2</v>
      </c>
      <c r="D90">
        <v>2.2100000000000002E-3</v>
      </c>
      <c r="E90">
        <v>-6.59E-2</v>
      </c>
      <c r="F90">
        <v>0.05</v>
      </c>
      <c r="G90">
        <v>2.3699999999999999E-2</v>
      </c>
      <c r="H90">
        <v>-1.0058</v>
      </c>
      <c r="I90">
        <v>0</v>
      </c>
      <c r="J90">
        <v>0</v>
      </c>
      <c r="K90">
        <v>0</v>
      </c>
      <c r="L90">
        <v>0.71489999999999998</v>
      </c>
    </row>
    <row r="91" spans="1:12" x14ac:dyDescent="0.35">
      <c r="A91">
        <v>-0.55000000000000004</v>
      </c>
      <c r="B91">
        <v>0.15240000000000001</v>
      </c>
      <c r="C91">
        <v>1.005E-2</v>
      </c>
      <c r="D91">
        <v>2.1800000000000001E-3</v>
      </c>
      <c r="E91">
        <v>-6.5799999999999997E-2</v>
      </c>
      <c r="F91">
        <v>0.05</v>
      </c>
      <c r="G91">
        <v>2.52E-2</v>
      </c>
      <c r="H91">
        <v>-0.94220000000000004</v>
      </c>
      <c r="I91">
        <v>0</v>
      </c>
      <c r="J91">
        <v>0</v>
      </c>
      <c r="K91">
        <v>0</v>
      </c>
      <c r="L91">
        <v>0.68179999999999996</v>
      </c>
    </row>
    <row r="92" spans="1:12" x14ac:dyDescent="0.35">
      <c r="A92">
        <v>-0.5</v>
      </c>
      <c r="B92">
        <v>0.16300000000000001</v>
      </c>
      <c r="C92">
        <v>1.0030000000000001E-2</v>
      </c>
      <c r="D92">
        <v>2.15E-3</v>
      </c>
      <c r="E92">
        <v>-6.5699999999999995E-2</v>
      </c>
      <c r="F92">
        <v>0.05</v>
      </c>
      <c r="G92">
        <v>2.69E-2</v>
      </c>
      <c r="H92">
        <v>-0.88</v>
      </c>
      <c r="I92">
        <v>0</v>
      </c>
      <c r="J92">
        <v>0</v>
      </c>
      <c r="K92">
        <v>0</v>
      </c>
      <c r="L92">
        <v>0.65310000000000001</v>
      </c>
    </row>
    <row r="93" spans="1:12" x14ac:dyDescent="0.35">
      <c r="A93">
        <v>-0.45</v>
      </c>
      <c r="B93">
        <v>0.1736</v>
      </c>
      <c r="C93">
        <v>1.0019999999999999E-2</v>
      </c>
      <c r="D93">
        <v>2.1199999999999999E-3</v>
      </c>
      <c r="E93">
        <v>-6.5600000000000006E-2</v>
      </c>
      <c r="F93">
        <v>0.05</v>
      </c>
      <c r="G93">
        <v>2.87E-2</v>
      </c>
      <c r="H93">
        <v>-0.82299999999999995</v>
      </c>
      <c r="I93">
        <v>0</v>
      </c>
      <c r="J93">
        <v>0</v>
      </c>
      <c r="K93">
        <v>0</v>
      </c>
      <c r="L93">
        <v>0.628</v>
      </c>
    </row>
    <row r="94" spans="1:12" x14ac:dyDescent="0.35">
      <c r="A94">
        <v>-0.4</v>
      </c>
      <c r="B94">
        <v>0.18410000000000001</v>
      </c>
      <c r="C94">
        <v>0.01</v>
      </c>
      <c r="D94">
        <v>2.0999999999999999E-3</v>
      </c>
      <c r="E94">
        <v>-6.5500000000000003E-2</v>
      </c>
      <c r="F94">
        <v>0.05</v>
      </c>
      <c r="G94">
        <v>3.2000000000000001E-2</v>
      </c>
      <c r="H94">
        <v>-0.76249999999999996</v>
      </c>
      <c r="I94">
        <v>0</v>
      </c>
      <c r="J94">
        <v>0</v>
      </c>
      <c r="K94">
        <v>0</v>
      </c>
      <c r="L94">
        <v>0.60589999999999999</v>
      </c>
    </row>
    <row r="95" spans="1:12" x14ac:dyDescent="0.35">
      <c r="A95">
        <v>-0.35</v>
      </c>
      <c r="B95">
        <v>0.1946</v>
      </c>
      <c r="C95">
        <v>9.9699999999999997E-3</v>
      </c>
      <c r="D95">
        <v>2.0799999999999998E-3</v>
      </c>
      <c r="E95">
        <v>-6.54E-2</v>
      </c>
      <c r="F95">
        <v>0.05</v>
      </c>
      <c r="G95">
        <v>3.7400000000000003E-2</v>
      </c>
      <c r="H95">
        <v>-0.70309999999999995</v>
      </c>
      <c r="I95">
        <v>0</v>
      </c>
      <c r="J95">
        <v>0</v>
      </c>
      <c r="K95">
        <v>0</v>
      </c>
      <c r="L95">
        <v>0.58630000000000004</v>
      </c>
    </row>
    <row r="96" spans="1:12" x14ac:dyDescent="0.35">
      <c r="A96">
        <v>-0.3</v>
      </c>
      <c r="B96">
        <v>0.20499999999999999</v>
      </c>
      <c r="C96">
        <v>9.9299999999999996E-3</v>
      </c>
      <c r="D96">
        <v>2.0600000000000002E-3</v>
      </c>
      <c r="E96">
        <v>-6.54E-2</v>
      </c>
      <c r="F96">
        <v>0.05</v>
      </c>
      <c r="G96">
        <v>4.82E-2</v>
      </c>
      <c r="H96">
        <v>-0.64570000000000005</v>
      </c>
      <c r="I96">
        <v>0</v>
      </c>
      <c r="J96">
        <v>0</v>
      </c>
      <c r="K96">
        <v>0</v>
      </c>
      <c r="L96">
        <v>0.56889999999999996</v>
      </c>
    </row>
    <row r="97" spans="1:12" x14ac:dyDescent="0.35">
      <c r="A97">
        <v>-0.25</v>
      </c>
      <c r="B97">
        <v>0.2155</v>
      </c>
      <c r="C97">
        <v>9.9299999999999996E-3</v>
      </c>
      <c r="D97">
        <v>2.0600000000000002E-3</v>
      </c>
      <c r="E97">
        <v>-6.5299999999999997E-2</v>
      </c>
      <c r="F97">
        <v>0.05</v>
      </c>
      <c r="G97">
        <v>0.05</v>
      </c>
      <c r="H97">
        <v>-0.58950000000000002</v>
      </c>
      <c r="I97">
        <v>0</v>
      </c>
      <c r="J97">
        <v>0</v>
      </c>
      <c r="K97">
        <v>0</v>
      </c>
      <c r="L97">
        <v>0.55289999999999995</v>
      </c>
    </row>
    <row r="98" spans="1:12" x14ac:dyDescent="0.35">
      <c r="A98">
        <v>-0.2</v>
      </c>
      <c r="B98">
        <v>0.22600000000000001</v>
      </c>
      <c r="C98">
        <v>9.9399999999999992E-3</v>
      </c>
      <c r="D98">
        <v>2.0500000000000002E-3</v>
      </c>
      <c r="E98">
        <v>-6.5199999999999994E-2</v>
      </c>
      <c r="F98">
        <v>0.05</v>
      </c>
      <c r="G98">
        <v>0.05</v>
      </c>
      <c r="H98">
        <v>-0.53420000000000001</v>
      </c>
      <c r="I98">
        <v>0</v>
      </c>
      <c r="J98">
        <v>0</v>
      </c>
      <c r="K98">
        <v>0</v>
      </c>
      <c r="L98">
        <v>0.53849999999999998</v>
      </c>
    </row>
    <row r="99" spans="1:12" x14ac:dyDescent="0.35">
      <c r="A99">
        <v>-0.15</v>
      </c>
      <c r="B99">
        <v>0.23649999999999999</v>
      </c>
      <c r="C99">
        <v>9.9399999999999992E-3</v>
      </c>
      <c r="D99">
        <v>2.0500000000000002E-3</v>
      </c>
      <c r="E99">
        <v>-6.5100000000000005E-2</v>
      </c>
      <c r="F99">
        <v>0.05</v>
      </c>
      <c r="G99">
        <v>0.05</v>
      </c>
      <c r="H99">
        <v>-0.496</v>
      </c>
      <c r="I99">
        <v>0</v>
      </c>
      <c r="J99">
        <v>0</v>
      </c>
      <c r="K99">
        <v>0</v>
      </c>
      <c r="L99">
        <v>0.52529999999999999</v>
      </c>
    </row>
    <row r="100" spans="1:12" x14ac:dyDescent="0.35">
      <c r="A100">
        <v>-0.1</v>
      </c>
      <c r="B100">
        <v>0.24690000000000001</v>
      </c>
      <c r="C100">
        <v>9.9500000000000005E-3</v>
      </c>
      <c r="D100">
        <v>2.0500000000000002E-3</v>
      </c>
      <c r="E100">
        <v>-6.5000000000000002E-2</v>
      </c>
      <c r="F100">
        <v>0.05</v>
      </c>
      <c r="G100">
        <v>0.05</v>
      </c>
      <c r="H100">
        <v>-0.50060000000000004</v>
      </c>
      <c r="I100">
        <v>0</v>
      </c>
      <c r="J100">
        <v>0</v>
      </c>
      <c r="K100">
        <v>0</v>
      </c>
      <c r="L100">
        <v>0.51329999999999998</v>
      </c>
    </row>
    <row r="101" spans="1:12" x14ac:dyDescent="0.35">
      <c r="A101">
        <v>-0.05</v>
      </c>
      <c r="B101">
        <v>0.25740000000000002</v>
      </c>
      <c r="C101">
        <v>9.9600000000000001E-3</v>
      </c>
      <c r="D101">
        <v>2.0500000000000002E-3</v>
      </c>
      <c r="E101">
        <v>-6.5000000000000002E-2</v>
      </c>
      <c r="F101">
        <v>0.05</v>
      </c>
      <c r="G101">
        <v>0.05</v>
      </c>
      <c r="H101">
        <v>-0.50529999999999997</v>
      </c>
      <c r="I101">
        <v>0</v>
      </c>
      <c r="J101">
        <v>0</v>
      </c>
      <c r="K101">
        <v>0</v>
      </c>
      <c r="L101">
        <v>0.50229999999999997</v>
      </c>
    </row>
    <row r="102" spans="1:12" x14ac:dyDescent="0.35">
      <c r="A102">
        <v>0</v>
      </c>
      <c r="B102">
        <v>0.26779999999999998</v>
      </c>
      <c r="C102">
        <v>9.9699999999999997E-3</v>
      </c>
      <c r="D102">
        <v>2.0600000000000002E-3</v>
      </c>
      <c r="E102">
        <v>-6.4899999999999999E-2</v>
      </c>
      <c r="F102">
        <v>0.05</v>
      </c>
      <c r="G102">
        <v>0.05</v>
      </c>
      <c r="H102">
        <v>-0.5101</v>
      </c>
      <c r="I102">
        <v>0</v>
      </c>
      <c r="J102">
        <v>0</v>
      </c>
      <c r="K102">
        <v>0</v>
      </c>
      <c r="L102">
        <v>0.49209999999999998</v>
      </c>
    </row>
    <row r="103" spans="1:12" x14ac:dyDescent="0.35">
      <c r="A103">
        <v>0.05</v>
      </c>
      <c r="B103">
        <v>0.2782</v>
      </c>
      <c r="C103">
        <v>9.9799999999999993E-3</v>
      </c>
      <c r="D103">
        <v>2.0699999999999998E-3</v>
      </c>
      <c r="E103">
        <v>-6.4799999999999996E-2</v>
      </c>
      <c r="F103">
        <v>0.05</v>
      </c>
      <c r="G103">
        <v>0.05</v>
      </c>
      <c r="H103">
        <v>-0.51490000000000002</v>
      </c>
      <c r="I103">
        <v>0</v>
      </c>
      <c r="J103">
        <v>0</v>
      </c>
      <c r="K103">
        <v>0</v>
      </c>
      <c r="L103">
        <v>0.48270000000000002</v>
      </c>
    </row>
    <row r="104" spans="1:12" x14ac:dyDescent="0.35">
      <c r="A104">
        <v>0.1</v>
      </c>
      <c r="B104">
        <v>0.28860000000000002</v>
      </c>
      <c r="C104">
        <v>9.9900000000000006E-3</v>
      </c>
      <c r="D104">
        <v>2.0799999999999998E-3</v>
      </c>
      <c r="E104">
        <v>-6.4699999999999994E-2</v>
      </c>
      <c r="F104">
        <v>0.05</v>
      </c>
      <c r="G104">
        <v>0.05</v>
      </c>
      <c r="H104">
        <v>-0.51970000000000005</v>
      </c>
      <c r="I104">
        <v>0</v>
      </c>
      <c r="J104">
        <v>0</v>
      </c>
      <c r="K104">
        <v>0</v>
      </c>
      <c r="L104">
        <v>0.47399999999999998</v>
      </c>
    </row>
    <row r="105" spans="1:12" x14ac:dyDescent="0.35">
      <c r="A105">
        <v>0.15</v>
      </c>
      <c r="B105">
        <v>0.29899999999999999</v>
      </c>
      <c r="C105">
        <v>0.01</v>
      </c>
      <c r="D105">
        <v>2.0899999999999998E-3</v>
      </c>
      <c r="E105">
        <v>-6.4699999999999994E-2</v>
      </c>
      <c r="F105">
        <v>0.05</v>
      </c>
      <c r="G105">
        <v>0.05</v>
      </c>
      <c r="H105">
        <v>-0.52459999999999996</v>
      </c>
      <c r="I105">
        <v>0</v>
      </c>
      <c r="J105">
        <v>0</v>
      </c>
      <c r="K105">
        <v>0</v>
      </c>
      <c r="L105">
        <v>0.46589999999999998</v>
      </c>
    </row>
    <row r="106" spans="1:12" x14ac:dyDescent="0.35">
      <c r="A106">
        <v>0.2</v>
      </c>
      <c r="B106">
        <v>0.30940000000000001</v>
      </c>
      <c r="C106">
        <v>1.0019999999999999E-2</v>
      </c>
      <c r="D106">
        <v>2.0999999999999999E-3</v>
      </c>
      <c r="E106">
        <v>-6.4600000000000005E-2</v>
      </c>
      <c r="F106">
        <v>0.05</v>
      </c>
      <c r="G106">
        <v>0.05</v>
      </c>
      <c r="H106">
        <v>-0.52949999999999997</v>
      </c>
      <c r="I106">
        <v>0</v>
      </c>
      <c r="J106">
        <v>0</v>
      </c>
      <c r="K106">
        <v>0</v>
      </c>
      <c r="L106">
        <v>0.45829999999999999</v>
      </c>
    </row>
    <row r="107" spans="1:12" x14ac:dyDescent="0.35">
      <c r="A107">
        <v>0.25</v>
      </c>
      <c r="B107">
        <v>0.31979999999999997</v>
      </c>
      <c r="C107">
        <v>1.0030000000000001E-2</v>
      </c>
      <c r="D107">
        <v>2.1199999999999999E-3</v>
      </c>
      <c r="E107">
        <v>-6.4500000000000002E-2</v>
      </c>
      <c r="F107">
        <v>0.05</v>
      </c>
      <c r="G107">
        <v>0.05</v>
      </c>
      <c r="H107">
        <v>-0.53439999999999999</v>
      </c>
      <c r="I107">
        <v>0</v>
      </c>
      <c r="J107">
        <v>0</v>
      </c>
      <c r="K107">
        <v>0</v>
      </c>
      <c r="L107">
        <v>0.45129999999999998</v>
      </c>
    </row>
    <row r="108" spans="1:12" x14ac:dyDescent="0.35">
      <c r="A108">
        <v>0.3</v>
      </c>
      <c r="B108">
        <v>0.33019999999999999</v>
      </c>
      <c r="C108">
        <v>1.005E-2</v>
      </c>
      <c r="D108">
        <v>2.14E-3</v>
      </c>
      <c r="E108">
        <v>-6.4399999999999999E-2</v>
      </c>
      <c r="F108">
        <v>0.05</v>
      </c>
      <c r="G108">
        <v>0.05</v>
      </c>
      <c r="H108">
        <v>-0.53939999999999999</v>
      </c>
      <c r="I108">
        <v>0</v>
      </c>
      <c r="J108">
        <v>0</v>
      </c>
      <c r="K108">
        <v>0</v>
      </c>
      <c r="L108">
        <v>0.4446</v>
      </c>
    </row>
    <row r="109" spans="1:12" x14ac:dyDescent="0.35">
      <c r="A109">
        <v>0.35</v>
      </c>
      <c r="B109">
        <v>0.34060000000000001</v>
      </c>
      <c r="C109">
        <v>1.0059999999999999E-2</v>
      </c>
      <c r="D109">
        <v>2.16E-3</v>
      </c>
      <c r="E109">
        <v>-6.4299999999999996E-2</v>
      </c>
      <c r="F109">
        <v>0.05</v>
      </c>
      <c r="G109">
        <v>0.05</v>
      </c>
      <c r="H109">
        <v>-0.5444</v>
      </c>
      <c r="I109">
        <v>0</v>
      </c>
      <c r="J109">
        <v>0</v>
      </c>
      <c r="K109">
        <v>0</v>
      </c>
      <c r="L109">
        <v>0.43840000000000001</v>
      </c>
    </row>
    <row r="110" spans="1:12" x14ac:dyDescent="0.35">
      <c r="A110">
        <v>0.4</v>
      </c>
      <c r="B110">
        <v>0.35099999999999998</v>
      </c>
      <c r="C110">
        <v>1.008E-2</v>
      </c>
      <c r="D110">
        <v>2.1800000000000001E-3</v>
      </c>
      <c r="E110">
        <v>-6.4199999999999993E-2</v>
      </c>
      <c r="F110">
        <v>0.05</v>
      </c>
      <c r="G110">
        <v>0.05</v>
      </c>
      <c r="H110">
        <v>-0.54949999999999999</v>
      </c>
      <c r="I110">
        <v>0</v>
      </c>
      <c r="J110">
        <v>0</v>
      </c>
      <c r="K110">
        <v>0</v>
      </c>
      <c r="L110">
        <v>0.4325</v>
      </c>
    </row>
    <row r="111" spans="1:12" x14ac:dyDescent="0.35">
      <c r="A111">
        <v>0.45</v>
      </c>
      <c r="B111">
        <v>0.3614</v>
      </c>
      <c r="C111">
        <v>1.009E-2</v>
      </c>
      <c r="D111">
        <v>2.2000000000000001E-3</v>
      </c>
      <c r="E111">
        <v>-6.4100000000000004E-2</v>
      </c>
      <c r="F111">
        <v>0.05</v>
      </c>
      <c r="G111">
        <v>0.05</v>
      </c>
      <c r="H111">
        <v>-0.55459999999999998</v>
      </c>
      <c r="I111">
        <v>0</v>
      </c>
      <c r="J111">
        <v>0</v>
      </c>
      <c r="K111">
        <v>0</v>
      </c>
      <c r="L111">
        <v>0.4269</v>
      </c>
    </row>
    <row r="112" spans="1:12" x14ac:dyDescent="0.35">
      <c r="A112">
        <v>0.5</v>
      </c>
      <c r="B112">
        <v>0.37180000000000002</v>
      </c>
      <c r="C112">
        <v>1.0109999999999999E-2</v>
      </c>
      <c r="D112">
        <v>2.2300000000000002E-3</v>
      </c>
      <c r="E112">
        <v>-6.4000000000000001E-2</v>
      </c>
      <c r="F112">
        <v>0.05</v>
      </c>
      <c r="G112">
        <v>0.05</v>
      </c>
      <c r="H112">
        <v>-0.55969999999999998</v>
      </c>
      <c r="I112">
        <v>0</v>
      </c>
      <c r="J112">
        <v>0</v>
      </c>
      <c r="K112">
        <v>0</v>
      </c>
      <c r="L112">
        <v>0.42170000000000002</v>
      </c>
    </row>
    <row r="113" spans="1:12" x14ac:dyDescent="0.35">
      <c r="A113">
        <v>0.55000000000000004</v>
      </c>
      <c r="B113">
        <v>0.38219999999999998</v>
      </c>
      <c r="C113">
        <v>1.013E-2</v>
      </c>
      <c r="D113">
        <v>2.2599999999999999E-3</v>
      </c>
      <c r="E113">
        <v>-6.3899999999999998E-2</v>
      </c>
      <c r="F113">
        <v>0.05</v>
      </c>
      <c r="G113">
        <v>0.05</v>
      </c>
      <c r="H113">
        <v>-0.56489999999999996</v>
      </c>
      <c r="I113">
        <v>0</v>
      </c>
      <c r="J113">
        <v>0</v>
      </c>
      <c r="K113">
        <v>0</v>
      </c>
      <c r="L113">
        <v>0.41670000000000001</v>
      </c>
    </row>
    <row r="114" spans="1:12" x14ac:dyDescent="0.35">
      <c r="A114">
        <v>0.6</v>
      </c>
      <c r="B114">
        <v>0.3926</v>
      </c>
      <c r="C114">
        <v>1.0149999999999999E-2</v>
      </c>
      <c r="D114">
        <v>2.2899999999999999E-3</v>
      </c>
      <c r="E114">
        <v>-6.3799999999999996E-2</v>
      </c>
      <c r="F114">
        <v>0.05</v>
      </c>
      <c r="G114">
        <v>0.05</v>
      </c>
      <c r="H114">
        <v>-0.59989999999999999</v>
      </c>
      <c r="I114">
        <v>0</v>
      </c>
      <c r="J114">
        <v>0</v>
      </c>
      <c r="K114">
        <v>0</v>
      </c>
      <c r="L114">
        <v>0.41189999999999999</v>
      </c>
    </row>
    <row r="115" spans="1:12" x14ac:dyDescent="0.35">
      <c r="A115">
        <v>0.65</v>
      </c>
      <c r="B115">
        <v>0.40310000000000001</v>
      </c>
      <c r="C115">
        <v>1.017E-2</v>
      </c>
      <c r="D115">
        <v>2.32E-3</v>
      </c>
      <c r="E115">
        <v>-6.3700000000000007E-2</v>
      </c>
      <c r="F115">
        <v>0.05</v>
      </c>
      <c r="G115">
        <v>0.05</v>
      </c>
      <c r="H115">
        <v>-0.65190000000000003</v>
      </c>
      <c r="I115">
        <v>0</v>
      </c>
      <c r="J115">
        <v>0</v>
      </c>
      <c r="K115">
        <v>0</v>
      </c>
      <c r="L115">
        <v>0.40739999999999998</v>
      </c>
    </row>
    <row r="116" spans="1:12" x14ac:dyDescent="0.35">
      <c r="A116">
        <v>0.7</v>
      </c>
      <c r="B116">
        <v>0.41349999999999998</v>
      </c>
      <c r="C116">
        <v>1.0189999999999999E-2</v>
      </c>
      <c r="D116">
        <v>2.3500000000000001E-3</v>
      </c>
      <c r="E116">
        <v>-6.3500000000000001E-2</v>
      </c>
      <c r="F116">
        <v>0.05</v>
      </c>
      <c r="G116">
        <v>0.05</v>
      </c>
      <c r="H116">
        <v>-0.70550000000000002</v>
      </c>
      <c r="I116">
        <v>0</v>
      </c>
      <c r="J116">
        <v>0</v>
      </c>
      <c r="K116">
        <v>0</v>
      </c>
      <c r="L116">
        <v>0.40300000000000002</v>
      </c>
    </row>
    <row r="117" spans="1:12" x14ac:dyDescent="0.35">
      <c r="A117">
        <v>0.75</v>
      </c>
      <c r="B117">
        <v>0.42399999999999999</v>
      </c>
      <c r="C117">
        <v>1.021E-2</v>
      </c>
      <c r="D117">
        <v>2.3900000000000002E-3</v>
      </c>
      <c r="E117">
        <v>-6.3399999999999998E-2</v>
      </c>
      <c r="F117">
        <v>0.05</v>
      </c>
      <c r="G117">
        <v>0.05</v>
      </c>
      <c r="H117">
        <v>-0.76070000000000004</v>
      </c>
      <c r="I117">
        <v>0</v>
      </c>
      <c r="J117">
        <v>0</v>
      </c>
      <c r="K117">
        <v>0</v>
      </c>
      <c r="L117">
        <v>0.39889999999999998</v>
      </c>
    </row>
    <row r="118" spans="1:12" x14ac:dyDescent="0.35">
      <c r="A118">
        <v>0.8</v>
      </c>
      <c r="B118">
        <v>0.4345</v>
      </c>
      <c r="C118">
        <v>1.0240000000000001E-2</v>
      </c>
      <c r="D118">
        <v>2.4299999999999999E-3</v>
      </c>
      <c r="E118">
        <v>-6.3299999999999995E-2</v>
      </c>
      <c r="F118">
        <v>0.05</v>
      </c>
      <c r="G118">
        <v>0.05</v>
      </c>
      <c r="H118">
        <v>-0.81740000000000002</v>
      </c>
      <c r="I118">
        <v>0</v>
      </c>
      <c r="J118">
        <v>0</v>
      </c>
      <c r="K118">
        <v>0</v>
      </c>
      <c r="L118">
        <v>0.39489999999999997</v>
      </c>
    </row>
    <row r="119" spans="1:12" x14ac:dyDescent="0.35">
      <c r="A119">
        <v>0.85</v>
      </c>
      <c r="B119">
        <v>0.44500000000000001</v>
      </c>
      <c r="C119">
        <v>1.026E-2</v>
      </c>
      <c r="D119">
        <v>2.47E-3</v>
      </c>
      <c r="E119">
        <v>-6.3100000000000003E-2</v>
      </c>
      <c r="F119">
        <v>0.05</v>
      </c>
      <c r="G119">
        <v>0.05</v>
      </c>
      <c r="H119">
        <v>-0.87570000000000003</v>
      </c>
      <c r="I119">
        <v>0</v>
      </c>
      <c r="J119">
        <v>0</v>
      </c>
      <c r="K119">
        <v>0</v>
      </c>
      <c r="L119">
        <v>0.3911</v>
      </c>
    </row>
    <row r="120" spans="1:12" x14ac:dyDescent="0.35">
      <c r="A120">
        <v>0.9</v>
      </c>
      <c r="B120">
        <v>0.45550000000000002</v>
      </c>
      <c r="C120">
        <v>1.0279999999999999E-2</v>
      </c>
      <c r="D120">
        <v>2.5100000000000001E-3</v>
      </c>
      <c r="E120">
        <v>-6.2899999999999998E-2</v>
      </c>
      <c r="F120">
        <v>0.05</v>
      </c>
      <c r="G120">
        <v>0.05</v>
      </c>
      <c r="H120">
        <v>-0.93559999999999999</v>
      </c>
      <c r="I120">
        <v>0</v>
      </c>
      <c r="J120">
        <v>0</v>
      </c>
      <c r="K120">
        <v>0</v>
      </c>
      <c r="L120">
        <v>0.38740000000000002</v>
      </c>
    </row>
    <row r="121" spans="1:12" x14ac:dyDescent="0.35">
      <c r="A121">
        <v>0.95</v>
      </c>
      <c r="B121">
        <v>0.46600000000000003</v>
      </c>
      <c r="C121">
        <v>1.031E-2</v>
      </c>
      <c r="D121">
        <v>2.5500000000000002E-3</v>
      </c>
      <c r="E121">
        <v>-6.2799999999999995E-2</v>
      </c>
      <c r="F121">
        <v>0.05</v>
      </c>
      <c r="G121">
        <v>0.05</v>
      </c>
      <c r="H121">
        <v>-0.99690000000000001</v>
      </c>
      <c r="I121">
        <v>0</v>
      </c>
      <c r="J121">
        <v>0</v>
      </c>
      <c r="K121">
        <v>0</v>
      </c>
      <c r="L121">
        <v>0.38390000000000002</v>
      </c>
    </row>
    <row r="122" spans="1:12" x14ac:dyDescent="0.35">
      <c r="A122">
        <v>1</v>
      </c>
      <c r="B122">
        <v>0.47660000000000002</v>
      </c>
      <c r="C122">
        <v>1.034E-2</v>
      </c>
      <c r="D122">
        <v>2.5999999999999999E-3</v>
      </c>
      <c r="E122">
        <v>-6.2600000000000003E-2</v>
      </c>
      <c r="F122">
        <v>0.05</v>
      </c>
      <c r="G122">
        <v>0.05</v>
      </c>
      <c r="H122">
        <v>-1.0597000000000001</v>
      </c>
      <c r="I122">
        <v>0</v>
      </c>
      <c r="J122">
        <v>0</v>
      </c>
      <c r="K122">
        <v>0</v>
      </c>
      <c r="L122">
        <v>0.3805</v>
      </c>
    </row>
    <row r="123" spans="1:12" x14ac:dyDescent="0.35">
      <c r="A123">
        <v>1.05</v>
      </c>
      <c r="B123">
        <v>0.48720000000000002</v>
      </c>
      <c r="C123">
        <v>1.0370000000000001E-2</v>
      </c>
      <c r="D123">
        <v>2.66E-3</v>
      </c>
      <c r="E123">
        <v>-6.2300000000000001E-2</v>
      </c>
      <c r="F123">
        <v>0.05</v>
      </c>
      <c r="G123">
        <v>0.05</v>
      </c>
      <c r="H123">
        <v>-1.1236999999999999</v>
      </c>
      <c r="I123">
        <v>0</v>
      </c>
      <c r="J123">
        <v>0</v>
      </c>
      <c r="K123">
        <v>0</v>
      </c>
      <c r="L123">
        <v>0.37719999999999998</v>
      </c>
    </row>
    <row r="124" spans="1:12" x14ac:dyDescent="0.35">
      <c r="A124">
        <v>1.1000000000000001</v>
      </c>
      <c r="B124">
        <v>0.49659999999999999</v>
      </c>
      <c r="C124">
        <v>1.0460000000000001E-2</v>
      </c>
      <c r="D124">
        <v>2.7399999999999998E-3</v>
      </c>
      <c r="E124">
        <v>-6.2E-2</v>
      </c>
      <c r="F124">
        <v>4.0399999999999998E-2</v>
      </c>
      <c r="G124">
        <v>0.05</v>
      </c>
      <c r="H124">
        <v>-1.1847000000000001</v>
      </c>
      <c r="I124">
        <v>0</v>
      </c>
      <c r="J124">
        <v>0</v>
      </c>
      <c r="K124">
        <v>0</v>
      </c>
      <c r="L124">
        <v>0.374</v>
      </c>
    </row>
    <row r="125" spans="1:12" x14ac:dyDescent="0.35">
      <c r="A125">
        <v>1.1499999999999999</v>
      </c>
      <c r="B125">
        <v>0.50649999999999995</v>
      </c>
      <c r="C125">
        <v>1.0540000000000001E-2</v>
      </c>
      <c r="D125">
        <v>2.82E-3</v>
      </c>
      <c r="E125">
        <v>-6.1699999999999998E-2</v>
      </c>
      <c r="F125">
        <v>3.5200000000000002E-2</v>
      </c>
      <c r="G125">
        <v>0.05</v>
      </c>
      <c r="H125">
        <v>-1.2484</v>
      </c>
      <c r="I125">
        <v>0</v>
      </c>
      <c r="J125">
        <v>0</v>
      </c>
      <c r="K125">
        <v>0</v>
      </c>
      <c r="L125">
        <v>0.37090000000000001</v>
      </c>
    </row>
    <row r="126" spans="1:12" x14ac:dyDescent="0.35">
      <c r="A126">
        <v>1.2</v>
      </c>
      <c r="B126">
        <v>0.51659999999999995</v>
      </c>
      <c r="C126">
        <v>1.06E-2</v>
      </c>
      <c r="D126">
        <v>2.8999999999999998E-3</v>
      </c>
      <c r="E126">
        <v>-6.13E-2</v>
      </c>
      <c r="F126">
        <v>3.2199999999999999E-2</v>
      </c>
      <c r="G126">
        <v>0.05</v>
      </c>
      <c r="H126">
        <v>-1.3143</v>
      </c>
      <c r="I126">
        <v>0</v>
      </c>
      <c r="J126">
        <v>0</v>
      </c>
      <c r="K126">
        <v>0</v>
      </c>
      <c r="L126">
        <v>0.3679</v>
      </c>
    </row>
    <row r="127" spans="1:12" x14ac:dyDescent="0.35">
      <c r="A127">
        <v>1.25</v>
      </c>
      <c r="B127">
        <v>0.52680000000000005</v>
      </c>
      <c r="C127">
        <v>1.0659999999999999E-2</v>
      </c>
      <c r="D127">
        <v>2.98E-3</v>
      </c>
      <c r="E127">
        <v>-6.0999999999999999E-2</v>
      </c>
      <c r="F127">
        <v>0.03</v>
      </c>
      <c r="G127">
        <v>0.05</v>
      </c>
      <c r="H127">
        <v>-1.3818999999999999</v>
      </c>
      <c r="I127">
        <v>0</v>
      </c>
      <c r="J127">
        <v>0</v>
      </c>
      <c r="K127">
        <v>0</v>
      </c>
      <c r="L127">
        <v>0.3649</v>
      </c>
    </row>
    <row r="128" spans="1:12" x14ac:dyDescent="0.35">
      <c r="A128">
        <v>1.3</v>
      </c>
      <c r="B128">
        <v>0.53690000000000004</v>
      </c>
      <c r="C128">
        <v>1.073E-2</v>
      </c>
      <c r="D128">
        <v>3.0699999999999998E-3</v>
      </c>
      <c r="E128">
        <v>-6.0600000000000001E-2</v>
      </c>
      <c r="F128">
        <v>2.8000000000000001E-2</v>
      </c>
      <c r="G128">
        <v>0.05</v>
      </c>
      <c r="H128">
        <v>-1.4502999999999999</v>
      </c>
      <c r="I128">
        <v>0</v>
      </c>
      <c r="J128">
        <v>0</v>
      </c>
      <c r="K128">
        <v>0</v>
      </c>
      <c r="L128">
        <v>0.36209999999999998</v>
      </c>
    </row>
    <row r="129" spans="1:12" x14ac:dyDescent="0.35">
      <c r="A129">
        <v>1.35</v>
      </c>
      <c r="B129">
        <v>0.54690000000000005</v>
      </c>
      <c r="C129">
        <v>1.081E-2</v>
      </c>
      <c r="D129">
        <v>3.1700000000000001E-3</v>
      </c>
      <c r="E129">
        <v>-6.0199999999999997E-2</v>
      </c>
      <c r="F129">
        <v>2.6200000000000001E-2</v>
      </c>
      <c r="G129">
        <v>0.05</v>
      </c>
      <c r="H129">
        <v>-1.5186999999999999</v>
      </c>
      <c r="I129">
        <v>0</v>
      </c>
      <c r="J129">
        <v>0</v>
      </c>
      <c r="K129">
        <v>0</v>
      </c>
      <c r="L129">
        <v>0.35920000000000002</v>
      </c>
    </row>
    <row r="130" spans="1:12" x14ac:dyDescent="0.35">
      <c r="A130">
        <v>1.4</v>
      </c>
      <c r="B130">
        <v>0.55669999999999997</v>
      </c>
      <c r="C130">
        <v>1.09E-2</v>
      </c>
      <c r="D130">
        <v>3.2799999999999999E-3</v>
      </c>
      <c r="E130">
        <v>-5.9799999999999999E-2</v>
      </c>
      <c r="F130">
        <v>2.47E-2</v>
      </c>
      <c r="G130">
        <v>0.05</v>
      </c>
      <c r="H130">
        <v>-1.5855999999999999</v>
      </c>
      <c r="I130">
        <v>0</v>
      </c>
      <c r="J130">
        <v>0</v>
      </c>
      <c r="K130">
        <v>0</v>
      </c>
      <c r="L130">
        <v>0.35649999999999998</v>
      </c>
    </row>
    <row r="131" spans="1:12" x14ac:dyDescent="0.35">
      <c r="A131">
        <v>1.45</v>
      </c>
      <c r="B131">
        <v>0.56640000000000001</v>
      </c>
      <c r="C131">
        <v>1.0999999999999999E-2</v>
      </c>
      <c r="D131">
        <v>3.4099999999999998E-3</v>
      </c>
      <c r="E131">
        <v>-5.9299999999999999E-2</v>
      </c>
      <c r="F131">
        <v>2.35E-2</v>
      </c>
      <c r="G131">
        <v>0.05</v>
      </c>
      <c r="H131">
        <v>-1.6485000000000001</v>
      </c>
      <c r="I131">
        <v>0</v>
      </c>
      <c r="J131">
        <v>0</v>
      </c>
      <c r="K131">
        <v>0</v>
      </c>
      <c r="L131">
        <v>0.35370000000000001</v>
      </c>
    </row>
    <row r="132" spans="1:12" x14ac:dyDescent="0.35">
      <c r="A132">
        <v>1.5</v>
      </c>
      <c r="B132">
        <v>0.57640000000000002</v>
      </c>
      <c r="C132">
        <v>1.1089999999999999E-2</v>
      </c>
      <c r="D132">
        <v>3.5400000000000002E-3</v>
      </c>
      <c r="E132">
        <v>-5.8799999999999998E-2</v>
      </c>
      <c r="F132">
        <v>2.29E-2</v>
      </c>
      <c r="G132">
        <v>0.05</v>
      </c>
      <c r="H132">
        <v>-1.7161</v>
      </c>
      <c r="I132">
        <v>0</v>
      </c>
      <c r="J132">
        <v>0</v>
      </c>
      <c r="K132">
        <v>0</v>
      </c>
      <c r="L132">
        <v>0.35099999999999998</v>
      </c>
    </row>
    <row r="133" spans="1:12" x14ac:dyDescent="0.35">
      <c r="A133">
        <v>1.55</v>
      </c>
      <c r="B133">
        <v>0.58620000000000005</v>
      </c>
      <c r="C133">
        <v>1.119E-2</v>
      </c>
      <c r="D133">
        <v>3.6900000000000001E-3</v>
      </c>
      <c r="E133">
        <v>-5.8299999999999998E-2</v>
      </c>
      <c r="F133">
        <v>2.23E-2</v>
      </c>
      <c r="G133">
        <v>0.05</v>
      </c>
      <c r="H133">
        <v>-1.7806999999999999</v>
      </c>
      <c r="I133">
        <v>0</v>
      </c>
      <c r="J133">
        <v>0</v>
      </c>
      <c r="K133">
        <v>0</v>
      </c>
      <c r="L133">
        <v>0.34839999999999999</v>
      </c>
    </row>
    <row r="134" spans="1:12" x14ac:dyDescent="0.35">
      <c r="A134">
        <v>1.6</v>
      </c>
      <c r="B134">
        <v>0.5958</v>
      </c>
      <c r="C134">
        <v>1.1310000000000001E-2</v>
      </c>
      <c r="D134">
        <v>3.8400000000000001E-3</v>
      </c>
      <c r="E134">
        <v>-5.7700000000000001E-2</v>
      </c>
      <c r="F134">
        <v>2.18E-2</v>
      </c>
      <c r="G134">
        <v>0.05</v>
      </c>
      <c r="H134">
        <v>-1.8429</v>
      </c>
      <c r="I134">
        <v>0</v>
      </c>
      <c r="J134">
        <v>0</v>
      </c>
      <c r="K134">
        <v>0</v>
      </c>
      <c r="L134">
        <v>0.3458</v>
      </c>
    </row>
    <row r="135" spans="1:12" x14ac:dyDescent="0.35">
      <c r="A135">
        <v>1.65</v>
      </c>
      <c r="B135">
        <v>0.60519999999999996</v>
      </c>
      <c r="C135">
        <v>1.1440000000000001E-2</v>
      </c>
      <c r="D135">
        <v>4.0200000000000001E-3</v>
      </c>
      <c r="E135">
        <v>-5.7099999999999998E-2</v>
      </c>
      <c r="F135">
        <v>2.1299999999999999E-2</v>
      </c>
      <c r="G135">
        <v>0.05</v>
      </c>
      <c r="H135">
        <v>-1.9025000000000001</v>
      </c>
      <c r="I135">
        <v>0</v>
      </c>
      <c r="J135">
        <v>0</v>
      </c>
      <c r="K135">
        <v>0</v>
      </c>
      <c r="L135">
        <v>0.34320000000000001</v>
      </c>
    </row>
    <row r="136" spans="1:12" x14ac:dyDescent="0.35">
      <c r="A136">
        <v>1.7</v>
      </c>
      <c r="B136">
        <v>0.61450000000000005</v>
      </c>
      <c r="C136">
        <v>1.158E-2</v>
      </c>
      <c r="D136">
        <v>4.1999999999999997E-3</v>
      </c>
      <c r="E136">
        <v>-5.6399999999999999E-2</v>
      </c>
      <c r="F136">
        <v>2.1000000000000001E-2</v>
      </c>
      <c r="G136">
        <v>0.05</v>
      </c>
      <c r="H136">
        <v>-1.9596</v>
      </c>
      <c r="I136">
        <v>0</v>
      </c>
      <c r="J136">
        <v>0</v>
      </c>
      <c r="K136">
        <v>0</v>
      </c>
      <c r="L136">
        <v>0.34060000000000001</v>
      </c>
    </row>
    <row r="137" spans="1:12" x14ac:dyDescent="0.35">
      <c r="A137">
        <v>1.75</v>
      </c>
      <c r="B137">
        <v>0.62350000000000005</v>
      </c>
      <c r="C137">
        <v>1.174E-2</v>
      </c>
      <c r="D137">
        <v>4.4099999999999999E-3</v>
      </c>
      <c r="E137">
        <v>-5.5599999999999997E-2</v>
      </c>
      <c r="F137">
        <v>2.0799999999999999E-2</v>
      </c>
      <c r="G137">
        <v>0.05</v>
      </c>
      <c r="H137">
        <v>-2.0144000000000002</v>
      </c>
      <c r="I137">
        <v>0</v>
      </c>
      <c r="J137">
        <v>0</v>
      </c>
      <c r="K137">
        <v>0</v>
      </c>
      <c r="L137">
        <v>0.33810000000000001</v>
      </c>
    </row>
    <row r="138" spans="1:12" x14ac:dyDescent="0.35">
      <c r="A138">
        <v>1.8</v>
      </c>
      <c r="B138">
        <v>0.63229999999999997</v>
      </c>
      <c r="C138">
        <v>1.1900000000000001E-2</v>
      </c>
      <c r="D138">
        <v>4.62E-3</v>
      </c>
      <c r="E138">
        <v>-5.4800000000000001E-2</v>
      </c>
      <c r="F138">
        <v>2.06E-2</v>
      </c>
      <c r="G138">
        <v>0.05</v>
      </c>
      <c r="H138">
        <v>-2.0669</v>
      </c>
      <c r="I138">
        <v>0</v>
      </c>
      <c r="J138">
        <v>0</v>
      </c>
      <c r="K138">
        <v>0</v>
      </c>
      <c r="L138">
        <v>0.33550000000000002</v>
      </c>
    </row>
    <row r="139" spans="1:12" x14ac:dyDescent="0.35">
      <c r="A139">
        <v>1.85</v>
      </c>
      <c r="B139">
        <v>0.64090000000000003</v>
      </c>
      <c r="C139">
        <v>1.208E-2</v>
      </c>
      <c r="D139">
        <v>4.8599999999999997E-3</v>
      </c>
      <c r="E139">
        <v>-5.3999999999999999E-2</v>
      </c>
      <c r="F139">
        <v>2.0500000000000001E-2</v>
      </c>
      <c r="G139">
        <v>0.05</v>
      </c>
      <c r="H139">
        <v>-2.1168999999999998</v>
      </c>
      <c r="I139">
        <v>0</v>
      </c>
      <c r="J139">
        <v>0</v>
      </c>
      <c r="K139">
        <v>0</v>
      </c>
      <c r="L139">
        <v>0.33300000000000002</v>
      </c>
    </row>
    <row r="140" spans="1:12" x14ac:dyDescent="0.35">
      <c r="A140">
        <v>1.9</v>
      </c>
      <c r="B140">
        <v>0.64929999999999999</v>
      </c>
      <c r="C140">
        <v>1.2279999999999999E-2</v>
      </c>
      <c r="D140">
        <v>5.11E-3</v>
      </c>
      <c r="E140">
        <v>-5.3100000000000001E-2</v>
      </c>
      <c r="F140">
        <v>2.0400000000000001E-2</v>
      </c>
      <c r="G140">
        <v>0.05</v>
      </c>
      <c r="H140">
        <v>-2.1642999999999999</v>
      </c>
      <c r="I140">
        <v>0</v>
      </c>
      <c r="J140">
        <v>0</v>
      </c>
      <c r="K140">
        <v>0</v>
      </c>
      <c r="L140">
        <v>0.33050000000000002</v>
      </c>
    </row>
    <row r="141" spans="1:12" x14ac:dyDescent="0.35">
      <c r="A141">
        <v>1.95</v>
      </c>
      <c r="B141">
        <v>0.65749999999999997</v>
      </c>
      <c r="C141">
        <v>1.2489999999999999E-2</v>
      </c>
      <c r="D141">
        <v>5.3699999999999998E-3</v>
      </c>
      <c r="E141">
        <v>-5.21E-2</v>
      </c>
      <c r="F141">
        <v>2.0400000000000001E-2</v>
      </c>
      <c r="G141">
        <v>0.05</v>
      </c>
      <c r="H141">
        <v>-2.2233000000000001</v>
      </c>
      <c r="I141">
        <v>0</v>
      </c>
      <c r="J141">
        <v>0</v>
      </c>
      <c r="K141">
        <v>0</v>
      </c>
      <c r="L141">
        <v>0.32800000000000001</v>
      </c>
    </row>
    <row r="142" spans="1:12" x14ac:dyDescent="0.35">
      <c r="A142">
        <v>2</v>
      </c>
      <c r="B142">
        <v>0.66549999999999998</v>
      </c>
      <c r="C142">
        <v>1.2710000000000001E-2</v>
      </c>
      <c r="D142">
        <v>5.6499999999999996E-3</v>
      </c>
      <c r="E142">
        <v>-5.11E-2</v>
      </c>
      <c r="F142">
        <v>2.0299999999999999E-2</v>
      </c>
      <c r="G142">
        <v>0.05</v>
      </c>
      <c r="H142">
        <v>-2.2797000000000001</v>
      </c>
      <c r="I142">
        <v>0</v>
      </c>
      <c r="J142">
        <v>0</v>
      </c>
      <c r="K142">
        <v>0</v>
      </c>
      <c r="L142">
        <v>0.32550000000000001</v>
      </c>
    </row>
    <row r="143" spans="1:12" x14ac:dyDescent="0.35">
      <c r="A143">
        <v>2.0499999999999998</v>
      </c>
      <c r="B143">
        <v>0.67349999999999999</v>
      </c>
      <c r="C143">
        <v>1.295E-2</v>
      </c>
      <c r="D143">
        <v>5.94E-3</v>
      </c>
      <c r="E143">
        <v>-5.0099999999999999E-2</v>
      </c>
      <c r="F143">
        <v>2.0299999999999999E-2</v>
      </c>
      <c r="G143">
        <v>0.05</v>
      </c>
      <c r="H143">
        <v>-2.3332999999999999</v>
      </c>
      <c r="I143">
        <v>0</v>
      </c>
      <c r="J143">
        <v>0</v>
      </c>
      <c r="K143">
        <v>0</v>
      </c>
      <c r="L143">
        <v>0.32300000000000001</v>
      </c>
    </row>
    <row r="144" spans="1:12" x14ac:dyDescent="0.35">
      <c r="A144">
        <v>2.1</v>
      </c>
      <c r="B144">
        <v>0.68149999999999999</v>
      </c>
      <c r="C144">
        <v>1.319E-2</v>
      </c>
      <c r="D144">
        <v>6.2399999999999999E-3</v>
      </c>
      <c r="E144">
        <v>-4.9000000000000002E-2</v>
      </c>
      <c r="F144">
        <v>2.0299999999999999E-2</v>
      </c>
      <c r="G144">
        <v>0.05</v>
      </c>
      <c r="H144">
        <v>-2.3845999999999998</v>
      </c>
      <c r="I144">
        <v>0</v>
      </c>
      <c r="J144">
        <v>0</v>
      </c>
      <c r="K144">
        <v>0</v>
      </c>
      <c r="L144">
        <v>0.32050000000000001</v>
      </c>
    </row>
    <row r="145" spans="1:12" x14ac:dyDescent="0.35">
      <c r="A145">
        <v>2.15</v>
      </c>
      <c r="B145">
        <v>0.68969999999999998</v>
      </c>
      <c r="C145">
        <v>1.345E-2</v>
      </c>
      <c r="D145">
        <v>6.5599999999999999E-3</v>
      </c>
      <c r="E145">
        <v>-4.7899999999999998E-2</v>
      </c>
      <c r="F145">
        <v>2.0199999999999999E-2</v>
      </c>
      <c r="G145">
        <v>0.05</v>
      </c>
      <c r="H145">
        <v>-2.4338000000000002</v>
      </c>
      <c r="I145">
        <v>0</v>
      </c>
      <c r="J145">
        <v>0</v>
      </c>
      <c r="K145">
        <v>0</v>
      </c>
      <c r="L145">
        <v>0.31809999999999999</v>
      </c>
    </row>
    <row r="146" spans="1:12" x14ac:dyDescent="0.35">
      <c r="A146">
        <v>2.2000000000000002</v>
      </c>
      <c r="B146">
        <v>0.69799999999999995</v>
      </c>
      <c r="C146">
        <v>1.3729999999999999E-2</v>
      </c>
      <c r="D146">
        <v>6.8999999999999999E-3</v>
      </c>
      <c r="E146">
        <v>-4.6899999999999997E-2</v>
      </c>
      <c r="F146">
        <v>2.01E-2</v>
      </c>
      <c r="G146">
        <v>0.05</v>
      </c>
      <c r="H146">
        <v>-2.4809000000000001</v>
      </c>
      <c r="I146">
        <v>0</v>
      </c>
      <c r="J146">
        <v>0</v>
      </c>
      <c r="K146">
        <v>0</v>
      </c>
      <c r="L146">
        <v>0.31569999999999998</v>
      </c>
    </row>
    <row r="147" spans="1:12" x14ac:dyDescent="0.35">
      <c r="A147">
        <v>2.25</v>
      </c>
      <c r="B147">
        <v>0.70660000000000001</v>
      </c>
      <c r="C147">
        <v>1.4019999999999999E-2</v>
      </c>
      <c r="D147">
        <v>7.2500000000000004E-3</v>
      </c>
      <c r="E147">
        <v>-4.58E-2</v>
      </c>
      <c r="F147">
        <v>0.02</v>
      </c>
      <c r="G147">
        <v>0.05</v>
      </c>
      <c r="H147">
        <v>-2.5261</v>
      </c>
      <c r="I147">
        <v>0</v>
      </c>
      <c r="J147">
        <v>0</v>
      </c>
      <c r="K147">
        <v>0</v>
      </c>
      <c r="L147">
        <v>0.31330000000000002</v>
      </c>
    </row>
    <row r="148" spans="1:12" x14ac:dyDescent="0.35">
      <c r="A148">
        <v>2.2999999999999998</v>
      </c>
      <c r="B148">
        <v>0.71560000000000001</v>
      </c>
      <c r="C148">
        <v>1.4330000000000001E-2</v>
      </c>
      <c r="D148">
        <v>7.6299999999999996E-3</v>
      </c>
      <c r="E148">
        <v>-4.4699999999999997E-2</v>
      </c>
      <c r="F148">
        <v>1.9800000000000002E-2</v>
      </c>
      <c r="G148">
        <v>0.05</v>
      </c>
      <c r="H148">
        <v>-2.5693999999999999</v>
      </c>
      <c r="I148">
        <v>0</v>
      </c>
      <c r="J148">
        <v>0</v>
      </c>
      <c r="K148">
        <v>0</v>
      </c>
      <c r="L148">
        <v>0.311</v>
      </c>
    </row>
    <row r="149" spans="1:12" x14ac:dyDescent="0.35">
      <c r="A149">
        <v>2.35</v>
      </c>
      <c r="B149">
        <v>0.72499999999999998</v>
      </c>
      <c r="C149">
        <v>1.4659999999999999E-2</v>
      </c>
      <c r="D149">
        <v>8.0300000000000007E-3</v>
      </c>
      <c r="E149">
        <v>-4.3700000000000003E-2</v>
      </c>
      <c r="F149">
        <v>1.9599999999999999E-2</v>
      </c>
      <c r="G149">
        <v>0.05</v>
      </c>
      <c r="H149">
        <v>-2.6110000000000002</v>
      </c>
      <c r="I149">
        <v>0</v>
      </c>
      <c r="J149">
        <v>0</v>
      </c>
      <c r="K149">
        <v>0</v>
      </c>
      <c r="L149">
        <v>0.30880000000000002</v>
      </c>
    </row>
    <row r="150" spans="1:12" x14ac:dyDescent="0.35">
      <c r="A150">
        <v>2.4</v>
      </c>
      <c r="B150">
        <v>0.73480000000000001</v>
      </c>
      <c r="C150">
        <v>1.5010000000000001E-2</v>
      </c>
      <c r="D150">
        <v>8.4499999999999992E-3</v>
      </c>
      <c r="E150">
        <v>-4.2700000000000002E-2</v>
      </c>
      <c r="F150">
        <v>1.9300000000000001E-2</v>
      </c>
      <c r="G150">
        <v>0.05</v>
      </c>
      <c r="H150">
        <v>-2.6509</v>
      </c>
      <c r="I150">
        <v>0</v>
      </c>
      <c r="J150">
        <v>0</v>
      </c>
      <c r="K150">
        <v>0</v>
      </c>
      <c r="L150">
        <v>0.30659999999999998</v>
      </c>
    </row>
    <row r="151" spans="1:12" x14ac:dyDescent="0.35">
      <c r="A151">
        <v>2.4500000000000002</v>
      </c>
      <c r="B151">
        <v>0.745</v>
      </c>
      <c r="C151">
        <v>1.5389999999999999E-2</v>
      </c>
      <c r="D151">
        <v>8.9099999999999995E-3</v>
      </c>
      <c r="E151">
        <v>-4.1799999999999997E-2</v>
      </c>
      <c r="F151">
        <v>1.9099999999999999E-2</v>
      </c>
      <c r="G151">
        <v>0.05</v>
      </c>
      <c r="H151">
        <v>-2.6886000000000001</v>
      </c>
      <c r="I151">
        <v>0</v>
      </c>
      <c r="J151">
        <v>0</v>
      </c>
      <c r="K151">
        <v>0</v>
      </c>
      <c r="L151">
        <v>0.30449999999999999</v>
      </c>
    </row>
    <row r="152" spans="1:12" x14ac:dyDescent="0.35">
      <c r="A152">
        <v>2.5</v>
      </c>
      <c r="B152">
        <v>0.75539999999999996</v>
      </c>
      <c r="C152">
        <v>1.5789999999999998E-2</v>
      </c>
      <c r="D152">
        <v>9.3900000000000008E-3</v>
      </c>
      <c r="E152">
        <v>-4.0800000000000003E-2</v>
      </c>
      <c r="F152">
        <v>1.8800000000000001E-2</v>
      </c>
      <c r="G152">
        <v>0.05</v>
      </c>
      <c r="H152">
        <v>-2.7239</v>
      </c>
      <c r="I152">
        <v>0</v>
      </c>
      <c r="J152">
        <v>0</v>
      </c>
      <c r="K152">
        <v>0</v>
      </c>
      <c r="L152">
        <v>0.3024</v>
      </c>
    </row>
    <row r="153" spans="1:12" x14ac:dyDescent="0.35">
      <c r="A153">
        <v>2.5499999999999998</v>
      </c>
      <c r="B153">
        <v>0.76600000000000001</v>
      </c>
      <c r="C153">
        <v>1.6219999999999998E-2</v>
      </c>
      <c r="D153">
        <v>9.9000000000000008E-3</v>
      </c>
      <c r="E153">
        <v>-3.9899999999999998E-2</v>
      </c>
      <c r="F153">
        <v>1.8499999999999999E-2</v>
      </c>
      <c r="G153">
        <v>0.05</v>
      </c>
      <c r="H153">
        <v>-2.7559</v>
      </c>
      <c r="I153">
        <v>0</v>
      </c>
      <c r="J153">
        <v>0</v>
      </c>
      <c r="K153">
        <v>0</v>
      </c>
      <c r="L153">
        <v>0.3004</v>
      </c>
    </row>
    <row r="154" spans="1:12" x14ac:dyDescent="0.35">
      <c r="A154">
        <v>2.6</v>
      </c>
      <c r="B154">
        <v>0.77639999999999998</v>
      </c>
      <c r="C154">
        <v>1.6670000000000001E-2</v>
      </c>
      <c r="D154">
        <v>1.0449999999999999E-2</v>
      </c>
      <c r="E154">
        <v>-3.9E-2</v>
      </c>
      <c r="F154">
        <v>1.84E-2</v>
      </c>
      <c r="G154">
        <v>0.05</v>
      </c>
      <c r="H154">
        <v>-2.7843</v>
      </c>
      <c r="I154">
        <v>0</v>
      </c>
      <c r="J154">
        <v>0</v>
      </c>
      <c r="K154">
        <v>0</v>
      </c>
      <c r="L154">
        <v>0.29859999999999998</v>
      </c>
    </row>
    <row r="155" spans="1:12" x14ac:dyDescent="0.35">
      <c r="A155">
        <v>2.65</v>
      </c>
      <c r="B155">
        <v>0.78669999999999995</v>
      </c>
      <c r="C155">
        <v>1.7149999999999999E-2</v>
      </c>
      <c r="D155">
        <v>1.102E-2</v>
      </c>
      <c r="E155">
        <v>-3.8100000000000002E-2</v>
      </c>
      <c r="F155">
        <v>1.83E-2</v>
      </c>
      <c r="G155">
        <v>0.05</v>
      </c>
      <c r="H155">
        <v>-2.8094999999999999</v>
      </c>
      <c r="I155">
        <v>0</v>
      </c>
      <c r="J155">
        <v>0</v>
      </c>
      <c r="K155">
        <v>0</v>
      </c>
      <c r="L155">
        <v>0.29670000000000002</v>
      </c>
    </row>
    <row r="156" spans="1:12" x14ac:dyDescent="0.35">
      <c r="A156">
        <v>2.7</v>
      </c>
      <c r="B156">
        <v>0.79649999999999999</v>
      </c>
      <c r="C156">
        <v>1.7649999999999999E-2</v>
      </c>
      <c r="D156">
        <v>1.1610000000000001E-2</v>
      </c>
      <c r="E156">
        <v>-3.7199999999999997E-2</v>
      </c>
      <c r="F156">
        <v>1.8100000000000002E-2</v>
      </c>
      <c r="G156">
        <v>0.05</v>
      </c>
      <c r="H156">
        <v>-2.8313999999999999</v>
      </c>
      <c r="I156">
        <v>0</v>
      </c>
      <c r="J156">
        <v>0</v>
      </c>
      <c r="K156">
        <v>0</v>
      </c>
      <c r="L156">
        <v>0.29499999999999998</v>
      </c>
    </row>
    <row r="157" spans="1:12" x14ac:dyDescent="0.35">
      <c r="A157">
        <v>2.75</v>
      </c>
      <c r="B157">
        <v>0.80589999999999995</v>
      </c>
      <c r="C157">
        <v>1.8169999999999999E-2</v>
      </c>
      <c r="D157">
        <v>1.223E-2</v>
      </c>
      <c r="E157">
        <v>-3.6299999999999999E-2</v>
      </c>
      <c r="F157">
        <v>1.7999999999999999E-2</v>
      </c>
      <c r="G157">
        <v>0.05</v>
      </c>
      <c r="H157">
        <v>-2.85</v>
      </c>
      <c r="I157">
        <v>0</v>
      </c>
      <c r="J157">
        <v>0</v>
      </c>
      <c r="K157">
        <v>0</v>
      </c>
      <c r="L157">
        <v>0.29330000000000001</v>
      </c>
    </row>
    <row r="158" spans="1:12" x14ac:dyDescent="0.35">
      <c r="A158">
        <v>2.8</v>
      </c>
      <c r="B158">
        <v>0.81459999999999999</v>
      </c>
      <c r="C158">
        <v>1.8710000000000001E-2</v>
      </c>
      <c r="D158">
        <v>1.286E-2</v>
      </c>
      <c r="E158">
        <v>-3.5400000000000001E-2</v>
      </c>
      <c r="F158">
        <v>1.78E-2</v>
      </c>
      <c r="G158">
        <v>0.05</v>
      </c>
      <c r="H158">
        <v>-2.8656999999999999</v>
      </c>
      <c r="I158">
        <v>0</v>
      </c>
      <c r="J158">
        <v>0</v>
      </c>
      <c r="K158">
        <v>0</v>
      </c>
      <c r="L158">
        <v>0.29160000000000003</v>
      </c>
    </row>
    <row r="159" spans="1:12" x14ac:dyDescent="0.35">
      <c r="A159">
        <v>2.85</v>
      </c>
      <c r="B159">
        <v>0.82269999999999999</v>
      </c>
      <c r="C159">
        <v>1.9259999999999999E-2</v>
      </c>
      <c r="D159">
        <v>1.3509999999999999E-2</v>
      </c>
      <c r="E159">
        <v>-3.44E-2</v>
      </c>
      <c r="F159">
        <v>1.7600000000000001E-2</v>
      </c>
      <c r="G159">
        <v>0.05</v>
      </c>
      <c r="H159">
        <v>-2.8786</v>
      </c>
      <c r="I159">
        <v>0</v>
      </c>
      <c r="J159">
        <v>0</v>
      </c>
      <c r="K159">
        <v>0</v>
      </c>
      <c r="L159">
        <v>0.28999999999999998</v>
      </c>
    </row>
    <row r="160" spans="1:12" x14ac:dyDescent="0.35">
      <c r="A160">
        <v>2.9</v>
      </c>
      <c r="B160">
        <v>0.83020000000000005</v>
      </c>
      <c r="C160">
        <v>1.984E-2</v>
      </c>
      <c r="D160">
        <v>1.418E-2</v>
      </c>
      <c r="E160">
        <v>-3.3500000000000002E-2</v>
      </c>
      <c r="F160">
        <v>1.7500000000000002E-2</v>
      </c>
      <c r="G160">
        <v>0.05</v>
      </c>
      <c r="H160">
        <v>-2.8889999999999998</v>
      </c>
      <c r="I160">
        <v>0</v>
      </c>
      <c r="J160">
        <v>0</v>
      </c>
      <c r="K160">
        <v>0</v>
      </c>
      <c r="L160">
        <v>0.28849999999999998</v>
      </c>
    </row>
    <row r="161" spans="1:12" x14ac:dyDescent="0.35">
      <c r="A161">
        <v>2.95</v>
      </c>
      <c r="B161">
        <v>0.83699999999999997</v>
      </c>
      <c r="C161">
        <v>2.043E-2</v>
      </c>
      <c r="D161">
        <v>1.487E-2</v>
      </c>
      <c r="E161">
        <v>-3.2599999999999997E-2</v>
      </c>
      <c r="F161">
        <v>1.7399999999999999E-2</v>
      </c>
      <c r="G161">
        <v>0.05</v>
      </c>
      <c r="H161">
        <v>-2.8969</v>
      </c>
      <c r="I161">
        <v>0</v>
      </c>
      <c r="J161">
        <v>0</v>
      </c>
      <c r="K161">
        <v>0</v>
      </c>
      <c r="L161">
        <v>0.28699999999999998</v>
      </c>
    </row>
    <row r="162" spans="1:12" x14ac:dyDescent="0.35">
      <c r="A162">
        <v>3</v>
      </c>
      <c r="B162">
        <v>0.84309999999999996</v>
      </c>
      <c r="C162">
        <v>2.103E-2</v>
      </c>
      <c r="D162">
        <v>1.5570000000000001E-2</v>
      </c>
      <c r="E162">
        <v>-3.1600000000000003E-2</v>
      </c>
      <c r="F162">
        <v>1.72E-2</v>
      </c>
      <c r="G162">
        <v>0.05</v>
      </c>
      <c r="H162">
        <v>-2.9026999999999998</v>
      </c>
      <c r="I162">
        <v>0</v>
      </c>
      <c r="J162">
        <v>0</v>
      </c>
      <c r="K162">
        <v>0</v>
      </c>
      <c r="L162">
        <v>0.28560000000000002</v>
      </c>
    </row>
    <row r="163" spans="1:12" x14ac:dyDescent="0.35">
      <c r="A163">
        <v>3.05</v>
      </c>
      <c r="B163">
        <v>0.84850000000000003</v>
      </c>
      <c r="C163">
        <v>2.1649999999999999E-2</v>
      </c>
      <c r="D163">
        <v>1.6279999999999999E-2</v>
      </c>
      <c r="E163">
        <v>-3.0700000000000002E-2</v>
      </c>
      <c r="F163">
        <v>1.7100000000000001E-2</v>
      </c>
      <c r="G163">
        <v>0.05</v>
      </c>
      <c r="H163">
        <v>-2.9066000000000001</v>
      </c>
      <c r="I163">
        <v>0</v>
      </c>
      <c r="J163">
        <v>0</v>
      </c>
      <c r="K163">
        <v>0</v>
      </c>
      <c r="L163">
        <v>0.2843</v>
      </c>
    </row>
    <row r="164" spans="1:12" x14ac:dyDescent="0.35">
      <c r="A164">
        <v>3.1</v>
      </c>
      <c r="B164">
        <v>0.85340000000000005</v>
      </c>
      <c r="C164">
        <v>2.2290000000000001E-2</v>
      </c>
      <c r="D164">
        <v>1.7000000000000001E-2</v>
      </c>
      <c r="E164">
        <v>-2.98E-2</v>
      </c>
      <c r="F164">
        <v>1.6899999999999998E-2</v>
      </c>
      <c r="G164">
        <v>0.05</v>
      </c>
      <c r="H164">
        <v>-2.9087999999999998</v>
      </c>
      <c r="I164">
        <v>0</v>
      </c>
      <c r="J164">
        <v>0</v>
      </c>
      <c r="K164">
        <v>0</v>
      </c>
      <c r="L164">
        <v>0.28299999999999997</v>
      </c>
    </row>
    <row r="165" spans="1:12" x14ac:dyDescent="0.35">
      <c r="A165">
        <v>3.15</v>
      </c>
      <c r="B165">
        <v>0.85760000000000003</v>
      </c>
      <c r="C165">
        <v>2.2939999999999999E-2</v>
      </c>
      <c r="D165">
        <v>1.7739999999999999E-2</v>
      </c>
      <c r="E165">
        <v>-2.8899999999999999E-2</v>
      </c>
      <c r="F165">
        <v>1.6799999999999999E-2</v>
      </c>
      <c r="G165">
        <v>0.05</v>
      </c>
      <c r="H165">
        <v>-2.9094000000000002</v>
      </c>
      <c r="I165">
        <v>0</v>
      </c>
      <c r="J165">
        <v>0</v>
      </c>
      <c r="K165">
        <v>0</v>
      </c>
      <c r="L165">
        <v>0.28170000000000001</v>
      </c>
    </row>
    <row r="166" spans="1:12" x14ac:dyDescent="0.35">
      <c r="A166">
        <v>3.2</v>
      </c>
      <c r="B166">
        <v>0.86119999999999997</v>
      </c>
      <c r="C166">
        <v>2.3609999999999999E-2</v>
      </c>
      <c r="D166">
        <v>1.848E-2</v>
      </c>
      <c r="E166">
        <v>-2.8000000000000001E-2</v>
      </c>
      <c r="F166">
        <v>1.67E-2</v>
      </c>
      <c r="G166">
        <v>0.05</v>
      </c>
      <c r="H166">
        <v>-2.9087999999999998</v>
      </c>
      <c r="I166">
        <v>0</v>
      </c>
      <c r="J166">
        <v>0</v>
      </c>
      <c r="K166">
        <v>0</v>
      </c>
      <c r="L166">
        <v>0.28050000000000003</v>
      </c>
    </row>
    <row r="167" spans="1:12" x14ac:dyDescent="0.35">
      <c r="A167">
        <v>3.25</v>
      </c>
      <c r="B167">
        <v>0.86419999999999997</v>
      </c>
      <c r="C167">
        <v>2.4289999999999999E-2</v>
      </c>
      <c r="D167">
        <v>1.925E-2</v>
      </c>
      <c r="E167">
        <v>-2.7199999999999998E-2</v>
      </c>
      <c r="F167">
        <v>1.6500000000000001E-2</v>
      </c>
      <c r="G167">
        <v>0.05</v>
      </c>
      <c r="H167">
        <v>-2.9068000000000001</v>
      </c>
      <c r="I167">
        <v>0</v>
      </c>
      <c r="J167">
        <v>0</v>
      </c>
      <c r="K167">
        <v>0</v>
      </c>
      <c r="L167">
        <v>0.27939999999999998</v>
      </c>
    </row>
    <row r="168" spans="1:12" x14ac:dyDescent="0.35">
      <c r="A168">
        <v>3.3</v>
      </c>
      <c r="B168">
        <v>0.86660000000000004</v>
      </c>
      <c r="C168">
        <v>2.4979999999999999E-2</v>
      </c>
      <c r="D168">
        <v>2.002E-2</v>
      </c>
      <c r="E168">
        <v>-2.63E-2</v>
      </c>
      <c r="F168">
        <v>1.6299999999999999E-2</v>
      </c>
      <c r="G168">
        <v>0.05</v>
      </c>
      <c r="H168">
        <v>-2.9039999999999999</v>
      </c>
      <c r="I168">
        <v>0</v>
      </c>
      <c r="J168">
        <v>0</v>
      </c>
      <c r="K168">
        <v>0</v>
      </c>
      <c r="L168">
        <v>0.27839999999999998</v>
      </c>
    </row>
    <row r="169" spans="1:12" x14ac:dyDescent="0.35">
      <c r="A169">
        <v>3.35</v>
      </c>
      <c r="B169">
        <v>0.86860000000000004</v>
      </c>
      <c r="C169">
        <v>2.5690000000000001E-2</v>
      </c>
      <c r="D169">
        <v>2.0799999999999999E-2</v>
      </c>
      <c r="E169">
        <v>-2.5600000000000001E-2</v>
      </c>
      <c r="F169">
        <v>1.61E-2</v>
      </c>
      <c r="G169">
        <v>0.05</v>
      </c>
      <c r="H169">
        <v>-2.9005999999999998</v>
      </c>
      <c r="I169">
        <v>0</v>
      </c>
      <c r="J169">
        <v>0</v>
      </c>
      <c r="K169">
        <v>0</v>
      </c>
      <c r="L169">
        <v>0.27739999999999998</v>
      </c>
    </row>
    <row r="170" spans="1:12" x14ac:dyDescent="0.35">
      <c r="A170">
        <v>3.4</v>
      </c>
      <c r="B170">
        <v>0.87</v>
      </c>
      <c r="C170">
        <v>2.6409999999999999E-2</v>
      </c>
      <c r="D170">
        <v>2.1590000000000002E-2</v>
      </c>
      <c r="E170">
        <v>-2.4799999999999999E-2</v>
      </c>
      <c r="F170">
        <v>1.5900000000000001E-2</v>
      </c>
      <c r="G170">
        <v>0.05</v>
      </c>
      <c r="H170">
        <v>-2.8969</v>
      </c>
      <c r="I170">
        <v>0</v>
      </c>
      <c r="J170">
        <v>0</v>
      </c>
      <c r="K170">
        <v>0</v>
      </c>
      <c r="L170">
        <v>0.27639999999999998</v>
      </c>
    </row>
    <row r="171" spans="1:12" x14ac:dyDescent="0.35">
      <c r="A171">
        <v>3.45</v>
      </c>
      <c r="B171">
        <v>0.87090000000000001</v>
      </c>
      <c r="C171">
        <v>2.7140000000000001E-2</v>
      </c>
      <c r="D171">
        <v>2.239E-2</v>
      </c>
      <c r="E171">
        <v>-2.41E-2</v>
      </c>
      <c r="F171">
        <v>1.5800000000000002E-2</v>
      </c>
      <c r="G171">
        <v>0.05</v>
      </c>
      <c r="H171">
        <v>-2.8927999999999998</v>
      </c>
      <c r="I171">
        <v>0</v>
      </c>
      <c r="J171">
        <v>0</v>
      </c>
      <c r="K171">
        <v>0</v>
      </c>
      <c r="L171">
        <v>0.27560000000000001</v>
      </c>
    </row>
    <row r="172" spans="1:12" x14ac:dyDescent="0.35">
      <c r="A172">
        <v>3.5</v>
      </c>
      <c r="B172">
        <v>0.87139999999999995</v>
      </c>
      <c r="C172">
        <v>2.7890000000000002E-2</v>
      </c>
      <c r="D172">
        <v>2.3199999999999998E-2</v>
      </c>
      <c r="E172">
        <v>-2.35E-2</v>
      </c>
      <c r="F172">
        <v>1.5599999999999999E-2</v>
      </c>
      <c r="G172">
        <v>0.05</v>
      </c>
      <c r="H172">
        <v>-2.8887</v>
      </c>
      <c r="I172">
        <v>0</v>
      </c>
      <c r="J172">
        <v>0</v>
      </c>
      <c r="K172">
        <v>0</v>
      </c>
      <c r="L172">
        <v>0.27479999999999999</v>
      </c>
    </row>
    <row r="173" spans="1:12" x14ac:dyDescent="0.35">
      <c r="A173">
        <v>3.55</v>
      </c>
      <c r="B173">
        <v>0.87139999999999995</v>
      </c>
      <c r="C173">
        <v>2.8649999999999998E-2</v>
      </c>
      <c r="D173">
        <v>2.401E-2</v>
      </c>
      <c r="E173">
        <v>-2.2800000000000001E-2</v>
      </c>
      <c r="F173">
        <v>1.54E-2</v>
      </c>
      <c r="G173">
        <v>0.05</v>
      </c>
      <c r="H173">
        <v>-2.8843000000000001</v>
      </c>
      <c r="I173">
        <v>0</v>
      </c>
      <c r="J173">
        <v>0</v>
      </c>
      <c r="K173">
        <v>0</v>
      </c>
      <c r="L173">
        <v>0.27410000000000001</v>
      </c>
    </row>
    <row r="174" spans="1:12" x14ac:dyDescent="0.35">
      <c r="A174">
        <v>3.6</v>
      </c>
      <c r="B174">
        <v>0.871</v>
      </c>
      <c r="C174">
        <v>2.9409999999999999E-2</v>
      </c>
      <c r="D174">
        <v>2.4840000000000001E-2</v>
      </c>
      <c r="E174">
        <v>-2.23E-2</v>
      </c>
      <c r="F174">
        <v>1.52E-2</v>
      </c>
      <c r="G174">
        <v>0.05</v>
      </c>
      <c r="H174">
        <v>-2.8797999999999999</v>
      </c>
      <c r="I174">
        <v>0</v>
      </c>
      <c r="J174">
        <v>0</v>
      </c>
      <c r="K174">
        <v>0</v>
      </c>
      <c r="L174">
        <v>0.27339999999999998</v>
      </c>
    </row>
    <row r="175" spans="1:12" x14ac:dyDescent="0.35">
      <c r="A175">
        <v>3.65</v>
      </c>
      <c r="B175">
        <v>0.86970000000000003</v>
      </c>
      <c r="C175">
        <v>3.0159999999999999E-2</v>
      </c>
      <c r="D175">
        <v>2.563E-2</v>
      </c>
      <c r="E175">
        <v>-2.1600000000000001E-2</v>
      </c>
      <c r="F175">
        <v>1.5100000000000001E-2</v>
      </c>
      <c r="G175">
        <v>0.05</v>
      </c>
      <c r="H175">
        <v>-2.8751000000000002</v>
      </c>
      <c r="I175">
        <v>0</v>
      </c>
      <c r="J175">
        <v>0</v>
      </c>
      <c r="K175">
        <v>0</v>
      </c>
      <c r="L175">
        <v>0.2727</v>
      </c>
    </row>
    <row r="176" spans="1:12" x14ac:dyDescent="0.35">
      <c r="A176">
        <v>3.7</v>
      </c>
      <c r="B176">
        <v>0.86760000000000004</v>
      </c>
      <c r="C176">
        <v>3.0870000000000002E-2</v>
      </c>
      <c r="D176">
        <v>2.639E-2</v>
      </c>
      <c r="E176">
        <v>-2.0899999999999998E-2</v>
      </c>
      <c r="F176">
        <v>1.49E-2</v>
      </c>
      <c r="G176">
        <v>0.05</v>
      </c>
      <c r="H176">
        <v>-2.8700999999999999</v>
      </c>
      <c r="I176">
        <v>0</v>
      </c>
      <c r="J176">
        <v>0</v>
      </c>
      <c r="K176">
        <v>0</v>
      </c>
      <c r="L176">
        <v>0.27189999999999998</v>
      </c>
    </row>
    <row r="177" spans="1:12" x14ac:dyDescent="0.35">
      <c r="A177">
        <v>3.75</v>
      </c>
      <c r="B177">
        <v>0.86529999999999996</v>
      </c>
      <c r="C177">
        <v>3.1609999999999999E-2</v>
      </c>
      <c r="D177">
        <v>2.7179999999999999E-2</v>
      </c>
      <c r="E177">
        <v>-2.0299999999999999E-2</v>
      </c>
      <c r="F177">
        <v>1.4800000000000001E-2</v>
      </c>
      <c r="G177">
        <v>0.05</v>
      </c>
      <c r="H177">
        <v>-2.8647</v>
      </c>
      <c r="I177">
        <v>0</v>
      </c>
      <c r="J177">
        <v>0</v>
      </c>
      <c r="K177">
        <v>0</v>
      </c>
      <c r="L177">
        <v>0.2712</v>
      </c>
    </row>
    <row r="178" spans="1:12" x14ac:dyDescent="0.35">
      <c r="A178">
        <v>3.8</v>
      </c>
      <c r="B178">
        <v>0.86319999999999997</v>
      </c>
      <c r="C178">
        <v>3.2410000000000001E-2</v>
      </c>
      <c r="D178">
        <v>2.802E-2</v>
      </c>
      <c r="E178">
        <v>-1.9900000000000001E-2</v>
      </c>
      <c r="F178">
        <v>1.47E-2</v>
      </c>
      <c r="G178">
        <v>0.05</v>
      </c>
      <c r="H178">
        <v>-2.859</v>
      </c>
      <c r="I178">
        <v>0</v>
      </c>
      <c r="J178">
        <v>0</v>
      </c>
      <c r="K178">
        <v>0</v>
      </c>
      <c r="L178">
        <v>0.27079999999999999</v>
      </c>
    </row>
    <row r="179" spans="1:12" x14ac:dyDescent="0.35">
      <c r="A179">
        <v>3.85</v>
      </c>
      <c r="B179">
        <v>0.86109999999999998</v>
      </c>
      <c r="C179">
        <v>3.3250000000000002E-2</v>
      </c>
      <c r="D179">
        <v>2.8899999999999999E-2</v>
      </c>
      <c r="E179">
        <v>-1.9599999999999999E-2</v>
      </c>
      <c r="F179">
        <v>1.4500000000000001E-2</v>
      </c>
      <c r="G179">
        <v>0.05</v>
      </c>
      <c r="H179">
        <v>-2.8530000000000002</v>
      </c>
      <c r="I179">
        <v>0</v>
      </c>
      <c r="J179">
        <v>0</v>
      </c>
      <c r="K179">
        <v>0</v>
      </c>
      <c r="L179">
        <v>0.27050000000000002</v>
      </c>
    </row>
    <row r="180" spans="1:12" x14ac:dyDescent="0.35">
      <c r="A180">
        <v>3.9</v>
      </c>
      <c r="B180">
        <v>0.8589</v>
      </c>
      <c r="C180">
        <v>3.4119999999999998E-2</v>
      </c>
      <c r="D180">
        <v>2.98E-2</v>
      </c>
      <c r="E180">
        <v>-1.95E-2</v>
      </c>
      <c r="F180">
        <v>1.44E-2</v>
      </c>
      <c r="G180">
        <v>0.05</v>
      </c>
      <c r="H180">
        <v>-2.8464999999999998</v>
      </c>
      <c r="I180">
        <v>0</v>
      </c>
      <c r="J180">
        <v>0</v>
      </c>
      <c r="K180">
        <v>0</v>
      </c>
      <c r="L180">
        <v>0.27039999999999997</v>
      </c>
    </row>
    <row r="181" spans="1:12" x14ac:dyDescent="0.35">
      <c r="A181">
        <v>3.95</v>
      </c>
      <c r="B181">
        <v>0.85660000000000003</v>
      </c>
      <c r="C181">
        <v>3.5020000000000003E-2</v>
      </c>
      <c r="D181">
        <v>3.074E-2</v>
      </c>
      <c r="E181">
        <v>-1.95E-2</v>
      </c>
      <c r="F181">
        <v>1.44E-2</v>
      </c>
      <c r="G181">
        <v>0.05</v>
      </c>
      <c r="H181">
        <v>-2.8395000000000001</v>
      </c>
      <c r="I181">
        <v>0</v>
      </c>
      <c r="J181">
        <v>0</v>
      </c>
      <c r="K181">
        <v>0</v>
      </c>
      <c r="L181">
        <v>0.27039999999999997</v>
      </c>
    </row>
    <row r="182" spans="1:12" x14ac:dyDescent="0.35">
      <c r="A182">
        <v>4</v>
      </c>
      <c r="B182">
        <v>0.85429999999999995</v>
      </c>
      <c r="C182">
        <v>3.594E-2</v>
      </c>
      <c r="D182">
        <v>3.1690000000000003E-2</v>
      </c>
      <c r="E182">
        <v>-1.9599999999999999E-2</v>
      </c>
      <c r="F182">
        <v>1.43E-2</v>
      </c>
      <c r="G182">
        <v>0.05</v>
      </c>
      <c r="H182">
        <v>-2.8321000000000001</v>
      </c>
      <c r="I182">
        <v>0</v>
      </c>
      <c r="J182">
        <v>0</v>
      </c>
      <c r="K182">
        <v>0</v>
      </c>
      <c r="L182">
        <v>0.27050000000000002</v>
      </c>
    </row>
    <row r="183" spans="1:12" x14ac:dyDescent="0.35">
      <c r="A183">
        <v>4.05</v>
      </c>
      <c r="B183">
        <v>0.85189999999999999</v>
      </c>
      <c r="C183">
        <v>3.6900000000000002E-2</v>
      </c>
      <c r="D183">
        <v>3.2680000000000001E-2</v>
      </c>
      <c r="E183">
        <v>-1.9800000000000002E-2</v>
      </c>
      <c r="F183">
        <v>1.4200000000000001E-2</v>
      </c>
      <c r="G183">
        <v>0.05</v>
      </c>
      <c r="H183">
        <v>-2.8243</v>
      </c>
      <c r="I183">
        <v>0</v>
      </c>
      <c r="J183">
        <v>0</v>
      </c>
      <c r="K183">
        <v>0</v>
      </c>
      <c r="L183">
        <v>0.27079999999999999</v>
      </c>
    </row>
    <row r="184" spans="1:12" x14ac:dyDescent="0.35">
      <c r="A184">
        <v>4.0999999999999996</v>
      </c>
      <c r="B184">
        <v>0.84950000000000003</v>
      </c>
      <c r="C184">
        <v>3.7879999999999997E-2</v>
      </c>
      <c r="D184">
        <v>3.3689999999999998E-2</v>
      </c>
      <c r="E184">
        <v>-2.01E-2</v>
      </c>
      <c r="F184">
        <v>1.41E-2</v>
      </c>
      <c r="G184">
        <v>0.05</v>
      </c>
      <c r="H184">
        <v>-2.8159999999999998</v>
      </c>
      <c r="I184">
        <v>0</v>
      </c>
      <c r="J184">
        <v>0</v>
      </c>
      <c r="K184">
        <v>0</v>
      </c>
      <c r="L184">
        <v>0.2712</v>
      </c>
    </row>
    <row r="185" spans="1:12" x14ac:dyDescent="0.35">
      <c r="A185">
        <v>4.1500000000000004</v>
      </c>
      <c r="B185">
        <v>0.84709999999999996</v>
      </c>
      <c r="C185">
        <v>3.8879999999999998E-2</v>
      </c>
      <c r="D185">
        <v>3.4720000000000001E-2</v>
      </c>
      <c r="E185">
        <v>-2.0500000000000001E-2</v>
      </c>
      <c r="F185">
        <v>1.4E-2</v>
      </c>
      <c r="G185">
        <v>0.05</v>
      </c>
      <c r="H185">
        <v>-2.8073000000000001</v>
      </c>
      <c r="I185">
        <v>0</v>
      </c>
      <c r="J185">
        <v>0</v>
      </c>
      <c r="K185">
        <v>0</v>
      </c>
      <c r="L185">
        <v>0.27179999999999999</v>
      </c>
    </row>
    <row r="186" spans="1:12" x14ac:dyDescent="0.35">
      <c r="A186">
        <v>4.2</v>
      </c>
      <c r="B186">
        <v>0.84470000000000001</v>
      </c>
      <c r="C186">
        <v>3.9919999999999997E-2</v>
      </c>
      <c r="D186">
        <v>3.5779999999999999E-2</v>
      </c>
      <c r="E186">
        <v>-2.1100000000000001E-2</v>
      </c>
      <c r="F186">
        <v>1.4E-2</v>
      </c>
      <c r="G186">
        <v>0.05</v>
      </c>
      <c r="H186">
        <v>-2.7982999999999998</v>
      </c>
      <c r="I186">
        <v>0</v>
      </c>
      <c r="J186">
        <v>0</v>
      </c>
      <c r="K186">
        <v>0</v>
      </c>
      <c r="L186">
        <v>0.27250000000000002</v>
      </c>
    </row>
    <row r="187" spans="1:12" x14ac:dyDescent="0.35">
      <c r="A187">
        <v>4.25</v>
      </c>
      <c r="B187">
        <v>0.84240000000000004</v>
      </c>
      <c r="C187">
        <v>4.0980000000000003E-2</v>
      </c>
      <c r="D187">
        <v>3.687E-2</v>
      </c>
      <c r="E187">
        <v>-2.1700000000000001E-2</v>
      </c>
      <c r="F187">
        <v>1.3899999999999999E-2</v>
      </c>
      <c r="G187">
        <v>0.05</v>
      </c>
      <c r="H187">
        <v>-2.7888999999999999</v>
      </c>
      <c r="I187">
        <v>0</v>
      </c>
      <c r="J187">
        <v>0</v>
      </c>
      <c r="K187">
        <v>0</v>
      </c>
      <c r="L187">
        <v>0.27329999999999999</v>
      </c>
    </row>
    <row r="188" spans="1:12" x14ac:dyDescent="0.35">
      <c r="A188">
        <v>4.3</v>
      </c>
      <c r="B188">
        <v>0.84009999999999996</v>
      </c>
      <c r="C188">
        <v>4.2070000000000003E-2</v>
      </c>
      <c r="D188">
        <v>3.798E-2</v>
      </c>
      <c r="E188">
        <v>-2.24E-2</v>
      </c>
      <c r="F188">
        <v>1.3899999999999999E-2</v>
      </c>
      <c r="G188">
        <v>0.05</v>
      </c>
      <c r="H188">
        <v>-2.7783000000000002</v>
      </c>
      <c r="I188">
        <v>0</v>
      </c>
      <c r="J188">
        <v>0</v>
      </c>
      <c r="K188">
        <v>0</v>
      </c>
      <c r="L188">
        <v>0.2742</v>
      </c>
    </row>
    <row r="189" spans="1:12" x14ac:dyDescent="0.35">
      <c r="A189">
        <v>4.3499999999999996</v>
      </c>
      <c r="B189">
        <v>0.83799999999999997</v>
      </c>
      <c r="C189">
        <v>4.3189999999999999E-2</v>
      </c>
      <c r="D189">
        <v>3.9109999999999999E-2</v>
      </c>
      <c r="E189">
        <v>-2.3300000000000001E-2</v>
      </c>
      <c r="F189">
        <v>1.38E-2</v>
      </c>
      <c r="G189">
        <v>0.05</v>
      </c>
      <c r="H189">
        <v>-2.7627000000000002</v>
      </c>
      <c r="I189">
        <v>0</v>
      </c>
      <c r="J189">
        <v>0</v>
      </c>
      <c r="K189">
        <v>0</v>
      </c>
      <c r="L189">
        <v>0.2752</v>
      </c>
    </row>
    <row r="190" spans="1:12" x14ac:dyDescent="0.35">
      <c r="A190">
        <v>4.4000000000000004</v>
      </c>
      <c r="B190">
        <v>0.83609999999999995</v>
      </c>
      <c r="C190">
        <v>4.4330000000000001E-2</v>
      </c>
      <c r="D190">
        <v>4.027E-2</v>
      </c>
      <c r="E190">
        <v>-2.41E-2</v>
      </c>
      <c r="F190">
        <v>1.37E-2</v>
      </c>
      <c r="G190">
        <v>0.05</v>
      </c>
      <c r="H190">
        <v>-2.7469999999999999</v>
      </c>
      <c r="I190">
        <v>0</v>
      </c>
      <c r="J190">
        <v>0</v>
      </c>
      <c r="K190">
        <v>0</v>
      </c>
      <c r="L190">
        <v>0.27629999999999999</v>
      </c>
    </row>
    <row r="191" spans="1:12" x14ac:dyDescent="0.35">
      <c r="A191">
        <v>4.45</v>
      </c>
      <c r="B191">
        <v>0.83430000000000004</v>
      </c>
      <c r="C191">
        <v>4.5490000000000003E-2</v>
      </c>
      <c r="D191">
        <v>4.1450000000000001E-2</v>
      </c>
      <c r="E191">
        <v>-2.5100000000000001E-2</v>
      </c>
      <c r="F191">
        <v>1.37E-2</v>
      </c>
      <c r="G191">
        <v>0.05</v>
      </c>
      <c r="H191">
        <v>-2.7425999999999999</v>
      </c>
      <c r="I191">
        <v>0</v>
      </c>
      <c r="J191">
        <v>0</v>
      </c>
      <c r="K191">
        <v>0</v>
      </c>
      <c r="L191">
        <v>0.27750000000000002</v>
      </c>
    </row>
    <row r="192" spans="1:12" x14ac:dyDescent="0.35">
      <c r="A192">
        <v>4.5</v>
      </c>
      <c r="B192">
        <v>0.83260000000000001</v>
      </c>
      <c r="C192">
        <v>4.6670000000000003E-2</v>
      </c>
      <c r="D192">
        <v>4.265E-2</v>
      </c>
      <c r="E192">
        <v>-2.6100000000000002E-2</v>
      </c>
      <c r="F192">
        <v>1.3599999999999999E-2</v>
      </c>
      <c r="G192">
        <v>0.05</v>
      </c>
      <c r="H192">
        <v>-2.7469999999999999</v>
      </c>
      <c r="I192">
        <v>0</v>
      </c>
      <c r="J192">
        <v>0</v>
      </c>
      <c r="K192">
        <v>0</v>
      </c>
      <c r="L192">
        <v>0.27879999999999999</v>
      </c>
    </row>
    <row r="193" spans="1:12" x14ac:dyDescent="0.35">
      <c r="A193">
        <v>4.55</v>
      </c>
      <c r="B193">
        <v>0.83109999999999995</v>
      </c>
      <c r="C193">
        <v>4.7870000000000003E-2</v>
      </c>
      <c r="D193">
        <v>4.3869999999999999E-2</v>
      </c>
      <c r="E193">
        <v>-2.7199999999999998E-2</v>
      </c>
      <c r="F193">
        <v>1.3599999999999999E-2</v>
      </c>
      <c r="G193">
        <v>0.05</v>
      </c>
      <c r="H193">
        <v>-2.7502</v>
      </c>
      <c r="I193">
        <v>0</v>
      </c>
      <c r="J193">
        <v>0</v>
      </c>
      <c r="K193">
        <v>0</v>
      </c>
      <c r="L193">
        <v>0.28010000000000002</v>
      </c>
    </row>
    <row r="194" spans="1:12" x14ac:dyDescent="0.35">
      <c r="A194">
        <v>4.5999999999999996</v>
      </c>
      <c r="B194">
        <v>0.82969999999999999</v>
      </c>
      <c r="C194">
        <v>4.9090000000000002E-2</v>
      </c>
      <c r="D194">
        <v>4.5100000000000001E-2</v>
      </c>
      <c r="E194">
        <v>-2.8299999999999999E-2</v>
      </c>
      <c r="F194">
        <v>1.35E-2</v>
      </c>
      <c r="G194">
        <v>0.05</v>
      </c>
      <c r="H194">
        <v>-2.7519999999999998</v>
      </c>
      <c r="I194">
        <v>0</v>
      </c>
      <c r="J194">
        <v>0</v>
      </c>
      <c r="K194">
        <v>0</v>
      </c>
      <c r="L194">
        <v>0.28149999999999997</v>
      </c>
    </row>
    <row r="195" spans="1:12" x14ac:dyDescent="0.35">
      <c r="A195">
        <v>4.6500000000000004</v>
      </c>
      <c r="B195">
        <v>0.82850000000000001</v>
      </c>
      <c r="C195">
        <v>5.033E-2</v>
      </c>
      <c r="D195">
        <v>4.6350000000000002E-2</v>
      </c>
      <c r="E195">
        <v>-2.9499999999999998E-2</v>
      </c>
      <c r="F195">
        <v>1.35E-2</v>
      </c>
      <c r="G195">
        <v>0.05</v>
      </c>
      <c r="H195">
        <v>-2.7524000000000002</v>
      </c>
      <c r="I195">
        <v>0</v>
      </c>
      <c r="J195">
        <v>0</v>
      </c>
      <c r="K195">
        <v>0</v>
      </c>
      <c r="L195">
        <v>0.28289999999999998</v>
      </c>
    </row>
    <row r="196" spans="1:12" x14ac:dyDescent="0.35">
      <c r="A196">
        <v>4.7</v>
      </c>
      <c r="B196">
        <v>0.82750000000000001</v>
      </c>
      <c r="C196">
        <v>5.1580000000000001E-2</v>
      </c>
      <c r="D196">
        <v>4.761E-2</v>
      </c>
      <c r="E196">
        <v>-3.0700000000000002E-2</v>
      </c>
      <c r="F196">
        <v>1.34E-2</v>
      </c>
      <c r="G196">
        <v>0.05</v>
      </c>
      <c r="H196">
        <v>-2.7513000000000001</v>
      </c>
      <c r="I196">
        <v>0</v>
      </c>
      <c r="J196">
        <v>0</v>
      </c>
      <c r="K196">
        <v>0</v>
      </c>
      <c r="L196">
        <v>0.28439999999999999</v>
      </c>
    </row>
    <row r="197" spans="1:12" x14ac:dyDescent="0.35">
      <c r="A197">
        <v>4.75</v>
      </c>
      <c r="B197">
        <v>0.82669999999999999</v>
      </c>
      <c r="C197">
        <v>5.2850000000000001E-2</v>
      </c>
      <c r="D197">
        <v>4.888E-2</v>
      </c>
      <c r="E197">
        <v>-3.1899999999999998E-2</v>
      </c>
      <c r="F197">
        <v>1.3299999999999999E-2</v>
      </c>
      <c r="G197">
        <v>0.05</v>
      </c>
      <c r="H197">
        <v>-2.7486000000000002</v>
      </c>
      <c r="I197">
        <v>0</v>
      </c>
      <c r="J197">
        <v>0</v>
      </c>
      <c r="K197">
        <v>0</v>
      </c>
      <c r="L197">
        <v>0.28589999999999999</v>
      </c>
    </row>
    <row r="198" spans="1:12" x14ac:dyDescent="0.35">
      <c r="A198">
        <v>4.8</v>
      </c>
      <c r="B198">
        <v>0.82599999999999996</v>
      </c>
      <c r="C198">
        <v>5.4129999999999998E-2</v>
      </c>
      <c r="D198">
        <v>5.0169999999999999E-2</v>
      </c>
      <c r="E198">
        <v>-3.32E-2</v>
      </c>
      <c r="F198">
        <v>1.32E-2</v>
      </c>
      <c r="G198">
        <v>0.05</v>
      </c>
      <c r="H198">
        <v>-2.7443</v>
      </c>
      <c r="I198">
        <v>0</v>
      </c>
      <c r="J198">
        <v>0</v>
      </c>
      <c r="K198">
        <v>0</v>
      </c>
      <c r="L198">
        <v>0.28739999999999999</v>
      </c>
    </row>
    <row r="199" spans="1:12" x14ac:dyDescent="0.35">
      <c r="A199">
        <v>4.8499999999999996</v>
      </c>
      <c r="B199">
        <v>0.82569999999999999</v>
      </c>
      <c r="C199">
        <v>5.543E-2</v>
      </c>
      <c r="D199">
        <v>5.1490000000000001E-2</v>
      </c>
      <c r="E199">
        <v>-3.4500000000000003E-2</v>
      </c>
      <c r="F199">
        <v>1.3100000000000001E-2</v>
      </c>
      <c r="G199">
        <v>0.05</v>
      </c>
      <c r="H199">
        <v>-2.7374000000000001</v>
      </c>
      <c r="I199">
        <v>0</v>
      </c>
      <c r="J199">
        <v>0</v>
      </c>
      <c r="K199">
        <v>0</v>
      </c>
      <c r="L199">
        <v>0.28899999999999998</v>
      </c>
    </row>
    <row r="200" spans="1:12" x14ac:dyDescent="0.35">
      <c r="A200">
        <v>4.9000000000000004</v>
      </c>
      <c r="B200">
        <v>0.8256</v>
      </c>
      <c r="C200">
        <v>5.6759999999999998E-2</v>
      </c>
      <c r="D200">
        <v>5.2819999999999999E-2</v>
      </c>
      <c r="E200">
        <v>-3.5799999999999998E-2</v>
      </c>
      <c r="F200">
        <v>1.2699999999999999E-2</v>
      </c>
      <c r="G200">
        <v>0.05</v>
      </c>
      <c r="H200">
        <v>-2.7277999999999998</v>
      </c>
      <c r="I200">
        <v>0</v>
      </c>
      <c r="J200">
        <v>0</v>
      </c>
      <c r="K200">
        <v>0</v>
      </c>
      <c r="L200">
        <v>0.29060000000000002</v>
      </c>
    </row>
    <row r="201" spans="1:12" x14ac:dyDescent="0.35">
      <c r="A201">
        <v>4.95</v>
      </c>
      <c r="B201">
        <v>0.82550000000000001</v>
      </c>
      <c r="C201">
        <v>5.808E-2</v>
      </c>
      <c r="D201">
        <v>5.4140000000000001E-2</v>
      </c>
      <c r="E201">
        <v>-3.7100000000000001E-2</v>
      </c>
      <c r="F201">
        <v>1.21E-2</v>
      </c>
      <c r="G201">
        <v>0.05</v>
      </c>
      <c r="H201">
        <v>-2.7183000000000002</v>
      </c>
      <c r="I201">
        <v>0</v>
      </c>
      <c r="J201">
        <v>0</v>
      </c>
      <c r="K201">
        <v>0</v>
      </c>
      <c r="L201">
        <v>0.29220000000000002</v>
      </c>
    </row>
    <row r="202" spans="1:12" x14ac:dyDescent="0.35">
      <c r="A202">
        <v>5</v>
      </c>
      <c r="B202">
        <v>0.82550000000000001</v>
      </c>
      <c r="C202">
        <v>5.9380000000000002E-2</v>
      </c>
      <c r="D202">
        <v>5.5449999999999999E-2</v>
      </c>
      <c r="E202">
        <v>-3.8399999999999997E-2</v>
      </c>
      <c r="F202">
        <v>1.1599999999999999E-2</v>
      </c>
      <c r="G202">
        <v>0.05</v>
      </c>
      <c r="H202">
        <v>-2.7099000000000002</v>
      </c>
      <c r="I202">
        <v>0</v>
      </c>
      <c r="J202">
        <v>0</v>
      </c>
      <c r="K202">
        <v>0</v>
      </c>
      <c r="L202">
        <v>0.29370000000000002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D10A34-F44A-48D1-8104-1CA4D6C193D7}">
  <sheetPr codeName="Sheet42"/>
  <dimension ref="A1:G34"/>
  <sheetViews>
    <sheetView workbookViewId="0">
      <selection activeCell="F29" sqref="F29"/>
    </sheetView>
  </sheetViews>
  <sheetFormatPr defaultRowHeight="14.5" x14ac:dyDescent="0.35"/>
  <cols>
    <col min="1" max="1" width="9.90625" bestFit="1" customWidth="1"/>
  </cols>
  <sheetData>
    <row r="1" spans="1:7" x14ac:dyDescent="0.35">
      <c r="A1" t="s">
        <v>233</v>
      </c>
      <c r="B1">
        <v>0.27</v>
      </c>
    </row>
    <row r="2" spans="1:7" x14ac:dyDescent="0.35">
      <c r="A2" t="s">
        <v>263</v>
      </c>
      <c r="B2">
        <v>-0.7</v>
      </c>
    </row>
    <row r="4" spans="1:7" x14ac:dyDescent="0.35">
      <c r="A4" t="s">
        <v>262</v>
      </c>
    </row>
    <row r="5" spans="1:7" x14ac:dyDescent="0.35">
      <c r="G5" s="42"/>
    </row>
    <row r="6" spans="1:7" x14ac:dyDescent="0.35">
      <c r="A6" s="7" t="s">
        <v>236</v>
      </c>
      <c r="B6" s="8">
        <v>26</v>
      </c>
      <c r="C6" s="8">
        <v>27</v>
      </c>
      <c r="D6" s="8">
        <v>28</v>
      </c>
      <c r="E6" s="8">
        <v>29</v>
      </c>
      <c r="F6" s="8">
        <v>30</v>
      </c>
      <c r="G6" s="42"/>
    </row>
    <row r="7" spans="1:7" x14ac:dyDescent="0.35">
      <c r="A7" s="23" t="s">
        <v>139</v>
      </c>
      <c r="B7" s="22">
        <v>1.39729E-2</v>
      </c>
      <c r="C7" s="22">
        <v>1.39734E-2</v>
      </c>
      <c r="D7" s="22">
        <v>1.39746E-2</v>
      </c>
      <c r="E7" s="22">
        <v>1.3976499999999999E-2</v>
      </c>
      <c r="F7" s="22">
        <v>1.39791E-2</v>
      </c>
      <c r="G7" s="42"/>
    </row>
    <row r="8" spans="1:7" ht="14.5" customHeight="1" x14ac:dyDescent="0.35">
      <c r="A8" s="6" t="s">
        <v>136</v>
      </c>
      <c r="B8">
        <v>1.0630000000000001E-2</v>
      </c>
      <c r="C8">
        <v>1.0630000000000001E-2</v>
      </c>
      <c r="D8">
        <v>1.0630000000000001E-2</v>
      </c>
      <c r="E8">
        <v>1.0630000000000001E-2</v>
      </c>
      <c r="F8">
        <v>1.0630000000000001E-2</v>
      </c>
      <c r="G8" s="42"/>
    </row>
    <row r="9" spans="1:7" x14ac:dyDescent="0.35">
      <c r="A9" s="6" t="s">
        <v>252</v>
      </c>
      <c r="B9">
        <v>0.01</v>
      </c>
      <c r="C9">
        <v>0.01</v>
      </c>
      <c r="D9">
        <v>0.01</v>
      </c>
      <c r="E9">
        <v>0.01</v>
      </c>
      <c r="F9">
        <v>0.01</v>
      </c>
      <c r="G9" s="42"/>
    </row>
    <row r="10" spans="1:7" x14ac:dyDescent="0.35">
      <c r="A10" s="6" t="s">
        <v>258</v>
      </c>
      <c r="B10">
        <v>9.8511770047157308E-6</v>
      </c>
      <c r="C10">
        <v>3.3410195150462332E-6</v>
      </c>
      <c r="D10">
        <v>6.9444526794520699E-7</v>
      </c>
      <c r="E10">
        <v>4.2450558457528022E-8</v>
      </c>
      <c r="F10">
        <v>0</v>
      </c>
      <c r="G10" s="42"/>
    </row>
    <row r="11" spans="1:7" x14ac:dyDescent="0.35">
      <c r="A11" s="6" t="s">
        <v>232</v>
      </c>
      <c r="B11">
        <v>3.3787356207394821E-2</v>
      </c>
      <c r="C11">
        <v>3.3781346049905153E-2</v>
      </c>
      <c r="D11">
        <v>3.377989947565805E-2</v>
      </c>
      <c r="E11">
        <v>3.3781147480948563E-2</v>
      </c>
      <c r="F11">
        <v>3.3783705030390111E-2</v>
      </c>
      <c r="G11" s="42"/>
    </row>
    <row r="12" spans="1:7" x14ac:dyDescent="0.35">
      <c r="A12" s="6" t="s">
        <v>251</v>
      </c>
      <c r="B12">
        <v>14.007450576049807</v>
      </c>
      <c r="C12">
        <v>14.009942690599251</v>
      </c>
      <c r="D12">
        <v>14.010542645679468</v>
      </c>
      <c r="E12">
        <v>14.01002504244072</v>
      </c>
      <c r="F12">
        <v>14.00896443254932</v>
      </c>
      <c r="G12" s="42"/>
    </row>
    <row r="13" spans="1:7" x14ac:dyDescent="0.35">
      <c r="A13" s="6" t="s">
        <v>143</v>
      </c>
      <c r="B13">
        <v>0.99216875674123162</v>
      </c>
      <c r="C13">
        <v>0.99213325468887703</v>
      </c>
      <c r="D13">
        <v>0.9920480601283439</v>
      </c>
      <c r="E13">
        <v>0.99191319865986149</v>
      </c>
      <c r="F13">
        <v>0.99172871079465452</v>
      </c>
      <c r="G13" s="42"/>
    </row>
    <row r="14" spans="1:7" x14ac:dyDescent="0.35">
      <c r="A14" s="8" t="s">
        <v>33</v>
      </c>
      <c r="B14" s="20">
        <v>0.55079999999999996</v>
      </c>
      <c r="C14" s="8">
        <v>0.55230000000000001</v>
      </c>
      <c r="D14" s="8">
        <v>0.55389999999999995</v>
      </c>
      <c r="E14" s="8">
        <v>0.5554</v>
      </c>
      <c r="F14" s="8">
        <v>0.55700000000000005</v>
      </c>
      <c r="G14" s="42"/>
    </row>
    <row r="15" spans="1:7" x14ac:dyDescent="0.35">
      <c r="G15" s="42"/>
    </row>
    <row r="16" spans="1:7" x14ac:dyDescent="0.35">
      <c r="A16" s="7" t="s">
        <v>233</v>
      </c>
      <c r="B16" s="8">
        <v>0.24</v>
      </c>
      <c r="C16" s="8">
        <v>0.25</v>
      </c>
      <c r="D16" s="8">
        <v>0.26</v>
      </c>
      <c r="E16" s="8">
        <v>0.27</v>
      </c>
      <c r="F16" s="8">
        <v>0.28000000000000003</v>
      </c>
      <c r="G16" s="42"/>
    </row>
    <row r="17" spans="1:6" x14ac:dyDescent="0.35">
      <c r="A17" s="23" t="s">
        <v>139</v>
      </c>
      <c r="B17" s="22">
        <v>1.39746E-2</v>
      </c>
      <c r="C17" s="22">
        <v>1.3973899999999999E-2</v>
      </c>
      <c r="D17" s="22">
        <v>1.3973899999999999E-2</v>
      </c>
      <c r="E17" s="22">
        <v>1.39746E-2</v>
      </c>
      <c r="F17" s="22">
        <v>1.39761E-2</v>
      </c>
    </row>
    <row r="18" spans="1:6" x14ac:dyDescent="0.35">
      <c r="A18" s="6" t="s">
        <v>136</v>
      </c>
      <c r="B18">
        <v>1.064E-2</v>
      </c>
      <c r="C18">
        <v>1.064E-2</v>
      </c>
      <c r="D18">
        <v>1.0630000000000001E-2</v>
      </c>
      <c r="E18">
        <v>1.0630000000000001E-2</v>
      </c>
      <c r="F18">
        <v>1.064E-2</v>
      </c>
    </row>
    <row r="19" spans="1:6" x14ac:dyDescent="0.35">
      <c r="A19" s="6" t="s">
        <v>252</v>
      </c>
      <c r="B19">
        <v>0.01</v>
      </c>
      <c r="C19">
        <v>0.01</v>
      </c>
      <c r="D19">
        <v>0.01</v>
      </c>
      <c r="E19">
        <v>0.01</v>
      </c>
      <c r="F19">
        <v>0.01</v>
      </c>
    </row>
    <row r="20" spans="1:6" x14ac:dyDescent="0.35">
      <c r="A20" s="6" t="s">
        <v>258</v>
      </c>
      <c r="B20">
        <v>6.9444526794520699E-7</v>
      </c>
      <c r="C20">
        <v>6.9444526794520699E-7</v>
      </c>
      <c r="D20">
        <v>6.9444526794520699E-7</v>
      </c>
      <c r="E20">
        <v>6.9444526794520699E-7</v>
      </c>
      <c r="F20">
        <v>6.9444526794520699E-7</v>
      </c>
    </row>
    <row r="21" spans="1:6" x14ac:dyDescent="0.35">
      <c r="A21" s="6" t="s">
        <v>232</v>
      </c>
      <c r="B21">
        <v>3.3789899475658053E-2</v>
      </c>
      <c r="C21">
        <v>3.3789199475658054E-2</v>
      </c>
      <c r="D21">
        <v>3.377919947565805E-2</v>
      </c>
      <c r="E21">
        <v>3.377989947565805E-2</v>
      </c>
      <c r="F21">
        <v>3.3791399475658054E-2</v>
      </c>
    </row>
    <row r="22" spans="1:6" x14ac:dyDescent="0.35">
      <c r="A22" s="6" t="s">
        <v>251</v>
      </c>
      <c r="B22">
        <v>14.006396275650822</v>
      </c>
      <c r="C22">
        <v>14.006686441666741</v>
      </c>
      <c r="D22">
        <v>14.010832983520631</v>
      </c>
      <c r="E22">
        <v>14.010542645679468</v>
      </c>
      <c r="F22">
        <v>14.005774531812463</v>
      </c>
    </row>
    <row r="23" spans="1:6" x14ac:dyDescent="0.35">
      <c r="A23" s="6" t="s">
        <v>143</v>
      </c>
      <c r="B23">
        <v>0.9920480601283439</v>
      </c>
      <c r="C23">
        <v>0.99209775517711984</v>
      </c>
      <c r="D23">
        <v>0.99209775517711984</v>
      </c>
      <c r="E23">
        <v>0.9920480601283439</v>
      </c>
      <c r="F23">
        <v>0.9919415875007731</v>
      </c>
    </row>
    <row r="24" spans="1:6" x14ac:dyDescent="0.35">
      <c r="A24" s="8" t="s">
        <v>33</v>
      </c>
      <c r="B24" s="20">
        <v>0.56369999999999998</v>
      </c>
      <c r="C24" s="8">
        <v>0.56010000000000004</v>
      </c>
      <c r="D24" s="8">
        <v>0.55669999999999997</v>
      </c>
      <c r="E24" s="8">
        <v>0.55389999999999995</v>
      </c>
      <c r="F24" s="8">
        <v>0.55120000000000002</v>
      </c>
    </row>
    <row r="26" spans="1:6" x14ac:dyDescent="0.35">
      <c r="A26" s="7" t="s">
        <v>263</v>
      </c>
      <c r="B26" s="8">
        <v>-1</v>
      </c>
      <c r="C26" s="8">
        <v>-0.9</v>
      </c>
      <c r="D26" s="8">
        <v>-0.8</v>
      </c>
      <c r="E26" s="8">
        <v>-0.7</v>
      </c>
      <c r="F26" s="8">
        <v>-0.6</v>
      </c>
    </row>
    <row r="27" spans="1:6" x14ac:dyDescent="0.35">
      <c r="A27" s="23" t="s">
        <v>139</v>
      </c>
      <c r="B27" s="22">
        <v>1.39741E-2</v>
      </c>
      <c r="C27" s="22">
        <v>1.39738E-2</v>
      </c>
      <c r="D27" s="22">
        <v>1.39737E-2</v>
      </c>
      <c r="E27" s="22">
        <v>1.3973899999999999E-2</v>
      </c>
      <c r="F27" s="22">
        <v>1.39743E-2</v>
      </c>
    </row>
    <row r="28" spans="1:6" x14ac:dyDescent="0.35">
      <c r="A28" s="6" t="s">
        <v>136</v>
      </c>
      <c r="B28">
        <v>1.0630000000000001E-2</v>
      </c>
      <c r="C28">
        <v>1.0630000000000001E-2</v>
      </c>
      <c r="D28">
        <v>1.0630000000000001E-2</v>
      </c>
      <c r="E28">
        <v>1.0630000000000001E-2</v>
      </c>
      <c r="F28">
        <v>1.0630000000000001E-2</v>
      </c>
    </row>
    <row r="29" spans="1:6" x14ac:dyDescent="0.35">
      <c r="A29" s="6" t="s">
        <v>252</v>
      </c>
      <c r="B29">
        <v>0.01</v>
      </c>
      <c r="C29">
        <v>0.01</v>
      </c>
      <c r="D29">
        <v>0.01</v>
      </c>
      <c r="E29">
        <v>0.01</v>
      </c>
      <c r="F29">
        <v>0.01</v>
      </c>
    </row>
    <row r="30" spans="1:6" x14ac:dyDescent="0.35">
      <c r="A30" s="6" t="s">
        <v>258</v>
      </c>
      <c r="B30">
        <v>6.9444526794520699E-7</v>
      </c>
      <c r="C30">
        <v>6.9444526794520699E-7</v>
      </c>
      <c r="D30">
        <v>6.9444526794520699E-7</v>
      </c>
      <c r="E30">
        <v>6.9444526794520699E-7</v>
      </c>
      <c r="F30">
        <v>6.9444526794520699E-7</v>
      </c>
    </row>
    <row r="31" spans="1:6" x14ac:dyDescent="0.35">
      <c r="A31" s="6" t="s">
        <v>232</v>
      </c>
      <c r="B31">
        <v>3.3779399475658049E-2</v>
      </c>
      <c r="C31">
        <v>3.3779099475658055E-2</v>
      </c>
      <c r="D31">
        <v>3.3778999475658052E-2</v>
      </c>
      <c r="E31">
        <v>3.377919947565805E-2</v>
      </c>
      <c r="F31">
        <v>3.3779599475658055E-2</v>
      </c>
    </row>
    <row r="32" spans="1:6" x14ac:dyDescent="0.35">
      <c r="A32" s="6" t="s">
        <v>251</v>
      </c>
      <c r="B32">
        <v>14.010750028623853</v>
      </c>
      <c r="C32">
        <v>14.010874461337389</v>
      </c>
      <c r="D32">
        <v>14.010915939399734</v>
      </c>
      <c r="E32">
        <v>14.010832983520631</v>
      </c>
      <c r="F32">
        <v>14.010667074709382</v>
      </c>
    </row>
    <row r="33" spans="1:6" x14ac:dyDescent="0.35">
      <c r="A33" s="6" t="s">
        <v>143</v>
      </c>
      <c r="B33">
        <v>0.99208355608372312</v>
      </c>
      <c r="C33">
        <v>0.99210485487623656</v>
      </c>
      <c r="D33">
        <v>0.99211195467696844</v>
      </c>
      <c r="E33">
        <v>0.99209775517711984</v>
      </c>
      <c r="F33">
        <v>0.99206935739676083</v>
      </c>
    </row>
    <row r="34" spans="1:6" x14ac:dyDescent="0.35">
      <c r="A34" s="8" t="s">
        <v>33</v>
      </c>
      <c r="B34" s="20">
        <v>0.55349999999999999</v>
      </c>
      <c r="C34" s="8">
        <v>0.55459999999999998</v>
      </c>
      <c r="D34" s="8">
        <v>0.55559999999999998</v>
      </c>
      <c r="E34" s="8">
        <v>0.55669999999999997</v>
      </c>
      <c r="F34" s="8">
        <v>0.55789999999999995</v>
      </c>
    </row>
  </sheetData>
  <conditionalFormatting sqref="B12:AB1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2:F2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2:F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14126-0CFC-46E2-AC95-9CF4E82E4079}">
  <sheetPr codeName="Sheet15"/>
  <dimension ref="A1:AC1000"/>
  <sheetViews>
    <sheetView zoomScale="63" workbookViewId="0">
      <selection activeCell="E18" sqref="E18"/>
    </sheetView>
  </sheetViews>
  <sheetFormatPr defaultRowHeight="14.5" x14ac:dyDescent="0.35"/>
  <sheetData>
    <row r="1" spans="1:19" x14ac:dyDescent="0.35">
      <c r="A1" t="s">
        <v>12</v>
      </c>
      <c r="B1" s="1" t="s">
        <v>270</v>
      </c>
    </row>
    <row r="2" spans="1:19" x14ac:dyDescent="0.35">
      <c r="I2" s="2" t="s">
        <v>24</v>
      </c>
      <c r="L2" s="2" t="s">
        <v>25</v>
      </c>
      <c r="M2" s="2"/>
      <c r="O2" s="2" t="s">
        <v>31</v>
      </c>
      <c r="R2" s="2" t="s">
        <v>32</v>
      </c>
    </row>
    <row r="3" spans="1:19" x14ac:dyDescent="0.35">
      <c r="A3" t="s">
        <v>0</v>
      </c>
      <c r="B3" t="s">
        <v>41</v>
      </c>
      <c r="C3" t="s">
        <v>40</v>
      </c>
      <c r="D3" t="s">
        <v>42</v>
      </c>
      <c r="F3" t="s">
        <v>23</v>
      </c>
      <c r="G3">
        <v>0.08</v>
      </c>
      <c r="I3" t="s">
        <v>2</v>
      </c>
      <c r="J3" t="s">
        <v>1</v>
      </c>
      <c r="L3" t="s">
        <v>2</v>
      </c>
      <c r="M3" t="s">
        <v>1</v>
      </c>
      <c r="O3" t="s">
        <v>2</v>
      </c>
      <c r="P3" t="s">
        <v>1</v>
      </c>
      <c r="R3" t="s">
        <v>2</v>
      </c>
      <c r="S3" t="s">
        <v>1</v>
      </c>
    </row>
    <row r="4" spans="1:19" x14ac:dyDescent="0.35">
      <c r="A4" cm="1">
        <f t="array" aca="1" ref="A4:A43" ca="1">_xlfn._xlws.FILTER(INDIRECT("'" &amp; B1 &amp; "'!A2:A1000"),(INDIRECT("'" &amp; B1 &amp; "'!C2:C1000")&lt;G3) * (INDIRECT("'" &amp; B1 &amp; "'!C2:C1000")&lt;&gt;""))</f>
        <v>-3</v>
      </c>
      <c r="B4" cm="1">
        <f t="array" aca="1" ref="B4:B43" ca="1">_xlfn._xlws.FILTER(INDIRECT("'" &amp; B1 &amp; "'!C2:C1000"),(INDIRECT("'" &amp; B1 &amp; "'!C2:C1000")&lt;G3) * (INDIRECT("'" &amp; B1 &amp; "'!C2:C1000")&lt;&gt;""))</f>
        <v>2.0762626491451074E-2</v>
      </c>
      <c r="C4">
        <f ca="1">IF(ISBLANK(D4), "",
IF(D4 &lt; $G$9,
    $G$10 + $G$19 * ($G$23 * (D4 - $G$9))^2 + $G$21 * (1 - (D4 - $G$6)/($G$9 - $G$6)),
IF(D4 &gt; $G$13,
    $G$14 + $G$19 * ($G$23 * (D4 - $G$13))^2 - $G$22 * (1 - (D4 - $G$6)/($G$13 - $G$6)),
IF(D4 &lt; $G$6,
    $G$16 * (D4 - $G$6)^2 + $G$5,
    $G$17 * (D4 - $G$6)^2 + $G$5))))</f>
        <v>7.3973398113675967E-2</v>
      </c>
      <c r="D4" cm="1">
        <f t="array" aca="1" ref="D4:D43" ca="1">_xlfn._xlws.FILTER(INDIRECT("'" &amp; B1 &amp; "'!B2:B1000"),(INDIRECT("'" &amp; B1 &amp; "'!C2:C1000")&lt;G3) * (INDIRECT("'" &amp; B1 &amp; "'!C2:C1000")&lt;&gt;""))</f>
        <v>-0.43144226308594874</v>
      </c>
      <c r="I4">
        <f ca="1">$G$16 * (J4 - $G$6)^2 + $G$5</f>
        <v>9.9585825554046915E-3</v>
      </c>
      <c r="J4">
        <f ca="1">$G$9 + ($G$6 - $G$9) * (ROW(A1)-1)/99</f>
        <v>-0.25730083567386902</v>
      </c>
      <c r="L4">
        <f ca="1">$G$17 * (M4 - $G$6)^2 + $G$5</f>
        <v>1.4480852393229483E-2</v>
      </c>
      <c r="M4">
        <f ca="1">$G$13 + ($G$6 - $G$13) * (ROW(F1)-1)/99</f>
        <v>0.66970132936809146</v>
      </c>
      <c r="O4">
        <f ca="1">$G$10 + $G$19 * ($G$23 * (P4 - $G$9))^2 + $G$21 * (1 - (P4 - $G$6)/($G$9 - $G$6))</f>
        <v>0.19743764660351432</v>
      </c>
      <c r="P4">
        <f ca="1">$G$26 + ($G$9 - $G$26) * (ROW(A1)-1)/99</f>
        <v>-0.58922300842456532</v>
      </c>
      <c r="R4">
        <f ca="1">$G$14 + $G$19 * ($G$23 * (S4 - $G$13))^2 - $G$22 * (1 - (S4 - $G$6)/($G$13 - $G$6))</f>
        <v>1.4480852393229483E-2</v>
      </c>
      <c r="S4">
        <f ca="1">$G$13 + ($G$25 - $G$13) * (ROW(A1)-1)/99</f>
        <v>0.66970132936809146</v>
      </c>
    </row>
    <row r="5" spans="1:19" x14ac:dyDescent="0.35">
      <c r="A5">
        <f ca="1"/>
        <v>-2.8461538461538463</v>
      </c>
      <c r="B5">
        <f ca="1"/>
        <v>2.6731069783210458E-2</v>
      </c>
      <c r="C5">
        <f t="shared" ref="C5:C20" ca="1" si="0">IF(ISBLANK(D5), "",
IF(D5 &lt; $G$9,
    $G$10 + $G$19 * ($G$23 * (D5 - $G$9))^2 + $G$21 * (1 - (D5 - $G$6)/($G$9 - $G$6)),
IF(D5 &gt; $G$13,
    $G$14 + $G$19 * ($G$23 * (D5 - $G$13))^2 - $G$22 * (1 - (D5 - $G$6)/($G$13 - $G$6)),
IF(D5 &lt; $G$6,
    $G$16 * (D5 - $G$6)^2 + $G$5,
    $G$17 * (D5 - $G$6)^2 + $G$5))))</f>
        <v>0.19743764660351432</v>
      </c>
      <c r="D5">
        <f ca="1"/>
        <v>-0.58922300842456532</v>
      </c>
      <c r="F5" t="s">
        <v>13</v>
      </c>
      <c r="G5">
        <f ca="1">MIN(B4:B1000)</f>
        <v>6.5268971731127015E-3</v>
      </c>
      <c r="I5">
        <f t="shared" ref="I5:I68" ca="1" si="1">$G$16 * (J5 - $G$6)^2 + $G$5</f>
        <v>9.8896057142342474E-3</v>
      </c>
      <c r="J5">
        <f t="shared" ref="J5:J36" ca="1" si="2">$G$9 + ($G$6 - $G$9) * (ROW(B2)-1)/99</f>
        <v>-0.25513963277687934</v>
      </c>
      <c r="L5">
        <f t="shared" ref="L5:L68" ca="1" si="3">$G$17 * (M5 - $G$6)^2 + $G$5</f>
        <v>1.4320977974459664E-2</v>
      </c>
      <c r="M5">
        <f t="shared" ref="M5:M68" ca="1" si="4">$G$13 + ($G$6 - $G$13) * (ROW(F2)-1)/99</f>
        <v>0.6624988740323341</v>
      </c>
      <c r="O5">
        <f t="shared" ref="O5:O68" ca="1" si="5">$G$10 + $G$19 * ($G$23 * (P5 - $G$9))^2 + $G$21 * (1 - (P5 - $G$6)/($G$9 - $G$6))</f>
        <v>0.19416690508588386</v>
      </c>
      <c r="P5">
        <f t="shared" ref="P5:P36" ca="1" si="6">$G$26 + ($G$9 - $G$26) * (ROW(B2)-1)/99</f>
        <v>-0.58587025920486135</v>
      </c>
      <c r="R5">
        <f t="shared" ref="R5:R68" ca="1" si="7">$G$14 + $G$19 * ($G$23 * (S5 - $G$13))^2 - $G$22 * (1 - (S5 - $G$6)/($G$13 - $G$6))</f>
        <v>1.4534324288934313E-2</v>
      </c>
      <c r="S5">
        <f t="shared" ref="S5:S36" ca="1" si="8">$G$13 + ($G$25 - $G$13) * (ROW(B2)-1)/99</f>
        <v>0.67130729773694842</v>
      </c>
    </row>
    <row r="6" spans="1:19" x14ac:dyDescent="0.35">
      <c r="A6">
        <f ca="1"/>
        <v>-2.6923076923076925</v>
      </c>
      <c r="B6">
        <f ca="1"/>
        <v>2.3260958694217227E-2</v>
      </c>
      <c r="C6">
        <f t="shared" ca="1" si="0"/>
        <v>0.17376960800926033</v>
      </c>
      <c r="D6">
        <f ca="1"/>
        <v>-0.56427096362307461</v>
      </c>
      <c r="F6" t="s">
        <v>14</v>
      </c>
      <c r="G6">
        <f ca="1">INDEX(D4:D1000, MATCH(G5, B4:B1000, 0))</f>
        <v>-4.3341748871891642E-2</v>
      </c>
      <c r="I6">
        <f t="shared" ca="1" si="1"/>
        <v>9.8213291455629959E-3</v>
      </c>
      <c r="J6">
        <f t="shared" ca="1" si="2"/>
        <v>-0.25297842987988967</v>
      </c>
      <c r="L6">
        <f t="shared" ca="1" si="3"/>
        <v>1.4162726646235729E-2</v>
      </c>
      <c r="M6">
        <f t="shared" ca="1" si="4"/>
        <v>0.65529641869657662</v>
      </c>
      <c r="O6">
        <f t="shared" ca="1" si="5"/>
        <v>0.19092426588657879</v>
      </c>
      <c r="P6">
        <f t="shared" ca="1" si="6"/>
        <v>-0.58251750998515728</v>
      </c>
      <c r="R6">
        <f t="shared" ca="1" si="7"/>
        <v>1.4594244020643566E-2</v>
      </c>
      <c r="S6">
        <f t="shared" ca="1" si="8"/>
        <v>0.67291326610580537</v>
      </c>
    </row>
    <row r="7" spans="1:19" x14ac:dyDescent="0.35">
      <c r="A7">
        <f ca="1"/>
        <v>-2.5384615384615383</v>
      </c>
      <c r="B7">
        <f ca="1"/>
        <v>1.905273924792774E-2</v>
      </c>
      <c r="C7">
        <f t="shared" ca="1" si="0"/>
        <v>0.13912538770264515</v>
      </c>
      <c r="D7">
        <f ca="1"/>
        <v>-0.52433190992430678</v>
      </c>
      <c r="I7">
        <f t="shared" ca="1" si="1"/>
        <v>9.7537528493909353E-3</v>
      </c>
      <c r="J7">
        <f t="shared" ca="1" si="2"/>
        <v>-0.25081722698289999</v>
      </c>
      <c r="L7">
        <f t="shared" ca="1" si="3"/>
        <v>1.4006098408557682E-2</v>
      </c>
      <c r="M7">
        <f t="shared" ca="1" si="4"/>
        <v>0.64809396336081926</v>
      </c>
      <c r="O7">
        <f t="shared" ca="1" si="5"/>
        <v>0.18770972900559943</v>
      </c>
      <c r="P7">
        <f t="shared" ca="1" si="6"/>
        <v>-0.57916476076545331</v>
      </c>
      <c r="R7">
        <f t="shared" ca="1" si="7"/>
        <v>1.4660611588357249E-2</v>
      </c>
      <c r="S7">
        <f t="shared" ca="1" si="8"/>
        <v>0.67451923447466244</v>
      </c>
    </row>
    <row r="8" spans="1:19" x14ac:dyDescent="0.35">
      <c r="A8">
        <f ca="1"/>
        <v>-2.3846153846153846</v>
      </c>
      <c r="B8">
        <f ca="1"/>
        <v>1.5102744564496237E-2</v>
      </c>
      <c r="C8">
        <f t="shared" ca="1" si="0"/>
        <v>0.10483548385346919</v>
      </c>
      <c r="D8">
        <f ca="1"/>
        <v>-0.47928438417741526</v>
      </c>
      <c r="F8" t="s">
        <v>15</v>
      </c>
      <c r="G8" s="5">
        <v>9</v>
      </c>
      <c r="I8">
        <f t="shared" ca="1" si="1"/>
        <v>9.6868768257180691E-3</v>
      </c>
      <c r="J8">
        <f t="shared" ca="1" si="2"/>
        <v>-0.24865602408591034</v>
      </c>
      <c r="L8">
        <f t="shared" ca="1" si="3"/>
        <v>1.385109326142552E-2</v>
      </c>
      <c r="M8">
        <f t="shared" ca="1" si="4"/>
        <v>0.64089150802506178</v>
      </c>
      <c r="O8">
        <f t="shared" ca="1" si="5"/>
        <v>0.1845232944429456</v>
      </c>
      <c r="P8">
        <f t="shared" ca="1" si="6"/>
        <v>-0.57581201154574935</v>
      </c>
      <c r="R8">
        <f t="shared" ca="1" si="7"/>
        <v>1.4733426992075348E-2</v>
      </c>
      <c r="S8">
        <f t="shared" ca="1" si="8"/>
        <v>0.6761252028435194</v>
      </c>
    </row>
    <row r="9" spans="1:19" x14ac:dyDescent="0.35">
      <c r="A9">
        <f ca="1"/>
        <v>-2.2307692307692308</v>
      </c>
      <c r="B9">
        <f ca="1"/>
        <v>1.1359388654780304E-2</v>
      </c>
      <c r="C9">
        <f t="shared" ca="1" si="0"/>
        <v>6.1837520137962482E-2</v>
      </c>
      <c r="D9">
        <f ca="1"/>
        <v>-0.40969719286116341</v>
      </c>
      <c r="F9" t="s">
        <v>17</v>
      </c>
      <c r="G9" cm="1">
        <f t="array" aca="1" ref="G9" ca="1">INDEX(D4:D1000, G8)</f>
        <v>-0.25730083567386902</v>
      </c>
      <c r="I9">
        <f t="shared" ca="1" si="1"/>
        <v>9.6207010745443938E-3</v>
      </c>
      <c r="J9">
        <f t="shared" ca="1" si="2"/>
        <v>-0.24649482118892066</v>
      </c>
      <c r="L9">
        <f t="shared" ca="1" si="3"/>
        <v>1.3697711204839248E-2</v>
      </c>
      <c r="M9">
        <f t="shared" ca="1" si="4"/>
        <v>0.63368905268930442</v>
      </c>
      <c r="O9">
        <f t="shared" ca="1" si="5"/>
        <v>0.18136496219861728</v>
      </c>
      <c r="P9">
        <f t="shared" ca="1" si="6"/>
        <v>-0.57245926232604527</v>
      </c>
      <c r="R9">
        <f t="shared" ca="1" si="7"/>
        <v>1.4812690231797869E-2</v>
      </c>
      <c r="S9">
        <f t="shared" ca="1" si="8"/>
        <v>0.67773117121237636</v>
      </c>
    </row>
    <row r="10" spans="1:19" x14ac:dyDescent="0.35">
      <c r="A10">
        <f ca="1"/>
        <v>-2.0769230769230766</v>
      </c>
      <c r="B10">
        <f ca="1"/>
        <v>1.0442078186554869E-2</v>
      </c>
      <c r="C10">
        <f t="shared" ca="1" si="0"/>
        <v>3.5627125472510623E-2</v>
      </c>
      <c r="D10">
        <f ca="1"/>
        <v>-0.35267298820868725</v>
      </c>
      <c r="F10" t="s">
        <v>18</v>
      </c>
      <c r="G10" cm="1">
        <f t="array" aca="1" ref="G10" ca="1">INDEX(B4:B1000, G8)</f>
        <v>9.9585825554046915E-3</v>
      </c>
      <c r="I10">
        <f t="shared" ca="1" si="1"/>
        <v>9.555225595869913E-3</v>
      </c>
      <c r="J10">
        <f t="shared" ca="1" si="2"/>
        <v>-0.24433361829193101</v>
      </c>
      <c r="L10">
        <f t="shared" ca="1" si="3"/>
        <v>1.3545952238798859E-2</v>
      </c>
      <c r="M10">
        <f t="shared" ca="1" si="4"/>
        <v>0.62648659735354706</v>
      </c>
      <c r="O10">
        <f t="shared" ca="1" si="5"/>
        <v>0.1782347322726146</v>
      </c>
      <c r="P10">
        <f t="shared" ca="1" si="6"/>
        <v>-0.56910651310634131</v>
      </c>
      <c r="R10">
        <f t="shared" ca="1" si="7"/>
        <v>1.4898401307524813E-2</v>
      </c>
      <c r="S10">
        <f t="shared" ca="1" si="8"/>
        <v>0.67933713958123332</v>
      </c>
    </row>
    <row r="11" spans="1:19" x14ac:dyDescent="0.35">
      <c r="A11">
        <f ca="1"/>
        <v>-1.9230769230769229</v>
      </c>
      <c r="B11">
        <f ca="1"/>
        <v>9.0081445615526196E-3</v>
      </c>
      <c r="C11">
        <f t="shared" ca="1" si="0"/>
        <v>3.0612773598879428E-2</v>
      </c>
      <c r="D11">
        <f ca="1"/>
        <v>-0.33917479943798506</v>
      </c>
      <c r="I11">
        <f t="shared" ca="1" si="1"/>
        <v>9.4904503896946213E-3</v>
      </c>
      <c r="J11">
        <f t="shared" ca="1" si="2"/>
        <v>-0.24217241539494133</v>
      </c>
      <c r="L11">
        <f t="shared" ca="1" si="3"/>
        <v>1.3395816363304358E-2</v>
      </c>
      <c r="M11">
        <f t="shared" ca="1" si="4"/>
        <v>0.61928414201778959</v>
      </c>
      <c r="O11">
        <f t="shared" ca="1" si="5"/>
        <v>0.17513260466493752</v>
      </c>
      <c r="P11">
        <f t="shared" ca="1" si="6"/>
        <v>-0.56575376388663734</v>
      </c>
      <c r="R11">
        <f t="shared" ca="1" si="7"/>
        <v>1.499056021925619E-2</v>
      </c>
      <c r="S11">
        <f t="shared" ca="1" si="8"/>
        <v>0.68094310795009039</v>
      </c>
    </row>
    <row r="12" spans="1:19" x14ac:dyDescent="0.35">
      <c r="A12">
        <f ca="1"/>
        <v>-1.7692307692307692</v>
      </c>
      <c r="B12">
        <f ca="1"/>
        <v>9.9585825554046915E-3</v>
      </c>
      <c r="C12">
        <f t="shared" ca="1" si="0"/>
        <v>9.9585825554046915E-3</v>
      </c>
      <c r="D12">
        <f ca="1"/>
        <v>-0.25730083567386902</v>
      </c>
      <c r="F12" t="s">
        <v>16</v>
      </c>
      <c r="G12" s="5">
        <v>31</v>
      </c>
      <c r="I12">
        <f t="shared" ca="1" si="1"/>
        <v>9.426375456018524E-3</v>
      </c>
      <c r="J12">
        <f t="shared" ca="1" si="2"/>
        <v>-0.24001121249795165</v>
      </c>
      <c r="L12">
        <f t="shared" ca="1" si="3"/>
        <v>1.3247303578355744E-2</v>
      </c>
      <c r="M12">
        <f t="shared" ca="1" si="4"/>
        <v>0.61208168668203222</v>
      </c>
      <c r="O12">
        <f t="shared" ca="1" si="5"/>
        <v>0.17205857937558583</v>
      </c>
      <c r="P12">
        <f t="shared" ca="1" si="6"/>
        <v>-0.56240101466693326</v>
      </c>
      <c r="R12">
        <f t="shared" ca="1" si="7"/>
        <v>1.5089166966991981E-2</v>
      </c>
      <c r="S12">
        <f t="shared" ca="1" si="8"/>
        <v>0.68254907631894735</v>
      </c>
    </row>
    <row r="13" spans="1:19" x14ac:dyDescent="0.35">
      <c r="A13">
        <f ca="1"/>
        <v>-1.6153846153846154</v>
      </c>
      <c r="B13">
        <f ca="1"/>
        <v>8.8252393976860789E-3</v>
      </c>
      <c r="C13">
        <f t="shared" ca="1" si="0"/>
        <v>8.7526455007146259E-3</v>
      </c>
      <c r="D13">
        <f ca="1"/>
        <v>-0.21565355359848665</v>
      </c>
      <c r="F13" t="s">
        <v>19</v>
      </c>
      <c r="G13" cm="1">
        <f t="array" aca="1" ref="G13" ca="1">INDEX(D4:D1000, G12)</f>
        <v>0.66970132936809146</v>
      </c>
      <c r="I13">
        <f t="shared" ca="1" si="1"/>
        <v>9.3630007948416194E-3</v>
      </c>
      <c r="J13">
        <f t="shared" ca="1" si="2"/>
        <v>-0.23785000960096198</v>
      </c>
      <c r="L13">
        <f t="shared" ca="1" si="3"/>
        <v>1.3100413883953017E-2</v>
      </c>
      <c r="M13">
        <f t="shared" ca="1" si="4"/>
        <v>0.60487923134627475</v>
      </c>
      <c r="O13">
        <f t="shared" ca="1" si="5"/>
        <v>0.16901265640455984</v>
      </c>
      <c r="P13">
        <f t="shared" ca="1" si="6"/>
        <v>-0.5590482654472293</v>
      </c>
      <c r="R13">
        <f t="shared" ca="1" si="7"/>
        <v>1.5194221550732192E-2</v>
      </c>
      <c r="S13">
        <f t="shared" ca="1" si="8"/>
        <v>0.6841550446878043</v>
      </c>
    </row>
    <row r="14" spans="1:19" x14ac:dyDescent="0.35">
      <c r="A14">
        <f ca="1"/>
        <v>-1.4615384615384615</v>
      </c>
      <c r="B14">
        <f ca="1"/>
        <v>7.972605116331067E-3</v>
      </c>
      <c r="C14">
        <f t="shared" ca="1" si="0"/>
        <v>7.8316009956829347E-3</v>
      </c>
      <c r="D14">
        <f ca="1"/>
        <v>-0.17526853132933995</v>
      </c>
      <c r="F14" t="s">
        <v>20</v>
      </c>
      <c r="G14" cm="1">
        <f t="array" aca="1" ref="G14" ca="1">INDEX(B4:B1000, G12)</f>
        <v>1.4480852393229483E-2</v>
      </c>
      <c r="I14">
        <f t="shared" ca="1" si="1"/>
        <v>9.3003264061639057E-3</v>
      </c>
      <c r="J14">
        <f t="shared" ca="1" si="2"/>
        <v>-0.23568880670397233</v>
      </c>
      <c r="L14">
        <f t="shared" ca="1" si="3"/>
        <v>1.2955147280096176E-2</v>
      </c>
      <c r="M14">
        <f t="shared" ca="1" si="4"/>
        <v>0.59767677601051739</v>
      </c>
      <c r="O14">
        <f t="shared" ca="1" si="5"/>
        <v>0.16599483575185944</v>
      </c>
      <c r="P14">
        <f t="shared" ca="1" si="6"/>
        <v>-0.55569551622752533</v>
      </c>
      <c r="R14">
        <f t="shared" ca="1" si="7"/>
        <v>1.5305723970476829E-2</v>
      </c>
      <c r="S14">
        <f t="shared" ca="1" si="8"/>
        <v>0.68576101305666126</v>
      </c>
    </row>
    <row r="15" spans="1:19" x14ac:dyDescent="0.35">
      <c r="A15">
        <f ca="1"/>
        <v>-1.3076923076923075</v>
      </c>
      <c r="B15">
        <f ca="1"/>
        <v>7.3836390638719494E-3</v>
      </c>
      <c r="C15">
        <f t="shared" ca="1" si="0"/>
        <v>7.1637171200169894E-3</v>
      </c>
      <c r="D15">
        <f ca="1"/>
        <v>-0.13551084580648445</v>
      </c>
      <c r="I15">
        <f t="shared" ca="1" si="1"/>
        <v>9.2383522899853847E-3</v>
      </c>
      <c r="J15">
        <f t="shared" ca="1" si="2"/>
        <v>-0.23352760380698265</v>
      </c>
      <c r="L15">
        <f t="shared" ca="1" si="3"/>
        <v>1.2811503766785221E-2</v>
      </c>
      <c r="M15">
        <f t="shared" ca="1" si="4"/>
        <v>0.59047432067476002</v>
      </c>
      <c r="O15">
        <f t="shared" ca="1" si="5"/>
        <v>0.16300511741748447</v>
      </c>
      <c r="P15">
        <f t="shared" ca="1" si="6"/>
        <v>-0.55234276700782126</v>
      </c>
      <c r="R15">
        <f t="shared" ca="1" si="7"/>
        <v>1.5423674226225885E-2</v>
      </c>
      <c r="S15">
        <f t="shared" ca="1" si="8"/>
        <v>0.68736698142551822</v>
      </c>
    </row>
    <row r="16" spans="1:19" x14ac:dyDescent="0.35">
      <c r="A16">
        <f ca="1"/>
        <v>-1.1538461538461537</v>
      </c>
      <c r="B16">
        <f ca="1"/>
        <v>6.9281899313163274E-3</v>
      </c>
      <c r="C16">
        <f t="shared" ca="1" si="0"/>
        <v>6.7497121406970432E-3</v>
      </c>
      <c r="D16">
        <f ca="1"/>
        <v>-9.7860912382717866E-2</v>
      </c>
      <c r="F16" t="s">
        <v>21</v>
      </c>
      <c r="G16">
        <f ca="1">(G10 - G5) / (G9 - G6)^2</f>
        <v>7.4962833427608691E-2</v>
      </c>
      <c r="I16">
        <f t="shared" ca="1" si="1"/>
        <v>9.1770784463060563E-3</v>
      </c>
      <c r="J16">
        <f t="shared" ca="1" si="2"/>
        <v>-0.23136640090999297</v>
      </c>
      <c r="L16">
        <f t="shared" ca="1" si="3"/>
        <v>1.2669483344020151E-2</v>
      </c>
      <c r="M16">
        <f t="shared" ca="1" si="4"/>
        <v>0.58327186533900255</v>
      </c>
      <c r="O16">
        <f t="shared" ca="1" si="5"/>
        <v>0.16004350140143514</v>
      </c>
      <c r="P16">
        <f t="shared" ca="1" si="6"/>
        <v>-0.54899001778811729</v>
      </c>
      <c r="R16">
        <f t="shared" ca="1" si="7"/>
        <v>1.5548072317979379E-2</v>
      </c>
      <c r="S16">
        <f t="shared" ca="1" si="8"/>
        <v>0.68897294979437529</v>
      </c>
    </row>
    <row r="17" spans="1:19" x14ac:dyDescent="0.35">
      <c r="A17">
        <f ca="1"/>
        <v>-1</v>
      </c>
      <c r="B17">
        <f ca="1"/>
        <v>6.6701551426987908E-3</v>
      </c>
      <c r="C17">
        <f t="shared" ca="1" si="0"/>
        <v>6.5869861235883873E-3</v>
      </c>
      <c r="D17">
        <f ca="1"/>
        <v>-7.1653994179530445E-2</v>
      </c>
      <c r="F17" t="s">
        <v>22</v>
      </c>
      <c r="G17">
        <f ca="1">(G14 - G5) / (G13 - G6)^2</f>
        <v>1.5644136795291762E-2</v>
      </c>
      <c r="I17">
        <f t="shared" ca="1" si="1"/>
        <v>9.1165048751259206E-3</v>
      </c>
      <c r="J17">
        <f t="shared" ca="1" si="2"/>
        <v>-0.22920519801300332</v>
      </c>
      <c r="L17">
        <f t="shared" ca="1" si="3"/>
        <v>1.2529086011800968E-2</v>
      </c>
      <c r="M17">
        <f t="shared" ca="1" si="4"/>
        <v>0.57606941000324519</v>
      </c>
      <c r="O17">
        <f t="shared" ca="1" si="5"/>
        <v>0.15710998770371146</v>
      </c>
      <c r="P17">
        <f t="shared" ca="1" si="6"/>
        <v>-0.54563726856841333</v>
      </c>
      <c r="R17">
        <f t="shared" ca="1" si="7"/>
        <v>1.5678918245737281E-2</v>
      </c>
      <c r="S17">
        <f t="shared" ca="1" si="8"/>
        <v>0.69057891816323225</v>
      </c>
    </row>
    <row r="18" spans="1:19" x14ac:dyDescent="0.35">
      <c r="A18">
        <f ca="1"/>
        <v>-0.84615384615384581</v>
      </c>
      <c r="B18">
        <f ca="1"/>
        <v>6.5268971731127015E-3</v>
      </c>
      <c r="C18">
        <f t="shared" ca="1" si="0"/>
        <v>6.5268971731127015E-3</v>
      </c>
      <c r="D18">
        <f ca="1"/>
        <v>-4.3341748871891642E-2</v>
      </c>
      <c r="I18">
        <f t="shared" ca="1" si="1"/>
        <v>9.0566315764449776E-3</v>
      </c>
      <c r="J18">
        <f t="shared" ca="1" si="2"/>
        <v>-0.22704399511601364</v>
      </c>
      <c r="L18">
        <f t="shared" ca="1" si="3"/>
        <v>1.2390311770127675E-2</v>
      </c>
      <c r="M18">
        <f t="shared" ca="1" si="4"/>
        <v>0.56886695466748782</v>
      </c>
      <c r="O18">
        <f t="shared" ca="1" si="5"/>
        <v>0.1542045763243132</v>
      </c>
      <c r="P18">
        <f t="shared" ca="1" si="6"/>
        <v>-0.54228451934870925</v>
      </c>
      <c r="R18">
        <f t="shared" ca="1" si="7"/>
        <v>1.5816212009499609E-2</v>
      </c>
      <c r="S18">
        <f t="shared" ca="1" si="8"/>
        <v>0.69218488653208921</v>
      </c>
    </row>
    <row r="19" spans="1:19" x14ac:dyDescent="0.35">
      <c r="A19">
        <f ca="1"/>
        <v>-0.69230769230769207</v>
      </c>
      <c r="B19">
        <f ca="1"/>
        <v>6.5555805851805924E-3</v>
      </c>
      <c r="C19">
        <f t="shared" ca="1" si="0"/>
        <v>6.5891776875446062E-3</v>
      </c>
      <c r="D19">
        <f ca="1"/>
        <v>1.9754028165769075E-2</v>
      </c>
      <c r="F19" t="s">
        <v>26</v>
      </c>
      <c r="G19" s="3">
        <v>0.05</v>
      </c>
      <c r="I19">
        <f t="shared" ca="1" si="1"/>
        <v>8.9974585502632255E-3</v>
      </c>
      <c r="J19">
        <f t="shared" ca="1" si="2"/>
        <v>-0.22488279221902396</v>
      </c>
      <c r="L19">
        <f t="shared" ca="1" si="3"/>
        <v>1.2253160619000263E-2</v>
      </c>
      <c r="M19">
        <f t="shared" ca="1" si="4"/>
        <v>0.56166449933173035</v>
      </c>
      <c r="O19">
        <f t="shared" ca="1" si="5"/>
        <v>0.15132726726324058</v>
      </c>
      <c r="P19">
        <f t="shared" ca="1" si="6"/>
        <v>-0.53893177012900528</v>
      </c>
      <c r="R19">
        <f t="shared" ca="1" si="7"/>
        <v>1.5959953609266365E-2</v>
      </c>
      <c r="S19">
        <f t="shared" ca="1" si="8"/>
        <v>0.69379085490094616</v>
      </c>
    </row>
    <row r="20" spans="1:19" x14ac:dyDescent="0.35">
      <c r="A20">
        <f ca="1"/>
        <v>-0.53846153846153832</v>
      </c>
      <c r="B20">
        <f ca="1"/>
        <v>6.5829098600688864E-3</v>
      </c>
      <c r="C20">
        <f t="shared" ca="1" si="0"/>
        <v>6.6848599894265654E-3</v>
      </c>
      <c r="D20">
        <f ca="1"/>
        <v>5.7143342476516784E-2</v>
      </c>
      <c r="F20" t="s">
        <v>27</v>
      </c>
      <c r="G20" s="3">
        <v>0.2</v>
      </c>
      <c r="I20">
        <f t="shared" ca="1" si="1"/>
        <v>8.938985796580666E-3</v>
      </c>
      <c r="J20">
        <f t="shared" ca="1" si="2"/>
        <v>-0.22272158932203429</v>
      </c>
      <c r="L20">
        <f t="shared" ca="1" si="3"/>
        <v>1.2117632558418742E-2</v>
      </c>
      <c r="M20">
        <f t="shared" ca="1" si="4"/>
        <v>0.55446204399597299</v>
      </c>
      <c r="O20">
        <f t="shared" ca="1" si="5"/>
        <v>0.14847806052049356</v>
      </c>
      <c r="P20">
        <f t="shared" ca="1" si="6"/>
        <v>-0.53557902090930132</v>
      </c>
      <c r="R20">
        <f t="shared" ca="1" si="7"/>
        <v>1.6110143045037544E-2</v>
      </c>
      <c r="S20">
        <f t="shared" ca="1" si="8"/>
        <v>0.69539682326980323</v>
      </c>
    </row>
    <row r="21" spans="1:19" x14ac:dyDescent="0.35">
      <c r="A21">
        <f ca="1"/>
        <v>-0.38461538461538458</v>
      </c>
      <c r="B21">
        <f ca="1"/>
        <v>6.6509869745660158E-3</v>
      </c>
      <c r="C21">
        <f t="shared" ref="C21:C68" ca="1" si="9">IF(ISBLANK(D21), "",
IF(D21 &lt; $G$9,
    $G$10 + $G$19 * ($G$23 * (D21 - $G$9))^2 + $G$21 * (1 - (D21 - $G$6)/($G$9 - $G$6)),
IF(D21 &gt; $G$13,
    $G$14 + $G$19 * ($G$23 * (D21 - $G$13))^2 - $G$22 * (1 - (D21 - $G$6)/($G$13 - $G$6)),
IF(D21 &lt; $G$6,
    $G$16 * (D21 - $G$6)^2 + $G$5,
    $G$17 * (D21 - $G$6)^2 + $G$5))))</f>
        <v>6.8223995894284442E-3</v>
      </c>
      <c r="D21">
        <f ca="1"/>
        <v>9.4095583116752798E-2</v>
      </c>
      <c r="F21" t="s">
        <v>28</v>
      </c>
      <c r="G21">
        <f ca="1">2 * (G10 - G5) * (G9 - G6) / (G9 - G6)^2</f>
        <v>-3.20779587685198E-2</v>
      </c>
      <c r="I21">
        <f t="shared" ca="1" si="1"/>
        <v>8.8812133153972992E-3</v>
      </c>
      <c r="J21">
        <f t="shared" ca="1" si="2"/>
        <v>-0.22056038642504461</v>
      </c>
      <c r="L21">
        <f t="shared" ca="1" si="3"/>
        <v>1.1983727588383107E-2</v>
      </c>
      <c r="M21">
        <f t="shared" ca="1" si="4"/>
        <v>0.54725958866021562</v>
      </c>
      <c r="O21">
        <f t="shared" ca="1" si="5"/>
        <v>0.14565695609607199</v>
      </c>
      <c r="P21">
        <f t="shared" ca="1" si="6"/>
        <v>-0.53222627168959724</v>
      </c>
      <c r="R21">
        <f t="shared" ca="1" si="7"/>
        <v>1.626678031681314E-2</v>
      </c>
      <c r="S21">
        <f t="shared" ca="1" si="8"/>
        <v>0.69700279163866019</v>
      </c>
    </row>
    <row r="22" spans="1:19" x14ac:dyDescent="0.35">
      <c r="A22">
        <f ca="1"/>
        <v>-0.23076923076923084</v>
      </c>
      <c r="B22">
        <f ca="1"/>
        <v>6.7426710283406046E-3</v>
      </c>
      <c r="C22">
        <f t="shared" ca="1" si="9"/>
        <v>7.0009726537994966E-3</v>
      </c>
      <c r="D22">
        <f ca="1"/>
        <v>0.13073787698698214</v>
      </c>
      <c r="F22" t="s">
        <v>29</v>
      </c>
      <c r="G22">
        <f ca="1">2 * (G14 - G5) * (G13 - G6) / (G13 - G6)^2</f>
        <v>2.2309886913844449E-2</v>
      </c>
      <c r="I22">
        <f t="shared" ca="1" si="1"/>
        <v>8.8241411067131233E-3</v>
      </c>
      <c r="J22">
        <f t="shared" ca="1" si="2"/>
        <v>-0.21839918352805496</v>
      </c>
      <c r="L22">
        <f t="shared" ca="1" si="3"/>
        <v>1.1851445708893356E-2</v>
      </c>
      <c r="M22">
        <f t="shared" ca="1" si="4"/>
        <v>0.54005713332445815</v>
      </c>
      <c r="O22">
        <f t="shared" ca="1" si="5"/>
        <v>0.14286395398997606</v>
      </c>
      <c r="P22">
        <f t="shared" ca="1" si="6"/>
        <v>-0.52887352246989328</v>
      </c>
      <c r="R22">
        <f t="shared" ca="1" si="7"/>
        <v>1.6429865424593158E-2</v>
      </c>
      <c r="S22">
        <f t="shared" ca="1" si="8"/>
        <v>0.69860876000751715</v>
      </c>
    </row>
    <row r="23" spans="1:19" x14ac:dyDescent="0.35">
      <c r="A23">
        <f ca="1"/>
        <v>-7.692307692307665E-2</v>
      </c>
      <c r="B23">
        <f ca="1"/>
        <v>6.8536416321900639E-3</v>
      </c>
      <c r="C23">
        <f t="shared" ca="1" si="9"/>
        <v>7.2194904371053904E-3</v>
      </c>
      <c r="D23">
        <f ca="1"/>
        <v>0.16706677485444543</v>
      </c>
      <c r="F23" t="s">
        <v>30</v>
      </c>
      <c r="G23">
        <f>1/G20</f>
        <v>5</v>
      </c>
      <c r="I23">
        <f t="shared" ca="1" si="1"/>
        <v>8.7677691705281419E-3</v>
      </c>
      <c r="J23">
        <f t="shared" ca="1" si="2"/>
        <v>-0.21623798063106528</v>
      </c>
      <c r="L23">
        <f t="shared" ca="1" si="3"/>
        <v>1.1720786919949494E-2</v>
      </c>
      <c r="M23">
        <f t="shared" ca="1" si="4"/>
        <v>0.53285467798870079</v>
      </c>
      <c r="O23">
        <f t="shared" ca="1" si="5"/>
        <v>0.14009905420220575</v>
      </c>
      <c r="P23">
        <f t="shared" ca="1" si="6"/>
        <v>-0.52552077325018931</v>
      </c>
      <c r="R23">
        <f t="shared" ca="1" si="7"/>
        <v>1.6599398368377604E-2</v>
      </c>
      <c r="S23">
        <f t="shared" ca="1" si="8"/>
        <v>0.70021472837637411</v>
      </c>
    </row>
    <row r="24" spans="1:19" x14ac:dyDescent="0.35">
      <c r="A24">
        <f ca="1"/>
        <v>7.6923076923077094E-2</v>
      </c>
      <c r="B24">
        <f ca="1"/>
        <v>6.9801697013243307E-3</v>
      </c>
      <c r="C24">
        <f t="shared" ca="1" si="9"/>
        <v>7.4768223071260973E-3</v>
      </c>
      <c r="D24">
        <f ca="1"/>
        <v>0.20307424174172303</v>
      </c>
      <c r="I24">
        <f t="shared" ca="1" si="1"/>
        <v>8.7120975068423513E-3</v>
      </c>
      <c r="J24">
        <f t="shared" ca="1" si="2"/>
        <v>-0.2140767777340756</v>
      </c>
      <c r="L24">
        <f t="shared" ca="1" si="3"/>
        <v>1.1591751221551518E-2</v>
      </c>
      <c r="M24">
        <f t="shared" ca="1" si="4"/>
        <v>0.52565222265294331</v>
      </c>
      <c r="O24">
        <f t="shared" ca="1" si="5"/>
        <v>0.13736225673276087</v>
      </c>
      <c r="P24">
        <f t="shared" ca="1" si="6"/>
        <v>-0.52216802403048523</v>
      </c>
      <c r="R24">
        <f t="shared" ca="1" si="7"/>
        <v>1.6775379148166465E-2</v>
      </c>
      <c r="S24">
        <f t="shared" ca="1" si="8"/>
        <v>0.70182069674523107</v>
      </c>
    </row>
    <row r="25" spans="1:19" x14ac:dyDescent="0.35">
      <c r="A25">
        <f ca="1"/>
        <v>0.23076923076923084</v>
      </c>
      <c r="B25">
        <f ca="1"/>
        <v>7.117210584767792E-3</v>
      </c>
      <c r="C25">
        <f t="shared" ca="1" si="9"/>
        <v>7.7723207029699367E-3</v>
      </c>
      <c r="D25">
        <f ca="1"/>
        <v>0.23880998984116422</v>
      </c>
      <c r="F25" t="s">
        <v>33</v>
      </c>
      <c r="G25">
        <f ca="1">MAX(D4:D1000)</f>
        <v>0.82869219788493276</v>
      </c>
      <c r="I25">
        <f t="shared" ca="1" si="1"/>
        <v>8.6571261156557552E-3</v>
      </c>
      <c r="J25">
        <f t="shared" ca="1" si="2"/>
        <v>-0.21191557483708595</v>
      </c>
      <c r="L25">
        <f t="shared" ca="1" si="3"/>
        <v>1.1464338613699427E-2</v>
      </c>
      <c r="M25">
        <f t="shared" ca="1" si="4"/>
        <v>0.51844976731718595</v>
      </c>
      <c r="O25">
        <f t="shared" ca="1" si="5"/>
        <v>0.13465356158164163</v>
      </c>
      <c r="P25">
        <f t="shared" ca="1" si="6"/>
        <v>-0.51881527481078127</v>
      </c>
      <c r="R25">
        <f t="shared" ca="1" si="7"/>
        <v>1.6957807763959762E-2</v>
      </c>
      <c r="S25">
        <f t="shared" ca="1" si="8"/>
        <v>0.70342666511408813</v>
      </c>
    </row>
    <row r="26" spans="1:19" x14ac:dyDescent="0.35">
      <c r="A26">
        <f ca="1"/>
        <v>0.38461538461538503</v>
      </c>
      <c r="B26">
        <f ca="1"/>
        <v>7.2659379060358055E-3</v>
      </c>
      <c r="C26">
        <f t="shared" ca="1" si="9"/>
        <v>8.1053131384972894E-3</v>
      </c>
      <c r="D26">
        <f ca="1"/>
        <v>0.27429806298704251</v>
      </c>
      <c r="F26" t="s">
        <v>14</v>
      </c>
      <c r="G26">
        <f ca="1">MIN(D4:D1000)</f>
        <v>-0.58922300842456532</v>
      </c>
      <c r="I26">
        <f t="shared" ca="1" si="1"/>
        <v>8.6028549969683499E-3</v>
      </c>
      <c r="J26">
        <f t="shared" ca="1" si="2"/>
        <v>-0.20975437194009627</v>
      </c>
      <c r="L26">
        <f t="shared" ca="1" si="3"/>
        <v>1.1338549096393223E-2</v>
      </c>
      <c r="M26">
        <f t="shared" ca="1" si="4"/>
        <v>0.51124731198142848</v>
      </c>
      <c r="O26">
        <f t="shared" ca="1" si="5"/>
        <v>0.1319729687488479</v>
      </c>
      <c r="P26">
        <f t="shared" ca="1" si="6"/>
        <v>-0.51546252559107719</v>
      </c>
      <c r="R26">
        <f t="shared" ca="1" si="7"/>
        <v>1.7146684215757477E-2</v>
      </c>
      <c r="S26">
        <f t="shared" ca="1" si="8"/>
        <v>0.70503263348294509</v>
      </c>
    </row>
    <row r="27" spans="1:19" x14ac:dyDescent="0.35">
      <c r="A27">
        <f ca="1"/>
        <v>0.53846153846153877</v>
      </c>
      <c r="B27">
        <f ca="1"/>
        <v>7.4310495748494583E-3</v>
      </c>
      <c r="C27">
        <f t="shared" ca="1" si="9"/>
        <v>8.4770312579508476E-3</v>
      </c>
      <c r="D27">
        <f ca="1"/>
        <v>0.30972468750384707</v>
      </c>
      <c r="I27">
        <f t="shared" ca="1" si="1"/>
        <v>8.5492841507801374E-3</v>
      </c>
      <c r="J27">
        <f t="shared" ca="1" si="2"/>
        <v>-0.2075931690431066</v>
      </c>
      <c r="L27">
        <f t="shared" ca="1" si="3"/>
        <v>1.1214382669632907E-2</v>
      </c>
      <c r="M27">
        <f t="shared" ca="1" si="4"/>
        <v>0.50404485664567111</v>
      </c>
      <c r="O27">
        <f t="shared" ca="1" si="5"/>
        <v>0.12932047823437984</v>
      </c>
      <c r="P27">
        <f t="shared" ca="1" si="6"/>
        <v>-0.51210977637137323</v>
      </c>
      <c r="R27">
        <f t="shared" ca="1" si="7"/>
        <v>1.734200850355961E-2</v>
      </c>
      <c r="S27">
        <f t="shared" ca="1" si="8"/>
        <v>0.70663860185180205</v>
      </c>
    </row>
    <row r="28" spans="1:19" x14ac:dyDescent="0.35">
      <c r="A28">
        <f ca="1"/>
        <v>0.69230769230769251</v>
      </c>
      <c r="B28">
        <f ca="1"/>
        <v>7.6180228072061981E-3</v>
      </c>
      <c r="C28">
        <f t="shared" ca="1" si="9"/>
        <v>8.8957467953393217E-3</v>
      </c>
      <c r="D28">
        <f ca="1"/>
        <v>0.34578666477345982</v>
      </c>
      <c r="F28" t="s">
        <v>44</v>
      </c>
      <c r="G28">
        <f ca="1">COUNTIF(B4:B1000, "&lt;&gt;")</f>
        <v>40</v>
      </c>
      <c r="I28">
        <f t="shared" ca="1" si="1"/>
        <v>8.4964135770911157E-3</v>
      </c>
      <c r="J28">
        <f t="shared" ca="1" si="2"/>
        <v>-0.20543196614611692</v>
      </c>
      <c r="L28">
        <f t="shared" ca="1" si="3"/>
        <v>1.1091839333418476E-2</v>
      </c>
      <c r="M28">
        <f t="shared" ca="1" si="4"/>
        <v>0.49684240130991375</v>
      </c>
      <c r="O28">
        <f t="shared" ca="1" si="5"/>
        <v>0.12669609003823729</v>
      </c>
      <c r="P28">
        <f t="shared" ca="1" si="6"/>
        <v>-0.50875702715166926</v>
      </c>
      <c r="R28">
        <f t="shared" ca="1" si="7"/>
        <v>1.7543780627366164E-2</v>
      </c>
      <c r="S28">
        <f t="shared" ca="1" si="8"/>
        <v>0.70824457022065901</v>
      </c>
    </row>
    <row r="29" spans="1:19" x14ac:dyDescent="0.35">
      <c r="A29">
        <f ca="1"/>
        <v>0.84615384615384626</v>
      </c>
      <c r="B29">
        <f ca="1"/>
        <v>7.8517765427252376E-3</v>
      </c>
      <c r="C29">
        <f t="shared" ca="1" si="9"/>
        <v>9.3834862181212952E-3</v>
      </c>
      <c r="D29">
        <f ca="1"/>
        <v>0.38397319471285918</v>
      </c>
      <c r="I29">
        <f t="shared" ca="1" si="1"/>
        <v>8.4442432759012885E-3</v>
      </c>
      <c r="J29">
        <f t="shared" ca="1" si="2"/>
        <v>-0.20327076324912727</v>
      </c>
      <c r="L29">
        <f t="shared" ca="1" si="3"/>
        <v>1.0970919087749931E-2</v>
      </c>
      <c r="M29">
        <f t="shared" ca="1" si="4"/>
        <v>0.48963994597415633</v>
      </c>
      <c r="O29">
        <f t="shared" ca="1" si="5"/>
        <v>0.12409980416042024</v>
      </c>
      <c r="P29">
        <f t="shared" ca="1" si="6"/>
        <v>-0.50540427793196518</v>
      </c>
      <c r="R29">
        <f t="shared" ca="1" si="7"/>
        <v>1.7752000587177158E-2</v>
      </c>
      <c r="S29">
        <f t="shared" ca="1" si="8"/>
        <v>0.70985053858951608</v>
      </c>
    </row>
    <row r="30" spans="1:19" x14ac:dyDescent="0.35">
      <c r="A30">
        <f ca="1"/>
        <v>1</v>
      </c>
      <c r="B30">
        <f ca="1"/>
        <v>8.5795287022982607E-3</v>
      </c>
      <c r="C30">
        <f t="shared" ca="1" si="9"/>
        <v>9.6785884534751308E-3</v>
      </c>
      <c r="D30">
        <f ca="1"/>
        <v>0.4055028801290273</v>
      </c>
      <c r="F30" t="s">
        <v>234</v>
      </c>
      <c r="G30" s="3">
        <f ca="1">(D30-D24)/(A30-A24)</f>
        <v>0.21929769158624632</v>
      </c>
      <c r="I30">
        <f t="shared" ca="1" si="1"/>
        <v>8.3927732472106522E-3</v>
      </c>
      <c r="J30">
        <f t="shared" ca="1" si="2"/>
        <v>-0.20110956035213759</v>
      </c>
      <c r="L30">
        <f t="shared" ca="1" si="3"/>
        <v>1.0851621932627273E-2</v>
      </c>
      <c r="M30">
        <f t="shared" ca="1" si="4"/>
        <v>0.48243749063839891</v>
      </c>
      <c r="O30">
        <f t="shared" ca="1" si="5"/>
        <v>0.12153162060092886</v>
      </c>
      <c r="P30">
        <f t="shared" ca="1" si="6"/>
        <v>-0.50205152871226122</v>
      </c>
      <c r="R30">
        <f t="shared" ca="1" si="7"/>
        <v>1.7966668382992559E-2</v>
      </c>
      <c r="S30">
        <f t="shared" ca="1" si="8"/>
        <v>0.71145650695837304</v>
      </c>
    </row>
    <row r="31" spans="1:19" x14ac:dyDescent="0.35">
      <c r="A31">
        <f ca="1"/>
        <v>1.1538461538461542</v>
      </c>
      <c r="B31">
        <f ca="1"/>
        <v>9.4588273047107093E-3</v>
      </c>
      <c r="C31">
        <f t="shared" ca="1" si="9"/>
        <v>9.9058596405570722E-3</v>
      </c>
      <c r="D31">
        <f ca="1"/>
        <v>0.42140448753238241</v>
      </c>
      <c r="F31" t="s">
        <v>235</v>
      </c>
      <c r="G31">
        <f ca="1">G30*180/PI()</f>
        <v>12.564832184853497</v>
      </c>
      <c r="I31">
        <f t="shared" ca="1" si="1"/>
        <v>8.3420034910192085E-3</v>
      </c>
      <c r="J31">
        <f t="shared" ca="1" si="2"/>
        <v>-0.19894835745514791</v>
      </c>
      <c r="L31">
        <f t="shared" ca="1" si="3"/>
        <v>1.0733947868050504E-2</v>
      </c>
      <c r="M31">
        <f t="shared" ca="1" si="4"/>
        <v>0.47523503530264155</v>
      </c>
      <c r="O31">
        <f t="shared" ca="1" si="5"/>
        <v>0.11899153935976302</v>
      </c>
      <c r="P31">
        <f t="shared" ca="1" si="6"/>
        <v>-0.49869877949255725</v>
      </c>
      <c r="R31">
        <f t="shared" ca="1" si="7"/>
        <v>1.8187784014812379E-2</v>
      </c>
      <c r="S31">
        <f t="shared" ca="1" si="8"/>
        <v>0.71306247532722999</v>
      </c>
    </row>
    <row r="32" spans="1:19" x14ac:dyDescent="0.35">
      <c r="A32">
        <f ca="1"/>
        <v>1.3076923076923084</v>
      </c>
      <c r="B32">
        <f ca="1"/>
        <v>8.2857099344917431E-3</v>
      </c>
      <c r="C32">
        <f t="shared" ca="1" si="9"/>
        <v>1.1649269031474861E-2</v>
      </c>
      <c r="D32">
        <f ca="1"/>
        <v>0.52887392418128387</v>
      </c>
      <c r="F32" t="s">
        <v>46</v>
      </c>
      <c r="G32">
        <f ca="1">G31/(2*PI())</f>
        <v>1.9997551513395733</v>
      </c>
      <c r="I32">
        <f t="shared" ca="1" si="1"/>
        <v>8.2919340073269558E-3</v>
      </c>
      <c r="J32">
        <f t="shared" ca="1" si="2"/>
        <v>-0.19678715455815823</v>
      </c>
      <c r="L32">
        <f t="shared" ca="1" si="3"/>
        <v>1.0617896894019617E-2</v>
      </c>
      <c r="M32">
        <f t="shared" ca="1" si="4"/>
        <v>0.46803257996688408</v>
      </c>
      <c r="O32">
        <f t="shared" ca="1" si="5"/>
        <v>0.1164795604369227</v>
      </c>
      <c r="P32">
        <f t="shared" ca="1" si="6"/>
        <v>-0.49534603027285323</v>
      </c>
      <c r="R32">
        <f t="shared" ca="1" si="7"/>
        <v>1.8415347482636627E-2</v>
      </c>
      <c r="S32">
        <f t="shared" ca="1" si="8"/>
        <v>0.71466844369608695</v>
      </c>
    </row>
    <row r="33" spans="1:29" x14ac:dyDescent="0.35">
      <c r="A33">
        <f ca="1"/>
        <v>1.4615384615384617</v>
      </c>
      <c r="B33">
        <f ca="1"/>
        <v>1.0000916953434979E-2</v>
      </c>
      <c r="C33">
        <f t="shared" ca="1" si="9"/>
        <v>1.2190098896319735E-2</v>
      </c>
      <c r="D33">
        <f ca="1"/>
        <v>0.55832389508419411</v>
      </c>
      <c r="I33">
        <f t="shared" ca="1" si="1"/>
        <v>8.2425647961338992E-3</v>
      </c>
      <c r="J33">
        <f t="shared" ca="1" si="2"/>
        <v>-0.19462595166116858</v>
      </c>
      <c r="L33">
        <f t="shared" ca="1" si="3"/>
        <v>1.050346901053462E-2</v>
      </c>
      <c r="M33">
        <f t="shared" ca="1" si="4"/>
        <v>0.46083012463112671</v>
      </c>
      <c r="O33">
        <f t="shared" ca="1" si="5"/>
        <v>0.11399568383240799</v>
      </c>
      <c r="P33">
        <f t="shared" ca="1" si="6"/>
        <v>-0.49199328105314921</v>
      </c>
      <c r="R33">
        <f t="shared" ca="1" si="7"/>
        <v>1.8649358786465311E-2</v>
      </c>
      <c r="S33">
        <f t="shared" ca="1" si="8"/>
        <v>0.71627441206494402</v>
      </c>
      <c r="U33" t="s">
        <v>43</v>
      </c>
      <c r="W33" t="s">
        <v>34</v>
      </c>
      <c r="X33" t="s">
        <v>35</v>
      </c>
      <c r="Y33" t="s">
        <v>36</v>
      </c>
      <c r="Z33" t="s">
        <v>38</v>
      </c>
      <c r="AA33" t="s">
        <v>37</v>
      </c>
      <c r="AB33" t="s">
        <v>39</v>
      </c>
      <c r="AC33" t="s">
        <v>46</v>
      </c>
    </row>
    <row r="34" spans="1:29" x14ac:dyDescent="0.35">
      <c r="A34">
        <f ca="1"/>
        <v>1.6153846153846159</v>
      </c>
      <c r="B34">
        <f ca="1"/>
        <v>1.4480852393229483E-2</v>
      </c>
      <c r="C34">
        <f t="shared" ca="1" si="9"/>
        <v>1.4480852393229483E-2</v>
      </c>
      <c r="D34">
        <f ca="1"/>
        <v>0.66970132936809146</v>
      </c>
      <c r="I34">
        <f t="shared" ca="1" si="1"/>
        <v>8.1938958574400318E-3</v>
      </c>
      <c r="J34">
        <f t="shared" ca="1" si="2"/>
        <v>-0.19246474876417891</v>
      </c>
      <c r="L34">
        <f t="shared" ca="1" si="3"/>
        <v>1.0390664217595507E-2</v>
      </c>
      <c r="M34">
        <f t="shared" ca="1" si="4"/>
        <v>0.45362766929536924</v>
      </c>
      <c r="O34">
        <f t="shared" ca="1" si="5"/>
        <v>0.11153990954621884</v>
      </c>
      <c r="P34">
        <f t="shared" ca="1" si="6"/>
        <v>-0.48864053183344525</v>
      </c>
      <c r="R34">
        <f t="shared" ca="1" si="7"/>
        <v>1.8889817926298406E-2</v>
      </c>
      <c r="S34">
        <f t="shared" ca="1" si="8"/>
        <v>0.71788038043380098</v>
      </c>
      <c r="U34" s="4">
        <f ca="1">1 - SUMXMY2(B4:B1000, C4:C1000) / DEVSQ(_xlfn.ANCHORARRAY(B4))</f>
        <v>-18.116523055613165</v>
      </c>
      <c r="W34">
        <f ca="1">G9</f>
        <v>-0.25730083567386902</v>
      </c>
      <c r="X34">
        <f ca="1">G10</f>
        <v>9.9585825554046915E-3</v>
      </c>
      <c r="Y34">
        <f ca="1">G6</f>
        <v>-4.3341748871891642E-2</v>
      </c>
      <c r="Z34">
        <f ca="1">G5</f>
        <v>6.5268971731127015E-3</v>
      </c>
      <c r="AA34">
        <f ca="1">G13</f>
        <v>0.66970132936809146</v>
      </c>
      <c r="AB34">
        <f ca="1">G14</f>
        <v>1.4480852393229483E-2</v>
      </c>
      <c r="AC34">
        <f ca="1">G32</f>
        <v>1.9997551513395733</v>
      </c>
    </row>
    <row r="35" spans="1:29" x14ac:dyDescent="0.35">
      <c r="A35">
        <f ca="1"/>
        <v>1.7692307692307692</v>
      </c>
      <c r="B35">
        <f ca="1"/>
        <v>1.7956901088619311E-2</v>
      </c>
      <c r="C35">
        <f t="shared" ca="1" si="9"/>
        <v>1.6689386667655393E-2</v>
      </c>
      <c r="D35">
        <f ca="1"/>
        <v>0.70104329287290401</v>
      </c>
      <c r="I35">
        <f t="shared" ca="1" si="1"/>
        <v>8.1459271912453571E-3</v>
      </c>
      <c r="J35">
        <f t="shared" ca="1" si="2"/>
        <v>-0.19030354586718923</v>
      </c>
      <c r="L35">
        <f t="shared" ca="1" si="3"/>
        <v>1.0279482515202283E-2</v>
      </c>
      <c r="M35">
        <f t="shared" ca="1" si="4"/>
        <v>0.44642521395961188</v>
      </c>
      <c r="O35">
        <f t="shared" ca="1" si="5"/>
        <v>0.10911223757835523</v>
      </c>
      <c r="P35">
        <f t="shared" ca="1" si="6"/>
        <v>-0.48528778261374123</v>
      </c>
      <c r="R35">
        <f t="shared" ca="1" si="7"/>
        <v>1.9136724902135919E-2</v>
      </c>
      <c r="S35">
        <f t="shared" ca="1" si="8"/>
        <v>0.71948634880265794</v>
      </c>
    </row>
    <row r="36" spans="1:29" x14ac:dyDescent="0.35">
      <c r="A36">
        <f ca="1"/>
        <v>1.9230769230769234</v>
      </c>
      <c r="B36">
        <f ca="1"/>
        <v>2.1171446457157524E-2</v>
      </c>
      <c r="C36">
        <f t="shared" ca="1" si="9"/>
        <v>1.9876602832882759E-2</v>
      </c>
      <c r="D36">
        <f ca="1"/>
        <v>0.72406825465833302</v>
      </c>
      <c r="I36">
        <f t="shared" ca="1" si="1"/>
        <v>8.098658797549875E-3</v>
      </c>
      <c r="J36">
        <f t="shared" ca="1" si="2"/>
        <v>-0.18814234297019955</v>
      </c>
      <c r="L36">
        <f t="shared" ca="1" si="3"/>
        <v>1.0169923903354944E-2</v>
      </c>
      <c r="M36">
        <f t="shared" ca="1" si="4"/>
        <v>0.43922275862385451</v>
      </c>
      <c r="O36">
        <f t="shared" ca="1" si="5"/>
        <v>0.10671266792881717</v>
      </c>
      <c r="P36">
        <f t="shared" ca="1" si="6"/>
        <v>-0.4819350333940372</v>
      </c>
      <c r="R36">
        <f t="shared" ca="1" si="7"/>
        <v>1.9390079713977861E-2</v>
      </c>
      <c r="S36">
        <f t="shared" ca="1" si="8"/>
        <v>0.7210923171715149</v>
      </c>
    </row>
    <row r="37" spans="1:29" x14ac:dyDescent="0.35">
      <c r="A37">
        <f ca="1"/>
        <v>2.0769230769230775</v>
      </c>
      <c r="B37">
        <f ca="1"/>
        <v>2.4252323296670767E-2</v>
      </c>
      <c r="C37">
        <f t="shared" ca="1" si="9"/>
        <v>2.3481587626809127E-2</v>
      </c>
      <c r="D37">
        <f ca="1"/>
        <v>0.74296026523397884</v>
      </c>
      <c r="I37">
        <f t="shared" ca="1" si="1"/>
        <v>8.0520906763535856E-3</v>
      </c>
      <c r="J37">
        <f t="shared" ref="J37:J68" ca="1" si="10">$G$9 + ($G$6 - $G$9) * (ROW(B34)-1)/99</f>
        <v>-0.18598114007320987</v>
      </c>
      <c r="L37">
        <f t="shared" ca="1" si="3"/>
        <v>1.0061988382053492E-2</v>
      </c>
      <c r="M37">
        <f t="shared" ca="1" si="4"/>
        <v>0.43202030328809704</v>
      </c>
      <c r="O37">
        <f t="shared" ca="1" si="5"/>
        <v>0.10434120059760472</v>
      </c>
      <c r="P37">
        <f t="shared" ref="P37:P68" ca="1" si="11">$G$26 + ($G$9 - $G$26) * (ROW(B34)-1)/99</f>
        <v>-0.47858228417433324</v>
      </c>
      <c r="R37">
        <f t="shared" ca="1" si="7"/>
        <v>1.9649882361824217E-2</v>
      </c>
      <c r="S37">
        <f t="shared" ref="S37:S68" ca="1" si="12">$G$13 + ($G$25 - $G$13) * (ROW(B34)-1)/99</f>
        <v>0.72269828554037185</v>
      </c>
    </row>
    <row r="38" spans="1:29" x14ac:dyDescent="0.35">
      <c r="A38">
        <f ca="1"/>
        <v>2.2307692307692308</v>
      </c>
      <c r="B38">
        <f ca="1"/>
        <v>2.7286932193483639E-2</v>
      </c>
      <c r="C38">
        <f t="shared" ca="1" si="9"/>
        <v>2.7384082111511915E-2</v>
      </c>
      <c r="D38">
        <f ca="1"/>
        <v>0.75955406545833382</v>
      </c>
      <c r="I38">
        <f t="shared" ca="1" si="1"/>
        <v>8.0062228276564888E-3</v>
      </c>
      <c r="J38">
        <f t="shared" ca="1" si="10"/>
        <v>-0.18381993717622022</v>
      </c>
      <c r="L38">
        <f t="shared" ca="1" si="3"/>
        <v>9.9556759512979265E-3</v>
      </c>
      <c r="M38">
        <f t="shared" ca="1" si="4"/>
        <v>0.42481784795233968</v>
      </c>
      <c r="O38">
        <f t="shared" ca="1" si="5"/>
        <v>0.1019978355847178</v>
      </c>
      <c r="P38">
        <f t="shared" ca="1" si="11"/>
        <v>-0.47522953495462922</v>
      </c>
      <c r="R38">
        <f t="shared" ca="1" si="7"/>
        <v>1.9916132845675023E-2</v>
      </c>
      <c r="S38">
        <f t="shared" ca="1" si="12"/>
        <v>0.72430425390922892</v>
      </c>
    </row>
    <row r="39" spans="1:29" x14ac:dyDescent="0.35">
      <c r="A39">
        <f ca="1"/>
        <v>2.384615384615385</v>
      </c>
      <c r="B39">
        <f ca="1"/>
        <v>3.0321477107374342E-2</v>
      </c>
      <c r="C39">
        <f t="shared" ca="1" si="9"/>
        <v>3.1559274960518871E-2</v>
      </c>
      <c r="D39">
        <f ca="1"/>
        <v>0.77474184081758102</v>
      </c>
      <c r="I39">
        <f t="shared" ca="1" si="1"/>
        <v>7.961055251458583E-3</v>
      </c>
      <c r="J39">
        <f t="shared" ca="1" si="10"/>
        <v>-0.18165873427923054</v>
      </c>
      <c r="L39">
        <f t="shared" ca="1" si="3"/>
        <v>9.8509866110882485E-3</v>
      </c>
      <c r="M39">
        <f t="shared" ca="1" si="4"/>
        <v>0.41761539261658226</v>
      </c>
      <c r="O39">
        <f t="shared" ca="1" si="5"/>
        <v>9.9682572890156473E-2</v>
      </c>
      <c r="P39">
        <f t="shared" ca="1" si="11"/>
        <v>-0.4718767857349252</v>
      </c>
      <c r="R39">
        <f t="shared" ca="1" si="7"/>
        <v>2.0188831165530226E-2</v>
      </c>
      <c r="S39">
        <f t="shared" ca="1" si="12"/>
        <v>0.72591022227808588</v>
      </c>
    </row>
    <row r="40" spans="1:29" x14ac:dyDescent="0.35">
      <c r="A40">
        <f ca="1"/>
        <v>2.5384615384615383</v>
      </c>
      <c r="B40">
        <f ca="1"/>
        <v>3.3376865509442653E-2</v>
      </c>
      <c r="C40">
        <f t="shared" ca="1" si="9"/>
        <v>3.601722490044109E-2</v>
      </c>
      <c r="D40">
        <f ca="1"/>
        <v>0.78904098182580407</v>
      </c>
      <c r="I40">
        <f t="shared" ca="1" si="1"/>
        <v>7.9165879477598716E-3</v>
      </c>
      <c r="J40">
        <f t="shared" ca="1" si="10"/>
        <v>-0.17949753138224089</v>
      </c>
      <c r="L40">
        <f t="shared" ca="1" si="3"/>
        <v>9.7479203614244548E-3</v>
      </c>
      <c r="M40">
        <f t="shared" ca="1" si="4"/>
        <v>0.41041293728082484</v>
      </c>
      <c r="O40">
        <f t="shared" ca="1" si="5"/>
        <v>9.7395412513920698E-2</v>
      </c>
      <c r="P40">
        <f t="shared" ca="1" si="11"/>
        <v>-0.46852403651522123</v>
      </c>
      <c r="R40">
        <f t="shared" ca="1" si="7"/>
        <v>2.0467977321389854E-2</v>
      </c>
      <c r="S40">
        <f t="shared" ca="1" si="12"/>
        <v>0.72751619064694284</v>
      </c>
    </row>
    <row r="41" spans="1:29" x14ac:dyDescent="0.35">
      <c r="A41">
        <f ca="1"/>
        <v>2.6923076923076925</v>
      </c>
      <c r="B41">
        <f ca="1"/>
        <v>3.6465741113041482E-2</v>
      </c>
      <c r="C41">
        <f t="shared" ca="1" si="9"/>
        <v>4.0743297441395918E-2</v>
      </c>
      <c r="D41">
        <f ca="1"/>
        <v>0.80267343866219987</v>
      </c>
      <c r="I41">
        <f t="shared" ca="1" si="1"/>
        <v>7.872820916560351E-3</v>
      </c>
      <c r="J41">
        <f t="shared" ca="1" si="10"/>
        <v>-0.17733632848525122</v>
      </c>
      <c r="L41">
        <f t="shared" ca="1" si="3"/>
        <v>9.6464772023065488E-3</v>
      </c>
      <c r="M41">
        <f t="shared" ca="1" si="4"/>
        <v>0.40321048194506742</v>
      </c>
      <c r="O41">
        <f t="shared" ca="1" si="5"/>
        <v>9.5136354456010486E-2</v>
      </c>
      <c r="P41">
        <f t="shared" ca="1" si="11"/>
        <v>-0.46517128729551721</v>
      </c>
      <c r="R41">
        <f t="shared" ca="1" si="7"/>
        <v>2.0753571313253907E-2</v>
      </c>
      <c r="S41">
        <f t="shared" ca="1" si="12"/>
        <v>0.7291221590157998</v>
      </c>
    </row>
    <row r="42" spans="1:29" x14ac:dyDescent="0.35">
      <c r="A42">
        <f ca="1"/>
        <v>2.8461538461538467</v>
      </c>
      <c r="B42">
        <f ca="1"/>
        <v>3.9597974905372917E-2</v>
      </c>
      <c r="C42">
        <f t="shared" ca="1" si="9"/>
        <v>4.5750717097335608E-2</v>
      </c>
      <c r="D42">
        <f ca="1"/>
        <v>0.81584453603978579</v>
      </c>
      <c r="I42">
        <f t="shared" ca="1" si="1"/>
        <v>7.8297541578600232E-3</v>
      </c>
      <c r="J42">
        <f t="shared" ca="1" si="10"/>
        <v>-0.17517512558826154</v>
      </c>
      <c r="L42">
        <f t="shared" ca="1" si="3"/>
        <v>9.5466571337345287E-3</v>
      </c>
      <c r="M42">
        <f t="shared" ca="1" si="4"/>
        <v>0.39600802660931006</v>
      </c>
      <c r="O42">
        <f t="shared" ca="1" si="5"/>
        <v>9.2905398716425808E-2</v>
      </c>
      <c r="P42">
        <f t="shared" ca="1" si="11"/>
        <v>-0.46181853807581319</v>
      </c>
      <c r="R42">
        <f t="shared" ca="1" si="7"/>
        <v>2.1045613141122382E-2</v>
      </c>
      <c r="S42">
        <f t="shared" ca="1" si="12"/>
        <v>0.73072812738465676</v>
      </c>
    </row>
    <row r="43" spans="1:29" x14ac:dyDescent="0.35">
      <c r="A43">
        <f ca="1"/>
        <v>3</v>
      </c>
      <c r="B43">
        <f ca="1"/>
        <v>4.2779487482111266E-2</v>
      </c>
      <c r="C43">
        <f t="shared" ca="1" si="9"/>
        <v>5.1053022525463308E-2</v>
      </c>
      <c r="D43">
        <f ca="1"/>
        <v>0.82869219788493276</v>
      </c>
      <c r="I43">
        <f t="shared" ca="1" si="1"/>
        <v>7.7873876716588863E-3</v>
      </c>
      <c r="J43">
        <f t="shared" ca="1" si="10"/>
        <v>-0.17301392269127186</v>
      </c>
      <c r="L43">
        <f t="shared" ca="1" si="3"/>
        <v>9.4484601557083964E-3</v>
      </c>
      <c r="M43">
        <f t="shared" ca="1" si="4"/>
        <v>0.38880557127355264</v>
      </c>
      <c r="O43">
        <f t="shared" ca="1" si="5"/>
        <v>9.0702545295166748E-2</v>
      </c>
      <c r="P43">
        <f t="shared" ca="1" si="11"/>
        <v>-0.45846578885610922</v>
      </c>
      <c r="R43">
        <f t="shared" ca="1" si="7"/>
        <v>2.13441028049953E-2</v>
      </c>
      <c r="S43">
        <f t="shared" ca="1" si="12"/>
        <v>0.73233409575351383</v>
      </c>
    </row>
    <row r="44" spans="1:29" x14ac:dyDescent="0.35">
      <c r="C44" t="str">
        <f t="shared" si="9"/>
        <v/>
      </c>
      <c r="I44">
        <f t="shared" ca="1" si="1"/>
        <v>7.7457214579569438E-3</v>
      </c>
      <c r="J44">
        <f t="shared" ca="1" si="10"/>
        <v>-0.17085271979428218</v>
      </c>
      <c r="L44">
        <f t="shared" ca="1" si="3"/>
        <v>9.35188626822815E-3</v>
      </c>
      <c r="M44">
        <f t="shared" ca="1" si="4"/>
        <v>0.38160311593779522</v>
      </c>
      <c r="O44">
        <f t="shared" ca="1" si="5"/>
        <v>8.8527794192233222E-2</v>
      </c>
      <c r="P44">
        <f t="shared" ca="1" si="11"/>
        <v>-0.4551130396364052</v>
      </c>
      <c r="R44">
        <f t="shared" ca="1" si="7"/>
        <v>2.1649040304872618E-2</v>
      </c>
      <c r="S44">
        <f t="shared" ca="1" si="12"/>
        <v>0.73394006412237078</v>
      </c>
    </row>
    <row r="45" spans="1:29" x14ac:dyDescent="0.35">
      <c r="C45" t="str">
        <f t="shared" si="9"/>
        <v/>
      </c>
      <c r="I45">
        <f t="shared" ca="1" si="1"/>
        <v>7.7047555167541922E-3</v>
      </c>
      <c r="J45">
        <f t="shared" ca="1" si="10"/>
        <v>-0.1686915168972925</v>
      </c>
      <c r="L45">
        <f t="shared" ca="1" si="3"/>
        <v>9.2569354712937896E-3</v>
      </c>
      <c r="M45">
        <f t="shared" ca="1" si="4"/>
        <v>0.37440066060203786</v>
      </c>
      <c r="O45">
        <f t="shared" ca="1" si="5"/>
        <v>8.6381145407625259E-2</v>
      </c>
      <c r="P45">
        <f t="shared" ca="1" si="11"/>
        <v>-0.45176029041670118</v>
      </c>
      <c r="R45">
        <f t="shared" ca="1" si="7"/>
        <v>2.1960425640754361E-2</v>
      </c>
      <c r="S45">
        <f t="shared" ca="1" si="12"/>
        <v>0.73554603249122774</v>
      </c>
    </row>
    <row r="46" spans="1:29" x14ac:dyDescent="0.35">
      <c r="C46" t="str">
        <f t="shared" si="9"/>
        <v/>
      </c>
      <c r="I46">
        <f t="shared" ca="1" si="1"/>
        <v>7.6644898480506332E-3</v>
      </c>
      <c r="J46">
        <f t="shared" ca="1" si="10"/>
        <v>-0.16653031400030285</v>
      </c>
      <c r="L46">
        <f t="shared" ca="1" si="3"/>
        <v>9.1636077649053169E-3</v>
      </c>
      <c r="M46">
        <f t="shared" ca="1" si="4"/>
        <v>0.36719820526628044</v>
      </c>
      <c r="O46">
        <f t="shared" ca="1" si="5"/>
        <v>8.4262598941342887E-2</v>
      </c>
      <c r="P46">
        <f t="shared" ca="1" si="11"/>
        <v>-0.44840754119699722</v>
      </c>
      <c r="R46">
        <f t="shared" ca="1" si="7"/>
        <v>2.2278258812640526E-2</v>
      </c>
      <c r="S46">
        <f t="shared" ca="1" si="12"/>
        <v>0.7371520008600847</v>
      </c>
    </row>
    <row r="47" spans="1:29" x14ac:dyDescent="0.35">
      <c r="C47" t="str">
        <f t="shared" si="9"/>
        <v/>
      </c>
      <c r="I47">
        <f t="shared" ca="1" si="1"/>
        <v>7.6249244518462669E-3</v>
      </c>
      <c r="J47">
        <f t="shared" ca="1" si="10"/>
        <v>-0.16436911110331318</v>
      </c>
      <c r="L47">
        <f t="shared" ca="1" si="3"/>
        <v>9.0719031490627284E-3</v>
      </c>
      <c r="M47">
        <f t="shared" ca="1" si="4"/>
        <v>0.35999574993052302</v>
      </c>
      <c r="O47">
        <f t="shared" ca="1" si="5"/>
        <v>8.2172154793386049E-2</v>
      </c>
      <c r="P47">
        <f t="shared" ca="1" si="11"/>
        <v>-0.4450547919772932</v>
      </c>
      <c r="R47">
        <f t="shared" ca="1" si="7"/>
        <v>2.2602539820531117E-2</v>
      </c>
      <c r="S47">
        <f t="shared" ca="1" si="12"/>
        <v>0.73875796922894166</v>
      </c>
    </row>
    <row r="48" spans="1:29" x14ac:dyDescent="0.35">
      <c r="C48" t="str">
        <f t="shared" si="9"/>
        <v/>
      </c>
      <c r="I48">
        <f t="shared" ca="1" si="1"/>
        <v>7.5860593281410933E-3</v>
      </c>
      <c r="J48">
        <f t="shared" ca="1" si="10"/>
        <v>-0.1622079082063235</v>
      </c>
      <c r="L48">
        <f t="shared" ca="1" si="3"/>
        <v>8.9818216237660276E-3</v>
      </c>
      <c r="M48">
        <f t="shared" ca="1" si="4"/>
        <v>0.35279329459476561</v>
      </c>
      <c r="O48">
        <f t="shared" ca="1" si="5"/>
        <v>8.0109812963754787E-2</v>
      </c>
      <c r="P48">
        <f t="shared" ca="1" si="11"/>
        <v>-0.44170204275758918</v>
      </c>
      <c r="R48">
        <f t="shared" ca="1" si="7"/>
        <v>2.2933268664426149E-2</v>
      </c>
      <c r="S48">
        <f t="shared" ca="1" si="12"/>
        <v>0.74036393759779873</v>
      </c>
    </row>
    <row r="49" spans="3:19" x14ac:dyDescent="0.35">
      <c r="C49" t="str">
        <f t="shared" si="9"/>
        <v/>
      </c>
      <c r="I49">
        <f t="shared" ca="1" si="1"/>
        <v>7.5478944769351115E-3</v>
      </c>
      <c r="J49">
        <f t="shared" ca="1" si="10"/>
        <v>-0.16004670530933385</v>
      </c>
      <c r="L49">
        <f t="shared" ca="1" si="3"/>
        <v>8.8933631890152146E-3</v>
      </c>
      <c r="M49">
        <f t="shared" ca="1" si="4"/>
        <v>0.34559083925900819</v>
      </c>
      <c r="O49">
        <f t="shared" ca="1" si="5"/>
        <v>7.8075573452449087E-2</v>
      </c>
      <c r="P49">
        <f t="shared" ca="1" si="11"/>
        <v>-0.43834929353788521</v>
      </c>
      <c r="R49">
        <f t="shared" ca="1" si="7"/>
        <v>2.3270445344325583E-2</v>
      </c>
      <c r="S49">
        <f t="shared" ca="1" si="12"/>
        <v>0.74196990596665569</v>
      </c>
    </row>
    <row r="50" spans="3:19" x14ac:dyDescent="0.35">
      <c r="C50" t="str">
        <f t="shared" si="9"/>
        <v/>
      </c>
      <c r="I50">
        <f t="shared" ca="1" si="1"/>
        <v>7.5104298982283223E-3</v>
      </c>
      <c r="J50">
        <f t="shared" ca="1" si="10"/>
        <v>-0.15788550241234417</v>
      </c>
      <c r="L50">
        <f t="shared" ca="1" si="3"/>
        <v>8.8065278448102857E-3</v>
      </c>
      <c r="M50">
        <f t="shared" ca="1" si="4"/>
        <v>0.33838838392325077</v>
      </c>
      <c r="O50">
        <f t="shared" ca="1" si="5"/>
        <v>7.6069436259468964E-2</v>
      </c>
      <c r="P50">
        <f t="shared" ca="1" si="11"/>
        <v>-0.43499654431818119</v>
      </c>
      <c r="R50">
        <f t="shared" ca="1" si="7"/>
        <v>2.3614069860229441E-2</v>
      </c>
      <c r="S50">
        <f t="shared" ca="1" si="12"/>
        <v>0.74357587433551264</v>
      </c>
    </row>
    <row r="51" spans="3:19" x14ac:dyDescent="0.35">
      <c r="C51" t="str">
        <f t="shared" si="9"/>
        <v/>
      </c>
      <c r="I51">
        <f t="shared" ca="1" si="1"/>
        <v>7.473665592020725E-3</v>
      </c>
      <c r="J51">
        <f t="shared" ca="1" si="10"/>
        <v>-0.15572429951535449</v>
      </c>
      <c r="L51">
        <f t="shared" ca="1" si="3"/>
        <v>8.7213155911512463E-3</v>
      </c>
      <c r="M51">
        <f t="shared" ca="1" si="4"/>
        <v>0.33118592858749341</v>
      </c>
      <c r="O51">
        <f t="shared" ca="1" si="5"/>
        <v>7.409140138481439E-2</v>
      </c>
      <c r="P51">
        <f t="shared" ca="1" si="11"/>
        <v>-0.43164379509847717</v>
      </c>
      <c r="R51">
        <f t="shared" ca="1" si="7"/>
        <v>2.3964142212137718E-2</v>
      </c>
      <c r="S51">
        <f t="shared" ca="1" si="12"/>
        <v>0.7451818427043696</v>
      </c>
    </row>
    <row r="52" spans="3:19" x14ac:dyDescent="0.35">
      <c r="C52" t="str">
        <f t="shared" si="9"/>
        <v/>
      </c>
      <c r="I52">
        <f t="shared" ca="1" si="1"/>
        <v>7.4376015583123203E-3</v>
      </c>
      <c r="J52">
        <f t="shared" ca="1" si="10"/>
        <v>-0.15356309661836481</v>
      </c>
      <c r="L52">
        <f t="shared" ca="1" si="3"/>
        <v>8.6377264280380912E-3</v>
      </c>
      <c r="M52">
        <f t="shared" ca="1" si="4"/>
        <v>0.32398347325173599</v>
      </c>
      <c r="O52">
        <f t="shared" ca="1" si="5"/>
        <v>7.2141468828485392E-2</v>
      </c>
      <c r="P52">
        <f t="shared" ca="1" si="11"/>
        <v>-0.4282910458787732</v>
      </c>
      <c r="R52">
        <f t="shared" ca="1" si="7"/>
        <v>2.4320662400050444E-2</v>
      </c>
      <c r="S52">
        <f t="shared" ca="1" si="12"/>
        <v>0.74678781107322667</v>
      </c>
    </row>
    <row r="53" spans="3:19" x14ac:dyDescent="0.35">
      <c r="C53" t="str">
        <f t="shared" si="9"/>
        <v/>
      </c>
      <c r="I53">
        <f t="shared" ca="1" si="1"/>
        <v>7.4022377971031074E-3</v>
      </c>
      <c r="J53">
        <f t="shared" ca="1" si="10"/>
        <v>-0.15140189372137514</v>
      </c>
      <c r="L53">
        <f t="shared" ca="1" si="3"/>
        <v>8.555760355470822E-3</v>
      </c>
      <c r="M53">
        <f t="shared" ca="1" si="4"/>
        <v>0.31678101791597862</v>
      </c>
      <c r="O53">
        <f t="shared" ca="1" si="5"/>
        <v>7.0219638590481942E-2</v>
      </c>
      <c r="P53">
        <f t="shared" ca="1" si="11"/>
        <v>-0.42493829665906918</v>
      </c>
      <c r="R53">
        <f t="shared" ca="1" si="7"/>
        <v>2.4683630423967571E-2</v>
      </c>
      <c r="S53">
        <f t="shared" ca="1" si="12"/>
        <v>0.74839377944208363</v>
      </c>
    </row>
    <row r="54" spans="3:19" x14ac:dyDescent="0.35">
      <c r="C54" t="str">
        <f t="shared" si="9"/>
        <v/>
      </c>
      <c r="I54">
        <f t="shared" ca="1" si="1"/>
        <v>7.367574308393088E-3</v>
      </c>
      <c r="J54">
        <f t="shared" ca="1" si="10"/>
        <v>-0.14924069082438551</v>
      </c>
      <c r="L54">
        <f t="shared" ca="1" si="3"/>
        <v>8.4754173734494405E-3</v>
      </c>
      <c r="M54">
        <f t="shared" ca="1" si="4"/>
        <v>0.30957856258022121</v>
      </c>
      <c r="O54">
        <f t="shared" ca="1" si="5"/>
        <v>6.8325910670804069E-2</v>
      </c>
      <c r="P54">
        <f t="shared" ca="1" si="11"/>
        <v>-0.42158554743936516</v>
      </c>
      <c r="R54">
        <f t="shared" ca="1" si="7"/>
        <v>2.5053046283889119E-2</v>
      </c>
      <c r="S54">
        <f t="shared" ca="1" si="12"/>
        <v>0.74999974781094059</v>
      </c>
    </row>
    <row r="55" spans="3:19" x14ac:dyDescent="0.35">
      <c r="C55" t="str">
        <f t="shared" si="9"/>
        <v/>
      </c>
      <c r="I55">
        <f t="shared" ca="1" si="1"/>
        <v>7.3336110921822604E-3</v>
      </c>
      <c r="J55">
        <f t="shared" ca="1" si="10"/>
        <v>-0.14707948792739584</v>
      </c>
      <c r="L55">
        <f t="shared" ca="1" si="3"/>
        <v>8.3966974819739467E-3</v>
      </c>
      <c r="M55">
        <f t="shared" ca="1" si="4"/>
        <v>0.30237610724446379</v>
      </c>
      <c r="O55">
        <f t="shared" ca="1" si="5"/>
        <v>6.6460285069451758E-2</v>
      </c>
      <c r="P55">
        <f t="shared" ca="1" si="11"/>
        <v>-0.41823279821966119</v>
      </c>
      <c r="R55">
        <f t="shared" ca="1" si="7"/>
        <v>2.542890997981509E-2</v>
      </c>
      <c r="S55">
        <f t="shared" ca="1" si="12"/>
        <v>0.75160571617979754</v>
      </c>
    </row>
    <row r="56" spans="3:19" x14ac:dyDescent="0.35">
      <c r="C56" t="str">
        <f t="shared" si="9"/>
        <v/>
      </c>
      <c r="I56">
        <f t="shared" ca="1" si="1"/>
        <v>7.3003481484706246E-3</v>
      </c>
      <c r="J56">
        <f t="shared" ca="1" si="10"/>
        <v>-0.14491828503040616</v>
      </c>
      <c r="L56">
        <f t="shared" ca="1" si="3"/>
        <v>8.3196006810443372E-3</v>
      </c>
      <c r="M56">
        <f t="shared" ca="1" si="4"/>
        <v>0.29517365190870637</v>
      </c>
      <c r="O56">
        <f t="shared" ca="1" si="5"/>
        <v>6.4622761786425009E-2</v>
      </c>
      <c r="P56">
        <f t="shared" ca="1" si="11"/>
        <v>-0.41488004899995717</v>
      </c>
      <c r="R56">
        <f t="shared" ca="1" si="7"/>
        <v>2.5811221511745489E-2</v>
      </c>
      <c r="S56">
        <f t="shared" ca="1" si="12"/>
        <v>0.7532116845486545</v>
      </c>
    </row>
    <row r="57" spans="3:19" x14ac:dyDescent="0.35">
      <c r="C57" t="str">
        <f t="shared" si="9"/>
        <v/>
      </c>
      <c r="I57">
        <f t="shared" ca="1" si="1"/>
        <v>7.2677854772581815E-3</v>
      </c>
      <c r="J57">
        <f t="shared" ca="1" si="10"/>
        <v>-0.14275708213341648</v>
      </c>
      <c r="L57">
        <f t="shared" ca="1" si="3"/>
        <v>8.2441269706606153E-3</v>
      </c>
      <c r="M57">
        <f t="shared" ca="1" si="4"/>
        <v>0.28797119657294895</v>
      </c>
      <c r="O57">
        <f t="shared" ca="1" si="5"/>
        <v>6.2813340821723837E-2</v>
      </c>
      <c r="P57">
        <f t="shared" ca="1" si="11"/>
        <v>-0.41152729978025315</v>
      </c>
      <c r="R57">
        <f t="shared" ca="1" si="7"/>
        <v>2.619998087968033E-2</v>
      </c>
      <c r="S57">
        <f t="shared" ca="1" si="12"/>
        <v>0.75481765291751157</v>
      </c>
    </row>
    <row r="58" spans="3:19" x14ac:dyDescent="0.35">
      <c r="C58" t="str">
        <f t="shared" si="9"/>
        <v/>
      </c>
      <c r="I58">
        <f t="shared" ca="1" si="1"/>
        <v>7.235923078544931E-3</v>
      </c>
      <c r="J58">
        <f t="shared" ca="1" si="10"/>
        <v>-0.1405958792364268</v>
      </c>
      <c r="L58">
        <f t="shared" ca="1" si="3"/>
        <v>8.1702763508227794E-3</v>
      </c>
      <c r="M58">
        <f t="shared" ca="1" si="4"/>
        <v>0.28076874123719159</v>
      </c>
      <c r="O58">
        <f t="shared" ca="1" si="5"/>
        <v>6.1032022175348213E-2</v>
      </c>
      <c r="P58">
        <f t="shared" ca="1" si="11"/>
        <v>-0.40817455056054919</v>
      </c>
      <c r="R58">
        <f t="shared" ca="1" si="7"/>
        <v>2.6595188083619568E-2</v>
      </c>
      <c r="S58">
        <f t="shared" ca="1" si="12"/>
        <v>0.75642362128636853</v>
      </c>
    </row>
    <row r="59" spans="3:19" x14ac:dyDescent="0.35">
      <c r="C59" t="str">
        <f t="shared" si="9"/>
        <v/>
      </c>
      <c r="I59">
        <f t="shared" ca="1" si="1"/>
        <v>7.2047609523308723E-3</v>
      </c>
      <c r="J59">
        <f t="shared" ca="1" si="10"/>
        <v>-0.13843467633943712</v>
      </c>
      <c r="L59">
        <f t="shared" ca="1" si="3"/>
        <v>8.0980488215308313E-3</v>
      </c>
      <c r="M59">
        <f t="shared" ca="1" si="4"/>
        <v>0.27356628590143417</v>
      </c>
      <c r="O59">
        <f t="shared" ca="1" si="5"/>
        <v>5.9278805847298124E-2</v>
      </c>
      <c r="P59">
        <f t="shared" ca="1" si="11"/>
        <v>-0.40482180134084511</v>
      </c>
      <c r="R59">
        <f t="shared" ca="1" si="7"/>
        <v>2.6996843123563232E-2</v>
      </c>
      <c r="S59">
        <f t="shared" ca="1" si="12"/>
        <v>0.75802958965522549</v>
      </c>
    </row>
    <row r="60" spans="3:19" x14ac:dyDescent="0.35">
      <c r="C60" t="str">
        <f t="shared" si="9"/>
        <v/>
      </c>
      <c r="I60">
        <f t="shared" ca="1" si="1"/>
        <v>7.1742990986160054E-3</v>
      </c>
      <c r="J60">
        <f t="shared" ca="1" si="10"/>
        <v>-0.13627347344244745</v>
      </c>
      <c r="L60">
        <f t="shared" ca="1" si="3"/>
        <v>8.0274443827847673E-3</v>
      </c>
      <c r="M60">
        <f t="shared" ca="1" si="4"/>
        <v>0.26636383056567675</v>
      </c>
      <c r="O60">
        <f t="shared" ca="1" si="5"/>
        <v>5.7553691837573667E-2</v>
      </c>
      <c r="P60">
        <f t="shared" ca="1" si="11"/>
        <v>-0.40146905212114115</v>
      </c>
      <c r="R60">
        <f t="shared" ca="1" si="7"/>
        <v>2.7404945999511342E-2</v>
      </c>
      <c r="S60">
        <f t="shared" ca="1" si="12"/>
        <v>0.75963555802408256</v>
      </c>
    </row>
    <row r="61" spans="3:19" x14ac:dyDescent="0.35">
      <c r="C61" t="str">
        <f t="shared" si="9"/>
        <v/>
      </c>
      <c r="I61">
        <f t="shared" ca="1" si="1"/>
        <v>7.1445375174003321E-3</v>
      </c>
      <c r="J61">
        <f t="shared" ca="1" si="10"/>
        <v>-0.13411227054545777</v>
      </c>
      <c r="L61">
        <f t="shared" ca="1" si="3"/>
        <v>7.9584630345845911E-3</v>
      </c>
      <c r="M61">
        <f t="shared" ca="1" si="4"/>
        <v>0.25916137522991933</v>
      </c>
      <c r="O61">
        <f t="shared" ca="1" si="5"/>
        <v>5.5856680146174759E-2</v>
      </c>
      <c r="P61">
        <f t="shared" ca="1" si="11"/>
        <v>-0.39811630290143718</v>
      </c>
      <c r="R61">
        <f t="shared" ca="1" si="7"/>
        <v>2.7819496711463849E-2</v>
      </c>
      <c r="S61">
        <f t="shared" ca="1" si="12"/>
        <v>0.76124152639293952</v>
      </c>
    </row>
    <row r="62" spans="3:19" x14ac:dyDescent="0.35">
      <c r="C62" t="str">
        <f t="shared" si="9"/>
        <v/>
      </c>
      <c r="I62">
        <f t="shared" ca="1" si="1"/>
        <v>7.1154762086838505E-3</v>
      </c>
      <c r="J62">
        <f t="shared" ca="1" si="10"/>
        <v>-0.13195106764846812</v>
      </c>
      <c r="L62">
        <f t="shared" ca="1" si="3"/>
        <v>7.8911047769303026E-3</v>
      </c>
      <c r="M62">
        <f t="shared" ca="1" si="4"/>
        <v>0.25195891989416191</v>
      </c>
      <c r="O62">
        <f t="shared" ca="1" si="5"/>
        <v>5.4187770773101364E-2</v>
      </c>
      <c r="P62">
        <f t="shared" ca="1" si="11"/>
        <v>-0.3947635536817331</v>
      </c>
      <c r="R62">
        <f t="shared" ca="1" si="7"/>
        <v>2.8240495259420784E-2</v>
      </c>
      <c r="S62">
        <f t="shared" ca="1" si="12"/>
        <v>0.76284749476179647</v>
      </c>
    </row>
    <row r="63" spans="3:19" x14ac:dyDescent="0.35">
      <c r="C63" t="str">
        <f t="shared" si="9"/>
        <v/>
      </c>
      <c r="I63">
        <f t="shared" ca="1" si="1"/>
        <v>7.0871151724665616E-3</v>
      </c>
      <c r="J63">
        <f t="shared" ca="1" si="10"/>
        <v>-0.12978986475147844</v>
      </c>
      <c r="L63">
        <f t="shared" ca="1" si="3"/>
        <v>7.8253696098218983E-3</v>
      </c>
      <c r="M63">
        <f t="shared" ca="1" si="4"/>
        <v>0.2447564645584045</v>
      </c>
      <c r="O63">
        <f t="shared" ca="1" si="5"/>
        <v>5.2546963718353587E-2</v>
      </c>
      <c r="P63">
        <f t="shared" ca="1" si="11"/>
        <v>-0.39141080446202914</v>
      </c>
      <c r="R63">
        <f t="shared" ca="1" si="7"/>
        <v>2.8667941643382135E-2</v>
      </c>
      <c r="S63">
        <f t="shared" ca="1" si="12"/>
        <v>0.76445346313065343</v>
      </c>
    </row>
    <row r="64" spans="3:19" x14ac:dyDescent="0.35">
      <c r="C64" t="str">
        <f t="shared" si="9"/>
        <v/>
      </c>
      <c r="I64">
        <f t="shared" ca="1" si="1"/>
        <v>7.0594544087484645E-3</v>
      </c>
      <c r="J64">
        <f t="shared" ca="1" si="10"/>
        <v>-0.12762866185448876</v>
      </c>
      <c r="L64">
        <f t="shared" ca="1" si="3"/>
        <v>7.7612575332593817E-3</v>
      </c>
      <c r="M64">
        <f t="shared" ca="1" si="4"/>
        <v>0.23755400922264708</v>
      </c>
      <c r="O64">
        <f t="shared" ca="1" si="5"/>
        <v>5.0934258981931352E-2</v>
      </c>
      <c r="P64">
        <f t="shared" ca="1" si="11"/>
        <v>-0.38805805524232512</v>
      </c>
      <c r="R64">
        <f t="shared" ca="1" si="7"/>
        <v>2.9101835863347914E-2</v>
      </c>
      <c r="S64">
        <f t="shared" ca="1" si="12"/>
        <v>0.76605943149951039</v>
      </c>
    </row>
    <row r="65" spans="3:19" x14ac:dyDescent="0.35">
      <c r="C65" t="str">
        <f t="shared" si="9"/>
        <v/>
      </c>
      <c r="I65">
        <f t="shared" ca="1" si="1"/>
        <v>7.03249391752956E-3</v>
      </c>
      <c r="J65">
        <f t="shared" ca="1" si="10"/>
        <v>-0.12546745895749911</v>
      </c>
      <c r="L65">
        <f t="shared" ca="1" si="3"/>
        <v>7.6987685472427528E-3</v>
      </c>
      <c r="M65">
        <f t="shared" ca="1" si="4"/>
        <v>0.23035155388688977</v>
      </c>
      <c r="O65">
        <f t="shared" ca="1" si="5"/>
        <v>4.93496565638347E-2</v>
      </c>
      <c r="P65">
        <f t="shared" ca="1" si="11"/>
        <v>-0.38470530602262115</v>
      </c>
      <c r="R65">
        <f t="shared" ca="1" si="7"/>
        <v>2.9542177919318142E-2</v>
      </c>
      <c r="S65">
        <f t="shared" ca="1" si="12"/>
        <v>0.76766539986836746</v>
      </c>
    </row>
    <row r="66" spans="3:19" x14ac:dyDescent="0.35">
      <c r="C66" t="str">
        <f t="shared" si="9"/>
        <v/>
      </c>
      <c r="I66">
        <f t="shared" ca="1" si="1"/>
        <v>7.0062336988098483E-3</v>
      </c>
      <c r="J66">
        <f t="shared" ca="1" si="10"/>
        <v>-0.12330625606050943</v>
      </c>
      <c r="L66">
        <f t="shared" ca="1" si="3"/>
        <v>7.637902651772009E-3</v>
      </c>
      <c r="M66">
        <f t="shared" ca="1" si="4"/>
        <v>0.22314909855113235</v>
      </c>
      <c r="O66">
        <f t="shared" ca="1" si="5"/>
        <v>4.7793156464063596E-2</v>
      </c>
      <c r="P66">
        <f t="shared" ca="1" si="11"/>
        <v>-0.38135255680291713</v>
      </c>
      <c r="R66">
        <f t="shared" ca="1" si="7"/>
        <v>2.9988967811292764E-2</v>
      </c>
      <c r="S66">
        <f t="shared" ca="1" si="12"/>
        <v>0.76927136823722442</v>
      </c>
    </row>
    <row r="67" spans="3:19" x14ac:dyDescent="0.35">
      <c r="C67" t="str">
        <f t="shared" si="9"/>
        <v/>
      </c>
      <c r="I67">
        <f t="shared" ca="1" si="1"/>
        <v>6.9806737525893283E-3</v>
      </c>
      <c r="J67">
        <f t="shared" ca="1" si="10"/>
        <v>-0.12114505316351978</v>
      </c>
      <c r="L67">
        <f t="shared" ca="1" si="3"/>
        <v>7.5786598468471512E-3</v>
      </c>
      <c r="M67">
        <f t="shared" ca="1" si="4"/>
        <v>0.21594664321537493</v>
      </c>
      <c r="O67">
        <f t="shared" ca="1" si="5"/>
        <v>4.6264758682618069E-2</v>
      </c>
      <c r="P67">
        <f t="shared" ca="1" si="11"/>
        <v>-0.37799980758321317</v>
      </c>
      <c r="R67">
        <f t="shared" ca="1" si="7"/>
        <v>3.0442205539271808E-2</v>
      </c>
      <c r="S67">
        <f t="shared" ca="1" si="12"/>
        <v>0.77087733660608138</v>
      </c>
    </row>
    <row r="68" spans="3:19" x14ac:dyDescent="0.35">
      <c r="C68" t="str">
        <f t="shared" si="9"/>
        <v/>
      </c>
      <c r="I68">
        <f t="shared" ca="1" si="1"/>
        <v>6.9558140788680009E-3</v>
      </c>
      <c r="J68">
        <f t="shared" ca="1" si="10"/>
        <v>-0.11898385026653011</v>
      </c>
      <c r="L68">
        <f t="shared" ca="1" si="3"/>
        <v>7.5210401324681811E-3</v>
      </c>
      <c r="M68">
        <f t="shared" ca="1" si="4"/>
        <v>0.20874418787961752</v>
      </c>
      <c r="O68">
        <f t="shared" ca="1" si="5"/>
        <v>4.4764463219498063E-2</v>
      </c>
      <c r="P68">
        <f t="shared" ca="1" si="11"/>
        <v>-0.37464705836350909</v>
      </c>
      <c r="R68">
        <f t="shared" ca="1" si="7"/>
        <v>3.0901891103255273E-2</v>
      </c>
      <c r="S68">
        <f t="shared" ca="1" si="12"/>
        <v>0.77248330497493833</v>
      </c>
    </row>
    <row r="69" spans="3:19" x14ac:dyDescent="0.35">
      <c r="C69" t="str">
        <f t="shared" ref="C69:C132" si="13">IF(ISBLANK(D69), "",
IF(D69 &lt; $G$9,
    $G$10 + $G$19 * ($G$23 * (D69 - $G$9))^2 + $G$21 * (1 - (D69 - $G$6)/($G$9 - $G$6)),
IF(D69 &gt; $G$13,
    $G$14 + $G$19 * ($G$23 * (D69 - $G$13))^2 - $G$22 * (1 - (D69 - $G$6)/($G$13 - $G$6)),
IF(D69 &lt; $G$6,
    $G$16 * (D69 - $G$6)^2 + $G$5,
    $G$17 * (D69 - $G$6)^2 + $G$5))))</f>
        <v/>
      </c>
      <c r="I69">
        <f t="shared" ref="I69:I103" ca="1" si="14">$G$16 * (J69 - $G$6)^2 + $G$5</f>
        <v>6.9316546776458654E-3</v>
      </c>
      <c r="J69">
        <f t="shared" ref="J69:J100" ca="1" si="15">$G$9 + ($G$6 - $G$9) * (ROW(B66)-1)/99</f>
        <v>-0.11682264736954043</v>
      </c>
      <c r="L69">
        <f t="shared" ref="L69:L103" ca="1" si="16">$G$17 * (M69 - $G$6)^2 + $G$5</f>
        <v>7.4650435086350969E-3</v>
      </c>
      <c r="M69">
        <f t="shared" ref="M69:M103" ca="1" si="17">$G$13 + ($G$6 - $G$13) * (ROW(F66)-1)/99</f>
        <v>0.2015417325438601</v>
      </c>
      <c r="O69">
        <f t="shared" ref="O69:O103" ca="1" si="18">$G$10 + $G$19 * ($G$23 * (P69 - $G$9))^2 + $G$21 * (1 - (P69 - $G$6)/($G$9 - $G$6))</f>
        <v>4.3292270074703681E-2</v>
      </c>
      <c r="P69">
        <f t="shared" ref="P69:P100" ca="1" si="19">$G$26 + ($G$9 - $G$26) * (ROW(B66)-1)/99</f>
        <v>-0.37129430914380512</v>
      </c>
      <c r="R69">
        <f t="shared" ref="R69:R103" ca="1" si="20">$G$14 + $G$19 * ($G$23 * (S69 - $G$13))^2 - $G$22 * (1 - (S69 - $G$6)/($G$13 - $G$6))</f>
        <v>3.1368024503243198E-2</v>
      </c>
      <c r="S69">
        <f t="shared" ref="S69:S100" ca="1" si="21">$G$13 + ($G$25 - $G$13) * (ROW(B66)-1)/99</f>
        <v>0.7740892733437954</v>
      </c>
    </row>
    <row r="70" spans="3:19" x14ac:dyDescent="0.35">
      <c r="C70" t="str">
        <f t="shared" si="13"/>
        <v/>
      </c>
      <c r="I70">
        <f t="shared" ca="1" si="14"/>
        <v>6.9081955489229225E-3</v>
      </c>
      <c r="J70">
        <f t="shared" ca="1" si="15"/>
        <v>-0.11466144447255075</v>
      </c>
      <c r="L70">
        <f t="shared" ca="1" si="16"/>
        <v>7.4106699753478987E-3</v>
      </c>
      <c r="M70">
        <f t="shared" ca="1" si="17"/>
        <v>0.19433927720810268</v>
      </c>
      <c r="O70">
        <f t="shared" ca="1" si="18"/>
        <v>4.1848179248234849E-2</v>
      </c>
      <c r="P70">
        <f t="shared" ca="1" si="19"/>
        <v>-0.36794155992410116</v>
      </c>
      <c r="R70">
        <f t="shared" ca="1" si="20"/>
        <v>3.1840605739235507E-2</v>
      </c>
      <c r="S70">
        <f t="shared" ca="1" si="21"/>
        <v>0.77569524171265236</v>
      </c>
    </row>
    <row r="71" spans="3:19" x14ac:dyDescent="0.35">
      <c r="C71" t="str">
        <f t="shared" si="13"/>
        <v/>
      </c>
      <c r="I71">
        <f t="shared" ca="1" si="14"/>
        <v>6.8854366926991723E-3</v>
      </c>
      <c r="J71">
        <f t="shared" ca="1" si="15"/>
        <v>-0.1125002415755611</v>
      </c>
      <c r="L71">
        <f t="shared" ca="1" si="16"/>
        <v>7.3579195326065874E-3</v>
      </c>
      <c r="M71">
        <f t="shared" ca="1" si="17"/>
        <v>0.18713682187234526</v>
      </c>
      <c r="O71">
        <f t="shared" ca="1" si="18"/>
        <v>4.0432190740091536E-2</v>
      </c>
      <c r="P71">
        <f t="shared" ca="1" si="19"/>
        <v>-0.36458881070439708</v>
      </c>
      <c r="R71">
        <f t="shared" ca="1" si="20"/>
        <v>3.2319634811232248E-2</v>
      </c>
      <c r="S71">
        <f t="shared" ca="1" si="21"/>
        <v>0.77730121008150932</v>
      </c>
    </row>
    <row r="72" spans="3:19" x14ac:dyDescent="0.35">
      <c r="C72" t="str">
        <f t="shared" si="13"/>
        <v/>
      </c>
      <c r="I72">
        <f t="shared" ca="1" si="14"/>
        <v>6.8633781089746139E-3</v>
      </c>
      <c r="J72">
        <f t="shared" ca="1" si="15"/>
        <v>-0.11033903867857142</v>
      </c>
      <c r="L72">
        <f t="shared" ca="1" si="16"/>
        <v>7.3067921804111629E-3</v>
      </c>
      <c r="M72">
        <f t="shared" ca="1" si="17"/>
        <v>0.1799343665365879</v>
      </c>
      <c r="O72">
        <f t="shared" ca="1" si="18"/>
        <v>3.9044304550273842E-2</v>
      </c>
      <c r="P72">
        <f t="shared" ca="1" si="19"/>
        <v>-0.36123606148469312</v>
      </c>
      <c r="R72">
        <f t="shared" ca="1" si="20"/>
        <v>3.2805111719233407E-2</v>
      </c>
      <c r="S72">
        <f t="shared" ca="1" si="21"/>
        <v>0.77890717845036628</v>
      </c>
    </row>
    <row r="73" spans="3:19" x14ac:dyDescent="0.35">
      <c r="C73" t="str">
        <f t="shared" si="13"/>
        <v/>
      </c>
      <c r="I73">
        <f t="shared" ca="1" si="14"/>
        <v>6.8420197977492481E-3</v>
      </c>
      <c r="J73">
        <f t="shared" ca="1" si="15"/>
        <v>-0.10817783578158174</v>
      </c>
      <c r="L73">
        <f t="shared" ca="1" si="16"/>
        <v>7.2572879187616252E-3</v>
      </c>
      <c r="M73">
        <f t="shared" ca="1" si="17"/>
        <v>0.17273191120083048</v>
      </c>
      <c r="O73">
        <f t="shared" ca="1" si="18"/>
        <v>3.7684520678781683E-2</v>
      </c>
      <c r="P73">
        <f t="shared" ca="1" si="19"/>
        <v>-0.3578833122649891</v>
      </c>
      <c r="R73">
        <f t="shared" ca="1" si="20"/>
        <v>3.3297036463238984E-2</v>
      </c>
      <c r="S73">
        <f t="shared" ca="1" si="21"/>
        <v>0.78051314681922324</v>
      </c>
    </row>
    <row r="74" spans="3:19" x14ac:dyDescent="0.35">
      <c r="C74" t="str">
        <f t="shared" si="13"/>
        <v/>
      </c>
      <c r="I74">
        <f t="shared" ca="1" si="14"/>
        <v>6.8213617590230742E-3</v>
      </c>
      <c r="J74">
        <f t="shared" ca="1" si="15"/>
        <v>-0.10601663288459207</v>
      </c>
      <c r="L74">
        <f t="shared" ca="1" si="16"/>
        <v>7.2094067476579735E-3</v>
      </c>
      <c r="M74">
        <f t="shared" ca="1" si="17"/>
        <v>0.16552945586507306</v>
      </c>
      <c r="O74">
        <f t="shared" ca="1" si="18"/>
        <v>3.6352839125615113E-2</v>
      </c>
      <c r="P74">
        <f t="shared" ca="1" si="19"/>
        <v>-0.35453056304528513</v>
      </c>
      <c r="R74">
        <f t="shared" ca="1" si="20"/>
        <v>3.3795409043248986E-2</v>
      </c>
      <c r="S74">
        <f t="shared" ca="1" si="21"/>
        <v>0.78211911518808019</v>
      </c>
    </row>
    <row r="75" spans="3:19" x14ac:dyDescent="0.35">
      <c r="C75" t="str">
        <f t="shared" si="13"/>
        <v/>
      </c>
      <c r="I75">
        <f t="shared" ca="1" si="14"/>
        <v>6.8014039927960929E-3</v>
      </c>
      <c r="J75">
        <f t="shared" ca="1" si="15"/>
        <v>-0.10385542998760242</v>
      </c>
      <c r="L75">
        <f t="shared" ca="1" si="16"/>
        <v>7.1631486671002087E-3</v>
      </c>
      <c r="M75">
        <f t="shared" ca="1" si="17"/>
        <v>0.1583270005293157</v>
      </c>
      <c r="O75">
        <f t="shared" ca="1" si="18"/>
        <v>3.5049259890774086E-2</v>
      </c>
      <c r="P75">
        <f t="shared" ca="1" si="19"/>
        <v>-0.35117781382558111</v>
      </c>
      <c r="R75">
        <f t="shared" ca="1" si="20"/>
        <v>3.4300229459263448E-2</v>
      </c>
      <c r="S75">
        <f t="shared" ca="1" si="21"/>
        <v>0.78372508355693726</v>
      </c>
    </row>
    <row r="76" spans="3:19" x14ac:dyDescent="0.35">
      <c r="C76" t="str">
        <f t="shared" si="13"/>
        <v/>
      </c>
      <c r="I76">
        <f t="shared" ca="1" si="14"/>
        <v>6.7821464990683042E-3</v>
      </c>
      <c r="J76">
        <f t="shared" ca="1" si="15"/>
        <v>-0.10169422709061274</v>
      </c>
      <c r="L76">
        <f t="shared" ca="1" si="16"/>
        <v>7.1185136770883289E-3</v>
      </c>
      <c r="M76">
        <f t="shared" ca="1" si="17"/>
        <v>0.15112454519355822</v>
      </c>
      <c r="O76">
        <f t="shared" ca="1" si="18"/>
        <v>3.377378297425862E-2</v>
      </c>
      <c r="P76">
        <f t="shared" ca="1" si="19"/>
        <v>-0.34782506460587709</v>
      </c>
      <c r="R76">
        <f t="shared" ca="1" si="20"/>
        <v>3.4811497711282301E-2</v>
      </c>
      <c r="S76">
        <f t="shared" ca="1" si="21"/>
        <v>0.78533105192579422</v>
      </c>
    </row>
    <row r="77" spans="3:19" x14ac:dyDescent="0.35">
      <c r="C77" t="str">
        <f t="shared" si="13"/>
        <v/>
      </c>
      <c r="I77">
        <f t="shared" ca="1" si="14"/>
        <v>6.7635892778397074E-3</v>
      </c>
      <c r="J77">
        <f t="shared" ca="1" si="15"/>
        <v>-9.953302419362306E-2</v>
      </c>
      <c r="L77">
        <f t="shared" ca="1" si="16"/>
        <v>7.0755017776223377E-3</v>
      </c>
      <c r="M77">
        <f t="shared" ca="1" si="17"/>
        <v>0.14392208985780086</v>
      </c>
      <c r="O77">
        <f t="shared" ca="1" si="18"/>
        <v>3.2526408376068724E-2</v>
      </c>
      <c r="P77">
        <f t="shared" ca="1" si="19"/>
        <v>-0.34447231538617307</v>
      </c>
      <c r="R77">
        <f t="shared" ca="1" si="20"/>
        <v>3.5329213799305571E-2</v>
      </c>
      <c r="S77">
        <f t="shared" ca="1" si="21"/>
        <v>0.78693702029465118</v>
      </c>
    </row>
    <row r="78" spans="3:19" x14ac:dyDescent="0.35">
      <c r="C78" t="str">
        <f t="shared" si="13"/>
        <v/>
      </c>
      <c r="I78">
        <f t="shared" ca="1" si="14"/>
        <v>6.7457323291103032E-3</v>
      </c>
      <c r="J78">
        <f t="shared" ca="1" si="15"/>
        <v>-9.737182129663341E-2</v>
      </c>
      <c r="L78">
        <f t="shared" ca="1" si="16"/>
        <v>7.0341129687022316E-3</v>
      </c>
      <c r="M78">
        <f t="shared" ca="1" si="17"/>
        <v>0.13671963452204339</v>
      </c>
      <c r="O78">
        <f t="shared" ca="1" si="18"/>
        <v>3.1307136096204405E-2</v>
      </c>
      <c r="P78">
        <f t="shared" ca="1" si="19"/>
        <v>-0.3411195661664691</v>
      </c>
      <c r="R78">
        <f t="shared" ca="1" si="20"/>
        <v>3.5853377723333302E-2</v>
      </c>
      <c r="S78">
        <f t="shared" ca="1" si="21"/>
        <v>0.78854298866350825</v>
      </c>
    </row>
    <row r="79" spans="3:19" x14ac:dyDescent="0.35">
      <c r="C79" t="str">
        <f t="shared" si="13"/>
        <v/>
      </c>
      <c r="I79">
        <f t="shared" ca="1" si="14"/>
        <v>6.7285756528800908E-3</v>
      </c>
      <c r="J79">
        <f t="shared" ca="1" si="15"/>
        <v>-9.5210618399643732E-2</v>
      </c>
      <c r="L79">
        <f t="shared" ca="1" si="16"/>
        <v>6.9943472503280132E-3</v>
      </c>
      <c r="M79">
        <f t="shared" ca="1" si="17"/>
        <v>0.12951717918628614</v>
      </c>
      <c r="O79">
        <f t="shared" ca="1" si="18"/>
        <v>3.0115966134665641E-2</v>
      </c>
      <c r="P79">
        <f t="shared" ca="1" si="19"/>
        <v>-0.33776681694676508</v>
      </c>
      <c r="R79">
        <f t="shared" ca="1" si="20"/>
        <v>3.6383989483365423E-2</v>
      </c>
      <c r="S79">
        <f t="shared" ca="1" si="21"/>
        <v>0.79014895703236521</v>
      </c>
    </row>
    <row r="80" spans="3:19" x14ac:dyDescent="0.35">
      <c r="C80" t="str">
        <f t="shared" si="13"/>
        <v/>
      </c>
      <c r="I80">
        <f t="shared" ca="1" si="14"/>
        <v>6.7121192491490711E-3</v>
      </c>
      <c r="J80">
        <f t="shared" ca="1" si="15"/>
        <v>-9.3049415502654054E-2</v>
      </c>
      <c r="L80">
        <f t="shared" ca="1" si="16"/>
        <v>6.95620462249968E-3</v>
      </c>
      <c r="M80">
        <f t="shared" ca="1" si="17"/>
        <v>0.12231472385052866</v>
      </c>
      <c r="O80">
        <f t="shared" ca="1" si="18"/>
        <v>2.8952898491452453E-2</v>
      </c>
      <c r="P80">
        <f t="shared" ca="1" si="19"/>
        <v>-0.33441406772706112</v>
      </c>
      <c r="R80">
        <f t="shared" ca="1" si="20"/>
        <v>3.6921049079401955E-2</v>
      </c>
      <c r="S80">
        <f t="shared" ca="1" si="21"/>
        <v>0.79175492540122216</v>
      </c>
    </row>
    <row r="81" spans="3:19" x14ac:dyDescent="0.35">
      <c r="C81" t="str">
        <f t="shared" si="13"/>
        <v/>
      </c>
      <c r="I81">
        <f t="shared" ca="1" si="14"/>
        <v>6.696363117917244E-3</v>
      </c>
      <c r="J81">
        <f t="shared" ca="1" si="15"/>
        <v>-9.0888212605664376E-2</v>
      </c>
      <c r="L81">
        <f t="shared" ca="1" si="16"/>
        <v>6.9196850852172344E-3</v>
      </c>
      <c r="M81">
        <f t="shared" ca="1" si="17"/>
        <v>0.1151122685147713</v>
      </c>
      <c r="O81">
        <f t="shared" ca="1" si="18"/>
        <v>2.7817933166564817E-2</v>
      </c>
      <c r="P81">
        <f t="shared" ca="1" si="19"/>
        <v>-0.33106131850735709</v>
      </c>
      <c r="R81">
        <f t="shared" ca="1" si="20"/>
        <v>3.7464556511442926E-2</v>
      </c>
      <c r="S81">
        <f t="shared" ca="1" si="21"/>
        <v>0.79336089377007912</v>
      </c>
    </row>
    <row r="82" spans="3:19" x14ac:dyDescent="0.35">
      <c r="C82" t="str">
        <f t="shared" si="13"/>
        <v/>
      </c>
      <c r="I82">
        <f t="shared" ca="1" si="14"/>
        <v>6.6813072591846096E-3</v>
      </c>
      <c r="J82">
        <f t="shared" ca="1" si="15"/>
        <v>-8.8727009708674726E-2</v>
      </c>
      <c r="L82">
        <f t="shared" ca="1" si="16"/>
        <v>6.8847886384806739E-3</v>
      </c>
      <c r="M82">
        <f t="shared" ca="1" si="17"/>
        <v>0.10790981317901382</v>
      </c>
      <c r="O82">
        <f t="shared" ca="1" si="18"/>
        <v>2.6711070160002737E-2</v>
      </c>
      <c r="P82">
        <f t="shared" ca="1" si="19"/>
        <v>-0.32770856928765307</v>
      </c>
      <c r="R82">
        <f t="shared" ca="1" si="20"/>
        <v>3.8014511779488315E-2</v>
      </c>
      <c r="S82">
        <f t="shared" ca="1" si="21"/>
        <v>0.79496686213893608</v>
      </c>
    </row>
    <row r="83" spans="3:19" x14ac:dyDescent="0.35">
      <c r="C83" t="str">
        <f t="shared" si="13"/>
        <v/>
      </c>
      <c r="I83">
        <f t="shared" ca="1" si="14"/>
        <v>6.6669516729511661E-3</v>
      </c>
      <c r="J83">
        <f t="shared" ca="1" si="15"/>
        <v>-8.6565806811685048E-2</v>
      </c>
      <c r="L83">
        <f t="shared" ca="1" si="16"/>
        <v>6.8515152822900011E-3</v>
      </c>
      <c r="M83">
        <f t="shared" ca="1" si="17"/>
        <v>0.10070735784325646</v>
      </c>
      <c r="O83">
        <f t="shared" ca="1" si="18"/>
        <v>2.5632309471766236E-2</v>
      </c>
      <c r="P83">
        <f t="shared" ca="1" si="19"/>
        <v>-0.32435582006794905</v>
      </c>
      <c r="R83">
        <f t="shared" ca="1" si="20"/>
        <v>3.8570914883538115E-2</v>
      </c>
      <c r="S83">
        <f t="shared" ca="1" si="21"/>
        <v>0.79657283050779304</v>
      </c>
    </row>
    <row r="84" spans="3:19" x14ac:dyDescent="0.35">
      <c r="C84" t="str">
        <f t="shared" si="13"/>
        <v/>
      </c>
      <c r="I84">
        <f t="shared" ca="1" si="14"/>
        <v>6.6532963592169161E-3</v>
      </c>
      <c r="J84">
        <f t="shared" ca="1" si="15"/>
        <v>-8.440460391469537E-2</v>
      </c>
      <c r="L84">
        <f t="shared" ca="1" si="16"/>
        <v>6.8198650166452143E-3</v>
      </c>
      <c r="M84">
        <f t="shared" ca="1" si="17"/>
        <v>9.3504902507498988E-2</v>
      </c>
      <c r="O84">
        <f t="shared" ca="1" si="18"/>
        <v>2.4581651101855301E-2</v>
      </c>
      <c r="P84">
        <f t="shared" ca="1" si="19"/>
        <v>-0.32100307084824509</v>
      </c>
      <c r="R84">
        <f t="shared" ca="1" si="20"/>
        <v>3.9133765823592397E-2</v>
      </c>
      <c r="S84">
        <f t="shared" ca="1" si="21"/>
        <v>0.79817879887665011</v>
      </c>
    </row>
    <row r="85" spans="3:19" x14ac:dyDescent="0.35">
      <c r="C85" t="str">
        <f t="shared" si="13"/>
        <v/>
      </c>
      <c r="I85">
        <f t="shared" ca="1" si="14"/>
        <v>6.640341317981858E-3</v>
      </c>
      <c r="J85">
        <f t="shared" ca="1" si="15"/>
        <v>-8.2243401017705692E-2</v>
      </c>
      <c r="L85">
        <f t="shared" ca="1" si="16"/>
        <v>6.7898378415463135E-3</v>
      </c>
      <c r="M85">
        <f t="shared" ca="1" si="17"/>
        <v>8.6302447171741625E-2</v>
      </c>
      <c r="O85">
        <f t="shared" ca="1" si="18"/>
        <v>2.3559095050269926E-2</v>
      </c>
      <c r="P85">
        <f t="shared" ca="1" si="19"/>
        <v>-0.31765032162854107</v>
      </c>
      <c r="R85">
        <f t="shared" ca="1" si="20"/>
        <v>3.970306459965104E-2</v>
      </c>
      <c r="S85">
        <f t="shared" ca="1" si="21"/>
        <v>0.79978476724550707</v>
      </c>
    </row>
    <row r="86" spans="3:19" x14ac:dyDescent="0.35">
      <c r="C86" t="str">
        <f t="shared" si="13"/>
        <v/>
      </c>
      <c r="I86">
        <f t="shared" ca="1" si="14"/>
        <v>6.6280865492459925E-3</v>
      </c>
      <c r="J86">
        <f t="shared" ca="1" si="15"/>
        <v>-8.0082198120716014E-2</v>
      </c>
      <c r="L86">
        <f t="shared" ca="1" si="16"/>
        <v>6.7614337569933004E-3</v>
      </c>
      <c r="M86">
        <f t="shared" ca="1" si="17"/>
        <v>7.9099991835984262E-2</v>
      </c>
      <c r="O86">
        <f t="shared" ca="1" si="18"/>
        <v>2.2564641317010123E-2</v>
      </c>
      <c r="P86">
        <f t="shared" ca="1" si="19"/>
        <v>-0.3142975724088371</v>
      </c>
      <c r="R86">
        <f t="shared" ca="1" si="20"/>
        <v>4.0278811211714123E-2</v>
      </c>
      <c r="S86">
        <f t="shared" ca="1" si="21"/>
        <v>0.80139073561436402</v>
      </c>
    </row>
    <row r="87" spans="3:19" x14ac:dyDescent="0.35">
      <c r="C87" t="str">
        <f t="shared" si="13"/>
        <v/>
      </c>
      <c r="I87">
        <f t="shared" ca="1" si="14"/>
        <v>6.6165320530093188E-3</v>
      </c>
      <c r="J87">
        <f t="shared" ca="1" si="15"/>
        <v>-7.7920995223726364E-2</v>
      </c>
      <c r="L87">
        <f t="shared" ca="1" si="16"/>
        <v>6.7346527629861732E-3</v>
      </c>
      <c r="M87">
        <f t="shared" ca="1" si="17"/>
        <v>7.1897536500226789E-2</v>
      </c>
      <c r="O87">
        <f t="shared" ca="1" si="18"/>
        <v>2.1598289902075872E-2</v>
      </c>
      <c r="P87">
        <f t="shared" ca="1" si="19"/>
        <v>-0.31094482318913308</v>
      </c>
      <c r="R87">
        <f t="shared" ca="1" si="20"/>
        <v>4.0861005659781666E-2</v>
      </c>
      <c r="S87">
        <f t="shared" ca="1" si="21"/>
        <v>0.80299670398322109</v>
      </c>
    </row>
    <row r="88" spans="3:19" x14ac:dyDescent="0.35">
      <c r="C88" t="str">
        <f t="shared" si="13"/>
        <v/>
      </c>
      <c r="I88">
        <f t="shared" ca="1" si="14"/>
        <v>6.6056778292718377E-3</v>
      </c>
      <c r="J88">
        <f t="shared" ca="1" si="15"/>
        <v>-7.5759792326736686E-2</v>
      </c>
      <c r="L88">
        <f t="shared" ca="1" si="16"/>
        <v>6.709494859524932E-3</v>
      </c>
      <c r="M88">
        <f t="shared" ca="1" si="17"/>
        <v>6.4695081164469426E-2</v>
      </c>
      <c r="O88">
        <f t="shared" ca="1" si="18"/>
        <v>2.066004080546718E-2</v>
      </c>
      <c r="P88">
        <f t="shared" ca="1" si="19"/>
        <v>-0.30759207396942906</v>
      </c>
      <c r="R88">
        <f t="shared" ca="1" si="20"/>
        <v>4.1449647943853592E-2</v>
      </c>
      <c r="S88">
        <f t="shared" ca="1" si="21"/>
        <v>0.80460267235207805</v>
      </c>
    </row>
    <row r="89" spans="3:19" x14ac:dyDescent="0.35">
      <c r="C89" t="str">
        <f t="shared" si="13"/>
        <v/>
      </c>
      <c r="I89">
        <f t="shared" ca="1" si="14"/>
        <v>6.5955238780335494E-3</v>
      </c>
      <c r="J89">
        <f t="shared" ca="1" si="15"/>
        <v>-7.3598589429747008E-2</v>
      </c>
      <c r="L89">
        <f t="shared" ca="1" si="16"/>
        <v>6.6859600466095776E-3</v>
      </c>
      <c r="M89">
        <f t="shared" ca="1" si="17"/>
        <v>5.7492625828711952E-2</v>
      </c>
      <c r="O89">
        <f t="shared" ca="1" si="18"/>
        <v>1.9749894027184078E-2</v>
      </c>
      <c r="P89">
        <f t="shared" ca="1" si="19"/>
        <v>-0.30423932474972509</v>
      </c>
      <c r="R89">
        <f t="shared" ca="1" si="20"/>
        <v>4.2044738063929936E-2</v>
      </c>
      <c r="S89">
        <f t="shared" ca="1" si="21"/>
        <v>0.80620864072093501</v>
      </c>
    </row>
    <row r="90" spans="3:19" x14ac:dyDescent="0.35">
      <c r="C90" t="str">
        <f t="shared" si="13"/>
        <v/>
      </c>
      <c r="I90">
        <f t="shared" ca="1" si="14"/>
        <v>6.5860701992944528E-3</v>
      </c>
      <c r="J90">
        <f t="shared" ca="1" si="15"/>
        <v>-7.143738653275733E-2</v>
      </c>
      <c r="L90">
        <f t="shared" ca="1" si="16"/>
        <v>6.6640483242401101E-3</v>
      </c>
      <c r="M90">
        <f t="shared" ca="1" si="17"/>
        <v>5.0290170492954589E-2</v>
      </c>
      <c r="O90">
        <f t="shared" ca="1" si="18"/>
        <v>1.8867849567226515E-2</v>
      </c>
      <c r="P90">
        <f t="shared" ca="1" si="19"/>
        <v>-0.30088657553002107</v>
      </c>
      <c r="R90">
        <f t="shared" ca="1" si="20"/>
        <v>4.2646276020010698E-2</v>
      </c>
      <c r="S90">
        <f t="shared" ca="1" si="21"/>
        <v>0.80781460908979197</v>
      </c>
    </row>
    <row r="91" spans="3:19" x14ac:dyDescent="0.35">
      <c r="C91" t="str">
        <f t="shared" si="13"/>
        <v/>
      </c>
      <c r="I91">
        <f t="shared" ca="1" si="14"/>
        <v>6.5773167930545488E-3</v>
      </c>
      <c r="J91">
        <f t="shared" ca="1" si="15"/>
        <v>-6.9276183635767652E-2</v>
      </c>
      <c r="L91">
        <f t="shared" ca="1" si="16"/>
        <v>6.6437596924165294E-3</v>
      </c>
      <c r="M91">
        <f t="shared" ca="1" si="17"/>
        <v>4.3087715157197115E-2</v>
      </c>
      <c r="O91">
        <f t="shared" ca="1" si="18"/>
        <v>1.8013907425594521E-2</v>
      </c>
      <c r="P91">
        <f t="shared" ca="1" si="19"/>
        <v>-0.29753382631031705</v>
      </c>
      <c r="R91">
        <f t="shared" ca="1" si="20"/>
        <v>4.3254261812095893E-2</v>
      </c>
      <c r="S91">
        <f t="shared" ca="1" si="21"/>
        <v>0.80942057745864893</v>
      </c>
    </row>
    <row r="92" spans="3:19" x14ac:dyDescent="0.35">
      <c r="C92" t="str">
        <f t="shared" si="13"/>
        <v/>
      </c>
      <c r="I92">
        <f t="shared" ca="1" si="14"/>
        <v>6.5692636593138367E-3</v>
      </c>
      <c r="J92">
        <f t="shared" ca="1" si="15"/>
        <v>-6.7114980738777974E-2</v>
      </c>
      <c r="L92">
        <f t="shared" ca="1" si="16"/>
        <v>6.6250941511388347E-3</v>
      </c>
      <c r="M92">
        <f t="shared" ca="1" si="17"/>
        <v>3.5885259821439752E-2</v>
      </c>
      <c r="O92">
        <f t="shared" ca="1" si="18"/>
        <v>1.7188067602288096E-2</v>
      </c>
      <c r="P92">
        <f t="shared" ca="1" si="19"/>
        <v>-0.29418107709061303</v>
      </c>
      <c r="R92">
        <f t="shared" ca="1" si="20"/>
        <v>4.3868695440185505E-2</v>
      </c>
      <c r="S92">
        <f t="shared" ca="1" si="21"/>
        <v>0.81102654582750588</v>
      </c>
    </row>
    <row r="93" spans="3:19" x14ac:dyDescent="0.35">
      <c r="C93" t="str">
        <f t="shared" si="13"/>
        <v/>
      </c>
      <c r="I93">
        <f t="shared" ca="1" si="14"/>
        <v>6.5619107980723181E-3</v>
      </c>
      <c r="J93">
        <f t="shared" ca="1" si="15"/>
        <v>-6.4953777841788352E-2</v>
      </c>
      <c r="L93">
        <f t="shared" ca="1" si="16"/>
        <v>6.608051700407026E-3</v>
      </c>
      <c r="M93">
        <f t="shared" ca="1" si="17"/>
        <v>2.8682804485682389E-2</v>
      </c>
      <c r="O93">
        <f t="shared" ca="1" si="18"/>
        <v>1.639033009730724E-2</v>
      </c>
      <c r="P93">
        <f t="shared" ca="1" si="19"/>
        <v>-0.29082832787090906</v>
      </c>
      <c r="R93">
        <f t="shared" ca="1" si="20"/>
        <v>4.4489576904279585E-2</v>
      </c>
      <c r="S93">
        <f t="shared" ca="1" si="21"/>
        <v>0.81263251419636295</v>
      </c>
    </row>
    <row r="94" spans="3:19" x14ac:dyDescent="0.35">
      <c r="C94" t="str">
        <f t="shared" si="13"/>
        <v/>
      </c>
      <c r="I94">
        <f t="shared" ca="1" si="14"/>
        <v>6.5552582093299904E-3</v>
      </c>
      <c r="J94">
        <f t="shared" ca="1" si="15"/>
        <v>-6.2792574944798674E-2</v>
      </c>
      <c r="L94">
        <f t="shared" ca="1" si="16"/>
        <v>6.5926323402211041E-3</v>
      </c>
      <c r="M94">
        <f t="shared" ca="1" si="17"/>
        <v>2.1480349149924916E-2</v>
      </c>
      <c r="O94">
        <f t="shared" ca="1" si="18"/>
        <v>1.5620694910651945E-2</v>
      </c>
      <c r="P94">
        <f t="shared" ca="1" si="19"/>
        <v>-0.28747557865120504</v>
      </c>
      <c r="R94">
        <f t="shared" ca="1" si="20"/>
        <v>4.5116906204378047E-2</v>
      </c>
      <c r="S94">
        <f t="shared" ca="1" si="21"/>
        <v>0.81423848256521991</v>
      </c>
    </row>
    <row r="95" spans="3:19" x14ac:dyDescent="0.35">
      <c r="C95" t="str">
        <f t="shared" si="13"/>
        <v/>
      </c>
      <c r="I95">
        <f t="shared" ca="1" si="14"/>
        <v>6.5493058930868563E-3</v>
      </c>
      <c r="J95">
        <f t="shared" ca="1" si="15"/>
        <v>-6.0631372047808996E-2</v>
      </c>
      <c r="L95">
        <f t="shared" ca="1" si="16"/>
        <v>6.578836070581069E-3</v>
      </c>
      <c r="M95">
        <f t="shared" ca="1" si="17"/>
        <v>1.4277893814167553E-2</v>
      </c>
      <c r="O95">
        <f t="shared" ca="1" si="18"/>
        <v>1.4879162042322208E-2</v>
      </c>
      <c r="P95">
        <f t="shared" ca="1" si="19"/>
        <v>-0.28412282943150102</v>
      </c>
      <c r="R95">
        <f t="shared" ca="1" si="20"/>
        <v>4.5750683340480935E-2</v>
      </c>
      <c r="S95">
        <f t="shared" ca="1" si="21"/>
        <v>0.81584445093407687</v>
      </c>
    </row>
    <row r="96" spans="3:19" x14ac:dyDescent="0.35">
      <c r="C96" t="str">
        <f t="shared" si="13"/>
        <v/>
      </c>
      <c r="I96">
        <f t="shared" ca="1" si="14"/>
        <v>6.544053849342913E-3</v>
      </c>
      <c r="J96">
        <f t="shared" ca="1" si="15"/>
        <v>-5.8470169150819318E-2</v>
      </c>
      <c r="L96">
        <f t="shared" ca="1" si="16"/>
        <v>6.5666628914869208E-3</v>
      </c>
      <c r="M96">
        <f t="shared" ca="1" si="17"/>
        <v>7.0754384784100788E-3</v>
      </c>
      <c r="O96">
        <f t="shared" ca="1" si="18"/>
        <v>1.4165731492318053E-2</v>
      </c>
      <c r="P96">
        <f t="shared" ca="1" si="19"/>
        <v>-0.28077008021179706</v>
      </c>
      <c r="R96">
        <f t="shared" ca="1" si="20"/>
        <v>4.6390908312588276E-2</v>
      </c>
      <c r="S96">
        <f t="shared" ca="1" si="21"/>
        <v>0.81745041930293394</v>
      </c>
    </row>
    <row r="97" spans="3:19" x14ac:dyDescent="0.35">
      <c r="C97" t="str">
        <f t="shared" si="13"/>
        <v/>
      </c>
      <c r="I97">
        <f t="shared" ca="1" si="14"/>
        <v>6.5395020780981633E-3</v>
      </c>
      <c r="J97">
        <f t="shared" ca="1" si="15"/>
        <v>-5.630896625382964E-2</v>
      </c>
      <c r="L97">
        <f t="shared" ca="1" si="16"/>
        <v>6.5561128029386585E-3</v>
      </c>
      <c r="M97">
        <f t="shared" ca="1" si="17"/>
        <v>-1.2701685734728407E-4</v>
      </c>
      <c r="O97">
        <f t="shared" ca="1" si="18"/>
        <v>1.3480403260639444E-2</v>
      </c>
      <c r="P97">
        <f t="shared" ca="1" si="19"/>
        <v>-0.27741733099209304</v>
      </c>
      <c r="R97">
        <f t="shared" ca="1" si="20"/>
        <v>4.7037581120700007E-2</v>
      </c>
      <c r="S97">
        <f t="shared" ca="1" si="21"/>
        <v>0.8190563876717909</v>
      </c>
    </row>
    <row r="98" spans="3:19" x14ac:dyDescent="0.35">
      <c r="C98" t="str">
        <f t="shared" si="13"/>
        <v/>
      </c>
      <c r="I98">
        <f t="shared" ca="1" si="14"/>
        <v>6.5356505793526054E-3</v>
      </c>
      <c r="J98">
        <f t="shared" ca="1" si="15"/>
        <v>-5.414776335683999E-2</v>
      </c>
      <c r="L98">
        <f t="shared" ca="1" si="16"/>
        <v>6.5471858049362831E-3</v>
      </c>
      <c r="M98">
        <f t="shared" ca="1" si="17"/>
        <v>-7.3294721931046469E-3</v>
      </c>
      <c r="O98">
        <f t="shared" ca="1" si="18"/>
        <v>1.2823177347286418E-2</v>
      </c>
      <c r="P98">
        <f t="shared" ca="1" si="19"/>
        <v>-0.27406458177238907</v>
      </c>
      <c r="R98">
        <f t="shared" ca="1" si="20"/>
        <v>4.7690701764816164E-2</v>
      </c>
      <c r="S98">
        <f t="shared" ca="1" si="21"/>
        <v>0.82066235604064786</v>
      </c>
    </row>
    <row r="99" spans="3:19" x14ac:dyDescent="0.35">
      <c r="C99" t="str">
        <f t="shared" si="13"/>
        <v/>
      </c>
      <c r="I99">
        <f t="shared" ca="1" si="14"/>
        <v>6.5324993531062402E-3</v>
      </c>
      <c r="J99">
        <f t="shared" ca="1" si="15"/>
        <v>-5.1986560459850312E-2</v>
      </c>
      <c r="L99">
        <f t="shared" ca="1" si="16"/>
        <v>6.5398818974797936E-3</v>
      </c>
      <c r="M99">
        <f t="shared" ca="1" si="17"/>
        <v>-1.4531927528862121E-2</v>
      </c>
      <c r="O99">
        <f t="shared" ca="1" si="18"/>
        <v>1.2194053752258939E-2</v>
      </c>
      <c r="P99">
        <f t="shared" ca="1" si="19"/>
        <v>-0.27071183255268505</v>
      </c>
      <c r="R99">
        <f t="shared" ca="1" si="20"/>
        <v>4.8350270244936731E-2</v>
      </c>
      <c r="S99">
        <f t="shared" ca="1" si="21"/>
        <v>0.82226832440950481</v>
      </c>
    </row>
    <row r="100" spans="3:19" x14ac:dyDescent="0.35">
      <c r="C100" t="str">
        <f t="shared" si="13"/>
        <v/>
      </c>
      <c r="I100">
        <f t="shared" ca="1" si="14"/>
        <v>6.5300483993590668E-3</v>
      </c>
      <c r="J100">
        <f t="shared" ca="1" si="15"/>
        <v>-4.9825357562860634E-2</v>
      </c>
      <c r="L100">
        <f t="shared" ca="1" si="16"/>
        <v>6.534201080569191E-3</v>
      </c>
      <c r="M100">
        <f t="shared" ca="1" si="17"/>
        <v>-2.1734382864619484E-2</v>
      </c>
      <c r="O100">
        <f t="shared" ca="1" si="18"/>
        <v>1.1593032475557031E-2</v>
      </c>
      <c r="P100">
        <f t="shared" ca="1" si="19"/>
        <v>-0.26735908333298103</v>
      </c>
      <c r="R100">
        <f t="shared" ca="1" si="20"/>
        <v>4.9016286561061731E-2</v>
      </c>
      <c r="S100">
        <f t="shared" ca="1" si="21"/>
        <v>0.82387429277836177</v>
      </c>
    </row>
    <row r="101" spans="3:19" x14ac:dyDescent="0.35">
      <c r="C101" t="str">
        <f t="shared" si="13"/>
        <v/>
      </c>
      <c r="I101">
        <f t="shared" ca="1" si="14"/>
        <v>6.528297718111086E-3</v>
      </c>
      <c r="J101">
        <f t="shared" ref="J101:J103" ca="1" si="22">$G$9 + ($G$6 - $G$9) * (ROW(B98)-1)/99</f>
        <v>-4.7664154665870956E-2</v>
      </c>
      <c r="L101">
        <f t="shared" ca="1" si="16"/>
        <v>6.5301433542044743E-3</v>
      </c>
      <c r="M101">
        <f t="shared" ca="1" si="17"/>
        <v>-2.8936838200376958E-2</v>
      </c>
      <c r="O101">
        <f t="shared" ca="1" si="18"/>
        <v>1.1020113517180682E-2</v>
      </c>
      <c r="P101">
        <f t="shared" ref="P101:P103" ca="1" si="23">$G$26 + ($G$9 - $G$26) * (ROW(B98)-1)/99</f>
        <v>-0.26400633411327701</v>
      </c>
      <c r="R101">
        <f t="shared" ca="1" si="20"/>
        <v>4.9688750713191149E-2</v>
      </c>
      <c r="S101">
        <f t="shared" ref="S101:S103" ca="1" si="24">$G$13 + ($G$25 - $G$13) * (ROW(B98)-1)/99</f>
        <v>0.82548026114721873</v>
      </c>
    </row>
    <row r="102" spans="3:19" x14ac:dyDescent="0.35">
      <c r="C102" t="str">
        <f t="shared" si="13"/>
        <v/>
      </c>
      <c r="I102">
        <f t="shared" ca="1" si="14"/>
        <v>6.5272473093622978E-3</v>
      </c>
      <c r="J102">
        <f t="shared" ca="1" si="22"/>
        <v>-4.5502951768881278E-2</v>
      </c>
      <c r="L102">
        <f t="shared" ca="1" si="16"/>
        <v>6.5277087183856445E-3</v>
      </c>
      <c r="M102">
        <f t="shared" ca="1" si="17"/>
        <v>-3.6139293536134209E-2</v>
      </c>
      <c r="O102">
        <f t="shared" ca="1" si="18"/>
        <v>1.0475296877129912E-2</v>
      </c>
      <c r="P102">
        <f t="shared" ca="1" si="23"/>
        <v>-0.26065358489357304</v>
      </c>
      <c r="R102">
        <f t="shared" ca="1" si="20"/>
        <v>5.036766270132504E-2</v>
      </c>
      <c r="S102">
        <f t="shared" ca="1" si="24"/>
        <v>0.8270862295160758</v>
      </c>
    </row>
    <row r="103" spans="3:19" x14ac:dyDescent="0.35">
      <c r="C103" t="str">
        <f t="shared" si="13"/>
        <v/>
      </c>
      <c r="I103">
        <f t="shared" ca="1" si="14"/>
        <v>6.5268971731127015E-3</v>
      </c>
      <c r="J103">
        <f t="shared" ca="1" si="22"/>
        <v>-4.3341748871891655E-2</v>
      </c>
      <c r="L103">
        <f t="shared" ca="1" si="16"/>
        <v>6.5268971731127015E-3</v>
      </c>
      <c r="M103">
        <f t="shared" ca="1" si="17"/>
        <v>-4.3341748871891794E-2</v>
      </c>
      <c r="O103">
        <f t="shared" ca="1" si="18"/>
        <v>9.9585825554046915E-3</v>
      </c>
      <c r="P103">
        <f t="shared" ca="1" si="23"/>
        <v>-0.25730083567386902</v>
      </c>
      <c r="R103">
        <f t="shared" ca="1" si="20"/>
        <v>5.1053022525463308E-2</v>
      </c>
      <c r="S103">
        <f t="shared" ca="1" si="24"/>
        <v>0.82869219788493276</v>
      </c>
    </row>
    <row r="104" spans="3:19" x14ac:dyDescent="0.35">
      <c r="C104" t="str">
        <f t="shared" si="13"/>
        <v/>
      </c>
    </row>
    <row r="105" spans="3:19" x14ac:dyDescent="0.35">
      <c r="C105" t="str">
        <f t="shared" si="13"/>
        <v/>
      </c>
    </row>
    <row r="106" spans="3:19" x14ac:dyDescent="0.35">
      <c r="C106" t="str">
        <f t="shared" si="13"/>
        <v/>
      </c>
    </row>
    <row r="107" spans="3:19" x14ac:dyDescent="0.35">
      <c r="C107" t="str">
        <f t="shared" si="13"/>
        <v/>
      </c>
    </row>
    <row r="108" spans="3:19" x14ac:dyDescent="0.35">
      <c r="C108" t="str">
        <f t="shared" si="13"/>
        <v/>
      </c>
    </row>
    <row r="109" spans="3:19" x14ac:dyDescent="0.35">
      <c r="C109" t="str">
        <f t="shared" si="13"/>
        <v/>
      </c>
    </row>
    <row r="110" spans="3:19" x14ac:dyDescent="0.35">
      <c r="C110" t="str">
        <f t="shared" si="13"/>
        <v/>
      </c>
    </row>
    <row r="111" spans="3:19" x14ac:dyDescent="0.35">
      <c r="C111" t="str">
        <f t="shared" si="13"/>
        <v/>
      </c>
    </row>
    <row r="112" spans="3:19" x14ac:dyDescent="0.35">
      <c r="C112" t="str">
        <f t="shared" si="13"/>
        <v/>
      </c>
    </row>
    <row r="113" spans="3:3" x14ac:dyDescent="0.35">
      <c r="C113" t="str">
        <f t="shared" si="13"/>
        <v/>
      </c>
    </row>
    <row r="114" spans="3:3" x14ac:dyDescent="0.35">
      <c r="C114" t="str">
        <f t="shared" si="13"/>
        <v/>
      </c>
    </row>
    <row r="115" spans="3:3" x14ac:dyDescent="0.35">
      <c r="C115" t="str">
        <f t="shared" si="13"/>
        <v/>
      </c>
    </row>
    <row r="116" spans="3:3" x14ac:dyDescent="0.35">
      <c r="C116" t="str">
        <f t="shared" si="13"/>
        <v/>
      </c>
    </row>
    <row r="117" spans="3:3" x14ac:dyDescent="0.35">
      <c r="C117" t="str">
        <f t="shared" si="13"/>
        <v/>
      </c>
    </row>
    <row r="118" spans="3:3" x14ac:dyDescent="0.35">
      <c r="C118" t="str">
        <f t="shared" si="13"/>
        <v/>
      </c>
    </row>
    <row r="119" spans="3:3" x14ac:dyDescent="0.35">
      <c r="C119" t="str">
        <f t="shared" si="13"/>
        <v/>
      </c>
    </row>
    <row r="120" spans="3:3" x14ac:dyDescent="0.35">
      <c r="C120" t="str">
        <f t="shared" si="13"/>
        <v/>
      </c>
    </row>
    <row r="121" spans="3:3" x14ac:dyDescent="0.35">
      <c r="C121" t="str">
        <f t="shared" si="13"/>
        <v/>
      </c>
    </row>
    <row r="122" spans="3:3" x14ac:dyDescent="0.35">
      <c r="C122" t="str">
        <f t="shared" si="13"/>
        <v/>
      </c>
    </row>
    <row r="123" spans="3:3" x14ac:dyDescent="0.35">
      <c r="C123" t="str">
        <f t="shared" si="13"/>
        <v/>
      </c>
    </row>
    <row r="124" spans="3:3" x14ac:dyDescent="0.35">
      <c r="C124" t="str">
        <f t="shared" si="13"/>
        <v/>
      </c>
    </row>
    <row r="125" spans="3:3" x14ac:dyDescent="0.35">
      <c r="C125" t="str">
        <f t="shared" si="13"/>
        <v/>
      </c>
    </row>
    <row r="126" spans="3:3" x14ac:dyDescent="0.35">
      <c r="C126" t="str">
        <f t="shared" si="13"/>
        <v/>
      </c>
    </row>
    <row r="127" spans="3:3" x14ac:dyDescent="0.35">
      <c r="C127" t="str">
        <f t="shared" si="13"/>
        <v/>
      </c>
    </row>
    <row r="128" spans="3:3" x14ac:dyDescent="0.35">
      <c r="C128" t="str">
        <f t="shared" si="13"/>
        <v/>
      </c>
    </row>
    <row r="129" spans="3:3" x14ac:dyDescent="0.35">
      <c r="C129" t="str">
        <f t="shared" si="13"/>
        <v/>
      </c>
    </row>
    <row r="130" spans="3:3" x14ac:dyDescent="0.35">
      <c r="C130" t="str">
        <f t="shared" si="13"/>
        <v/>
      </c>
    </row>
    <row r="131" spans="3:3" x14ac:dyDescent="0.35">
      <c r="C131" t="str">
        <f t="shared" si="13"/>
        <v/>
      </c>
    </row>
    <row r="132" spans="3:3" x14ac:dyDescent="0.35">
      <c r="C132" t="str">
        <f t="shared" si="13"/>
        <v/>
      </c>
    </row>
    <row r="133" spans="3:3" x14ac:dyDescent="0.35">
      <c r="C133" t="str">
        <f t="shared" ref="C133:C196" si="25">IF(ISBLANK(D133), "",
IF(D133 &lt; $G$9,
    $G$10 + $G$19 * ($G$23 * (D133 - $G$9))^2 + $G$21 * (1 - (D133 - $G$6)/($G$9 - $G$6)),
IF(D133 &gt; $G$13,
    $G$14 + $G$19 * ($G$23 * (D133 - $G$13))^2 - $G$22 * (1 - (D133 - $G$6)/($G$13 - $G$6)),
IF(D133 &lt; $G$6,
    $G$16 * (D133 - $G$6)^2 + $G$5,
    $G$17 * (D133 - $G$6)^2 + $G$5))))</f>
        <v/>
      </c>
    </row>
    <row r="134" spans="3:3" x14ac:dyDescent="0.35">
      <c r="C134" t="str">
        <f t="shared" si="25"/>
        <v/>
      </c>
    </row>
    <row r="135" spans="3:3" x14ac:dyDescent="0.35">
      <c r="C135" t="str">
        <f t="shared" si="25"/>
        <v/>
      </c>
    </row>
    <row r="136" spans="3:3" x14ac:dyDescent="0.35">
      <c r="C136" t="str">
        <f t="shared" si="25"/>
        <v/>
      </c>
    </row>
    <row r="137" spans="3:3" x14ac:dyDescent="0.35">
      <c r="C137" t="str">
        <f t="shared" si="25"/>
        <v/>
      </c>
    </row>
    <row r="138" spans="3:3" x14ac:dyDescent="0.35">
      <c r="C138" t="str">
        <f t="shared" si="25"/>
        <v/>
      </c>
    </row>
    <row r="139" spans="3:3" x14ac:dyDescent="0.35">
      <c r="C139" t="str">
        <f t="shared" si="25"/>
        <v/>
      </c>
    </row>
    <row r="140" spans="3:3" x14ac:dyDescent="0.35">
      <c r="C140" t="str">
        <f t="shared" si="25"/>
        <v/>
      </c>
    </row>
    <row r="141" spans="3:3" x14ac:dyDescent="0.35">
      <c r="C141" t="str">
        <f t="shared" si="25"/>
        <v/>
      </c>
    </row>
    <row r="142" spans="3:3" x14ac:dyDescent="0.35">
      <c r="C142" t="str">
        <f t="shared" si="25"/>
        <v/>
      </c>
    </row>
    <row r="143" spans="3:3" x14ac:dyDescent="0.35">
      <c r="C143" t="str">
        <f t="shared" si="25"/>
        <v/>
      </c>
    </row>
    <row r="144" spans="3:3" x14ac:dyDescent="0.35">
      <c r="C144" t="str">
        <f t="shared" si="25"/>
        <v/>
      </c>
    </row>
    <row r="145" spans="3:3" x14ac:dyDescent="0.35">
      <c r="C145" t="str">
        <f t="shared" si="25"/>
        <v/>
      </c>
    </row>
    <row r="146" spans="3:3" x14ac:dyDescent="0.35">
      <c r="C146" t="str">
        <f t="shared" si="25"/>
        <v/>
      </c>
    </row>
    <row r="147" spans="3:3" x14ac:dyDescent="0.35">
      <c r="C147" t="str">
        <f t="shared" si="25"/>
        <v/>
      </c>
    </row>
    <row r="148" spans="3:3" x14ac:dyDescent="0.35">
      <c r="C148" t="str">
        <f t="shared" si="25"/>
        <v/>
      </c>
    </row>
    <row r="149" spans="3:3" x14ac:dyDescent="0.35">
      <c r="C149" t="str">
        <f t="shared" si="25"/>
        <v/>
      </c>
    </row>
    <row r="150" spans="3:3" x14ac:dyDescent="0.35">
      <c r="C150" t="str">
        <f t="shared" si="25"/>
        <v/>
      </c>
    </row>
    <row r="151" spans="3:3" x14ac:dyDescent="0.35">
      <c r="C151" t="str">
        <f t="shared" si="25"/>
        <v/>
      </c>
    </row>
    <row r="152" spans="3:3" x14ac:dyDescent="0.35">
      <c r="C152" t="str">
        <f t="shared" si="25"/>
        <v/>
      </c>
    </row>
    <row r="153" spans="3:3" x14ac:dyDescent="0.35">
      <c r="C153" t="str">
        <f t="shared" si="25"/>
        <v/>
      </c>
    </row>
    <row r="154" spans="3:3" x14ac:dyDescent="0.35">
      <c r="C154" t="str">
        <f t="shared" si="25"/>
        <v/>
      </c>
    </row>
    <row r="155" spans="3:3" x14ac:dyDescent="0.35">
      <c r="C155" t="str">
        <f t="shared" si="25"/>
        <v/>
      </c>
    </row>
    <row r="156" spans="3:3" x14ac:dyDescent="0.35">
      <c r="C156" t="str">
        <f t="shared" si="25"/>
        <v/>
      </c>
    </row>
    <row r="157" spans="3:3" x14ac:dyDescent="0.35">
      <c r="C157" t="str">
        <f t="shared" si="25"/>
        <v/>
      </c>
    </row>
    <row r="158" spans="3:3" x14ac:dyDescent="0.35">
      <c r="C158" t="str">
        <f t="shared" si="25"/>
        <v/>
      </c>
    </row>
    <row r="159" spans="3:3" x14ac:dyDescent="0.35">
      <c r="C159" t="str">
        <f t="shared" si="25"/>
        <v/>
      </c>
    </row>
    <row r="160" spans="3:3" x14ac:dyDescent="0.35">
      <c r="C160" t="str">
        <f t="shared" si="25"/>
        <v/>
      </c>
    </row>
    <row r="161" spans="3:3" x14ac:dyDescent="0.35">
      <c r="C161" t="str">
        <f t="shared" si="25"/>
        <v/>
      </c>
    </row>
    <row r="162" spans="3:3" x14ac:dyDescent="0.35">
      <c r="C162" t="str">
        <f t="shared" si="25"/>
        <v/>
      </c>
    </row>
    <row r="163" spans="3:3" x14ac:dyDescent="0.35">
      <c r="C163" t="str">
        <f t="shared" si="25"/>
        <v/>
      </c>
    </row>
    <row r="164" spans="3:3" x14ac:dyDescent="0.35">
      <c r="C164" t="str">
        <f t="shared" si="25"/>
        <v/>
      </c>
    </row>
    <row r="165" spans="3:3" x14ac:dyDescent="0.35">
      <c r="C165" t="str">
        <f t="shared" si="25"/>
        <v/>
      </c>
    </row>
    <row r="166" spans="3:3" x14ac:dyDescent="0.35">
      <c r="C166" t="str">
        <f t="shared" si="25"/>
        <v/>
      </c>
    </row>
    <row r="167" spans="3:3" x14ac:dyDescent="0.35">
      <c r="C167" t="str">
        <f t="shared" si="25"/>
        <v/>
      </c>
    </row>
    <row r="168" spans="3:3" x14ac:dyDescent="0.35">
      <c r="C168" t="str">
        <f t="shared" si="25"/>
        <v/>
      </c>
    </row>
    <row r="169" spans="3:3" x14ac:dyDescent="0.35">
      <c r="C169" t="str">
        <f t="shared" si="25"/>
        <v/>
      </c>
    </row>
    <row r="170" spans="3:3" x14ac:dyDescent="0.35">
      <c r="C170" t="str">
        <f t="shared" si="25"/>
        <v/>
      </c>
    </row>
    <row r="171" spans="3:3" x14ac:dyDescent="0.35">
      <c r="C171" t="str">
        <f t="shared" si="25"/>
        <v/>
      </c>
    </row>
    <row r="172" spans="3:3" x14ac:dyDescent="0.35">
      <c r="C172" t="str">
        <f t="shared" si="25"/>
        <v/>
      </c>
    </row>
    <row r="173" spans="3:3" x14ac:dyDescent="0.35">
      <c r="C173" t="str">
        <f t="shared" si="25"/>
        <v/>
      </c>
    </row>
    <row r="174" spans="3:3" x14ac:dyDescent="0.35">
      <c r="C174" t="str">
        <f t="shared" si="25"/>
        <v/>
      </c>
    </row>
    <row r="175" spans="3:3" x14ac:dyDescent="0.35">
      <c r="C175" t="str">
        <f t="shared" si="25"/>
        <v/>
      </c>
    </row>
    <row r="176" spans="3:3" x14ac:dyDescent="0.35">
      <c r="C176" t="str">
        <f t="shared" si="25"/>
        <v/>
      </c>
    </row>
    <row r="177" spans="3:3" x14ac:dyDescent="0.35">
      <c r="C177" t="str">
        <f t="shared" si="25"/>
        <v/>
      </c>
    </row>
    <row r="178" spans="3:3" x14ac:dyDescent="0.35">
      <c r="C178" t="str">
        <f t="shared" si="25"/>
        <v/>
      </c>
    </row>
    <row r="179" spans="3:3" x14ac:dyDescent="0.35">
      <c r="C179" t="str">
        <f t="shared" si="25"/>
        <v/>
      </c>
    </row>
    <row r="180" spans="3:3" x14ac:dyDescent="0.35">
      <c r="C180" t="str">
        <f t="shared" si="25"/>
        <v/>
      </c>
    </row>
    <row r="181" spans="3:3" x14ac:dyDescent="0.35">
      <c r="C181" t="str">
        <f t="shared" si="25"/>
        <v/>
      </c>
    </row>
    <row r="182" spans="3:3" x14ac:dyDescent="0.35">
      <c r="C182" t="str">
        <f t="shared" si="25"/>
        <v/>
      </c>
    </row>
    <row r="183" spans="3:3" x14ac:dyDescent="0.35">
      <c r="C183" t="str">
        <f t="shared" si="25"/>
        <v/>
      </c>
    </row>
    <row r="184" spans="3:3" x14ac:dyDescent="0.35">
      <c r="C184" t="str">
        <f t="shared" si="25"/>
        <v/>
      </c>
    </row>
    <row r="185" spans="3:3" x14ac:dyDescent="0.35">
      <c r="C185" t="str">
        <f t="shared" si="25"/>
        <v/>
      </c>
    </row>
    <row r="186" spans="3:3" x14ac:dyDescent="0.35">
      <c r="C186" t="str">
        <f t="shared" si="25"/>
        <v/>
      </c>
    </row>
    <row r="187" spans="3:3" x14ac:dyDescent="0.35">
      <c r="C187" t="str">
        <f t="shared" si="25"/>
        <v/>
      </c>
    </row>
    <row r="188" spans="3:3" x14ac:dyDescent="0.35">
      <c r="C188" t="str">
        <f t="shared" si="25"/>
        <v/>
      </c>
    </row>
    <row r="189" spans="3:3" x14ac:dyDescent="0.35">
      <c r="C189" t="str">
        <f t="shared" si="25"/>
        <v/>
      </c>
    </row>
    <row r="190" spans="3:3" x14ac:dyDescent="0.35">
      <c r="C190" t="str">
        <f t="shared" si="25"/>
        <v/>
      </c>
    </row>
    <row r="191" spans="3:3" x14ac:dyDescent="0.35">
      <c r="C191" t="str">
        <f t="shared" si="25"/>
        <v/>
      </c>
    </row>
    <row r="192" spans="3:3" x14ac:dyDescent="0.35">
      <c r="C192" t="str">
        <f t="shared" si="25"/>
        <v/>
      </c>
    </row>
    <row r="193" spans="3:3" x14ac:dyDescent="0.35">
      <c r="C193" t="str">
        <f t="shared" si="25"/>
        <v/>
      </c>
    </row>
    <row r="194" spans="3:3" x14ac:dyDescent="0.35">
      <c r="C194" t="str">
        <f t="shared" si="25"/>
        <v/>
      </c>
    </row>
    <row r="195" spans="3:3" x14ac:dyDescent="0.35">
      <c r="C195" t="str">
        <f t="shared" si="25"/>
        <v/>
      </c>
    </row>
    <row r="196" spans="3:3" x14ac:dyDescent="0.35">
      <c r="C196" t="str">
        <f t="shared" si="25"/>
        <v/>
      </c>
    </row>
    <row r="197" spans="3:3" x14ac:dyDescent="0.35">
      <c r="C197" t="str">
        <f t="shared" ref="C197:C260" si="26">IF(ISBLANK(D197), "",
IF(D197 &lt; $G$9,
    $G$10 + $G$19 * ($G$23 * (D197 - $G$9))^2 + $G$21 * (1 - (D197 - $G$6)/($G$9 - $G$6)),
IF(D197 &gt; $G$13,
    $G$14 + $G$19 * ($G$23 * (D197 - $G$13))^2 - $G$22 * (1 - (D197 - $G$6)/($G$13 - $G$6)),
IF(D197 &lt; $G$6,
    $G$16 * (D197 - $G$6)^2 + $G$5,
    $G$17 * (D197 - $G$6)^2 + $G$5))))</f>
        <v/>
      </c>
    </row>
    <row r="198" spans="3:3" x14ac:dyDescent="0.35">
      <c r="C198" t="str">
        <f t="shared" si="26"/>
        <v/>
      </c>
    </row>
    <row r="199" spans="3:3" x14ac:dyDescent="0.35">
      <c r="C199" t="str">
        <f t="shared" si="26"/>
        <v/>
      </c>
    </row>
    <row r="200" spans="3:3" x14ac:dyDescent="0.35">
      <c r="C200" t="str">
        <f t="shared" si="26"/>
        <v/>
      </c>
    </row>
    <row r="201" spans="3:3" x14ac:dyDescent="0.35">
      <c r="C201" t="str">
        <f t="shared" si="26"/>
        <v/>
      </c>
    </row>
    <row r="202" spans="3:3" x14ac:dyDescent="0.35">
      <c r="C202" t="str">
        <f t="shared" si="26"/>
        <v/>
      </c>
    </row>
    <row r="203" spans="3:3" x14ac:dyDescent="0.35">
      <c r="C203" t="str">
        <f t="shared" si="26"/>
        <v/>
      </c>
    </row>
    <row r="204" spans="3:3" x14ac:dyDescent="0.35">
      <c r="C204" t="str">
        <f t="shared" si="26"/>
        <v/>
      </c>
    </row>
    <row r="205" spans="3:3" x14ac:dyDescent="0.35">
      <c r="C205" t="str">
        <f t="shared" si="26"/>
        <v/>
      </c>
    </row>
    <row r="206" spans="3:3" x14ac:dyDescent="0.35">
      <c r="C206" t="str">
        <f t="shared" si="26"/>
        <v/>
      </c>
    </row>
    <row r="207" spans="3:3" x14ac:dyDescent="0.35">
      <c r="C207" t="str">
        <f t="shared" si="26"/>
        <v/>
      </c>
    </row>
    <row r="208" spans="3:3" x14ac:dyDescent="0.35">
      <c r="C208" t="str">
        <f t="shared" si="26"/>
        <v/>
      </c>
    </row>
    <row r="209" spans="3:3" x14ac:dyDescent="0.35">
      <c r="C209" t="str">
        <f t="shared" si="26"/>
        <v/>
      </c>
    </row>
    <row r="210" spans="3:3" x14ac:dyDescent="0.35">
      <c r="C210" t="str">
        <f t="shared" si="26"/>
        <v/>
      </c>
    </row>
    <row r="211" spans="3:3" x14ac:dyDescent="0.35">
      <c r="C211" t="str">
        <f t="shared" si="26"/>
        <v/>
      </c>
    </row>
    <row r="212" spans="3:3" x14ac:dyDescent="0.35">
      <c r="C212" t="str">
        <f t="shared" si="26"/>
        <v/>
      </c>
    </row>
    <row r="213" spans="3:3" x14ac:dyDescent="0.35">
      <c r="C213" t="str">
        <f t="shared" si="26"/>
        <v/>
      </c>
    </row>
    <row r="214" spans="3:3" x14ac:dyDescent="0.35">
      <c r="C214" t="str">
        <f t="shared" si="26"/>
        <v/>
      </c>
    </row>
    <row r="215" spans="3:3" x14ac:dyDescent="0.35">
      <c r="C215" t="str">
        <f t="shared" si="26"/>
        <v/>
      </c>
    </row>
    <row r="216" spans="3:3" x14ac:dyDescent="0.35">
      <c r="C216" t="str">
        <f t="shared" si="26"/>
        <v/>
      </c>
    </row>
    <row r="217" spans="3:3" x14ac:dyDescent="0.35">
      <c r="C217" t="str">
        <f t="shared" si="26"/>
        <v/>
      </c>
    </row>
    <row r="218" spans="3:3" x14ac:dyDescent="0.35">
      <c r="C218" t="str">
        <f t="shared" si="26"/>
        <v/>
      </c>
    </row>
    <row r="219" spans="3:3" x14ac:dyDescent="0.35">
      <c r="C219" t="str">
        <f t="shared" si="26"/>
        <v/>
      </c>
    </row>
    <row r="220" spans="3:3" x14ac:dyDescent="0.35">
      <c r="C220" t="str">
        <f t="shared" si="26"/>
        <v/>
      </c>
    </row>
    <row r="221" spans="3:3" x14ac:dyDescent="0.35">
      <c r="C221" t="str">
        <f t="shared" si="26"/>
        <v/>
      </c>
    </row>
    <row r="222" spans="3:3" x14ac:dyDescent="0.35">
      <c r="C222" t="str">
        <f t="shared" si="26"/>
        <v/>
      </c>
    </row>
    <row r="223" spans="3:3" x14ac:dyDescent="0.35">
      <c r="C223" t="str">
        <f t="shared" si="26"/>
        <v/>
      </c>
    </row>
    <row r="224" spans="3:3" x14ac:dyDescent="0.35">
      <c r="C224" t="str">
        <f t="shared" si="26"/>
        <v/>
      </c>
    </row>
    <row r="225" spans="3:3" x14ac:dyDescent="0.35">
      <c r="C225" t="str">
        <f t="shared" si="26"/>
        <v/>
      </c>
    </row>
    <row r="226" spans="3:3" x14ac:dyDescent="0.35">
      <c r="C226" t="str">
        <f t="shared" si="26"/>
        <v/>
      </c>
    </row>
    <row r="227" spans="3:3" x14ac:dyDescent="0.35">
      <c r="C227" t="str">
        <f t="shared" si="26"/>
        <v/>
      </c>
    </row>
    <row r="228" spans="3:3" x14ac:dyDescent="0.35">
      <c r="C228" t="str">
        <f t="shared" si="26"/>
        <v/>
      </c>
    </row>
    <row r="229" spans="3:3" x14ac:dyDescent="0.35">
      <c r="C229" t="str">
        <f t="shared" si="26"/>
        <v/>
      </c>
    </row>
    <row r="230" spans="3:3" x14ac:dyDescent="0.35">
      <c r="C230" t="str">
        <f t="shared" si="26"/>
        <v/>
      </c>
    </row>
    <row r="231" spans="3:3" x14ac:dyDescent="0.35">
      <c r="C231" t="str">
        <f t="shared" si="26"/>
        <v/>
      </c>
    </row>
    <row r="232" spans="3:3" x14ac:dyDescent="0.35">
      <c r="C232" t="str">
        <f t="shared" si="26"/>
        <v/>
      </c>
    </row>
    <row r="233" spans="3:3" x14ac:dyDescent="0.35">
      <c r="C233" t="str">
        <f t="shared" si="26"/>
        <v/>
      </c>
    </row>
    <row r="234" spans="3:3" x14ac:dyDescent="0.35">
      <c r="C234" t="str">
        <f t="shared" si="26"/>
        <v/>
      </c>
    </row>
    <row r="235" spans="3:3" x14ac:dyDescent="0.35">
      <c r="C235" t="str">
        <f t="shared" si="26"/>
        <v/>
      </c>
    </row>
    <row r="236" spans="3:3" x14ac:dyDescent="0.35">
      <c r="C236" t="str">
        <f t="shared" si="26"/>
        <v/>
      </c>
    </row>
    <row r="237" spans="3:3" x14ac:dyDescent="0.35">
      <c r="C237" t="str">
        <f t="shared" si="26"/>
        <v/>
      </c>
    </row>
    <row r="238" spans="3:3" x14ac:dyDescent="0.35">
      <c r="C238" t="str">
        <f t="shared" si="26"/>
        <v/>
      </c>
    </row>
    <row r="239" spans="3:3" x14ac:dyDescent="0.35">
      <c r="C239" t="str">
        <f t="shared" si="26"/>
        <v/>
      </c>
    </row>
    <row r="240" spans="3:3" x14ac:dyDescent="0.35">
      <c r="C240" t="str">
        <f t="shared" si="26"/>
        <v/>
      </c>
    </row>
    <row r="241" spans="3:3" x14ac:dyDescent="0.35">
      <c r="C241" t="str">
        <f t="shared" si="26"/>
        <v/>
      </c>
    </row>
    <row r="242" spans="3:3" x14ac:dyDescent="0.35">
      <c r="C242" t="str">
        <f t="shared" si="26"/>
        <v/>
      </c>
    </row>
    <row r="243" spans="3:3" x14ac:dyDescent="0.35">
      <c r="C243" t="str">
        <f t="shared" si="26"/>
        <v/>
      </c>
    </row>
    <row r="244" spans="3:3" x14ac:dyDescent="0.35">
      <c r="C244" t="str">
        <f t="shared" si="26"/>
        <v/>
      </c>
    </row>
    <row r="245" spans="3:3" x14ac:dyDescent="0.35">
      <c r="C245" t="str">
        <f t="shared" si="26"/>
        <v/>
      </c>
    </row>
    <row r="246" spans="3:3" x14ac:dyDescent="0.35">
      <c r="C246" t="str">
        <f t="shared" si="26"/>
        <v/>
      </c>
    </row>
    <row r="247" spans="3:3" x14ac:dyDescent="0.35">
      <c r="C247" t="str">
        <f t="shared" si="26"/>
        <v/>
      </c>
    </row>
    <row r="248" spans="3:3" x14ac:dyDescent="0.35">
      <c r="C248" t="str">
        <f t="shared" si="26"/>
        <v/>
      </c>
    </row>
    <row r="249" spans="3:3" x14ac:dyDescent="0.35">
      <c r="C249" t="str">
        <f t="shared" si="26"/>
        <v/>
      </c>
    </row>
    <row r="250" spans="3:3" x14ac:dyDescent="0.35">
      <c r="C250" t="str">
        <f t="shared" si="26"/>
        <v/>
      </c>
    </row>
    <row r="251" spans="3:3" x14ac:dyDescent="0.35">
      <c r="C251" t="str">
        <f t="shared" si="26"/>
        <v/>
      </c>
    </row>
    <row r="252" spans="3:3" x14ac:dyDescent="0.35">
      <c r="C252" t="str">
        <f t="shared" si="26"/>
        <v/>
      </c>
    </row>
    <row r="253" spans="3:3" x14ac:dyDescent="0.35">
      <c r="C253" t="str">
        <f t="shared" si="26"/>
        <v/>
      </c>
    </row>
    <row r="254" spans="3:3" x14ac:dyDescent="0.35">
      <c r="C254" t="str">
        <f t="shared" si="26"/>
        <v/>
      </c>
    </row>
    <row r="255" spans="3:3" x14ac:dyDescent="0.35">
      <c r="C255" t="str">
        <f t="shared" si="26"/>
        <v/>
      </c>
    </row>
    <row r="256" spans="3:3" x14ac:dyDescent="0.35">
      <c r="C256" t="str">
        <f t="shared" si="26"/>
        <v/>
      </c>
    </row>
    <row r="257" spans="3:3" x14ac:dyDescent="0.35">
      <c r="C257" t="str">
        <f t="shared" si="26"/>
        <v/>
      </c>
    </row>
    <row r="258" spans="3:3" x14ac:dyDescent="0.35">
      <c r="C258" t="str">
        <f t="shared" si="26"/>
        <v/>
      </c>
    </row>
    <row r="259" spans="3:3" x14ac:dyDescent="0.35">
      <c r="C259" t="str">
        <f t="shared" si="26"/>
        <v/>
      </c>
    </row>
    <row r="260" spans="3:3" x14ac:dyDescent="0.35">
      <c r="C260" t="str">
        <f t="shared" si="26"/>
        <v/>
      </c>
    </row>
    <row r="261" spans="3:3" x14ac:dyDescent="0.35">
      <c r="C261" t="str">
        <f t="shared" ref="C261:C324" si="27">IF(ISBLANK(D261), "",
IF(D261 &lt; $G$9,
    $G$10 + $G$19 * ($G$23 * (D261 - $G$9))^2 + $G$21 * (1 - (D261 - $G$6)/($G$9 - $G$6)),
IF(D261 &gt; $G$13,
    $G$14 + $G$19 * ($G$23 * (D261 - $G$13))^2 - $G$22 * (1 - (D261 - $G$6)/($G$13 - $G$6)),
IF(D261 &lt; $G$6,
    $G$16 * (D261 - $G$6)^2 + $G$5,
    $G$17 * (D261 - $G$6)^2 + $G$5))))</f>
        <v/>
      </c>
    </row>
    <row r="262" spans="3:3" x14ac:dyDescent="0.35">
      <c r="C262" t="str">
        <f t="shared" si="27"/>
        <v/>
      </c>
    </row>
    <row r="263" spans="3:3" x14ac:dyDescent="0.35">
      <c r="C263" t="str">
        <f t="shared" si="27"/>
        <v/>
      </c>
    </row>
    <row r="264" spans="3:3" x14ac:dyDescent="0.35">
      <c r="C264" t="str">
        <f t="shared" si="27"/>
        <v/>
      </c>
    </row>
    <row r="265" spans="3:3" x14ac:dyDescent="0.35">
      <c r="C265" t="str">
        <f t="shared" si="27"/>
        <v/>
      </c>
    </row>
    <row r="266" spans="3:3" x14ac:dyDescent="0.35">
      <c r="C266" t="str">
        <f t="shared" si="27"/>
        <v/>
      </c>
    </row>
    <row r="267" spans="3:3" x14ac:dyDescent="0.35">
      <c r="C267" t="str">
        <f t="shared" si="27"/>
        <v/>
      </c>
    </row>
    <row r="268" spans="3:3" x14ac:dyDescent="0.35">
      <c r="C268" t="str">
        <f t="shared" si="27"/>
        <v/>
      </c>
    </row>
    <row r="269" spans="3:3" x14ac:dyDescent="0.35">
      <c r="C269" t="str">
        <f t="shared" si="27"/>
        <v/>
      </c>
    </row>
    <row r="270" spans="3:3" x14ac:dyDescent="0.35">
      <c r="C270" t="str">
        <f t="shared" si="27"/>
        <v/>
      </c>
    </row>
    <row r="271" spans="3:3" x14ac:dyDescent="0.35">
      <c r="C271" t="str">
        <f t="shared" si="27"/>
        <v/>
      </c>
    </row>
    <row r="272" spans="3:3" x14ac:dyDescent="0.35">
      <c r="C272" t="str">
        <f t="shared" si="27"/>
        <v/>
      </c>
    </row>
    <row r="273" spans="3:3" x14ac:dyDescent="0.35">
      <c r="C273" t="str">
        <f t="shared" si="27"/>
        <v/>
      </c>
    </row>
    <row r="274" spans="3:3" x14ac:dyDescent="0.35">
      <c r="C274" t="str">
        <f t="shared" si="27"/>
        <v/>
      </c>
    </row>
    <row r="275" spans="3:3" x14ac:dyDescent="0.35">
      <c r="C275" t="str">
        <f t="shared" si="27"/>
        <v/>
      </c>
    </row>
    <row r="276" spans="3:3" x14ac:dyDescent="0.35">
      <c r="C276" t="str">
        <f t="shared" si="27"/>
        <v/>
      </c>
    </row>
    <row r="277" spans="3:3" x14ac:dyDescent="0.35">
      <c r="C277" t="str">
        <f t="shared" si="27"/>
        <v/>
      </c>
    </row>
    <row r="278" spans="3:3" x14ac:dyDescent="0.35">
      <c r="C278" t="str">
        <f t="shared" si="27"/>
        <v/>
      </c>
    </row>
    <row r="279" spans="3:3" x14ac:dyDescent="0.35">
      <c r="C279" t="str">
        <f t="shared" si="27"/>
        <v/>
      </c>
    </row>
    <row r="280" spans="3:3" x14ac:dyDescent="0.35">
      <c r="C280" t="str">
        <f t="shared" si="27"/>
        <v/>
      </c>
    </row>
    <row r="281" spans="3:3" x14ac:dyDescent="0.35">
      <c r="C281" t="str">
        <f t="shared" si="27"/>
        <v/>
      </c>
    </row>
    <row r="282" spans="3:3" x14ac:dyDescent="0.35">
      <c r="C282" t="str">
        <f t="shared" si="27"/>
        <v/>
      </c>
    </row>
    <row r="283" spans="3:3" x14ac:dyDescent="0.35">
      <c r="C283" t="str">
        <f t="shared" si="27"/>
        <v/>
      </c>
    </row>
    <row r="284" spans="3:3" x14ac:dyDescent="0.35">
      <c r="C284" t="str">
        <f t="shared" si="27"/>
        <v/>
      </c>
    </row>
    <row r="285" spans="3:3" x14ac:dyDescent="0.35">
      <c r="C285" t="str">
        <f t="shared" si="27"/>
        <v/>
      </c>
    </row>
    <row r="286" spans="3:3" x14ac:dyDescent="0.35">
      <c r="C286" t="str">
        <f t="shared" si="27"/>
        <v/>
      </c>
    </row>
    <row r="287" spans="3:3" x14ac:dyDescent="0.35">
      <c r="C287" t="str">
        <f t="shared" si="27"/>
        <v/>
      </c>
    </row>
    <row r="288" spans="3:3" x14ac:dyDescent="0.35">
      <c r="C288" t="str">
        <f t="shared" si="27"/>
        <v/>
      </c>
    </row>
    <row r="289" spans="3:3" x14ac:dyDescent="0.35">
      <c r="C289" t="str">
        <f t="shared" si="27"/>
        <v/>
      </c>
    </row>
    <row r="290" spans="3:3" x14ac:dyDescent="0.35">
      <c r="C290" t="str">
        <f t="shared" si="27"/>
        <v/>
      </c>
    </row>
    <row r="291" spans="3:3" x14ac:dyDescent="0.35">
      <c r="C291" t="str">
        <f t="shared" si="27"/>
        <v/>
      </c>
    </row>
    <row r="292" spans="3:3" x14ac:dyDescent="0.35">
      <c r="C292" t="str">
        <f t="shared" si="27"/>
        <v/>
      </c>
    </row>
    <row r="293" spans="3:3" x14ac:dyDescent="0.35">
      <c r="C293" t="str">
        <f t="shared" si="27"/>
        <v/>
      </c>
    </row>
    <row r="294" spans="3:3" x14ac:dyDescent="0.35">
      <c r="C294" t="str">
        <f t="shared" si="27"/>
        <v/>
      </c>
    </row>
    <row r="295" spans="3:3" x14ac:dyDescent="0.35">
      <c r="C295" t="str">
        <f t="shared" si="27"/>
        <v/>
      </c>
    </row>
    <row r="296" spans="3:3" x14ac:dyDescent="0.35">
      <c r="C296" t="str">
        <f t="shared" si="27"/>
        <v/>
      </c>
    </row>
    <row r="297" spans="3:3" x14ac:dyDescent="0.35">
      <c r="C297" t="str">
        <f t="shared" si="27"/>
        <v/>
      </c>
    </row>
    <row r="298" spans="3:3" x14ac:dyDescent="0.35">
      <c r="C298" t="str">
        <f t="shared" si="27"/>
        <v/>
      </c>
    </row>
    <row r="299" spans="3:3" x14ac:dyDescent="0.35">
      <c r="C299" t="str">
        <f t="shared" si="27"/>
        <v/>
      </c>
    </row>
    <row r="300" spans="3:3" x14ac:dyDescent="0.35">
      <c r="C300" t="str">
        <f t="shared" si="27"/>
        <v/>
      </c>
    </row>
    <row r="301" spans="3:3" x14ac:dyDescent="0.35">
      <c r="C301" t="str">
        <f t="shared" si="27"/>
        <v/>
      </c>
    </row>
    <row r="302" spans="3:3" x14ac:dyDescent="0.35">
      <c r="C302" t="str">
        <f t="shared" si="27"/>
        <v/>
      </c>
    </row>
    <row r="303" spans="3:3" x14ac:dyDescent="0.35">
      <c r="C303" t="str">
        <f t="shared" si="27"/>
        <v/>
      </c>
    </row>
    <row r="304" spans="3:3" x14ac:dyDescent="0.35">
      <c r="C304" t="str">
        <f t="shared" si="27"/>
        <v/>
      </c>
    </row>
    <row r="305" spans="3:3" x14ac:dyDescent="0.35">
      <c r="C305" t="str">
        <f t="shared" si="27"/>
        <v/>
      </c>
    </row>
    <row r="306" spans="3:3" x14ac:dyDescent="0.35">
      <c r="C306" t="str">
        <f t="shared" si="27"/>
        <v/>
      </c>
    </row>
    <row r="307" spans="3:3" x14ac:dyDescent="0.35">
      <c r="C307" t="str">
        <f t="shared" si="27"/>
        <v/>
      </c>
    </row>
    <row r="308" spans="3:3" x14ac:dyDescent="0.35">
      <c r="C308" t="str">
        <f t="shared" si="27"/>
        <v/>
      </c>
    </row>
    <row r="309" spans="3:3" x14ac:dyDescent="0.35">
      <c r="C309" t="str">
        <f t="shared" si="27"/>
        <v/>
      </c>
    </row>
    <row r="310" spans="3:3" x14ac:dyDescent="0.35">
      <c r="C310" t="str">
        <f t="shared" si="27"/>
        <v/>
      </c>
    </row>
    <row r="311" spans="3:3" x14ac:dyDescent="0.35">
      <c r="C311" t="str">
        <f t="shared" si="27"/>
        <v/>
      </c>
    </row>
    <row r="312" spans="3:3" x14ac:dyDescent="0.35">
      <c r="C312" t="str">
        <f t="shared" si="27"/>
        <v/>
      </c>
    </row>
    <row r="313" spans="3:3" x14ac:dyDescent="0.35">
      <c r="C313" t="str">
        <f t="shared" si="27"/>
        <v/>
      </c>
    </row>
    <row r="314" spans="3:3" x14ac:dyDescent="0.35">
      <c r="C314" t="str">
        <f t="shared" si="27"/>
        <v/>
      </c>
    </row>
    <row r="315" spans="3:3" x14ac:dyDescent="0.35">
      <c r="C315" t="str">
        <f t="shared" si="27"/>
        <v/>
      </c>
    </row>
    <row r="316" spans="3:3" x14ac:dyDescent="0.35">
      <c r="C316" t="str">
        <f t="shared" si="27"/>
        <v/>
      </c>
    </row>
    <row r="317" spans="3:3" x14ac:dyDescent="0.35">
      <c r="C317" t="str">
        <f t="shared" si="27"/>
        <v/>
      </c>
    </row>
    <row r="318" spans="3:3" x14ac:dyDescent="0.35">
      <c r="C318" t="str">
        <f t="shared" si="27"/>
        <v/>
      </c>
    </row>
    <row r="319" spans="3:3" x14ac:dyDescent="0.35">
      <c r="C319" t="str">
        <f t="shared" si="27"/>
        <v/>
      </c>
    </row>
    <row r="320" spans="3:3" x14ac:dyDescent="0.35">
      <c r="C320" t="str">
        <f t="shared" si="27"/>
        <v/>
      </c>
    </row>
    <row r="321" spans="3:3" x14ac:dyDescent="0.35">
      <c r="C321" t="str">
        <f t="shared" si="27"/>
        <v/>
      </c>
    </row>
    <row r="322" spans="3:3" x14ac:dyDescent="0.35">
      <c r="C322" t="str">
        <f t="shared" si="27"/>
        <v/>
      </c>
    </row>
    <row r="323" spans="3:3" x14ac:dyDescent="0.35">
      <c r="C323" t="str">
        <f t="shared" si="27"/>
        <v/>
      </c>
    </row>
    <row r="324" spans="3:3" x14ac:dyDescent="0.35">
      <c r="C324" t="str">
        <f t="shared" si="27"/>
        <v/>
      </c>
    </row>
    <row r="325" spans="3:3" x14ac:dyDescent="0.35">
      <c r="C325" t="str">
        <f t="shared" ref="C325:C388" si="28">IF(ISBLANK(D325), "",
IF(D325 &lt; $G$9,
    $G$10 + $G$19 * ($G$23 * (D325 - $G$9))^2 + $G$21 * (1 - (D325 - $G$6)/($G$9 - $G$6)),
IF(D325 &gt; $G$13,
    $G$14 + $G$19 * ($G$23 * (D325 - $G$13))^2 - $G$22 * (1 - (D325 - $G$6)/($G$13 - $G$6)),
IF(D325 &lt; $G$6,
    $G$16 * (D325 - $G$6)^2 + $G$5,
    $G$17 * (D325 - $G$6)^2 + $G$5))))</f>
        <v/>
      </c>
    </row>
    <row r="326" spans="3:3" x14ac:dyDescent="0.35">
      <c r="C326" t="str">
        <f t="shared" si="28"/>
        <v/>
      </c>
    </row>
    <row r="327" spans="3:3" x14ac:dyDescent="0.35">
      <c r="C327" t="str">
        <f t="shared" si="28"/>
        <v/>
      </c>
    </row>
    <row r="328" spans="3:3" x14ac:dyDescent="0.35">
      <c r="C328" t="str">
        <f t="shared" si="28"/>
        <v/>
      </c>
    </row>
    <row r="329" spans="3:3" x14ac:dyDescent="0.35">
      <c r="C329" t="str">
        <f t="shared" si="28"/>
        <v/>
      </c>
    </row>
    <row r="330" spans="3:3" x14ac:dyDescent="0.35">
      <c r="C330" t="str">
        <f t="shared" si="28"/>
        <v/>
      </c>
    </row>
    <row r="331" spans="3:3" x14ac:dyDescent="0.35">
      <c r="C331" t="str">
        <f t="shared" si="28"/>
        <v/>
      </c>
    </row>
    <row r="332" spans="3:3" x14ac:dyDescent="0.35">
      <c r="C332" t="str">
        <f t="shared" si="28"/>
        <v/>
      </c>
    </row>
    <row r="333" spans="3:3" x14ac:dyDescent="0.35">
      <c r="C333" t="str">
        <f t="shared" si="28"/>
        <v/>
      </c>
    </row>
    <row r="334" spans="3:3" x14ac:dyDescent="0.35">
      <c r="C334" t="str">
        <f t="shared" si="28"/>
        <v/>
      </c>
    </row>
    <row r="335" spans="3:3" x14ac:dyDescent="0.35">
      <c r="C335" t="str">
        <f t="shared" si="28"/>
        <v/>
      </c>
    </row>
    <row r="336" spans="3:3" x14ac:dyDescent="0.35">
      <c r="C336" t="str">
        <f t="shared" si="28"/>
        <v/>
      </c>
    </row>
    <row r="337" spans="3:3" x14ac:dyDescent="0.35">
      <c r="C337" t="str">
        <f t="shared" si="28"/>
        <v/>
      </c>
    </row>
    <row r="338" spans="3:3" x14ac:dyDescent="0.35">
      <c r="C338" t="str">
        <f t="shared" si="28"/>
        <v/>
      </c>
    </row>
    <row r="339" spans="3:3" x14ac:dyDescent="0.35">
      <c r="C339" t="str">
        <f t="shared" si="28"/>
        <v/>
      </c>
    </row>
    <row r="340" spans="3:3" x14ac:dyDescent="0.35">
      <c r="C340" t="str">
        <f t="shared" si="28"/>
        <v/>
      </c>
    </row>
    <row r="341" spans="3:3" x14ac:dyDescent="0.35">
      <c r="C341" t="str">
        <f t="shared" si="28"/>
        <v/>
      </c>
    </row>
    <row r="342" spans="3:3" x14ac:dyDescent="0.35">
      <c r="C342" t="str">
        <f t="shared" si="28"/>
        <v/>
      </c>
    </row>
    <row r="343" spans="3:3" x14ac:dyDescent="0.35">
      <c r="C343" t="str">
        <f t="shared" si="28"/>
        <v/>
      </c>
    </row>
    <row r="344" spans="3:3" x14ac:dyDescent="0.35">
      <c r="C344" t="str">
        <f t="shared" si="28"/>
        <v/>
      </c>
    </row>
    <row r="345" spans="3:3" x14ac:dyDescent="0.35">
      <c r="C345" t="str">
        <f t="shared" si="28"/>
        <v/>
      </c>
    </row>
    <row r="346" spans="3:3" x14ac:dyDescent="0.35">
      <c r="C346" t="str">
        <f t="shared" si="28"/>
        <v/>
      </c>
    </row>
    <row r="347" spans="3:3" x14ac:dyDescent="0.35">
      <c r="C347" t="str">
        <f t="shared" si="28"/>
        <v/>
      </c>
    </row>
    <row r="348" spans="3:3" x14ac:dyDescent="0.35">
      <c r="C348" t="str">
        <f t="shared" si="28"/>
        <v/>
      </c>
    </row>
    <row r="349" spans="3:3" x14ac:dyDescent="0.35">
      <c r="C349" t="str">
        <f t="shared" si="28"/>
        <v/>
      </c>
    </row>
    <row r="350" spans="3:3" x14ac:dyDescent="0.35">
      <c r="C350" t="str">
        <f t="shared" si="28"/>
        <v/>
      </c>
    </row>
    <row r="351" spans="3:3" x14ac:dyDescent="0.35">
      <c r="C351" t="str">
        <f t="shared" si="28"/>
        <v/>
      </c>
    </row>
    <row r="352" spans="3:3" x14ac:dyDescent="0.35">
      <c r="C352" t="str">
        <f t="shared" si="28"/>
        <v/>
      </c>
    </row>
    <row r="353" spans="3:3" x14ac:dyDescent="0.35">
      <c r="C353" t="str">
        <f t="shared" si="28"/>
        <v/>
      </c>
    </row>
    <row r="354" spans="3:3" x14ac:dyDescent="0.35">
      <c r="C354" t="str">
        <f t="shared" si="28"/>
        <v/>
      </c>
    </row>
    <row r="355" spans="3:3" x14ac:dyDescent="0.35">
      <c r="C355" t="str">
        <f t="shared" si="28"/>
        <v/>
      </c>
    </row>
    <row r="356" spans="3:3" x14ac:dyDescent="0.35">
      <c r="C356" t="str">
        <f t="shared" si="28"/>
        <v/>
      </c>
    </row>
    <row r="357" spans="3:3" x14ac:dyDescent="0.35">
      <c r="C357" t="str">
        <f t="shared" si="28"/>
        <v/>
      </c>
    </row>
    <row r="358" spans="3:3" x14ac:dyDescent="0.35">
      <c r="C358" t="str">
        <f t="shared" si="28"/>
        <v/>
      </c>
    </row>
    <row r="359" spans="3:3" x14ac:dyDescent="0.35">
      <c r="C359" t="str">
        <f t="shared" si="28"/>
        <v/>
      </c>
    </row>
    <row r="360" spans="3:3" x14ac:dyDescent="0.35">
      <c r="C360" t="str">
        <f t="shared" si="28"/>
        <v/>
      </c>
    </row>
    <row r="361" spans="3:3" x14ac:dyDescent="0.35">
      <c r="C361" t="str">
        <f t="shared" si="28"/>
        <v/>
      </c>
    </row>
    <row r="362" spans="3:3" x14ac:dyDescent="0.35">
      <c r="C362" t="str">
        <f t="shared" si="28"/>
        <v/>
      </c>
    </row>
    <row r="363" spans="3:3" x14ac:dyDescent="0.35">
      <c r="C363" t="str">
        <f t="shared" si="28"/>
        <v/>
      </c>
    </row>
    <row r="364" spans="3:3" x14ac:dyDescent="0.35">
      <c r="C364" t="str">
        <f t="shared" si="28"/>
        <v/>
      </c>
    </row>
    <row r="365" spans="3:3" x14ac:dyDescent="0.35">
      <c r="C365" t="str">
        <f t="shared" si="28"/>
        <v/>
      </c>
    </row>
    <row r="366" spans="3:3" x14ac:dyDescent="0.35">
      <c r="C366" t="str">
        <f t="shared" si="28"/>
        <v/>
      </c>
    </row>
    <row r="367" spans="3:3" x14ac:dyDescent="0.35">
      <c r="C367" t="str">
        <f t="shared" si="28"/>
        <v/>
      </c>
    </row>
    <row r="368" spans="3:3" x14ac:dyDescent="0.35">
      <c r="C368" t="str">
        <f t="shared" si="28"/>
        <v/>
      </c>
    </row>
    <row r="369" spans="3:3" x14ac:dyDescent="0.35">
      <c r="C369" t="str">
        <f t="shared" si="28"/>
        <v/>
      </c>
    </row>
    <row r="370" spans="3:3" x14ac:dyDescent="0.35">
      <c r="C370" t="str">
        <f t="shared" si="28"/>
        <v/>
      </c>
    </row>
    <row r="371" spans="3:3" x14ac:dyDescent="0.35">
      <c r="C371" t="str">
        <f t="shared" si="28"/>
        <v/>
      </c>
    </row>
    <row r="372" spans="3:3" x14ac:dyDescent="0.35">
      <c r="C372" t="str">
        <f t="shared" si="28"/>
        <v/>
      </c>
    </row>
    <row r="373" spans="3:3" x14ac:dyDescent="0.35">
      <c r="C373" t="str">
        <f t="shared" si="28"/>
        <v/>
      </c>
    </row>
    <row r="374" spans="3:3" x14ac:dyDescent="0.35">
      <c r="C374" t="str">
        <f t="shared" si="28"/>
        <v/>
      </c>
    </row>
    <row r="375" spans="3:3" x14ac:dyDescent="0.35">
      <c r="C375" t="str">
        <f t="shared" si="28"/>
        <v/>
      </c>
    </row>
    <row r="376" spans="3:3" x14ac:dyDescent="0.35">
      <c r="C376" t="str">
        <f t="shared" si="28"/>
        <v/>
      </c>
    </row>
    <row r="377" spans="3:3" x14ac:dyDescent="0.35">
      <c r="C377" t="str">
        <f t="shared" si="28"/>
        <v/>
      </c>
    </row>
    <row r="378" spans="3:3" x14ac:dyDescent="0.35">
      <c r="C378" t="str">
        <f t="shared" si="28"/>
        <v/>
      </c>
    </row>
    <row r="379" spans="3:3" x14ac:dyDescent="0.35">
      <c r="C379" t="str">
        <f t="shared" si="28"/>
        <v/>
      </c>
    </row>
    <row r="380" spans="3:3" x14ac:dyDescent="0.35">
      <c r="C380" t="str">
        <f t="shared" si="28"/>
        <v/>
      </c>
    </row>
    <row r="381" spans="3:3" x14ac:dyDescent="0.35">
      <c r="C381" t="str">
        <f t="shared" si="28"/>
        <v/>
      </c>
    </row>
    <row r="382" spans="3:3" x14ac:dyDescent="0.35">
      <c r="C382" t="str">
        <f t="shared" si="28"/>
        <v/>
      </c>
    </row>
    <row r="383" spans="3:3" x14ac:dyDescent="0.35">
      <c r="C383" t="str">
        <f t="shared" si="28"/>
        <v/>
      </c>
    </row>
    <row r="384" spans="3:3" x14ac:dyDescent="0.35">
      <c r="C384" t="str">
        <f t="shared" si="28"/>
        <v/>
      </c>
    </row>
    <row r="385" spans="3:3" x14ac:dyDescent="0.35">
      <c r="C385" t="str">
        <f t="shared" si="28"/>
        <v/>
      </c>
    </row>
    <row r="386" spans="3:3" x14ac:dyDescent="0.35">
      <c r="C386" t="str">
        <f t="shared" si="28"/>
        <v/>
      </c>
    </row>
    <row r="387" spans="3:3" x14ac:dyDescent="0.35">
      <c r="C387" t="str">
        <f t="shared" si="28"/>
        <v/>
      </c>
    </row>
    <row r="388" spans="3:3" x14ac:dyDescent="0.35">
      <c r="C388" t="str">
        <f t="shared" si="28"/>
        <v/>
      </c>
    </row>
    <row r="389" spans="3:3" x14ac:dyDescent="0.35">
      <c r="C389" t="str">
        <f t="shared" ref="C389:C452" si="29">IF(ISBLANK(D389), "",
IF(D389 &lt; $G$9,
    $G$10 + $G$19 * ($G$23 * (D389 - $G$9))^2 + $G$21 * (1 - (D389 - $G$6)/($G$9 - $G$6)),
IF(D389 &gt; $G$13,
    $G$14 + $G$19 * ($G$23 * (D389 - $G$13))^2 - $G$22 * (1 - (D389 - $G$6)/($G$13 - $G$6)),
IF(D389 &lt; $G$6,
    $G$16 * (D389 - $G$6)^2 + $G$5,
    $G$17 * (D389 - $G$6)^2 + $G$5))))</f>
        <v/>
      </c>
    </row>
    <row r="390" spans="3:3" x14ac:dyDescent="0.35">
      <c r="C390" t="str">
        <f t="shared" si="29"/>
        <v/>
      </c>
    </row>
    <row r="391" spans="3:3" x14ac:dyDescent="0.35">
      <c r="C391" t="str">
        <f t="shared" si="29"/>
        <v/>
      </c>
    </row>
    <row r="392" spans="3:3" x14ac:dyDescent="0.35">
      <c r="C392" t="str">
        <f t="shared" si="29"/>
        <v/>
      </c>
    </row>
    <row r="393" spans="3:3" x14ac:dyDescent="0.35">
      <c r="C393" t="str">
        <f t="shared" si="29"/>
        <v/>
      </c>
    </row>
    <row r="394" spans="3:3" x14ac:dyDescent="0.35">
      <c r="C394" t="str">
        <f t="shared" si="29"/>
        <v/>
      </c>
    </row>
    <row r="395" spans="3:3" x14ac:dyDescent="0.35">
      <c r="C395" t="str">
        <f t="shared" si="29"/>
        <v/>
      </c>
    </row>
    <row r="396" spans="3:3" x14ac:dyDescent="0.35">
      <c r="C396" t="str">
        <f t="shared" si="29"/>
        <v/>
      </c>
    </row>
    <row r="397" spans="3:3" x14ac:dyDescent="0.35">
      <c r="C397" t="str">
        <f t="shared" si="29"/>
        <v/>
      </c>
    </row>
    <row r="398" spans="3:3" x14ac:dyDescent="0.35">
      <c r="C398" t="str">
        <f t="shared" si="29"/>
        <v/>
      </c>
    </row>
    <row r="399" spans="3:3" x14ac:dyDescent="0.35">
      <c r="C399" t="str">
        <f t="shared" si="29"/>
        <v/>
      </c>
    </row>
    <row r="400" spans="3:3" x14ac:dyDescent="0.35">
      <c r="C400" t="str">
        <f t="shared" si="29"/>
        <v/>
      </c>
    </row>
    <row r="401" spans="3:3" x14ac:dyDescent="0.35">
      <c r="C401" t="str">
        <f t="shared" si="29"/>
        <v/>
      </c>
    </row>
    <row r="402" spans="3:3" x14ac:dyDescent="0.35">
      <c r="C402" t="str">
        <f t="shared" si="29"/>
        <v/>
      </c>
    </row>
    <row r="403" spans="3:3" x14ac:dyDescent="0.35">
      <c r="C403" t="str">
        <f t="shared" si="29"/>
        <v/>
      </c>
    </row>
    <row r="404" spans="3:3" x14ac:dyDescent="0.35">
      <c r="C404" t="str">
        <f t="shared" si="29"/>
        <v/>
      </c>
    </row>
    <row r="405" spans="3:3" x14ac:dyDescent="0.35">
      <c r="C405" t="str">
        <f t="shared" si="29"/>
        <v/>
      </c>
    </row>
    <row r="406" spans="3:3" x14ac:dyDescent="0.35">
      <c r="C406" t="str">
        <f t="shared" si="29"/>
        <v/>
      </c>
    </row>
    <row r="407" spans="3:3" x14ac:dyDescent="0.35">
      <c r="C407" t="str">
        <f t="shared" si="29"/>
        <v/>
      </c>
    </row>
    <row r="408" spans="3:3" x14ac:dyDescent="0.35">
      <c r="C408" t="str">
        <f t="shared" si="29"/>
        <v/>
      </c>
    </row>
    <row r="409" spans="3:3" x14ac:dyDescent="0.35">
      <c r="C409" t="str">
        <f t="shared" si="29"/>
        <v/>
      </c>
    </row>
    <row r="410" spans="3:3" x14ac:dyDescent="0.35">
      <c r="C410" t="str">
        <f t="shared" si="29"/>
        <v/>
      </c>
    </row>
    <row r="411" spans="3:3" x14ac:dyDescent="0.35">
      <c r="C411" t="str">
        <f t="shared" si="29"/>
        <v/>
      </c>
    </row>
    <row r="412" spans="3:3" x14ac:dyDescent="0.35">
      <c r="C412" t="str">
        <f t="shared" si="29"/>
        <v/>
      </c>
    </row>
    <row r="413" spans="3:3" x14ac:dyDescent="0.35">
      <c r="C413" t="str">
        <f t="shared" si="29"/>
        <v/>
      </c>
    </row>
    <row r="414" spans="3:3" x14ac:dyDescent="0.35">
      <c r="C414" t="str">
        <f t="shared" si="29"/>
        <v/>
      </c>
    </row>
    <row r="415" spans="3:3" x14ac:dyDescent="0.35">
      <c r="C415" t="str">
        <f t="shared" si="29"/>
        <v/>
      </c>
    </row>
    <row r="416" spans="3:3" x14ac:dyDescent="0.35">
      <c r="C416" t="str">
        <f t="shared" si="29"/>
        <v/>
      </c>
    </row>
    <row r="417" spans="3:3" x14ac:dyDescent="0.35">
      <c r="C417" t="str">
        <f t="shared" si="29"/>
        <v/>
      </c>
    </row>
    <row r="418" spans="3:3" x14ac:dyDescent="0.35">
      <c r="C418" t="str">
        <f t="shared" si="29"/>
        <v/>
      </c>
    </row>
    <row r="419" spans="3:3" x14ac:dyDescent="0.35">
      <c r="C419" t="str">
        <f t="shared" si="29"/>
        <v/>
      </c>
    </row>
    <row r="420" spans="3:3" x14ac:dyDescent="0.35">
      <c r="C420" t="str">
        <f t="shared" si="29"/>
        <v/>
      </c>
    </row>
    <row r="421" spans="3:3" x14ac:dyDescent="0.35">
      <c r="C421" t="str">
        <f t="shared" si="29"/>
        <v/>
      </c>
    </row>
    <row r="422" spans="3:3" x14ac:dyDescent="0.35">
      <c r="C422" t="str">
        <f t="shared" si="29"/>
        <v/>
      </c>
    </row>
    <row r="423" spans="3:3" x14ac:dyDescent="0.35">
      <c r="C423" t="str">
        <f t="shared" si="29"/>
        <v/>
      </c>
    </row>
    <row r="424" spans="3:3" x14ac:dyDescent="0.35">
      <c r="C424" t="str">
        <f t="shared" si="29"/>
        <v/>
      </c>
    </row>
    <row r="425" spans="3:3" x14ac:dyDescent="0.35">
      <c r="C425" t="str">
        <f t="shared" si="29"/>
        <v/>
      </c>
    </row>
    <row r="426" spans="3:3" x14ac:dyDescent="0.35">
      <c r="C426" t="str">
        <f t="shared" si="29"/>
        <v/>
      </c>
    </row>
    <row r="427" spans="3:3" x14ac:dyDescent="0.35">
      <c r="C427" t="str">
        <f t="shared" si="29"/>
        <v/>
      </c>
    </row>
    <row r="428" spans="3:3" x14ac:dyDescent="0.35">
      <c r="C428" t="str">
        <f t="shared" si="29"/>
        <v/>
      </c>
    </row>
    <row r="429" spans="3:3" x14ac:dyDescent="0.35">
      <c r="C429" t="str">
        <f t="shared" si="29"/>
        <v/>
      </c>
    </row>
    <row r="430" spans="3:3" x14ac:dyDescent="0.35">
      <c r="C430" t="str">
        <f t="shared" si="29"/>
        <v/>
      </c>
    </row>
    <row r="431" spans="3:3" x14ac:dyDescent="0.35">
      <c r="C431" t="str">
        <f t="shared" si="29"/>
        <v/>
      </c>
    </row>
    <row r="432" spans="3:3" x14ac:dyDescent="0.35">
      <c r="C432" t="str">
        <f t="shared" si="29"/>
        <v/>
      </c>
    </row>
    <row r="433" spans="3:3" x14ac:dyDescent="0.35">
      <c r="C433" t="str">
        <f t="shared" si="29"/>
        <v/>
      </c>
    </row>
    <row r="434" spans="3:3" x14ac:dyDescent="0.35">
      <c r="C434" t="str">
        <f t="shared" si="29"/>
        <v/>
      </c>
    </row>
    <row r="435" spans="3:3" x14ac:dyDescent="0.35">
      <c r="C435" t="str">
        <f t="shared" si="29"/>
        <v/>
      </c>
    </row>
    <row r="436" spans="3:3" x14ac:dyDescent="0.35">
      <c r="C436" t="str">
        <f t="shared" si="29"/>
        <v/>
      </c>
    </row>
    <row r="437" spans="3:3" x14ac:dyDescent="0.35">
      <c r="C437" t="str">
        <f t="shared" si="29"/>
        <v/>
      </c>
    </row>
    <row r="438" spans="3:3" x14ac:dyDescent="0.35">
      <c r="C438" t="str">
        <f t="shared" si="29"/>
        <v/>
      </c>
    </row>
    <row r="439" spans="3:3" x14ac:dyDescent="0.35">
      <c r="C439" t="str">
        <f t="shared" si="29"/>
        <v/>
      </c>
    </row>
    <row r="440" spans="3:3" x14ac:dyDescent="0.35">
      <c r="C440" t="str">
        <f t="shared" si="29"/>
        <v/>
      </c>
    </row>
    <row r="441" spans="3:3" x14ac:dyDescent="0.35">
      <c r="C441" t="str">
        <f t="shared" si="29"/>
        <v/>
      </c>
    </row>
    <row r="442" spans="3:3" x14ac:dyDescent="0.35">
      <c r="C442" t="str">
        <f t="shared" si="29"/>
        <v/>
      </c>
    </row>
    <row r="443" spans="3:3" x14ac:dyDescent="0.35">
      <c r="C443" t="str">
        <f t="shared" si="29"/>
        <v/>
      </c>
    </row>
    <row r="444" spans="3:3" x14ac:dyDescent="0.35">
      <c r="C444" t="str">
        <f t="shared" si="29"/>
        <v/>
      </c>
    </row>
    <row r="445" spans="3:3" x14ac:dyDescent="0.35">
      <c r="C445" t="str">
        <f t="shared" si="29"/>
        <v/>
      </c>
    </row>
    <row r="446" spans="3:3" x14ac:dyDescent="0.35">
      <c r="C446" t="str">
        <f t="shared" si="29"/>
        <v/>
      </c>
    </row>
    <row r="447" spans="3:3" x14ac:dyDescent="0.35">
      <c r="C447" t="str">
        <f t="shared" si="29"/>
        <v/>
      </c>
    </row>
    <row r="448" spans="3:3" x14ac:dyDescent="0.35">
      <c r="C448" t="str">
        <f t="shared" si="29"/>
        <v/>
      </c>
    </row>
    <row r="449" spans="3:3" x14ac:dyDescent="0.35">
      <c r="C449" t="str">
        <f t="shared" si="29"/>
        <v/>
      </c>
    </row>
    <row r="450" spans="3:3" x14ac:dyDescent="0.35">
      <c r="C450" t="str">
        <f t="shared" si="29"/>
        <v/>
      </c>
    </row>
    <row r="451" spans="3:3" x14ac:dyDescent="0.35">
      <c r="C451" t="str">
        <f t="shared" si="29"/>
        <v/>
      </c>
    </row>
    <row r="452" spans="3:3" x14ac:dyDescent="0.35">
      <c r="C452" t="str">
        <f t="shared" si="29"/>
        <v/>
      </c>
    </row>
    <row r="453" spans="3:3" x14ac:dyDescent="0.35">
      <c r="C453" t="str">
        <f t="shared" ref="C453:C516" si="30">IF(ISBLANK(D453), "",
IF(D453 &lt; $G$9,
    $G$10 + $G$19 * ($G$23 * (D453 - $G$9))^2 + $G$21 * (1 - (D453 - $G$6)/($G$9 - $G$6)),
IF(D453 &gt; $G$13,
    $G$14 + $G$19 * ($G$23 * (D453 - $G$13))^2 - $G$22 * (1 - (D453 - $G$6)/($G$13 - $G$6)),
IF(D453 &lt; $G$6,
    $G$16 * (D453 - $G$6)^2 + $G$5,
    $G$17 * (D453 - $G$6)^2 + $G$5))))</f>
        <v/>
      </c>
    </row>
    <row r="454" spans="3:3" x14ac:dyDescent="0.35">
      <c r="C454" t="str">
        <f t="shared" si="30"/>
        <v/>
      </c>
    </row>
    <row r="455" spans="3:3" x14ac:dyDescent="0.35">
      <c r="C455" t="str">
        <f t="shared" si="30"/>
        <v/>
      </c>
    </row>
    <row r="456" spans="3:3" x14ac:dyDescent="0.35">
      <c r="C456" t="str">
        <f t="shared" si="30"/>
        <v/>
      </c>
    </row>
    <row r="457" spans="3:3" x14ac:dyDescent="0.35">
      <c r="C457" t="str">
        <f t="shared" si="30"/>
        <v/>
      </c>
    </row>
    <row r="458" spans="3:3" x14ac:dyDescent="0.35">
      <c r="C458" t="str">
        <f t="shared" si="30"/>
        <v/>
      </c>
    </row>
    <row r="459" spans="3:3" x14ac:dyDescent="0.35">
      <c r="C459" t="str">
        <f t="shared" si="30"/>
        <v/>
      </c>
    </row>
    <row r="460" spans="3:3" x14ac:dyDescent="0.35">
      <c r="C460" t="str">
        <f t="shared" si="30"/>
        <v/>
      </c>
    </row>
    <row r="461" spans="3:3" x14ac:dyDescent="0.35">
      <c r="C461" t="str">
        <f t="shared" si="30"/>
        <v/>
      </c>
    </row>
    <row r="462" spans="3:3" x14ac:dyDescent="0.35">
      <c r="C462" t="str">
        <f t="shared" si="30"/>
        <v/>
      </c>
    </row>
    <row r="463" spans="3:3" x14ac:dyDescent="0.35">
      <c r="C463" t="str">
        <f t="shared" si="30"/>
        <v/>
      </c>
    </row>
    <row r="464" spans="3:3" x14ac:dyDescent="0.35">
      <c r="C464" t="str">
        <f t="shared" si="30"/>
        <v/>
      </c>
    </row>
    <row r="465" spans="3:3" x14ac:dyDescent="0.35">
      <c r="C465" t="str">
        <f t="shared" si="30"/>
        <v/>
      </c>
    </row>
    <row r="466" spans="3:3" x14ac:dyDescent="0.35">
      <c r="C466" t="str">
        <f t="shared" si="30"/>
        <v/>
      </c>
    </row>
    <row r="467" spans="3:3" x14ac:dyDescent="0.35">
      <c r="C467" t="str">
        <f t="shared" si="30"/>
        <v/>
      </c>
    </row>
    <row r="468" spans="3:3" x14ac:dyDescent="0.35">
      <c r="C468" t="str">
        <f t="shared" si="30"/>
        <v/>
      </c>
    </row>
    <row r="469" spans="3:3" x14ac:dyDescent="0.35">
      <c r="C469" t="str">
        <f t="shared" si="30"/>
        <v/>
      </c>
    </row>
    <row r="470" spans="3:3" x14ac:dyDescent="0.35">
      <c r="C470" t="str">
        <f t="shared" si="30"/>
        <v/>
      </c>
    </row>
    <row r="471" spans="3:3" x14ac:dyDescent="0.35">
      <c r="C471" t="str">
        <f t="shared" si="30"/>
        <v/>
      </c>
    </row>
    <row r="472" spans="3:3" x14ac:dyDescent="0.35">
      <c r="C472" t="str">
        <f t="shared" si="30"/>
        <v/>
      </c>
    </row>
    <row r="473" spans="3:3" x14ac:dyDescent="0.35">
      <c r="C473" t="str">
        <f t="shared" si="30"/>
        <v/>
      </c>
    </row>
    <row r="474" spans="3:3" x14ac:dyDescent="0.35">
      <c r="C474" t="str">
        <f t="shared" si="30"/>
        <v/>
      </c>
    </row>
    <row r="475" spans="3:3" x14ac:dyDescent="0.35">
      <c r="C475" t="str">
        <f t="shared" si="30"/>
        <v/>
      </c>
    </row>
    <row r="476" spans="3:3" x14ac:dyDescent="0.35">
      <c r="C476" t="str">
        <f t="shared" si="30"/>
        <v/>
      </c>
    </row>
    <row r="477" spans="3:3" x14ac:dyDescent="0.35">
      <c r="C477" t="str">
        <f t="shared" si="30"/>
        <v/>
      </c>
    </row>
    <row r="478" spans="3:3" x14ac:dyDescent="0.35">
      <c r="C478" t="str">
        <f t="shared" si="30"/>
        <v/>
      </c>
    </row>
    <row r="479" spans="3:3" x14ac:dyDescent="0.35">
      <c r="C479" t="str">
        <f t="shared" si="30"/>
        <v/>
      </c>
    </row>
    <row r="480" spans="3:3" x14ac:dyDescent="0.35">
      <c r="C480" t="str">
        <f t="shared" si="30"/>
        <v/>
      </c>
    </row>
    <row r="481" spans="3:3" x14ac:dyDescent="0.35">
      <c r="C481" t="str">
        <f t="shared" si="30"/>
        <v/>
      </c>
    </row>
    <row r="482" spans="3:3" x14ac:dyDescent="0.35">
      <c r="C482" t="str">
        <f t="shared" si="30"/>
        <v/>
      </c>
    </row>
    <row r="483" spans="3:3" x14ac:dyDescent="0.35">
      <c r="C483" t="str">
        <f t="shared" si="30"/>
        <v/>
      </c>
    </row>
    <row r="484" spans="3:3" x14ac:dyDescent="0.35">
      <c r="C484" t="str">
        <f t="shared" si="30"/>
        <v/>
      </c>
    </row>
    <row r="485" spans="3:3" x14ac:dyDescent="0.35">
      <c r="C485" t="str">
        <f t="shared" si="30"/>
        <v/>
      </c>
    </row>
    <row r="486" spans="3:3" x14ac:dyDescent="0.35">
      <c r="C486" t="str">
        <f t="shared" si="30"/>
        <v/>
      </c>
    </row>
    <row r="487" spans="3:3" x14ac:dyDescent="0.35">
      <c r="C487" t="str">
        <f t="shared" si="30"/>
        <v/>
      </c>
    </row>
    <row r="488" spans="3:3" x14ac:dyDescent="0.35">
      <c r="C488" t="str">
        <f t="shared" si="30"/>
        <v/>
      </c>
    </row>
    <row r="489" spans="3:3" x14ac:dyDescent="0.35">
      <c r="C489" t="str">
        <f t="shared" si="30"/>
        <v/>
      </c>
    </row>
    <row r="490" spans="3:3" x14ac:dyDescent="0.35">
      <c r="C490" t="str">
        <f t="shared" si="30"/>
        <v/>
      </c>
    </row>
    <row r="491" spans="3:3" x14ac:dyDescent="0.35">
      <c r="C491" t="str">
        <f t="shared" si="30"/>
        <v/>
      </c>
    </row>
    <row r="492" spans="3:3" x14ac:dyDescent="0.35">
      <c r="C492" t="str">
        <f t="shared" si="30"/>
        <v/>
      </c>
    </row>
    <row r="493" spans="3:3" x14ac:dyDescent="0.35">
      <c r="C493" t="str">
        <f t="shared" si="30"/>
        <v/>
      </c>
    </row>
    <row r="494" spans="3:3" x14ac:dyDescent="0.35">
      <c r="C494" t="str">
        <f t="shared" si="30"/>
        <v/>
      </c>
    </row>
    <row r="495" spans="3:3" x14ac:dyDescent="0.35">
      <c r="C495" t="str">
        <f t="shared" si="30"/>
        <v/>
      </c>
    </row>
    <row r="496" spans="3:3" x14ac:dyDescent="0.35">
      <c r="C496" t="str">
        <f t="shared" si="30"/>
        <v/>
      </c>
    </row>
    <row r="497" spans="3:3" x14ac:dyDescent="0.35">
      <c r="C497" t="str">
        <f t="shared" si="30"/>
        <v/>
      </c>
    </row>
    <row r="498" spans="3:3" x14ac:dyDescent="0.35">
      <c r="C498" t="str">
        <f t="shared" si="30"/>
        <v/>
      </c>
    </row>
    <row r="499" spans="3:3" x14ac:dyDescent="0.35">
      <c r="C499" t="str">
        <f t="shared" si="30"/>
        <v/>
      </c>
    </row>
    <row r="500" spans="3:3" x14ac:dyDescent="0.35">
      <c r="C500" t="str">
        <f t="shared" si="30"/>
        <v/>
      </c>
    </row>
    <row r="501" spans="3:3" x14ac:dyDescent="0.35">
      <c r="C501" t="str">
        <f t="shared" si="30"/>
        <v/>
      </c>
    </row>
    <row r="502" spans="3:3" x14ac:dyDescent="0.35">
      <c r="C502" t="str">
        <f t="shared" si="30"/>
        <v/>
      </c>
    </row>
    <row r="503" spans="3:3" x14ac:dyDescent="0.35">
      <c r="C503" t="str">
        <f t="shared" si="30"/>
        <v/>
      </c>
    </row>
    <row r="504" spans="3:3" x14ac:dyDescent="0.35">
      <c r="C504" t="str">
        <f t="shared" si="30"/>
        <v/>
      </c>
    </row>
    <row r="505" spans="3:3" x14ac:dyDescent="0.35">
      <c r="C505" t="str">
        <f t="shared" si="30"/>
        <v/>
      </c>
    </row>
    <row r="506" spans="3:3" x14ac:dyDescent="0.35">
      <c r="C506" t="str">
        <f t="shared" si="30"/>
        <v/>
      </c>
    </row>
    <row r="507" spans="3:3" x14ac:dyDescent="0.35">
      <c r="C507" t="str">
        <f t="shared" si="30"/>
        <v/>
      </c>
    </row>
    <row r="508" spans="3:3" x14ac:dyDescent="0.35">
      <c r="C508" t="str">
        <f t="shared" si="30"/>
        <v/>
      </c>
    </row>
    <row r="509" spans="3:3" x14ac:dyDescent="0.35">
      <c r="C509" t="str">
        <f t="shared" si="30"/>
        <v/>
      </c>
    </row>
    <row r="510" spans="3:3" x14ac:dyDescent="0.35">
      <c r="C510" t="str">
        <f t="shared" si="30"/>
        <v/>
      </c>
    </row>
    <row r="511" spans="3:3" x14ac:dyDescent="0.35">
      <c r="C511" t="str">
        <f t="shared" si="30"/>
        <v/>
      </c>
    </row>
    <row r="512" spans="3:3" x14ac:dyDescent="0.35">
      <c r="C512" t="str">
        <f t="shared" si="30"/>
        <v/>
      </c>
    </row>
    <row r="513" spans="3:3" x14ac:dyDescent="0.35">
      <c r="C513" t="str">
        <f t="shared" si="30"/>
        <v/>
      </c>
    </row>
    <row r="514" spans="3:3" x14ac:dyDescent="0.35">
      <c r="C514" t="str">
        <f t="shared" si="30"/>
        <v/>
      </c>
    </row>
    <row r="515" spans="3:3" x14ac:dyDescent="0.35">
      <c r="C515" t="str">
        <f t="shared" si="30"/>
        <v/>
      </c>
    </row>
    <row r="516" spans="3:3" x14ac:dyDescent="0.35">
      <c r="C516" t="str">
        <f t="shared" si="30"/>
        <v/>
      </c>
    </row>
    <row r="517" spans="3:3" x14ac:dyDescent="0.35">
      <c r="C517" t="str">
        <f t="shared" ref="C517:C580" si="31">IF(ISBLANK(D517), "",
IF(D517 &lt; $G$9,
    $G$10 + $G$19 * ($G$23 * (D517 - $G$9))^2 + $G$21 * (1 - (D517 - $G$6)/($G$9 - $G$6)),
IF(D517 &gt; $G$13,
    $G$14 + $G$19 * ($G$23 * (D517 - $G$13))^2 - $G$22 * (1 - (D517 - $G$6)/($G$13 - $G$6)),
IF(D517 &lt; $G$6,
    $G$16 * (D517 - $G$6)^2 + $G$5,
    $G$17 * (D517 - $G$6)^2 + $G$5))))</f>
        <v/>
      </c>
    </row>
    <row r="518" spans="3:3" x14ac:dyDescent="0.35">
      <c r="C518" t="str">
        <f t="shared" si="31"/>
        <v/>
      </c>
    </row>
    <row r="519" spans="3:3" x14ac:dyDescent="0.35">
      <c r="C519" t="str">
        <f t="shared" si="31"/>
        <v/>
      </c>
    </row>
    <row r="520" spans="3:3" x14ac:dyDescent="0.35">
      <c r="C520" t="str">
        <f t="shared" si="31"/>
        <v/>
      </c>
    </row>
    <row r="521" spans="3:3" x14ac:dyDescent="0.35">
      <c r="C521" t="str">
        <f t="shared" si="31"/>
        <v/>
      </c>
    </row>
    <row r="522" spans="3:3" x14ac:dyDescent="0.35">
      <c r="C522" t="str">
        <f t="shared" si="31"/>
        <v/>
      </c>
    </row>
    <row r="523" spans="3:3" x14ac:dyDescent="0.35">
      <c r="C523" t="str">
        <f t="shared" si="31"/>
        <v/>
      </c>
    </row>
    <row r="524" spans="3:3" x14ac:dyDescent="0.35">
      <c r="C524" t="str">
        <f t="shared" si="31"/>
        <v/>
      </c>
    </row>
    <row r="525" spans="3:3" x14ac:dyDescent="0.35">
      <c r="C525" t="str">
        <f t="shared" si="31"/>
        <v/>
      </c>
    </row>
    <row r="526" spans="3:3" x14ac:dyDescent="0.35">
      <c r="C526" t="str">
        <f t="shared" si="31"/>
        <v/>
      </c>
    </row>
    <row r="527" spans="3:3" x14ac:dyDescent="0.35">
      <c r="C527" t="str">
        <f t="shared" si="31"/>
        <v/>
      </c>
    </row>
    <row r="528" spans="3:3" x14ac:dyDescent="0.35">
      <c r="C528" t="str">
        <f t="shared" si="31"/>
        <v/>
      </c>
    </row>
    <row r="529" spans="3:3" x14ac:dyDescent="0.35">
      <c r="C529" t="str">
        <f t="shared" si="31"/>
        <v/>
      </c>
    </row>
    <row r="530" spans="3:3" x14ac:dyDescent="0.35">
      <c r="C530" t="str">
        <f t="shared" si="31"/>
        <v/>
      </c>
    </row>
    <row r="531" spans="3:3" x14ac:dyDescent="0.35">
      <c r="C531" t="str">
        <f t="shared" si="31"/>
        <v/>
      </c>
    </row>
    <row r="532" spans="3:3" x14ac:dyDescent="0.35">
      <c r="C532" t="str">
        <f t="shared" si="31"/>
        <v/>
      </c>
    </row>
    <row r="533" spans="3:3" x14ac:dyDescent="0.35">
      <c r="C533" t="str">
        <f t="shared" si="31"/>
        <v/>
      </c>
    </row>
    <row r="534" spans="3:3" x14ac:dyDescent="0.35">
      <c r="C534" t="str">
        <f t="shared" si="31"/>
        <v/>
      </c>
    </row>
    <row r="535" spans="3:3" x14ac:dyDescent="0.35">
      <c r="C535" t="str">
        <f t="shared" si="31"/>
        <v/>
      </c>
    </row>
    <row r="536" spans="3:3" x14ac:dyDescent="0.35">
      <c r="C536" t="str">
        <f t="shared" si="31"/>
        <v/>
      </c>
    </row>
    <row r="537" spans="3:3" x14ac:dyDescent="0.35">
      <c r="C537" t="str">
        <f t="shared" si="31"/>
        <v/>
      </c>
    </row>
    <row r="538" spans="3:3" x14ac:dyDescent="0.35">
      <c r="C538" t="str">
        <f t="shared" si="31"/>
        <v/>
      </c>
    </row>
    <row r="539" spans="3:3" x14ac:dyDescent="0.35">
      <c r="C539" t="str">
        <f t="shared" si="31"/>
        <v/>
      </c>
    </row>
    <row r="540" spans="3:3" x14ac:dyDescent="0.35">
      <c r="C540" t="str">
        <f t="shared" si="31"/>
        <v/>
      </c>
    </row>
    <row r="541" spans="3:3" x14ac:dyDescent="0.35">
      <c r="C541" t="str">
        <f t="shared" si="31"/>
        <v/>
      </c>
    </row>
    <row r="542" spans="3:3" x14ac:dyDescent="0.35">
      <c r="C542" t="str">
        <f t="shared" si="31"/>
        <v/>
      </c>
    </row>
    <row r="543" spans="3:3" x14ac:dyDescent="0.35">
      <c r="C543" t="str">
        <f t="shared" si="31"/>
        <v/>
      </c>
    </row>
    <row r="544" spans="3:3" x14ac:dyDescent="0.35">
      <c r="C544" t="str">
        <f t="shared" si="31"/>
        <v/>
      </c>
    </row>
    <row r="545" spans="3:3" x14ac:dyDescent="0.35">
      <c r="C545" t="str">
        <f t="shared" si="31"/>
        <v/>
      </c>
    </row>
    <row r="546" spans="3:3" x14ac:dyDescent="0.35">
      <c r="C546" t="str">
        <f t="shared" si="31"/>
        <v/>
      </c>
    </row>
    <row r="547" spans="3:3" x14ac:dyDescent="0.35">
      <c r="C547" t="str">
        <f t="shared" si="31"/>
        <v/>
      </c>
    </row>
    <row r="548" spans="3:3" x14ac:dyDescent="0.35">
      <c r="C548" t="str">
        <f t="shared" si="31"/>
        <v/>
      </c>
    </row>
    <row r="549" spans="3:3" x14ac:dyDescent="0.35">
      <c r="C549" t="str">
        <f t="shared" si="31"/>
        <v/>
      </c>
    </row>
    <row r="550" spans="3:3" x14ac:dyDescent="0.35">
      <c r="C550" t="str">
        <f t="shared" si="31"/>
        <v/>
      </c>
    </row>
    <row r="551" spans="3:3" x14ac:dyDescent="0.35">
      <c r="C551" t="str">
        <f t="shared" si="31"/>
        <v/>
      </c>
    </row>
    <row r="552" spans="3:3" x14ac:dyDescent="0.35">
      <c r="C552" t="str">
        <f t="shared" si="31"/>
        <v/>
      </c>
    </row>
    <row r="553" spans="3:3" x14ac:dyDescent="0.35">
      <c r="C553" t="str">
        <f t="shared" si="31"/>
        <v/>
      </c>
    </row>
    <row r="554" spans="3:3" x14ac:dyDescent="0.35">
      <c r="C554" t="str">
        <f t="shared" si="31"/>
        <v/>
      </c>
    </row>
    <row r="555" spans="3:3" x14ac:dyDescent="0.35">
      <c r="C555" t="str">
        <f t="shared" si="31"/>
        <v/>
      </c>
    </row>
    <row r="556" spans="3:3" x14ac:dyDescent="0.35">
      <c r="C556" t="str">
        <f t="shared" si="31"/>
        <v/>
      </c>
    </row>
    <row r="557" spans="3:3" x14ac:dyDescent="0.35">
      <c r="C557" t="str">
        <f t="shared" si="31"/>
        <v/>
      </c>
    </row>
    <row r="558" spans="3:3" x14ac:dyDescent="0.35">
      <c r="C558" t="str">
        <f t="shared" si="31"/>
        <v/>
      </c>
    </row>
    <row r="559" spans="3:3" x14ac:dyDescent="0.35">
      <c r="C559" t="str">
        <f t="shared" si="31"/>
        <v/>
      </c>
    </row>
    <row r="560" spans="3:3" x14ac:dyDescent="0.35">
      <c r="C560" t="str">
        <f t="shared" si="31"/>
        <v/>
      </c>
    </row>
    <row r="561" spans="3:3" x14ac:dyDescent="0.35">
      <c r="C561" t="str">
        <f t="shared" si="31"/>
        <v/>
      </c>
    </row>
    <row r="562" spans="3:3" x14ac:dyDescent="0.35">
      <c r="C562" t="str">
        <f t="shared" si="31"/>
        <v/>
      </c>
    </row>
    <row r="563" spans="3:3" x14ac:dyDescent="0.35">
      <c r="C563" t="str">
        <f t="shared" si="31"/>
        <v/>
      </c>
    </row>
    <row r="564" spans="3:3" x14ac:dyDescent="0.35">
      <c r="C564" t="str">
        <f t="shared" si="31"/>
        <v/>
      </c>
    </row>
    <row r="565" spans="3:3" x14ac:dyDescent="0.35">
      <c r="C565" t="str">
        <f t="shared" si="31"/>
        <v/>
      </c>
    </row>
    <row r="566" spans="3:3" x14ac:dyDescent="0.35">
      <c r="C566" t="str">
        <f t="shared" si="31"/>
        <v/>
      </c>
    </row>
    <row r="567" spans="3:3" x14ac:dyDescent="0.35">
      <c r="C567" t="str">
        <f t="shared" si="31"/>
        <v/>
      </c>
    </row>
    <row r="568" spans="3:3" x14ac:dyDescent="0.35">
      <c r="C568" t="str">
        <f t="shared" si="31"/>
        <v/>
      </c>
    </row>
    <row r="569" spans="3:3" x14ac:dyDescent="0.35">
      <c r="C569" t="str">
        <f t="shared" si="31"/>
        <v/>
      </c>
    </row>
    <row r="570" spans="3:3" x14ac:dyDescent="0.35">
      <c r="C570" t="str">
        <f t="shared" si="31"/>
        <v/>
      </c>
    </row>
    <row r="571" spans="3:3" x14ac:dyDescent="0.35">
      <c r="C571" t="str">
        <f t="shared" si="31"/>
        <v/>
      </c>
    </row>
    <row r="572" spans="3:3" x14ac:dyDescent="0.35">
      <c r="C572" t="str">
        <f t="shared" si="31"/>
        <v/>
      </c>
    </row>
    <row r="573" spans="3:3" x14ac:dyDescent="0.35">
      <c r="C573" t="str">
        <f t="shared" si="31"/>
        <v/>
      </c>
    </row>
    <row r="574" spans="3:3" x14ac:dyDescent="0.35">
      <c r="C574" t="str">
        <f t="shared" si="31"/>
        <v/>
      </c>
    </row>
    <row r="575" spans="3:3" x14ac:dyDescent="0.35">
      <c r="C575" t="str">
        <f t="shared" si="31"/>
        <v/>
      </c>
    </row>
    <row r="576" spans="3:3" x14ac:dyDescent="0.35">
      <c r="C576" t="str">
        <f t="shared" si="31"/>
        <v/>
      </c>
    </row>
    <row r="577" spans="3:3" x14ac:dyDescent="0.35">
      <c r="C577" t="str">
        <f t="shared" si="31"/>
        <v/>
      </c>
    </row>
    <row r="578" spans="3:3" x14ac:dyDescent="0.35">
      <c r="C578" t="str">
        <f t="shared" si="31"/>
        <v/>
      </c>
    </row>
    <row r="579" spans="3:3" x14ac:dyDescent="0.35">
      <c r="C579" t="str">
        <f t="shared" si="31"/>
        <v/>
      </c>
    </row>
    <row r="580" spans="3:3" x14ac:dyDescent="0.35">
      <c r="C580" t="str">
        <f t="shared" si="31"/>
        <v/>
      </c>
    </row>
    <row r="581" spans="3:3" x14ac:dyDescent="0.35">
      <c r="C581" t="str">
        <f t="shared" ref="C581:C644" si="32">IF(ISBLANK(D581), "",
IF(D581 &lt; $G$9,
    $G$10 + $G$19 * ($G$23 * (D581 - $G$9))^2 + $G$21 * (1 - (D581 - $G$6)/($G$9 - $G$6)),
IF(D581 &gt; $G$13,
    $G$14 + $G$19 * ($G$23 * (D581 - $G$13))^2 - $G$22 * (1 - (D581 - $G$6)/($G$13 - $G$6)),
IF(D581 &lt; $G$6,
    $G$16 * (D581 - $G$6)^2 + $G$5,
    $G$17 * (D581 - $G$6)^2 + $G$5))))</f>
        <v/>
      </c>
    </row>
    <row r="582" spans="3:3" x14ac:dyDescent="0.35">
      <c r="C582" t="str">
        <f t="shared" si="32"/>
        <v/>
      </c>
    </row>
    <row r="583" spans="3:3" x14ac:dyDescent="0.35">
      <c r="C583" t="str">
        <f t="shared" si="32"/>
        <v/>
      </c>
    </row>
    <row r="584" spans="3:3" x14ac:dyDescent="0.35">
      <c r="C584" t="str">
        <f t="shared" si="32"/>
        <v/>
      </c>
    </row>
    <row r="585" spans="3:3" x14ac:dyDescent="0.35">
      <c r="C585" t="str">
        <f t="shared" si="32"/>
        <v/>
      </c>
    </row>
    <row r="586" spans="3:3" x14ac:dyDescent="0.35">
      <c r="C586" t="str">
        <f t="shared" si="32"/>
        <v/>
      </c>
    </row>
    <row r="587" spans="3:3" x14ac:dyDescent="0.35">
      <c r="C587" t="str">
        <f t="shared" si="32"/>
        <v/>
      </c>
    </row>
    <row r="588" spans="3:3" x14ac:dyDescent="0.35">
      <c r="C588" t="str">
        <f t="shared" si="32"/>
        <v/>
      </c>
    </row>
    <row r="589" spans="3:3" x14ac:dyDescent="0.35">
      <c r="C589" t="str">
        <f t="shared" si="32"/>
        <v/>
      </c>
    </row>
    <row r="590" spans="3:3" x14ac:dyDescent="0.35">
      <c r="C590" t="str">
        <f t="shared" si="32"/>
        <v/>
      </c>
    </row>
    <row r="591" spans="3:3" x14ac:dyDescent="0.35">
      <c r="C591" t="str">
        <f t="shared" si="32"/>
        <v/>
      </c>
    </row>
    <row r="592" spans="3:3" x14ac:dyDescent="0.35">
      <c r="C592" t="str">
        <f t="shared" si="32"/>
        <v/>
      </c>
    </row>
    <row r="593" spans="3:3" x14ac:dyDescent="0.35">
      <c r="C593" t="str">
        <f t="shared" si="32"/>
        <v/>
      </c>
    </row>
    <row r="594" spans="3:3" x14ac:dyDescent="0.35">
      <c r="C594" t="str">
        <f t="shared" si="32"/>
        <v/>
      </c>
    </row>
    <row r="595" spans="3:3" x14ac:dyDescent="0.35">
      <c r="C595" t="str">
        <f t="shared" si="32"/>
        <v/>
      </c>
    </row>
    <row r="596" spans="3:3" x14ac:dyDescent="0.35">
      <c r="C596" t="str">
        <f t="shared" si="32"/>
        <v/>
      </c>
    </row>
    <row r="597" spans="3:3" x14ac:dyDescent="0.35">
      <c r="C597" t="str">
        <f t="shared" si="32"/>
        <v/>
      </c>
    </row>
    <row r="598" spans="3:3" x14ac:dyDescent="0.35">
      <c r="C598" t="str">
        <f t="shared" si="32"/>
        <v/>
      </c>
    </row>
    <row r="599" spans="3:3" x14ac:dyDescent="0.35">
      <c r="C599" t="str">
        <f t="shared" si="32"/>
        <v/>
      </c>
    </row>
    <row r="600" spans="3:3" x14ac:dyDescent="0.35">
      <c r="C600" t="str">
        <f t="shared" si="32"/>
        <v/>
      </c>
    </row>
    <row r="601" spans="3:3" x14ac:dyDescent="0.35">
      <c r="C601" t="str">
        <f t="shared" si="32"/>
        <v/>
      </c>
    </row>
    <row r="602" spans="3:3" x14ac:dyDescent="0.35">
      <c r="C602" t="str">
        <f t="shared" si="32"/>
        <v/>
      </c>
    </row>
    <row r="603" spans="3:3" x14ac:dyDescent="0.35">
      <c r="C603" t="str">
        <f t="shared" si="32"/>
        <v/>
      </c>
    </row>
    <row r="604" spans="3:3" x14ac:dyDescent="0.35">
      <c r="C604" t="str">
        <f t="shared" si="32"/>
        <v/>
      </c>
    </row>
    <row r="605" spans="3:3" x14ac:dyDescent="0.35">
      <c r="C605" t="str">
        <f t="shared" si="32"/>
        <v/>
      </c>
    </row>
    <row r="606" spans="3:3" x14ac:dyDescent="0.35">
      <c r="C606" t="str">
        <f t="shared" si="32"/>
        <v/>
      </c>
    </row>
    <row r="607" spans="3:3" x14ac:dyDescent="0.35">
      <c r="C607" t="str">
        <f t="shared" si="32"/>
        <v/>
      </c>
    </row>
    <row r="608" spans="3:3" x14ac:dyDescent="0.35">
      <c r="C608" t="str">
        <f t="shared" si="32"/>
        <v/>
      </c>
    </row>
    <row r="609" spans="3:3" x14ac:dyDescent="0.35">
      <c r="C609" t="str">
        <f t="shared" si="32"/>
        <v/>
      </c>
    </row>
    <row r="610" spans="3:3" x14ac:dyDescent="0.35">
      <c r="C610" t="str">
        <f t="shared" si="32"/>
        <v/>
      </c>
    </row>
    <row r="611" spans="3:3" x14ac:dyDescent="0.35">
      <c r="C611" t="str">
        <f t="shared" si="32"/>
        <v/>
      </c>
    </row>
    <row r="612" spans="3:3" x14ac:dyDescent="0.35">
      <c r="C612" t="str">
        <f t="shared" si="32"/>
        <v/>
      </c>
    </row>
    <row r="613" spans="3:3" x14ac:dyDescent="0.35">
      <c r="C613" t="str">
        <f t="shared" si="32"/>
        <v/>
      </c>
    </row>
    <row r="614" spans="3:3" x14ac:dyDescent="0.35">
      <c r="C614" t="str">
        <f t="shared" si="32"/>
        <v/>
      </c>
    </row>
    <row r="615" spans="3:3" x14ac:dyDescent="0.35">
      <c r="C615" t="str">
        <f t="shared" si="32"/>
        <v/>
      </c>
    </row>
    <row r="616" spans="3:3" x14ac:dyDescent="0.35">
      <c r="C616" t="str">
        <f t="shared" si="32"/>
        <v/>
      </c>
    </row>
    <row r="617" spans="3:3" x14ac:dyDescent="0.35">
      <c r="C617" t="str">
        <f t="shared" si="32"/>
        <v/>
      </c>
    </row>
    <row r="618" spans="3:3" x14ac:dyDescent="0.35">
      <c r="C618" t="str">
        <f t="shared" si="32"/>
        <v/>
      </c>
    </row>
    <row r="619" spans="3:3" x14ac:dyDescent="0.35">
      <c r="C619" t="str">
        <f t="shared" si="32"/>
        <v/>
      </c>
    </row>
    <row r="620" spans="3:3" x14ac:dyDescent="0.35">
      <c r="C620" t="str">
        <f t="shared" si="32"/>
        <v/>
      </c>
    </row>
    <row r="621" spans="3:3" x14ac:dyDescent="0.35">
      <c r="C621" t="str">
        <f t="shared" si="32"/>
        <v/>
      </c>
    </row>
    <row r="622" spans="3:3" x14ac:dyDescent="0.35">
      <c r="C622" t="str">
        <f t="shared" si="32"/>
        <v/>
      </c>
    </row>
    <row r="623" spans="3:3" x14ac:dyDescent="0.35">
      <c r="C623" t="str">
        <f t="shared" si="32"/>
        <v/>
      </c>
    </row>
    <row r="624" spans="3:3" x14ac:dyDescent="0.35">
      <c r="C624" t="str">
        <f t="shared" si="32"/>
        <v/>
      </c>
    </row>
    <row r="625" spans="3:3" x14ac:dyDescent="0.35">
      <c r="C625" t="str">
        <f t="shared" si="32"/>
        <v/>
      </c>
    </row>
    <row r="626" spans="3:3" x14ac:dyDescent="0.35">
      <c r="C626" t="str">
        <f t="shared" si="32"/>
        <v/>
      </c>
    </row>
    <row r="627" spans="3:3" x14ac:dyDescent="0.35">
      <c r="C627" t="str">
        <f t="shared" si="32"/>
        <v/>
      </c>
    </row>
    <row r="628" spans="3:3" x14ac:dyDescent="0.35">
      <c r="C628" t="str">
        <f t="shared" si="32"/>
        <v/>
      </c>
    </row>
    <row r="629" spans="3:3" x14ac:dyDescent="0.35">
      <c r="C629" t="str">
        <f t="shared" si="32"/>
        <v/>
      </c>
    </row>
    <row r="630" spans="3:3" x14ac:dyDescent="0.35">
      <c r="C630" t="str">
        <f t="shared" si="32"/>
        <v/>
      </c>
    </row>
    <row r="631" spans="3:3" x14ac:dyDescent="0.35">
      <c r="C631" t="str">
        <f t="shared" si="32"/>
        <v/>
      </c>
    </row>
    <row r="632" spans="3:3" x14ac:dyDescent="0.35">
      <c r="C632" t="str">
        <f t="shared" si="32"/>
        <v/>
      </c>
    </row>
    <row r="633" spans="3:3" x14ac:dyDescent="0.35">
      <c r="C633" t="str">
        <f t="shared" si="32"/>
        <v/>
      </c>
    </row>
    <row r="634" spans="3:3" x14ac:dyDescent="0.35">
      <c r="C634" t="str">
        <f t="shared" si="32"/>
        <v/>
      </c>
    </row>
    <row r="635" spans="3:3" x14ac:dyDescent="0.35">
      <c r="C635" t="str">
        <f t="shared" si="32"/>
        <v/>
      </c>
    </row>
    <row r="636" spans="3:3" x14ac:dyDescent="0.35">
      <c r="C636" t="str">
        <f t="shared" si="32"/>
        <v/>
      </c>
    </row>
    <row r="637" spans="3:3" x14ac:dyDescent="0.35">
      <c r="C637" t="str">
        <f t="shared" si="32"/>
        <v/>
      </c>
    </row>
    <row r="638" spans="3:3" x14ac:dyDescent="0.35">
      <c r="C638" t="str">
        <f t="shared" si="32"/>
        <v/>
      </c>
    </row>
    <row r="639" spans="3:3" x14ac:dyDescent="0.35">
      <c r="C639" t="str">
        <f t="shared" si="32"/>
        <v/>
      </c>
    </row>
    <row r="640" spans="3:3" x14ac:dyDescent="0.35">
      <c r="C640" t="str">
        <f t="shared" si="32"/>
        <v/>
      </c>
    </row>
    <row r="641" spans="3:3" x14ac:dyDescent="0.35">
      <c r="C641" t="str">
        <f t="shared" si="32"/>
        <v/>
      </c>
    </row>
    <row r="642" spans="3:3" x14ac:dyDescent="0.35">
      <c r="C642" t="str">
        <f t="shared" si="32"/>
        <v/>
      </c>
    </row>
    <row r="643" spans="3:3" x14ac:dyDescent="0.35">
      <c r="C643" t="str">
        <f t="shared" si="32"/>
        <v/>
      </c>
    </row>
    <row r="644" spans="3:3" x14ac:dyDescent="0.35">
      <c r="C644" t="str">
        <f t="shared" si="32"/>
        <v/>
      </c>
    </row>
    <row r="645" spans="3:3" x14ac:dyDescent="0.35">
      <c r="C645" t="str">
        <f t="shared" ref="C645:C708" si="33">IF(ISBLANK(D645), "",
IF(D645 &lt; $G$9,
    $G$10 + $G$19 * ($G$23 * (D645 - $G$9))^2 + $G$21 * (1 - (D645 - $G$6)/($G$9 - $G$6)),
IF(D645 &gt; $G$13,
    $G$14 + $G$19 * ($G$23 * (D645 - $G$13))^2 - $G$22 * (1 - (D645 - $G$6)/($G$13 - $G$6)),
IF(D645 &lt; $G$6,
    $G$16 * (D645 - $G$6)^2 + $G$5,
    $G$17 * (D645 - $G$6)^2 + $G$5))))</f>
        <v/>
      </c>
    </row>
    <row r="646" spans="3:3" x14ac:dyDescent="0.35">
      <c r="C646" t="str">
        <f t="shared" si="33"/>
        <v/>
      </c>
    </row>
    <row r="647" spans="3:3" x14ac:dyDescent="0.35">
      <c r="C647" t="str">
        <f t="shared" si="33"/>
        <v/>
      </c>
    </row>
    <row r="648" spans="3:3" x14ac:dyDescent="0.35">
      <c r="C648" t="str">
        <f t="shared" si="33"/>
        <v/>
      </c>
    </row>
    <row r="649" spans="3:3" x14ac:dyDescent="0.35">
      <c r="C649" t="str">
        <f t="shared" si="33"/>
        <v/>
      </c>
    </row>
    <row r="650" spans="3:3" x14ac:dyDescent="0.35">
      <c r="C650" t="str">
        <f t="shared" si="33"/>
        <v/>
      </c>
    </row>
    <row r="651" spans="3:3" x14ac:dyDescent="0.35">
      <c r="C651" t="str">
        <f t="shared" si="33"/>
        <v/>
      </c>
    </row>
    <row r="652" spans="3:3" x14ac:dyDescent="0.35">
      <c r="C652" t="str">
        <f t="shared" si="33"/>
        <v/>
      </c>
    </row>
    <row r="653" spans="3:3" x14ac:dyDescent="0.35">
      <c r="C653" t="str">
        <f t="shared" si="33"/>
        <v/>
      </c>
    </row>
    <row r="654" spans="3:3" x14ac:dyDescent="0.35">
      <c r="C654" t="str">
        <f t="shared" si="33"/>
        <v/>
      </c>
    </row>
    <row r="655" spans="3:3" x14ac:dyDescent="0.35">
      <c r="C655" t="str">
        <f t="shared" si="33"/>
        <v/>
      </c>
    </row>
    <row r="656" spans="3:3" x14ac:dyDescent="0.35">
      <c r="C656" t="str">
        <f t="shared" si="33"/>
        <v/>
      </c>
    </row>
    <row r="657" spans="3:3" x14ac:dyDescent="0.35">
      <c r="C657" t="str">
        <f t="shared" si="33"/>
        <v/>
      </c>
    </row>
    <row r="658" spans="3:3" x14ac:dyDescent="0.35">
      <c r="C658" t="str">
        <f t="shared" si="33"/>
        <v/>
      </c>
    </row>
    <row r="659" spans="3:3" x14ac:dyDescent="0.35">
      <c r="C659" t="str">
        <f t="shared" si="33"/>
        <v/>
      </c>
    </row>
    <row r="660" spans="3:3" x14ac:dyDescent="0.35">
      <c r="C660" t="str">
        <f t="shared" si="33"/>
        <v/>
      </c>
    </row>
    <row r="661" spans="3:3" x14ac:dyDescent="0.35">
      <c r="C661" t="str">
        <f t="shared" si="33"/>
        <v/>
      </c>
    </row>
    <row r="662" spans="3:3" x14ac:dyDescent="0.35">
      <c r="C662" t="str">
        <f t="shared" si="33"/>
        <v/>
      </c>
    </row>
    <row r="663" spans="3:3" x14ac:dyDescent="0.35">
      <c r="C663" t="str">
        <f t="shared" si="33"/>
        <v/>
      </c>
    </row>
    <row r="664" spans="3:3" x14ac:dyDescent="0.35">
      <c r="C664" t="str">
        <f t="shared" si="33"/>
        <v/>
      </c>
    </row>
    <row r="665" spans="3:3" x14ac:dyDescent="0.35">
      <c r="C665" t="str">
        <f t="shared" si="33"/>
        <v/>
      </c>
    </row>
    <row r="666" spans="3:3" x14ac:dyDescent="0.35">
      <c r="C666" t="str">
        <f t="shared" si="33"/>
        <v/>
      </c>
    </row>
    <row r="667" spans="3:3" x14ac:dyDescent="0.35">
      <c r="C667" t="str">
        <f t="shared" si="33"/>
        <v/>
      </c>
    </row>
    <row r="668" spans="3:3" x14ac:dyDescent="0.35">
      <c r="C668" t="str">
        <f t="shared" si="33"/>
        <v/>
      </c>
    </row>
    <row r="669" spans="3:3" x14ac:dyDescent="0.35">
      <c r="C669" t="str">
        <f t="shared" si="33"/>
        <v/>
      </c>
    </row>
    <row r="670" spans="3:3" x14ac:dyDescent="0.35">
      <c r="C670" t="str">
        <f t="shared" si="33"/>
        <v/>
      </c>
    </row>
    <row r="671" spans="3:3" x14ac:dyDescent="0.35">
      <c r="C671" t="str">
        <f t="shared" si="33"/>
        <v/>
      </c>
    </row>
    <row r="672" spans="3:3" x14ac:dyDescent="0.35">
      <c r="C672" t="str">
        <f t="shared" si="33"/>
        <v/>
      </c>
    </row>
    <row r="673" spans="3:3" x14ac:dyDescent="0.35">
      <c r="C673" t="str">
        <f t="shared" si="33"/>
        <v/>
      </c>
    </row>
    <row r="674" spans="3:3" x14ac:dyDescent="0.35">
      <c r="C674" t="str">
        <f t="shared" si="33"/>
        <v/>
      </c>
    </row>
    <row r="675" spans="3:3" x14ac:dyDescent="0.35">
      <c r="C675" t="str">
        <f t="shared" si="33"/>
        <v/>
      </c>
    </row>
    <row r="676" spans="3:3" x14ac:dyDescent="0.35">
      <c r="C676" t="str">
        <f t="shared" si="33"/>
        <v/>
      </c>
    </row>
    <row r="677" spans="3:3" x14ac:dyDescent="0.35">
      <c r="C677" t="str">
        <f t="shared" si="33"/>
        <v/>
      </c>
    </row>
    <row r="678" spans="3:3" x14ac:dyDescent="0.35">
      <c r="C678" t="str">
        <f t="shared" si="33"/>
        <v/>
      </c>
    </row>
    <row r="679" spans="3:3" x14ac:dyDescent="0.35">
      <c r="C679" t="str">
        <f t="shared" si="33"/>
        <v/>
      </c>
    </row>
    <row r="680" spans="3:3" x14ac:dyDescent="0.35">
      <c r="C680" t="str">
        <f t="shared" si="33"/>
        <v/>
      </c>
    </row>
    <row r="681" spans="3:3" x14ac:dyDescent="0.35">
      <c r="C681" t="str">
        <f t="shared" si="33"/>
        <v/>
      </c>
    </row>
    <row r="682" spans="3:3" x14ac:dyDescent="0.35">
      <c r="C682" t="str">
        <f t="shared" si="33"/>
        <v/>
      </c>
    </row>
    <row r="683" spans="3:3" x14ac:dyDescent="0.35">
      <c r="C683" t="str">
        <f t="shared" si="33"/>
        <v/>
      </c>
    </row>
    <row r="684" spans="3:3" x14ac:dyDescent="0.35">
      <c r="C684" t="str">
        <f t="shared" si="33"/>
        <v/>
      </c>
    </row>
    <row r="685" spans="3:3" x14ac:dyDescent="0.35">
      <c r="C685" t="str">
        <f t="shared" si="33"/>
        <v/>
      </c>
    </row>
    <row r="686" spans="3:3" x14ac:dyDescent="0.35">
      <c r="C686" t="str">
        <f t="shared" si="33"/>
        <v/>
      </c>
    </row>
    <row r="687" spans="3:3" x14ac:dyDescent="0.35">
      <c r="C687" t="str">
        <f t="shared" si="33"/>
        <v/>
      </c>
    </row>
    <row r="688" spans="3:3" x14ac:dyDescent="0.35">
      <c r="C688" t="str">
        <f t="shared" si="33"/>
        <v/>
      </c>
    </row>
    <row r="689" spans="3:3" x14ac:dyDescent="0.35">
      <c r="C689" t="str">
        <f t="shared" si="33"/>
        <v/>
      </c>
    </row>
    <row r="690" spans="3:3" x14ac:dyDescent="0.35">
      <c r="C690" t="str">
        <f t="shared" si="33"/>
        <v/>
      </c>
    </row>
    <row r="691" spans="3:3" x14ac:dyDescent="0.35">
      <c r="C691" t="str">
        <f t="shared" si="33"/>
        <v/>
      </c>
    </row>
    <row r="692" spans="3:3" x14ac:dyDescent="0.35">
      <c r="C692" t="str">
        <f t="shared" si="33"/>
        <v/>
      </c>
    </row>
    <row r="693" spans="3:3" x14ac:dyDescent="0.35">
      <c r="C693" t="str">
        <f t="shared" si="33"/>
        <v/>
      </c>
    </row>
    <row r="694" spans="3:3" x14ac:dyDescent="0.35">
      <c r="C694" t="str">
        <f t="shared" si="33"/>
        <v/>
      </c>
    </row>
    <row r="695" spans="3:3" x14ac:dyDescent="0.35">
      <c r="C695" t="str">
        <f t="shared" si="33"/>
        <v/>
      </c>
    </row>
    <row r="696" spans="3:3" x14ac:dyDescent="0.35">
      <c r="C696" t="str">
        <f t="shared" si="33"/>
        <v/>
      </c>
    </row>
    <row r="697" spans="3:3" x14ac:dyDescent="0.35">
      <c r="C697" t="str">
        <f t="shared" si="33"/>
        <v/>
      </c>
    </row>
    <row r="698" spans="3:3" x14ac:dyDescent="0.35">
      <c r="C698" t="str">
        <f t="shared" si="33"/>
        <v/>
      </c>
    </row>
    <row r="699" spans="3:3" x14ac:dyDescent="0.35">
      <c r="C699" t="str">
        <f t="shared" si="33"/>
        <v/>
      </c>
    </row>
    <row r="700" spans="3:3" x14ac:dyDescent="0.35">
      <c r="C700" t="str">
        <f t="shared" si="33"/>
        <v/>
      </c>
    </row>
    <row r="701" spans="3:3" x14ac:dyDescent="0.35">
      <c r="C701" t="str">
        <f t="shared" si="33"/>
        <v/>
      </c>
    </row>
    <row r="702" spans="3:3" x14ac:dyDescent="0.35">
      <c r="C702" t="str">
        <f t="shared" si="33"/>
        <v/>
      </c>
    </row>
    <row r="703" spans="3:3" x14ac:dyDescent="0.35">
      <c r="C703" t="str">
        <f t="shared" si="33"/>
        <v/>
      </c>
    </row>
    <row r="704" spans="3:3" x14ac:dyDescent="0.35">
      <c r="C704" t="str">
        <f t="shared" si="33"/>
        <v/>
      </c>
    </row>
    <row r="705" spans="3:3" x14ac:dyDescent="0.35">
      <c r="C705" t="str">
        <f t="shared" si="33"/>
        <v/>
      </c>
    </row>
    <row r="706" spans="3:3" x14ac:dyDescent="0.35">
      <c r="C706" t="str">
        <f t="shared" si="33"/>
        <v/>
      </c>
    </row>
    <row r="707" spans="3:3" x14ac:dyDescent="0.35">
      <c r="C707" t="str">
        <f t="shared" si="33"/>
        <v/>
      </c>
    </row>
    <row r="708" spans="3:3" x14ac:dyDescent="0.35">
      <c r="C708" t="str">
        <f t="shared" si="33"/>
        <v/>
      </c>
    </row>
    <row r="709" spans="3:3" x14ac:dyDescent="0.35">
      <c r="C709" t="str">
        <f t="shared" ref="C709:C772" si="34">IF(ISBLANK(D709), "",
IF(D709 &lt; $G$9,
    $G$10 + $G$19 * ($G$23 * (D709 - $G$9))^2 + $G$21 * (1 - (D709 - $G$6)/($G$9 - $G$6)),
IF(D709 &gt; $G$13,
    $G$14 + $G$19 * ($G$23 * (D709 - $G$13))^2 - $G$22 * (1 - (D709 - $G$6)/($G$13 - $G$6)),
IF(D709 &lt; $G$6,
    $G$16 * (D709 - $G$6)^2 + $G$5,
    $G$17 * (D709 - $G$6)^2 + $G$5))))</f>
        <v/>
      </c>
    </row>
    <row r="710" spans="3:3" x14ac:dyDescent="0.35">
      <c r="C710" t="str">
        <f t="shared" si="34"/>
        <v/>
      </c>
    </row>
    <row r="711" spans="3:3" x14ac:dyDescent="0.35">
      <c r="C711" t="str">
        <f t="shared" si="34"/>
        <v/>
      </c>
    </row>
    <row r="712" spans="3:3" x14ac:dyDescent="0.35">
      <c r="C712" t="str">
        <f t="shared" si="34"/>
        <v/>
      </c>
    </row>
    <row r="713" spans="3:3" x14ac:dyDescent="0.35">
      <c r="C713" t="str">
        <f t="shared" si="34"/>
        <v/>
      </c>
    </row>
    <row r="714" spans="3:3" x14ac:dyDescent="0.35">
      <c r="C714" t="str">
        <f t="shared" si="34"/>
        <v/>
      </c>
    </row>
    <row r="715" spans="3:3" x14ac:dyDescent="0.35">
      <c r="C715" t="str">
        <f t="shared" si="34"/>
        <v/>
      </c>
    </row>
    <row r="716" spans="3:3" x14ac:dyDescent="0.35">
      <c r="C716" t="str">
        <f t="shared" si="34"/>
        <v/>
      </c>
    </row>
    <row r="717" spans="3:3" x14ac:dyDescent="0.35">
      <c r="C717" t="str">
        <f t="shared" si="34"/>
        <v/>
      </c>
    </row>
    <row r="718" spans="3:3" x14ac:dyDescent="0.35">
      <c r="C718" t="str">
        <f t="shared" si="34"/>
        <v/>
      </c>
    </row>
    <row r="719" spans="3:3" x14ac:dyDescent="0.35">
      <c r="C719" t="str">
        <f t="shared" si="34"/>
        <v/>
      </c>
    </row>
    <row r="720" spans="3:3" x14ac:dyDescent="0.35">
      <c r="C720" t="str">
        <f t="shared" si="34"/>
        <v/>
      </c>
    </row>
    <row r="721" spans="3:3" x14ac:dyDescent="0.35">
      <c r="C721" t="str">
        <f t="shared" si="34"/>
        <v/>
      </c>
    </row>
    <row r="722" spans="3:3" x14ac:dyDescent="0.35">
      <c r="C722" t="str">
        <f t="shared" si="34"/>
        <v/>
      </c>
    </row>
    <row r="723" spans="3:3" x14ac:dyDescent="0.35">
      <c r="C723" t="str">
        <f t="shared" si="34"/>
        <v/>
      </c>
    </row>
    <row r="724" spans="3:3" x14ac:dyDescent="0.35">
      <c r="C724" t="str">
        <f t="shared" si="34"/>
        <v/>
      </c>
    </row>
    <row r="725" spans="3:3" x14ac:dyDescent="0.35">
      <c r="C725" t="str">
        <f t="shared" si="34"/>
        <v/>
      </c>
    </row>
    <row r="726" spans="3:3" x14ac:dyDescent="0.35">
      <c r="C726" t="str">
        <f t="shared" si="34"/>
        <v/>
      </c>
    </row>
    <row r="727" spans="3:3" x14ac:dyDescent="0.35">
      <c r="C727" t="str">
        <f t="shared" si="34"/>
        <v/>
      </c>
    </row>
    <row r="728" spans="3:3" x14ac:dyDescent="0.35">
      <c r="C728" t="str">
        <f t="shared" si="34"/>
        <v/>
      </c>
    </row>
    <row r="729" spans="3:3" x14ac:dyDescent="0.35">
      <c r="C729" t="str">
        <f t="shared" si="34"/>
        <v/>
      </c>
    </row>
    <row r="730" spans="3:3" x14ac:dyDescent="0.35">
      <c r="C730" t="str">
        <f t="shared" si="34"/>
        <v/>
      </c>
    </row>
    <row r="731" spans="3:3" x14ac:dyDescent="0.35">
      <c r="C731" t="str">
        <f t="shared" si="34"/>
        <v/>
      </c>
    </row>
    <row r="732" spans="3:3" x14ac:dyDescent="0.35">
      <c r="C732" t="str">
        <f t="shared" si="34"/>
        <v/>
      </c>
    </row>
    <row r="733" spans="3:3" x14ac:dyDescent="0.35">
      <c r="C733" t="str">
        <f t="shared" si="34"/>
        <v/>
      </c>
    </row>
    <row r="734" spans="3:3" x14ac:dyDescent="0.35">
      <c r="C734" t="str">
        <f t="shared" si="34"/>
        <v/>
      </c>
    </row>
    <row r="735" spans="3:3" x14ac:dyDescent="0.35">
      <c r="C735" t="str">
        <f t="shared" si="34"/>
        <v/>
      </c>
    </row>
    <row r="736" spans="3:3" x14ac:dyDescent="0.35">
      <c r="C736" t="str">
        <f t="shared" si="34"/>
        <v/>
      </c>
    </row>
    <row r="737" spans="3:3" x14ac:dyDescent="0.35">
      <c r="C737" t="str">
        <f t="shared" si="34"/>
        <v/>
      </c>
    </row>
    <row r="738" spans="3:3" x14ac:dyDescent="0.35">
      <c r="C738" t="str">
        <f t="shared" si="34"/>
        <v/>
      </c>
    </row>
    <row r="739" spans="3:3" x14ac:dyDescent="0.35">
      <c r="C739" t="str">
        <f t="shared" si="34"/>
        <v/>
      </c>
    </row>
    <row r="740" spans="3:3" x14ac:dyDescent="0.35">
      <c r="C740" t="str">
        <f t="shared" si="34"/>
        <v/>
      </c>
    </row>
    <row r="741" spans="3:3" x14ac:dyDescent="0.35">
      <c r="C741" t="str">
        <f t="shared" si="34"/>
        <v/>
      </c>
    </row>
    <row r="742" spans="3:3" x14ac:dyDescent="0.35">
      <c r="C742" t="str">
        <f t="shared" si="34"/>
        <v/>
      </c>
    </row>
    <row r="743" spans="3:3" x14ac:dyDescent="0.35">
      <c r="C743" t="str">
        <f t="shared" si="34"/>
        <v/>
      </c>
    </row>
    <row r="744" spans="3:3" x14ac:dyDescent="0.35">
      <c r="C744" t="str">
        <f t="shared" si="34"/>
        <v/>
      </c>
    </row>
    <row r="745" spans="3:3" x14ac:dyDescent="0.35">
      <c r="C745" t="str">
        <f t="shared" si="34"/>
        <v/>
      </c>
    </row>
    <row r="746" spans="3:3" x14ac:dyDescent="0.35">
      <c r="C746" t="str">
        <f t="shared" si="34"/>
        <v/>
      </c>
    </row>
    <row r="747" spans="3:3" x14ac:dyDescent="0.35">
      <c r="C747" t="str">
        <f t="shared" si="34"/>
        <v/>
      </c>
    </row>
    <row r="748" spans="3:3" x14ac:dyDescent="0.35">
      <c r="C748" t="str">
        <f t="shared" si="34"/>
        <v/>
      </c>
    </row>
    <row r="749" spans="3:3" x14ac:dyDescent="0.35">
      <c r="C749" t="str">
        <f t="shared" si="34"/>
        <v/>
      </c>
    </row>
    <row r="750" spans="3:3" x14ac:dyDescent="0.35">
      <c r="C750" t="str">
        <f t="shared" si="34"/>
        <v/>
      </c>
    </row>
    <row r="751" spans="3:3" x14ac:dyDescent="0.35">
      <c r="C751" t="str">
        <f t="shared" si="34"/>
        <v/>
      </c>
    </row>
    <row r="752" spans="3:3" x14ac:dyDescent="0.35">
      <c r="C752" t="str">
        <f t="shared" si="34"/>
        <v/>
      </c>
    </row>
    <row r="753" spans="3:3" x14ac:dyDescent="0.35">
      <c r="C753" t="str">
        <f t="shared" si="34"/>
        <v/>
      </c>
    </row>
    <row r="754" spans="3:3" x14ac:dyDescent="0.35">
      <c r="C754" t="str">
        <f t="shared" si="34"/>
        <v/>
      </c>
    </row>
    <row r="755" spans="3:3" x14ac:dyDescent="0.35">
      <c r="C755" t="str">
        <f t="shared" si="34"/>
        <v/>
      </c>
    </row>
    <row r="756" spans="3:3" x14ac:dyDescent="0.35">
      <c r="C756" t="str">
        <f t="shared" si="34"/>
        <v/>
      </c>
    </row>
    <row r="757" spans="3:3" x14ac:dyDescent="0.35">
      <c r="C757" t="str">
        <f t="shared" si="34"/>
        <v/>
      </c>
    </row>
    <row r="758" spans="3:3" x14ac:dyDescent="0.35">
      <c r="C758" t="str">
        <f t="shared" si="34"/>
        <v/>
      </c>
    </row>
    <row r="759" spans="3:3" x14ac:dyDescent="0.35">
      <c r="C759" t="str">
        <f t="shared" si="34"/>
        <v/>
      </c>
    </row>
    <row r="760" spans="3:3" x14ac:dyDescent="0.35">
      <c r="C760" t="str">
        <f t="shared" si="34"/>
        <v/>
      </c>
    </row>
    <row r="761" spans="3:3" x14ac:dyDescent="0.35">
      <c r="C761" t="str">
        <f t="shared" si="34"/>
        <v/>
      </c>
    </row>
    <row r="762" spans="3:3" x14ac:dyDescent="0.35">
      <c r="C762" t="str">
        <f t="shared" si="34"/>
        <v/>
      </c>
    </row>
    <row r="763" spans="3:3" x14ac:dyDescent="0.35">
      <c r="C763" t="str">
        <f t="shared" si="34"/>
        <v/>
      </c>
    </row>
    <row r="764" spans="3:3" x14ac:dyDescent="0.35">
      <c r="C764" t="str">
        <f t="shared" si="34"/>
        <v/>
      </c>
    </row>
    <row r="765" spans="3:3" x14ac:dyDescent="0.35">
      <c r="C765" t="str">
        <f t="shared" si="34"/>
        <v/>
      </c>
    </row>
    <row r="766" spans="3:3" x14ac:dyDescent="0.35">
      <c r="C766" t="str">
        <f t="shared" si="34"/>
        <v/>
      </c>
    </row>
    <row r="767" spans="3:3" x14ac:dyDescent="0.35">
      <c r="C767" t="str">
        <f t="shared" si="34"/>
        <v/>
      </c>
    </row>
    <row r="768" spans="3:3" x14ac:dyDescent="0.35">
      <c r="C768" t="str">
        <f t="shared" si="34"/>
        <v/>
      </c>
    </row>
    <row r="769" spans="3:3" x14ac:dyDescent="0.35">
      <c r="C769" t="str">
        <f t="shared" si="34"/>
        <v/>
      </c>
    </row>
    <row r="770" spans="3:3" x14ac:dyDescent="0.35">
      <c r="C770" t="str">
        <f t="shared" si="34"/>
        <v/>
      </c>
    </row>
    <row r="771" spans="3:3" x14ac:dyDescent="0.35">
      <c r="C771" t="str">
        <f t="shared" si="34"/>
        <v/>
      </c>
    </row>
    <row r="772" spans="3:3" x14ac:dyDescent="0.35">
      <c r="C772" t="str">
        <f t="shared" si="34"/>
        <v/>
      </c>
    </row>
    <row r="773" spans="3:3" x14ac:dyDescent="0.35">
      <c r="C773" t="str">
        <f t="shared" ref="C773:C836" si="35">IF(ISBLANK(D773), "",
IF(D773 &lt; $G$9,
    $G$10 + $G$19 * ($G$23 * (D773 - $G$9))^2 + $G$21 * (1 - (D773 - $G$6)/($G$9 - $G$6)),
IF(D773 &gt; $G$13,
    $G$14 + $G$19 * ($G$23 * (D773 - $G$13))^2 - $G$22 * (1 - (D773 - $G$6)/($G$13 - $G$6)),
IF(D773 &lt; $G$6,
    $G$16 * (D773 - $G$6)^2 + $G$5,
    $G$17 * (D773 - $G$6)^2 + $G$5))))</f>
        <v/>
      </c>
    </row>
    <row r="774" spans="3:3" x14ac:dyDescent="0.35">
      <c r="C774" t="str">
        <f t="shared" si="35"/>
        <v/>
      </c>
    </row>
    <row r="775" spans="3:3" x14ac:dyDescent="0.35">
      <c r="C775" t="str">
        <f t="shared" si="35"/>
        <v/>
      </c>
    </row>
    <row r="776" spans="3:3" x14ac:dyDescent="0.35">
      <c r="C776" t="str">
        <f t="shared" si="35"/>
        <v/>
      </c>
    </row>
    <row r="777" spans="3:3" x14ac:dyDescent="0.35">
      <c r="C777" t="str">
        <f t="shared" si="35"/>
        <v/>
      </c>
    </row>
    <row r="778" spans="3:3" x14ac:dyDescent="0.35">
      <c r="C778" t="str">
        <f t="shared" si="35"/>
        <v/>
      </c>
    </row>
    <row r="779" spans="3:3" x14ac:dyDescent="0.35">
      <c r="C779" t="str">
        <f t="shared" si="35"/>
        <v/>
      </c>
    </row>
    <row r="780" spans="3:3" x14ac:dyDescent="0.35">
      <c r="C780" t="str">
        <f t="shared" si="35"/>
        <v/>
      </c>
    </row>
    <row r="781" spans="3:3" x14ac:dyDescent="0.35">
      <c r="C781" t="str">
        <f t="shared" si="35"/>
        <v/>
      </c>
    </row>
    <row r="782" spans="3:3" x14ac:dyDescent="0.35">
      <c r="C782" t="str">
        <f t="shared" si="35"/>
        <v/>
      </c>
    </row>
    <row r="783" spans="3:3" x14ac:dyDescent="0.35">
      <c r="C783" t="str">
        <f t="shared" si="35"/>
        <v/>
      </c>
    </row>
    <row r="784" spans="3:3" x14ac:dyDescent="0.35">
      <c r="C784" t="str">
        <f t="shared" si="35"/>
        <v/>
      </c>
    </row>
    <row r="785" spans="3:3" x14ac:dyDescent="0.35">
      <c r="C785" t="str">
        <f t="shared" si="35"/>
        <v/>
      </c>
    </row>
    <row r="786" spans="3:3" x14ac:dyDescent="0.35">
      <c r="C786" t="str">
        <f t="shared" si="35"/>
        <v/>
      </c>
    </row>
    <row r="787" spans="3:3" x14ac:dyDescent="0.35">
      <c r="C787" t="str">
        <f t="shared" si="35"/>
        <v/>
      </c>
    </row>
    <row r="788" spans="3:3" x14ac:dyDescent="0.35">
      <c r="C788" t="str">
        <f t="shared" si="35"/>
        <v/>
      </c>
    </row>
    <row r="789" spans="3:3" x14ac:dyDescent="0.35">
      <c r="C789" t="str">
        <f t="shared" si="35"/>
        <v/>
      </c>
    </row>
    <row r="790" spans="3:3" x14ac:dyDescent="0.35">
      <c r="C790" t="str">
        <f t="shared" si="35"/>
        <v/>
      </c>
    </row>
    <row r="791" spans="3:3" x14ac:dyDescent="0.35">
      <c r="C791" t="str">
        <f t="shared" si="35"/>
        <v/>
      </c>
    </row>
    <row r="792" spans="3:3" x14ac:dyDescent="0.35">
      <c r="C792" t="str">
        <f t="shared" si="35"/>
        <v/>
      </c>
    </row>
    <row r="793" spans="3:3" x14ac:dyDescent="0.35">
      <c r="C793" t="str">
        <f t="shared" si="35"/>
        <v/>
      </c>
    </row>
    <row r="794" spans="3:3" x14ac:dyDescent="0.35">
      <c r="C794" t="str">
        <f t="shared" si="35"/>
        <v/>
      </c>
    </row>
    <row r="795" spans="3:3" x14ac:dyDescent="0.35">
      <c r="C795" t="str">
        <f t="shared" si="35"/>
        <v/>
      </c>
    </row>
    <row r="796" spans="3:3" x14ac:dyDescent="0.35">
      <c r="C796" t="str">
        <f t="shared" si="35"/>
        <v/>
      </c>
    </row>
    <row r="797" spans="3:3" x14ac:dyDescent="0.35">
      <c r="C797" t="str">
        <f t="shared" si="35"/>
        <v/>
      </c>
    </row>
    <row r="798" spans="3:3" x14ac:dyDescent="0.35">
      <c r="C798" t="str">
        <f t="shared" si="35"/>
        <v/>
      </c>
    </row>
    <row r="799" spans="3:3" x14ac:dyDescent="0.35">
      <c r="C799" t="str">
        <f t="shared" si="35"/>
        <v/>
      </c>
    </row>
    <row r="800" spans="3:3" x14ac:dyDescent="0.35">
      <c r="C800" t="str">
        <f t="shared" si="35"/>
        <v/>
      </c>
    </row>
    <row r="801" spans="3:3" x14ac:dyDescent="0.35">
      <c r="C801" t="str">
        <f t="shared" si="35"/>
        <v/>
      </c>
    </row>
    <row r="802" spans="3:3" x14ac:dyDescent="0.35">
      <c r="C802" t="str">
        <f t="shared" si="35"/>
        <v/>
      </c>
    </row>
    <row r="803" spans="3:3" x14ac:dyDescent="0.35">
      <c r="C803" t="str">
        <f t="shared" si="35"/>
        <v/>
      </c>
    </row>
    <row r="804" spans="3:3" x14ac:dyDescent="0.35">
      <c r="C804" t="str">
        <f t="shared" si="35"/>
        <v/>
      </c>
    </row>
    <row r="805" spans="3:3" x14ac:dyDescent="0.35">
      <c r="C805" t="str">
        <f t="shared" si="35"/>
        <v/>
      </c>
    </row>
    <row r="806" spans="3:3" x14ac:dyDescent="0.35">
      <c r="C806" t="str">
        <f t="shared" si="35"/>
        <v/>
      </c>
    </row>
    <row r="807" spans="3:3" x14ac:dyDescent="0.35">
      <c r="C807" t="str">
        <f t="shared" si="35"/>
        <v/>
      </c>
    </row>
    <row r="808" spans="3:3" x14ac:dyDescent="0.35">
      <c r="C808" t="str">
        <f t="shared" si="35"/>
        <v/>
      </c>
    </row>
    <row r="809" spans="3:3" x14ac:dyDescent="0.35">
      <c r="C809" t="str">
        <f t="shared" si="35"/>
        <v/>
      </c>
    </row>
    <row r="810" spans="3:3" x14ac:dyDescent="0.35">
      <c r="C810" t="str">
        <f t="shared" si="35"/>
        <v/>
      </c>
    </row>
    <row r="811" spans="3:3" x14ac:dyDescent="0.35">
      <c r="C811" t="str">
        <f t="shared" si="35"/>
        <v/>
      </c>
    </row>
    <row r="812" spans="3:3" x14ac:dyDescent="0.35">
      <c r="C812" t="str">
        <f t="shared" si="35"/>
        <v/>
      </c>
    </row>
    <row r="813" spans="3:3" x14ac:dyDescent="0.35">
      <c r="C813" t="str">
        <f t="shared" si="35"/>
        <v/>
      </c>
    </row>
    <row r="814" spans="3:3" x14ac:dyDescent="0.35">
      <c r="C814" t="str">
        <f t="shared" si="35"/>
        <v/>
      </c>
    </row>
    <row r="815" spans="3:3" x14ac:dyDescent="0.35">
      <c r="C815" t="str">
        <f t="shared" si="35"/>
        <v/>
      </c>
    </row>
    <row r="816" spans="3:3" x14ac:dyDescent="0.35">
      <c r="C816" t="str">
        <f t="shared" si="35"/>
        <v/>
      </c>
    </row>
    <row r="817" spans="3:3" x14ac:dyDescent="0.35">
      <c r="C817" t="str">
        <f t="shared" si="35"/>
        <v/>
      </c>
    </row>
    <row r="818" spans="3:3" x14ac:dyDescent="0.35">
      <c r="C818" t="str">
        <f t="shared" si="35"/>
        <v/>
      </c>
    </row>
    <row r="819" spans="3:3" x14ac:dyDescent="0.35">
      <c r="C819" t="str">
        <f t="shared" si="35"/>
        <v/>
      </c>
    </row>
    <row r="820" spans="3:3" x14ac:dyDescent="0.35">
      <c r="C820" t="str">
        <f t="shared" si="35"/>
        <v/>
      </c>
    </row>
    <row r="821" spans="3:3" x14ac:dyDescent="0.35">
      <c r="C821" t="str">
        <f t="shared" si="35"/>
        <v/>
      </c>
    </row>
    <row r="822" spans="3:3" x14ac:dyDescent="0.35">
      <c r="C822" t="str">
        <f t="shared" si="35"/>
        <v/>
      </c>
    </row>
    <row r="823" spans="3:3" x14ac:dyDescent="0.35">
      <c r="C823" t="str">
        <f t="shared" si="35"/>
        <v/>
      </c>
    </row>
    <row r="824" spans="3:3" x14ac:dyDescent="0.35">
      <c r="C824" t="str">
        <f t="shared" si="35"/>
        <v/>
      </c>
    </row>
    <row r="825" spans="3:3" x14ac:dyDescent="0.35">
      <c r="C825" t="str">
        <f t="shared" si="35"/>
        <v/>
      </c>
    </row>
    <row r="826" spans="3:3" x14ac:dyDescent="0.35">
      <c r="C826" t="str">
        <f t="shared" si="35"/>
        <v/>
      </c>
    </row>
    <row r="827" spans="3:3" x14ac:dyDescent="0.35">
      <c r="C827" t="str">
        <f t="shared" si="35"/>
        <v/>
      </c>
    </row>
    <row r="828" spans="3:3" x14ac:dyDescent="0.35">
      <c r="C828" t="str">
        <f t="shared" si="35"/>
        <v/>
      </c>
    </row>
    <row r="829" spans="3:3" x14ac:dyDescent="0.35">
      <c r="C829" t="str">
        <f t="shared" si="35"/>
        <v/>
      </c>
    </row>
    <row r="830" spans="3:3" x14ac:dyDescent="0.35">
      <c r="C830" t="str">
        <f t="shared" si="35"/>
        <v/>
      </c>
    </row>
    <row r="831" spans="3:3" x14ac:dyDescent="0.35">
      <c r="C831" t="str">
        <f t="shared" si="35"/>
        <v/>
      </c>
    </row>
    <row r="832" spans="3:3" x14ac:dyDescent="0.35">
      <c r="C832" t="str">
        <f t="shared" si="35"/>
        <v/>
      </c>
    </row>
    <row r="833" spans="3:3" x14ac:dyDescent="0.35">
      <c r="C833" t="str">
        <f t="shared" si="35"/>
        <v/>
      </c>
    </row>
    <row r="834" spans="3:3" x14ac:dyDescent="0.35">
      <c r="C834" t="str">
        <f t="shared" si="35"/>
        <v/>
      </c>
    </row>
    <row r="835" spans="3:3" x14ac:dyDescent="0.35">
      <c r="C835" t="str">
        <f t="shared" si="35"/>
        <v/>
      </c>
    </row>
    <row r="836" spans="3:3" x14ac:dyDescent="0.35">
      <c r="C836" t="str">
        <f t="shared" si="35"/>
        <v/>
      </c>
    </row>
    <row r="837" spans="3:3" x14ac:dyDescent="0.35">
      <c r="C837" t="str">
        <f t="shared" ref="C837:C900" si="36">IF(ISBLANK(D837), "",
IF(D837 &lt; $G$9,
    $G$10 + $G$19 * ($G$23 * (D837 - $G$9))^2 + $G$21 * (1 - (D837 - $G$6)/($G$9 - $G$6)),
IF(D837 &gt; $G$13,
    $G$14 + $G$19 * ($G$23 * (D837 - $G$13))^2 - $G$22 * (1 - (D837 - $G$6)/($G$13 - $G$6)),
IF(D837 &lt; $G$6,
    $G$16 * (D837 - $G$6)^2 + $G$5,
    $G$17 * (D837 - $G$6)^2 + $G$5))))</f>
        <v/>
      </c>
    </row>
    <row r="838" spans="3:3" x14ac:dyDescent="0.35">
      <c r="C838" t="str">
        <f t="shared" si="36"/>
        <v/>
      </c>
    </row>
    <row r="839" spans="3:3" x14ac:dyDescent="0.35">
      <c r="C839" t="str">
        <f t="shared" si="36"/>
        <v/>
      </c>
    </row>
    <row r="840" spans="3:3" x14ac:dyDescent="0.35">
      <c r="C840" t="str">
        <f t="shared" si="36"/>
        <v/>
      </c>
    </row>
    <row r="841" spans="3:3" x14ac:dyDescent="0.35">
      <c r="C841" t="str">
        <f t="shared" si="36"/>
        <v/>
      </c>
    </row>
    <row r="842" spans="3:3" x14ac:dyDescent="0.35">
      <c r="C842" t="str">
        <f t="shared" si="36"/>
        <v/>
      </c>
    </row>
    <row r="843" spans="3:3" x14ac:dyDescent="0.35">
      <c r="C843" t="str">
        <f t="shared" si="36"/>
        <v/>
      </c>
    </row>
    <row r="844" spans="3:3" x14ac:dyDescent="0.35">
      <c r="C844" t="str">
        <f t="shared" si="36"/>
        <v/>
      </c>
    </row>
    <row r="845" spans="3:3" x14ac:dyDescent="0.35">
      <c r="C845" t="str">
        <f t="shared" si="36"/>
        <v/>
      </c>
    </row>
    <row r="846" spans="3:3" x14ac:dyDescent="0.35">
      <c r="C846" t="str">
        <f t="shared" si="36"/>
        <v/>
      </c>
    </row>
    <row r="847" spans="3:3" x14ac:dyDescent="0.35">
      <c r="C847" t="str">
        <f t="shared" si="36"/>
        <v/>
      </c>
    </row>
    <row r="848" spans="3:3" x14ac:dyDescent="0.35">
      <c r="C848" t="str">
        <f t="shared" si="36"/>
        <v/>
      </c>
    </row>
    <row r="849" spans="3:3" x14ac:dyDescent="0.35">
      <c r="C849" t="str">
        <f t="shared" si="36"/>
        <v/>
      </c>
    </row>
    <row r="850" spans="3:3" x14ac:dyDescent="0.35">
      <c r="C850" t="str">
        <f t="shared" si="36"/>
        <v/>
      </c>
    </row>
    <row r="851" spans="3:3" x14ac:dyDescent="0.35">
      <c r="C851" t="str">
        <f t="shared" si="36"/>
        <v/>
      </c>
    </row>
    <row r="852" spans="3:3" x14ac:dyDescent="0.35">
      <c r="C852" t="str">
        <f t="shared" si="36"/>
        <v/>
      </c>
    </row>
    <row r="853" spans="3:3" x14ac:dyDescent="0.35">
      <c r="C853" t="str">
        <f t="shared" si="36"/>
        <v/>
      </c>
    </row>
    <row r="854" spans="3:3" x14ac:dyDescent="0.35">
      <c r="C854" t="str">
        <f t="shared" si="36"/>
        <v/>
      </c>
    </row>
    <row r="855" spans="3:3" x14ac:dyDescent="0.35">
      <c r="C855" t="str">
        <f t="shared" si="36"/>
        <v/>
      </c>
    </row>
    <row r="856" spans="3:3" x14ac:dyDescent="0.35">
      <c r="C856" t="str">
        <f t="shared" si="36"/>
        <v/>
      </c>
    </row>
    <row r="857" spans="3:3" x14ac:dyDescent="0.35">
      <c r="C857" t="str">
        <f t="shared" si="36"/>
        <v/>
      </c>
    </row>
    <row r="858" spans="3:3" x14ac:dyDescent="0.35">
      <c r="C858" t="str">
        <f t="shared" si="36"/>
        <v/>
      </c>
    </row>
    <row r="859" spans="3:3" x14ac:dyDescent="0.35">
      <c r="C859" t="str">
        <f t="shared" si="36"/>
        <v/>
      </c>
    </row>
    <row r="860" spans="3:3" x14ac:dyDescent="0.35">
      <c r="C860" t="str">
        <f t="shared" si="36"/>
        <v/>
      </c>
    </row>
    <row r="861" spans="3:3" x14ac:dyDescent="0.35">
      <c r="C861" t="str">
        <f t="shared" si="36"/>
        <v/>
      </c>
    </row>
    <row r="862" spans="3:3" x14ac:dyDescent="0.35">
      <c r="C862" t="str">
        <f t="shared" si="36"/>
        <v/>
      </c>
    </row>
    <row r="863" spans="3:3" x14ac:dyDescent="0.35">
      <c r="C863" t="str">
        <f t="shared" si="36"/>
        <v/>
      </c>
    </row>
    <row r="864" spans="3:3" x14ac:dyDescent="0.35">
      <c r="C864" t="str">
        <f t="shared" si="36"/>
        <v/>
      </c>
    </row>
    <row r="865" spans="3:3" x14ac:dyDescent="0.35">
      <c r="C865" t="str">
        <f t="shared" si="36"/>
        <v/>
      </c>
    </row>
    <row r="866" spans="3:3" x14ac:dyDescent="0.35">
      <c r="C866" t="str">
        <f t="shared" si="36"/>
        <v/>
      </c>
    </row>
    <row r="867" spans="3:3" x14ac:dyDescent="0.35">
      <c r="C867" t="str">
        <f t="shared" si="36"/>
        <v/>
      </c>
    </row>
    <row r="868" spans="3:3" x14ac:dyDescent="0.35">
      <c r="C868" t="str">
        <f t="shared" si="36"/>
        <v/>
      </c>
    </row>
    <row r="869" spans="3:3" x14ac:dyDescent="0.35">
      <c r="C869" t="str">
        <f t="shared" si="36"/>
        <v/>
      </c>
    </row>
    <row r="870" spans="3:3" x14ac:dyDescent="0.35">
      <c r="C870" t="str">
        <f t="shared" si="36"/>
        <v/>
      </c>
    </row>
    <row r="871" spans="3:3" x14ac:dyDescent="0.35">
      <c r="C871" t="str">
        <f t="shared" si="36"/>
        <v/>
      </c>
    </row>
    <row r="872" spans="3:3" x14ac:dyDescent="0.35">
      <c r="C872" t="str">
        <f t="shared" si="36"/>
        <v/>
      </c>
    </row>
    <row r="873" spans="3:3" x14ac:dyDescent="0.35">
      <c r="C873" t="str">
        <f t="shared" si="36"/>
        <v/>
      </c>
    </row>
    <row r="874" spans="3:3" x14ac:dyDescent="0.35">
      <c r="C874" t="str">
        <f t="shared" si="36"/>
        <v/>
      </c>
    </row>
    <row r="875" spans="3:3" x14ac:dyDescent="0.35">
      <c r="C875" t="str">
        <f t="shared" si="36"/>
        <v/>
      </c>
    </row>
    <row r="876" spans="3:3" x14ac:dyDescent="0.35">
      <c r="C876" t="str">
        <f t="shared" si="36"/>
        <v/>
      </c>
    </row>
    <row r="877" spans="3:3" x14ac:dyDescent="0.35">
      <c r="C877" t="str">
        <f t="shared" si="36"/>
        <v/>
      </c>
    </row>
    <row r="878" spans="3:3" x14ac:dyDescent="0.35">
      <c r="C878" t="str">
        <f t="shared" si="36"/>
        <v/>
      </c>
    </row>
    <row r="879" spans="3:3" x14ac:dyDescent="0.35">
      <c r="C879" t="str">
        <f t="shared" si="36"/>
        <v/>
      </c>
    </row>
    <row r="880" spans="3:3" x14ac:dyDescent="0.35">
      <c r="C880" t="str">
        <f t="shared" si="36"/>
        <v/>
      </c>
    </row>
    <row r="881" spans="3:3" x14ac:dyDescent="0.35">
      <c r="C881" t="str">
        <f t="shared" si="36"/>
        <v/>
      </c>
    </row>
    <row r="882" spans="3:3" x14ac:dyDescent="0.35">
      <c r="C882" t="str">
        <f t="shared" si="36"/>
        <v/>
      </c>
    </row>
    <row r="883" spans="3:3" x14ac:dyDescent="0.35">
      <c r="C883" t="str">
        <f t="shared" si="36"/>
        <v/>
      </c>
    </row>
    <row r="884" spans="3:3" x14ac:dyDescent="0.35">
      <c r="C884" t="str">
        <f t="shared" si="36"/>
        <v/>
      </c>
    </row>
    <row r="885" spans="3:3" x14ac:dyDescent="0.35">
      <c r="C885" t="str">
        <f t="shared" si="36"/>
        <v/>
      </c>
    </row>
    <row r="886" spans="3:3" x14ac:dyDescent="0.35">
      <c r="C886" t="str">
        <f t="shared" si="36"/>
        <v/>
      </c>
    </row>
    <row r="887" spans="3:3" x14ac:dyDescent="0.35">
      <c r="C887" t="str">
        <f t="shared" si="36"/>
        <v/>
      </c>
    </row>
    <row r="888" spans="3:3" x14ac:dyDescent="0.35">
      <c r="C888" t="str">
        <f t="shared" si="36"/>
        <v/>
      </c>
    </row>
    <row r="889" spans="3:3" x14ac:dyDescent="0.35">
      <c r="C889" t="str">
        <f t="shared" si="36"/>
        <v/>
      </c>
    </row>
    <row r="890" spans="3:3" x14ac:dyDescent="0.35">
      <c r="C890" t="str">
        <f t="shared" si="36"/>
        <v/>
      </c>
    </row>
    <row r="891" spans="3:3" x14ac:dyDescent="0.35">
      <c r="C891" t="str">
        <f t="shared" si="36"/>
        <v/>
      </c>
    </row>
    <row r="892" spans="3:3" x14ac:dyDescent="0.35">
      <c r="C892" t="str">
        <f t="shared" si="36"/>
        <v/>
      </c>
    </row>
    <row r="893" spans="3:3" x14ac:dyDescent="0.35">
      <c r="C893" t="str">
        <f t="shared" si="36"/>
        <v/>
      </c>
    </row>
    <row r="894" spans="3:3" x14ac:dyDescent="0.35">
      <c r="C894" t="str">
        <f t="shared" si="36"/>
        <v/>
      </c>
    </row>
    <row r="895" spans="3:3" x14ac:dyDescent="0.35">
      <c r="C895" t="str">
        <f t="shared" si="36"/>
        <v/>
      </c>
    </row>
    <row r="896" spans="3:3" x14ac:dyDescent="0.35">
      <c r="C896" t="str">
        <f t="shared" si="36"/>
        <v/>
      </c>
    </row>
    <row r="897" spans="3:3" x14ac:dyDescent="0.35">
      <c r="C897" t="str">
        <f t="shared" si="36"/>
        <v/>
      </c>
    </row>
    <row r="898" spans="3:3" x14ac:dyDescent="0.35">
      <c r="C898" t="str">
        <f t="shared" si="36"/>
        <v/>
      </c>
    </row>
    <row r="899" spans="3:3" x14ac:dyDescent="0.35">
      <c r="C899" t="str">
        <f t="shared" si="36"/>
        <v/>
      </c>
    </row>
    <row r="900" spans="3:3" x14ac:dyDescent="0.35">
      <c r="C900" t="str">
        <f t="shared" si="36"/>
        <v/>
      </c>
    </row>
    <row r="901" spans="3:3" x14ac:dyDescent="0.35">
      <c r="C901" t="str">
        <f t="shared" ref="C901:C964" si="37">IF(ISBLANK(D901), "",
IF(D901 &lt; $G$9,
    $G$10 + $G$19 * ($G$23 * (D901 - $G$9))^2 + $G$21 * (1 - (D901 - $G$6)/($G$9 - $G$6)),
IF(D901 &gt; $G$13,
    $G$14 + $G$19 * ($G$23 * (D901 - $G$13))^2 - $G$22 * (1 - (D901 - $G$6)/($G$13 - $G$6)),
IF(D901 &lt; $G$6,
    $G$16 * (D901 - $G$6)^2 + $G$5,
    $G$17 * (D901 - $G$6)^2 + $G$5))))</f>
        <v/>
      </c>
    </row>
    <row r="902" spans="3:3" x14ac:dyDescent="0.35">
      <c r="C902" t="str">
        <f t="shared" si="37"/>
        <v/>
      </c>
    </row>
    <row r="903" spans="3:3" x14ac:dyDescent="0.35">
      <c r="C903" t="str">
        <f t="shared" si="37"/>
        <v/>
      </c>
    </row>
    <row r="904" spans="3:3" x14ac:dyDescent="0.35">
      <c r="C904" t="str">
        <f t="shared" si="37"/>
        <v/>
      </c>
    </row>
    <row r="905" spans="3:3" x14ac:dyDescent="0.35">
      <c r="C905" t="str">
        <f t="shared" si="37"/>
        <v/>
      </c>
    </row>
    <row r="906" spans="3:3" x14ac:dyDescent="0.35">
      <c r="C906" t="str">
        <f t="shared" si="37"/>
        <v/>
      </c>
    </row>
    <row r="907" spans="3:3" x14ac:dyDescent="0.35">
      <c r="C907" t="str">
        <f t="shared" si="37"/>
        <v/>
      </c>
    </row>
    <row r="908" spans="3:3" x14ac:dyDescent="0.35">
      <c r="C908" t="str">
        <f t="shared" si="37"/>
        <v/>
      </c>
    </row>
    <row r="909" spans="3:3" x14ac:dyDescent="0.35">
      <c r="C909" t="str">
        <f t="shared" si="37"/>
        <v/>
      </c>
    </row>
    <row r="910" spans="3:3" x14ac:dyDescent="0.35">
      <c r="C910" t="str">
        <f t="shared" si="37"/>
        <v/>
      </c>
    </row>
    <row r="911" spans="3:3" x14ac:dyDescent="0.35">
      <c r="C911" t="str">
        <f t="shared" si="37"/>
        <v/>
      </c>
    </row>
    <row r="912" spans="3:3" x14ac:dyDescent="0.35">
      <c r="C912" t="str">
        <f t="shared" si="37"/>
        <v/>
      </c>
    </row>
    <row r="913" spans="3:3" x14ac:dyDescent="0.35">
      <c r="C913" t="str">
        <f t="shared" si="37"/>
        <v/>
      </c>
    </row>
    <row r="914" spans="3:3" x14ac:dyDescent="0.35">
      <c r="C914" t="str">
        <f t="shared" si="37"/>
        <v/>
      </c>
    </row>
    <row r="915" spans="3:3" x14ac:dyDescent="0.35">
      <c r="C915" t="str">
        <f t="shared" si="37"/>
        <v/>
      </c>
    </row>
    <row r="916" spans="3:3" x14ac:dyDescent="0.35">
      <c r="C916" t="str">
        <f t="shared" si="37"/>
        <v/>
      </c>
    </row>
    <row r="917" spans="3:3" x14ac:dyDescent="0.35">
      <c r="C917" t="str">
        <f t="shared" si="37"/>
        <v/>
      </c>
    </row>
    <row r="918" spans="3:3" x14ac:dyDescent="0.35">
      <c r="C918" t="str">
        <f t="shared" si="37"/>
        <v/>
      </c>
    </row>
    <row r="919" spans="3:3" x14ac:dyDescent="0.35">
      <c r="C919" t="str">
        <f t="shared" si="37"/>
        <v/>
      </c>
    </row>
    <row r="920" spans="3:3" x14ac:dyDescent="0.35">
      <c r="C920" t="str">
        <f t="shared" si="37"/>
        <v/>
      </c>
    </row>
    <row r="921" spans="3:3" x14ac:dyDescent="0.35">
      <c r="C921" t="str">
        <f t="shared" si="37"/>
        <v/>
      </c>
    </row>
    <row r="922" spans="3:3" x14ac:dyDescent="0.35">
      <c r="C922" t="str">
        <f t="shared" si="37"/>
        <v/>
      </c>
    </row>
    <row r="923" spans="3:3" x14ac:dyDescent="0.35">
      <c r="C923" t="str">
        <f t="shared" si="37"/>
        <v/>
      </c>
    </row>
    <row r="924" spans="3:3" x14ac:dyDescent="0.35">
      <c r="C924" t="str">
        <f t="shared" si="37"/>
        <v/>
      </c>
    </row>
    <row r="925" spans="3:3" x14ac:dyDescent="0.35">
      <c r="C925" t="str">
        <f t="shared" si="37"/>
        <v/>
      </c>
    </row>
    <row r="926" spans="3:3" x14ac:dyDescent="0.35">
      <c r="C926" t="str">
        <f t="shared" si="37"/>
        <v/>
      </c>
    </row>
    <row r="927" spans="3:3" x14ac:dyDescent="0.35">
      <c r="C927" t="str">
        <f t="shared" si="37"/>
        <v/>
      </c>
    </row>
    <row r="928" spans="3:3" x14ac:dyDescent="0.35">
      <c r="C928" t="str">
        <f t="shared" si="37"/>
        <v/>
      </c>
    </row>
    <row r="929" spans="3:3" x14ac:dyDescent="0.35">
      <c r="C929" t="str">
        <f t="shared" si="37"/>
        <v/>
      </c>
    </row>
    <row r="930" spans="3:3" x14ac:dyDescent="0.35">
      <c r="C930" t="str">
        <f t="shared" si="37"/>
        <v/>
      </c>
    </row>
    <row r="931" spans="3:3" x14ac:dyDescent="0.35">
      <c r="C931" t="str">
        <f t="shared" si="37"/>
        <v/>
      </c>
    </row>
    <row r="932" spans="3:3" x14ac:dyDescent="0.35">
      <c r="C932" t="str">
        <f t="shared" si="37"/>
        <v/>
      </c>
    </row>
    <row r="933" spans="3:3" x14ac:dyDescent="0.35">
      <c r="C933" t="str">
        <f t="shared" si="37"/>
        <v/>
      </c>
    </row>
    <row r="934" spans="3:3" x14ac:dyDescent="0.35">
      <c r="C934" t="str">
        <f t="shared" si="37"/>
        <v/>
      </c>
    </row>
    <row r="935" spans="3:3" x14ac:dyDescent="0.35">
      <c r="C935" t="str">
        <f t="shared" si="37"/>
        <v/>
      </c>
    </row>
    <row r="936" spans="3:3" x14ac:dyDescent="0.35">
      <c r="C936" t="str">
        <f t="shared" si="37"/>
        <v/>
      </c>
    </row>
    <row r="937" spans="3:3" x14ac:dyDescent="0.35">
      <c r="C937" t="str">
        <f t="shared" si="37"/>
        <v/>
      </c>
    </row>
    <row r="938" spans="3:3" x14ac:dyDescent="0.35">
      <c r="C938" t="str">
        <f t="shared" si="37"/>
        <v/>
      </c>
    </row>
    <row r="939" spans="3:3" x14ac:dyDescent="0.35">
      <c r="C939" t="str">
        <f t="shared" si="37"/>
        <v/>
      </c>
    </row>
    <row r="940" spans="3:3" x14ac:dyDescent="0.35">
      <c r="C940" t="str">
        <f t="shared" si="37"/>
        <v/>
      </c>
    </row>
    <row r="941" spans="3:3" x14ac:dyDescent="0.35">
      <c r="C941" t="str">
        <f t="shared" si="37"/>
        <v/>
      </c>
    </row>
    <row r="942" spans="3:3" x14ac:dyDescent="0.35">
      <c r="C942" t="str">
        <f t="shared" si="37"/>
        <v/>
      </c>
    </row>
    <row r="943" spans="3:3" x14ac:dyDescent="0.35">
      <c r="C943" t="str">
        <f t="shared" si="37"/>
        <v/>
      </c>
    </row>
    <row r="944" spans="3:3" x14ac:dyDescent="0.35">
      <c r="C944" t="str">
        <f t="shared" si="37"/>
        <v/>
      </c>
    </row>
    <row r="945" spans="3:3" x14ac:dyDescent="0.35">
      <c r="C945" t="str">
        <f t="shared" si="37"/>
        <v/>
      </c>
    </row>
    <row r="946" spans="3:3" x14ac:dyDescent="0.35">
      <c r="C946" t="str">
        <f t="shared" si="37"/>
        <v/>
      </c>
    </row>
    <row r="947" spans="3:3" x14ac:dyDescent="0.35">
      <c r="C947" t="str">
        <f t="shared" si="37"/>
        <v/>
      </c>
    </row>
    <row r="948" spans="3:3" x14ac:dyDescent="0.35">
      <c r="C948" t="str">
        <f t="shared" si="37"/>
        <v/>
      </c>
    </row>
    <row r="949" spans="3:3" x14ac:dyDescent="0.35">
      <c r="C949" t="str">
        <f t="shared" si="37"/>
        <v/>
      </c>
    </row>
    <row r="950" spans="3:3" x14ac:dyDescent="0.35">
      <c r="C950" t="str">
        <f t="shared" si="37"/>
        <v/>
      </c>
    </row>
    <row r="951" spans="3:3" x14ac:dyDescent="0.35">
      <c r="C951" t="str">
        <f t="shared" si="37"/>
        <v/>
      </c>
    </row>
    <row r="952" spans="3:3" x14ac:dyDescent="0.35">
      <c r="C952" t="str">
        <f t="shared" si="37"/>
        <v/>
      </c>
    </row>
    <row r="953" spans="3:3" x14ac:dyDescent="0.35">
      <c r="C953" t="str">
        <f t="shared" si="37"/>
        <v/>
      </c>
    </row>
    <row r="954" spans="3:3" x14ac:dyDescent="0.35">
      <c r="C954" t="str">
        <f t="shared" si="37"/>
        <v/>
      </c>
    </row>
    <row r="955" spans="3:3" x14ac:dyDescent="0.35">
      <c r="C955" t="str">
        <f t="shared" si="37"/>
        <v/>
      </c>
    </row>
    <row r="956" spans="3:3" x14ac:dyDescent="0.35">
      <c r="C956" t="str">
        <f t="shared" si="37"/>
        <v/>
      </c>
    </row>
    <row r="957" spans="3:3" x14ac:dyDescent="0.35">
      <c r="C957" t="str">
        <f t="shared" si="37"/>
        <v/>
      </c>
    </row>
    <row r="958" spans="3:3" x14ac:dyDescent="0.35">
      <c r="C958" t="str">
        <f t="shared" si="37"/>
        <v/>
      </c>
    </row>
    <row r="959" spans="3:3" x14ac:dyDescent="0.35">
      <c r="C959" t="str">
        <f t="shared" si="37"/>
        <v/>
      </c>
    </row>
    <row r="960" spans="3:3" x14ac:dyDescent="0.35">
      <c r="C960" t="str">
        <f t="shared" si="37"/>
        <v/>
      </c>
    </row>
    <row r="961" spans="3:3" x14ac:dyDescent="0.35">
      <c r="C961" t="str">
        <f t="shared" si="37"/>
        <v/>
      </c>
    </row>
    <row r="962" spans="3:3" x14ac:dyDescent="0.35">
      <c r="C962" t="str">
        <f t="shared" si="37"/>
        <v/>
      </c>
    </row>
    <row r="963" spans="3:3" x14ac:dyDescent="0.35">
      <c r="C963" t="str">
        <f t="shared" si="37"/>
        <v/>
      </c>
    </row>
    <row r="964" spans="3:3" x14ac:dyDescent="0.35">
      <c r="C964" t="str">
        <f t="shared" si="37"/>
        <v/>
      </c>
    </row>
    <row r="965" spans="3:3" x14ac:dyDescent="0.35">
      <c r="C965" t="str">
        <f t="shared" ref="C965:C1000" si="38">IF(ISBLANK(D965), "",
IF(D965 &lt; $G$9,
    $G$10 + $G$19 * ($G$23 * (D965 - $G$9))^2 + $G$21 * (1 - (D965 - $G$6)/($G$9 - $G$6)),
IF(D965 &gt; $G$13,
    $G$14 + $G$19 * ($G$23 * (D965 - $G$13))^2 - $G$22 * (1 - (D965 - $G$6)/($G$13 - $G$6)),
IF(D965 &lt; $G$6,
    $G$16 * (D965 - $G$6)^2 + $G$5,
    $G$17 * (D965 - $G$6)^2 + $G$5))))</f>
        <v/>
      </c>
    </row>
    <row r="966" spans="3:3" x14ac:dyDescent="0.35">
      <c r="C966" t="str">
        <f t="shared" si="38"/>
        <v/>
      </c>
    </row>
    <row r="967" spans="3:3" x14ac:dyDescent="0.35">
      <c r="C967" t="str">
        <f t="shared" si="38"/>
        <v/>
      </c>
    </row>
    <row r="968" spans="3:3" x14ac:dyDescent="0.35">
      <c r="C968" t="str">
        <f t="shared" si="38"/>
        <v/>
      </c>
    </row>
    <row r="969" spans="3:3" x14ac:dyDescent="0.35">
      <c r="C969" t="str">
        <f t="shared" si="38"/>
        <v/>
      </c>
    </row>
    <row r="970" spans="3:3" x14ac:dyDescent="0.35">
      <c r="C970" t="str">
        <f t="shared" si="38"/>
        <v/>
      </c>
    </row>
    <row r="971" spans="3:3" x14ac:dyDescent="0.35">
      <c r="C971" t="str">
        <f t="shared" si="38"/>
        <v/>
      </c>
    </row>
    <row r="972" spans="3:3" x14ac:dyDescent="0.35">
      <c r="C972" t="str">
        <f t="shared" si="38"/>
        <v/>
      </c>
    </row>
    <row r="973" spans="3:3" x14ac:dyDescent="0.35">
      <c r="C973" t="str">
        <f t="shared" si="38"/>
        <v/>
      </c>
    </row>
    <row r="974" spans="3:3" x14ac:dyDescent="0.35">
      <c r="C974" t="str">
        <f t="shared" si="38"/>
        <v/>
      </c>
    </row>
    <row r="975" spans="3:3" x14ac:dyDescent="0.35">
      <c r="C975" t="str">
        <f t="shared" si="38"/>
        <v/>
      </c>
    </row>
    <row r="976" spans="3:3" x14ac:dyDescent="0.35">
      <c r="C976" t="str">
        <f t="shared" si="38"/>
        <v/>
      </c>
    </row>
    <row r="977" spans="3:3" x14ac:dyDescent="0.35">
      <c r="C977" t="str">
        <f t="shared" si="38"/>
        <v/>
      </c>
    </row>
    <row r="978" spans="3:3" x14ac:dyDescent="0.35">
      <c r="C978" t="str">
        <f t="shared" si="38"/>
        <v/>
      </c>
    </row>
    <row r="979" spans="3:3" x14ac:dyDescent="0.35">
      <c r="C979" t="str">
        <f t="shared" si="38"/>
        <v/>
      </c>
    </row>
    <row r="980" spans="3:3" x14ac:dyDescent="0.35">
      <c r="C980" t="str">
        <f t="shared" si="38"/>
        <v/>
      </c>
    </row>
    <row r="981" spans="3:3" x14ac:dyDescent="0.35">
      <c r="C981" t="str">
        <f t="shared" si="38"/>
        <v/>
      </c>
    </row>
    <row r="982" spans="3:3" x14ac:dyDescent="0.35">
      <c r="C982" t="str">
        <f t="shared" si="38"/>
        <v/>
      </c>
    </row>
    <row r="983" spans="3:3" x14ac:dyDescent="0.35">
      <c r="C983" t="str">
        <f t="shared" si="38"/>
        <v/>
      </c>
    </row>
    <row r="984" spans="3:3" x14ac:dyDescent="0.35">
      <c r="C984" t="str">
        <f t="shared" si="38"/>
        <v/>
      </c>
    </row>
    <row r="985" spans="3:3" x14ac:dyDescent="0.35">
      <c r="C985" t="str">
        <f t="shared" si="38"/>
        <v/>
      </c>
    </row>
    <row r="986" spans="3:3" x14ac:dyDescent="0.35">
      <c r="C986" t="str">
        <f t="shared" si="38"/>
        <v/>
      </c>
    </row>
    <row r="987" spans="3:3" x14ac:dyDescent="0.35">
      <c r="C987" t="str">
        <f t="shared" si="38"/>
        <v/>
      </c>
    </row>
    <row r="988" spans="3:3" x14ac:dyDescent="0.35">
      <c r="C988" t="str">
        <f t="shared" si="38"/>
        <v/>
      </c>
    </row>
    <row r="989" spans="3:3" x14ac:dyDescent="0.35">
      <c r="C989" t="str">
        <f t="shared" si="38"/>
        <v/>
      </c>
    </row>
    <row r="990" spans="3:3" x14ac:dyDescent="0.35">
      <c r="C990" t="str">
        <f t="shared" si="38"/>
        <v/>
      </c>
    </row>
    <row r="991" spans="3:3" x14ac:dyDescent="0.35">
      <c r="C991" t="str">
        <f t="shared" si="38"/>
        <v/>
      </c>
    </row>
    <row r="992" spans="3:3" x14ac:dyDescent="0.35">
      <c r="C992" t="str">
        <f t="shared" si="38"/>
        <v/>
      </c>
    </row>
    <row r="993" spans="3:3" x14ac:dyDescent="0.35">
      <c r="C993" t="str">
        <f t="shared" si="38"/>
        <v/>
      </c>
    </row>
    <row r="994" spans="3:3" x14ac:dyDescent="0.35">
      <c r="C994" t="str">
        <f t="shared" si="38"/>
        <v/>
      </c>
    </row>
    <row r="995" spans="3:3" x14ac:dyDescent="0.35">
      <c r="C995" t="str">
        <f t="shared" si="38"/>
        <v/>
      </c>
    </row>
    <row r="996" spans="3:3" x14ac:dyDescent="0.35">
      <c r="C996" t="str">
        <f t="shared" si="38"/>
        <v/>
      </c>
    </row>
    <row r="997" spans="3:3" x14ac:dyDescent="0.35">
      <c r="C997" t="str">
        <f t="shared" si="38"/>
        <v/>
      </c>
    </row>
    <row r="998" spans="3:3" x14ac:dyDescent="0.35">
      <c r="C998" t="str">
        <f t="shared" si="38"/>
        <v/>
      </c>
    </row>
    <row r="999" spans="3:3" x14ac:dyDescent="0.35">
      <c r="C999" t="str">
        <f t="shared" si="38"/>
        <v/>
      </c>
    </row>
    <row r="1000" spans="3:3" x14ac:dyDescent="0.35">
      <c r="C1000" t="str">
        <f t="shared" si="38"/>
        <v/>
      </c>
    </row>
  </sheetData>
  <pageMargins left="0.7" right="0.7" top="0.75" bottom="0.75" header="0.3" footer="0.3"/>
  <drawing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27A0B-6DC3-4424-9B14-B4140A560C69}">
  <sheetPr codeName="Sheet16"/>
  <dimension ref="A1:I20"/>
  <sheetViews>
    <sheetView zoomScaleNormal="100" workbookViewId="0">
      <selection activeCell="H19" sqref="H19"/>
    </sheetView>
  </sheetViews>
  <sheetFormatPr defaultRowHeight="14.5" x14ac:dyDescent="0.35"/>
  <sheetData>
    <row r="1" spans="1:9" x14ac:dyDescent="0.35">
      <c r="A1" t="s">
        <v>45</v>
      </c>
      <c r="B1" t="s">
        <v>34</v>
      </c>
      <c r="C1" t="s">
        <v>35</v>
      </c>
      <c r="D1" t="s">
        <v>36</v>
      </c>
      <c r="E1" t="s">
        <v>38</v>
      </c>
      <c r="F1" t="s">
        <v>37</v>
      </c>
      <c r="G1" t="s">
        <v>47</v>
      </c>
      <c r="I1" t="s">
        <v>46</v>
      </c>
    </row>
    <row r="2" spans="1:9" x14ac:dyDescent="0.35">
      <c r="A2" s="18">
        <f>1*5218609.182</f>
        <v>5218609.182</v>
      </c>
      <c r="B2">
        <v>-0.27316095761037984</v>
      </c>
      <c r="C2">
        <v>1.229358784789474E-2</v>
      </c>
      <c r="D2">
        <v>-6.3901200982504819E-2</v>
      </c>
      <c r="E2">
        <v>8.3336935849526485E-3</v>
      </c>
      <c r="F2">
        <v>0.59999606012828255</v>
      </c>
      <c r="G2">
        <v>1.3480507215681841E-2</v>
      </c>
      <c r="I2">
        <v>2.1113425136423256</v>
      </c>
    </row>
    <row r="3" spans="1:9" x14ac:dyDescent="0.35">
      <c r="A3" s="18">
        <f>2*5218609.182</f>
        <v>10437218.364</v>
      </c>
      <c r="B3">
        <v>-0.26731546656431887</v>
      </c>
      <c r="C3">
        <v>1.1382842682857918E-2</v>
      </c>
      <c r="D3">
        <v>4.0830645056508505E-2</v>
      </c>
      <c r="E3">
        <v>7.6754239657528377E-3</v>
      </c>
      <c r="F3">
        <v>0.60103348843064308</v>
      </c>
      <c r="G3">
        <v>1.2924299740149863E-2</v>
      </c>
      <c r="I3">
        <v>2.1250430465467844</v>
      </c>
    </row>
    <row r="4" spans="1:9" x14ac:dyDescent="0.35">
      <c r="A4" s="18">
        <f>3*5218609.182</f>
        <v>15655827.546</v>
      </c>
      <c r="B4">
        <v>-0.26408446441156019</v>
      </c>
      <c r="C4">
        <v>1.0910816834273208E-2</v>
      </c>
      <c r="D4">
        <v>9.2097607205136548E-3</v>
      </c>
      <c r="E4">
        <v>7.3011236148181682E-3</v>
      </c>
      <c r="F4">
        <v>0.63672226953443556</v>
      </c>
      <c r="G4">
        <v>1.3630656554943927E-2</v>
      </c>
      <c r="I4">
        <v>2.0889916822942989</v>
      </c>
    </row>
    <row r="5" spans="1:9" x14ac:dyDescent="0.35">
      <c r="A5" s="18">
        <f>4*5218609.182</f>
        <v>20874436.728</v>
      </c>
      <c r="B5">
        <v>-0.26195487276713375</v>
      </c>
      <c r="C5">
        <v>1.0601005913947635E-2</v>
      </c>
      <c r="D5">
        <v>-5.021048722689786E-2</v>
      </c>
      <c r="E5">
        <v>7.0450117723259448E-3</v>
      </c>
      <c r="F5">
        <v>0.64934060673797034</v>
      </c>
      <c r="G5">
        <v>1.3925451850662417E-2</v>
      </c>
      <c r="I5">
        <v>1.9760978826137154</v>
      </c>
    </row>
    <row r="6" spans="1:9" x14ac:dyDescent="0.35">
      <c r="A6" s="18">
        <f>5*5218609.182</f>
        <v>26093045.91</v>
      </c>
      <c r="B6">
        <v>-0.26037085868792936</v>
      </c>
      <c r="C6">
        <v>1.0377015544754687E-2</v>
      </c>
      <c r="D6">
        <v>1.5059629668972089E-2</v>
      </c>
      <c r="E6">
        <v>6.8815761413528447E-3</v>
      </c>
      <c r="F6">
        <v>0.58919756521223721</v>
      </c>
      <c r="G6">
        <v>1.0442712625313372E-2</v>
      </c>
      <c r="I6">
        <v>1.9334725123160659</v>
      </c>
    </row>
    <row r="7" spans="1:9" x14ac:dyDescent="0.35">
      <c r="A7" s="18">
        <f>6*5218609.182</f>
        <v>31311655.092</v>
      </c>
      <c r="B7">
        <v>-0.25910885354550439</v>
      </c>
      <c r="C7">
        <v>1.020639785129018E-2</v>
      </c>
      <c r="D7">
        <v>1.306807311787204E-2</v>
      </c>
      <c r="E7">
        <v>6.7116146605929903E-3</v>
      </c>
      <c r="F7">
        <v>0.66375786387608893</v>
      </c>
      <c r="G7">
        <v>1.4338062517158433E-2</v>
      </c>
      <c r="I7">
        <v>2.1149696559288351</v>
      </c>
    </row>
    <row r="8" spans="1:9" x14ac:dyDescent="0.35">
      <c r="A8" s="18">
        <f>7*5218609.182</f>
        <v>36530264.274000004</v>
      </c>
      <c r="B8">
        <v>-0.25811757228139848</v>
      </c>
      <c r="C8">
        <v>1.0069947877170683E-2</v>
      </c>
      <c r="D8">
        <v>-2.5382394564130453E-2</v>
      </c>
      <c r="E8">
        <v>6.5975984812294032E-3</v>
      </c>
      <c r="F8">
        <v>0.66706362239774963</v>
      </c>
      <c r="G8">
        <v>1.441600807355848E-2</v>
      </c>
      <c r="I8">
        <v>2.1055242590773231</v>
      </c>
    </row>
    <row r="9" spans="1:9" x14ac:dyDescent="0.35">
      <c r="A9" s="18">
        <f>8*5218609.182</f>
        <v>41748873.456</v>
      </c>
      <c r="B9">
        <v>-0.25730083567386902</v>
      </c>
      <c r="C9">
        <v>9.9585825554046915E-3</v>
      </c>
      <c r="D9">
        <v>-4.3341748871891642E-2</v>
      </c>
      <c r="E9">
        <v>6.5268971731127015E-3</v>
      </c>
      <c r="F9">
        <v>0.66970132936809146</v>
      </c>
      <c r="G9">
        <v>1.4480852393229483E-2</v>
      </c>
      <c r="I9">
        <v>1.9997551513395733</v>
      </c>
    </row>
    <row r="15" spans="1:9" x14ac:dyDescent="0.35">
      <c r="B15" t="s">
        <v>344</v>
      </c>
      <c r="C15" t="s">
        <v>344</v>
      </c>
      <c r="D15" t="s">
        <v>345</v>
      </c>
      <c r="E15" t="s">
        <v>344</v>
      </c>
      <c r="F15" t="s">
        <v>345</v>
      </c>
      <c r="G15" t="s">
        <v>345</v>
      </c>
      <c r="I15" t="s">
        <v>345</v>
      </c>
    </row>
    <row r="17" spans="1:9" x14ac:dyDescent="0.35">
      <c r="B17" t="s">
        <v>34</v>
      </c>
      <c r="C17" t="s">
        <v>35</v>
      </c>
      <c r="D17" t="s">
        <v>36</v>
      </c>
      <c r="E17" t="s">
        <v>38</v>
      </c>
      <c r="F17" t="s">
        <v>37</v>
      </c>
      <c r="G17" t="s">
        <v>47</v>
      </c>
      <c r="I17" t="s">
        <v>46</v>
      </c>
    </row>
    <row r="18" spans="1:9" x14ac:dyDescent="0.35">
      <c r="A18" t="s">
        <v>90</v>
      </c>
      <c r="B18" s="18">
        <v>0</v>
      </c>
      <c r="C18" s="18">
        <v>0</v>
      </c>
      <c r="D18" s="18">
        <v>0</v>
      </c>
      <c r="E18" s="18">
        <v>0</v>
      </c>
      <c r="F18" s="18">
        <v>0</v>
      </c>
      <c r="G18" s="18">
        <v>0</v>
      </c>
      <c r="I18" s="18">
        <v>0</v>
      </c>
    </row>
    <row r="19" spans="1:9" x14ac:dyDescent="0.35">
      <c r="A19" t="s">
        <v>343</v>
      </c>
      <c r="B19" s="18">
        <v>7.6E-3</v>
      </c>
      <c r="C19" s="18">
        <v>-1E-3</v>
      </c>
      <c r="D19" s="18">
        <v>0</v>
      </c>
      <c r="E19" s="18">
        <v>-8.9999999999999998E-4</v>
      </c>
      <c r="F19" s="18">
        <v>2.0000000000000001E-9</v>
      </c>
      <c r="G19" s="18">
        <v>3E-11</v>
      </c>
      <c r="I19" s="18">
        <v>0</v>
      </c>
    </row>
    <row r="20" spans="1:9" x14ac:dyDescent="0.35">
      <c r="A20" t="s">
        <v>92</v>
      </c>
      <c r="B20">
        <v>-0.39069999999999999</v>
      </c>
      <c r="C20">
        <v>2.9499999999999998E-2</v>
      </c>
      <c r="D20">
        <f>AVERAGE(D2:D9)</f>
        <v>-1.3083465385194809E-2</v>
      </c>
      <c r="E20">
        <v>2.1899999999999999E-2</v>
      </c>
      <c r="F20">
        <v>0.5897</v>
      </c>
      <c r="G20">
        <v>1.2800000000000001E-2</v>
      </c>
      <c r="I20">
        <f>AVERAGE(I2:I9)</f>
        <v>2.0568995879698653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9246F-8B4C-4074-8C97-679E0C3BD88A}">
  <sheetPr codeName="Sheet14"/>
  <dimension ref="A1:AE22"/>
  <sheetViews>
    <sheetView workbookViewId="0"/>
  </sheetViews>
  <sheetFormatPr defaultRowHeight="14.5" x14ac:dyDescent="0.35"/>
  <cols>
    <col min="1" max="1" width="9.90625" bestFit="1" customWidth="1"/>
  </cols>
  <sheetData>
    <row r="1" spans="1:31" x14ac:dyDescent="0.35">
      <c r="B1" t="s">
        <v>51</v>
      </c>
      <c r="C1" t="s">
        <v>53</v>
      </c>
      <c r="D1" t="s">
        <v>237</v>
      </c>
    </row>
    <row r="2" spans="1:31" x14ac:dyDescent="0.35">
      <c r="A2" t="s">
        <v>56</v>
      </c>
      <c r="B2">
        <v>0.1</v>
      </c>
      <c r="C2">
        <v>0.5</v>
      </c>
      <c r="D2">
        <v>0.1</v>
      </c>
    </row>
    <row r="3" spans="1:31" x14ac:dyDescent="0.35">
      <c r="A3" t="s">
        <v>236</v>
      </c>
      <c r="B3">
        <v>10</v>
      </c>
      <c r="C3">
        <v>50</v>
      </c>
      <c r="D3">
        <v>10</v>
      </c>
    </row>
    <row r="5" spans="1:31" x14ac:dyDescent="0.35">
      <c r="A5" t="s">
        <v>262</v>
      </c>
    </row>
    <row r="7" spans="1:31" x14ac:dyDescent="0.35">
      <c r="A7" t="s">
        <v>251</v>
      </c>
      <c r="B7" s="6"/>
      <c r="C7" s="28" t="s">
        <v>236</v>
      </c>
      <c r="D7" s="28"/>
      <c r="E7" s="28"/>
      <c r="F7" s="28"/>
      <c r="G7" s="28"/>
      <c r="H7" s="28"/>
    </row>
    <row r="8" spans="1:31" x14ac:dyDescent="0.35">
      <c r="A8" s="8"/>
      <c r="B8" s="7"/>
      <c r="C8" s="8">
        <v>10</v>
      </c>
      <c r="D8" s="8">
        <v>20</v>
      </c>
      <c r="E8" s="8">
        <v>30</v>
      </c>
      <c r="F8" s="8">
        <v>40</v>
      </c>
      <c r="G8" s="8">
        <v>50</v>
      </c>
    </row>
    <row r="9" spans="1:31" ht="14.5" customHeight="1" x14ac:dyDescent="0.35">
      <c r="A9" s="29" t="s">
        <v>56</v>
      </c>
      <c r="B9" s="6">
        <v>0.1</v>
      </c>
      <c r="C9">
        <v>6.7188004575282099</v>
      </c>
      <c r="D9">
        <v>8.4872188992051285</v>
      </c>
      <c r="E9">
        <v>10.258353897796932</v>
      </c>
      <c r="F9">
        <v>10.514720633635488</v>
      </c>
      <c r="G9">
        <v>10.508756030435201</v>
      </c>
    </row>
    <row r="10" spans="1:31" x14ac:dyDescent="0.35">
      <c r="A10" s="30"/>
      <c r="B10" s="6">
        <v>0.2</v>
      </c>
      <c r="C10">
        <v>6.7166730117754501</v>
      </c>
      <c r="D10">
        <v>8.4735281692826074</v>
      </c>
      <c r="E10">
        <v>10.230180381989907</v>
      </c>
      <c r="F10">
        <v>10.472202251417629</v>
      </c>
      <c r="G10">
        <v>10.452270730565376</v>
      </c>
    </row>
    <row r="11" spans="1:31" x14ac:dyDescent="0.35">
      <c r="A11" s="30"/>
      <c r="B11" s="6">
        <v>0.3</v>
      </c>
      <c r="C11">
        <v>6.7055381243856669</v>
      </c>
      <c r="D11">
        <v>8.4525732969742151</v>
      </c>
      <c r="E11">
        <v>10.191273024585884</v>
      </c>
      <c r="F11">
        <v>10.419467028189308</v>
      </c>
      <c r="G11">
        <v>10.381397156280521</v>
      </c>
    </row>
    <row r="12" spans="1:31" x14ac:dyDescent="0.35">
      <c r="A12" s="30"/>
      <c r="B12" s="6">
        <v>0.4</v>
      </c>
      <c r="C12">
        <v>6.7032897031647005</v>
      </c>
      <c r="D12">
        <v>8.4449440193312704</v>
      </c>
      <c r="E12">
        <v>10.171799794590404</v>
      </c>
      <c r="F12">
        <v>10.38881019442846</v>
      </c>
      <c r="G12">
        <v>10.336371121701244</v>
      </c>
    </row>
    <row r="13" spans="1:31" x14ac:dyDescent="0.35">
      <c r="A13" s="30"/>
      <c r="B13" s="6">
        <v>0.5</v>
      </c>
      <c r="C13">
        <v>6.69223134234303</v>
      </c>
      <c r="D13">
        <v>8.4235938416244966</v>
      </c>
      <c r="E13">
        <v>10.134295261544192</v>
      </c>
      <c r="F13">
        <v>10.339601790544211</v>
      </c>
      <c r="G13">
        <v>10.274875815283288</v>
      </c>
    </row>
    <row r="15" spans="1:31" x14ac:dyDescent="0.35">
      <c r="A15" t="s">
        <v>233</v>
      </c>
      <c r="B15" s="11">
        <v>0.1</v>
      </c>
      <c r="C15">
        <v>0.1</v>
      </c>
      <c r="D15">
        <v>0.1</v>
      </c>
      <c r="E15">
        <v>0.1</v>
      </c>
      <c r="F15">
        <v>0.1</v>
      </c>
      <c r="G15">
        <v>0.2</v>
      </c>
      <c r="H15">
        <v>0.2</v>
      </c>
      <c r="I15">
        <v>0.2</v>
      </c>
      <c r="J15">
        <v>0.2</v>
      </c>
      <c r="K15">
        <v>0.2</v>
      </c>
      <c r="L15">
        <v>0.3</v>
      </c>
      <c r="M15">
        <v>0.3</v>
      </c>
      <c r="N15">
        <v>0.3</v>
      </c>
      <c r="O15">
        <v>0.3</v>
      </c>
      <c r="P15">
        <v>0.3</v>
      </c>
      <c r="Q15">
        <v>0.4</v>
      </c>
      <c r="R15">
        <v>0.4</v>
      </c>
      <c r="S15">
        <v>0.4</v>
      </c>
      <c r="T15">
        <v>0.4</v>
      </c>
      <c r="U15">
        <v>0.4</v>
      </c>
      <c r="V15">
        <v>0.5</v>
      </c>
      <c r="W15">
        <v>0.5</v>
      </c>
      <c r="X15">
        <v>0.5</v>
      </c>
      <c r="Y15">
        <v>0.5</v>
      </c>
      <c r="Z15">
        <v>0.5</v>
      </c>
      <c r="AA15">
        <v>0.6</v>
      </c>
      <c r="AB15">
        <v>0.6</v>
      </c>
      <c r="AC15">
        <v>0.6</v>
      </c>
      <c r="AD15">
        <v>0.6</v>
      </c>
      <c r="AE15">
        <v>0.6</v>
      </c>
    </row>
    <row r="16" spans="1:31" x14ac:dyDescent="0.35">
      <c r="A16" s="8" t="s">
        <v>236</v>
      </c>
      <c r="B16" s="20">
        <v>10</v>
      </c>
      <c r="C16" s="8">
        <v>20</v>
      </c>
      <c r="D16" s="8">
        <v>30</v>
      </c>
      <c r="E16" s="8">
        <v>40</v>
      </c>
      <c r="F16" s="8">
        <v>50</v>
      </c>
      <c r="G16" s="8">
        <v>10</v>
      </c>
      <c r="H16" s="8">
        <v>20</v>
      </c>
      <c r="I16" s="8">
        <v>30</v>
      </c>
      <c r="J16" s="8">
        <v>40</v>
      </c>
      <c r="K16" s="8">
        <v>50</v>
      </c>
      <c r="L16" s="8">
        <v>10</v>
      </c>
      <c r="M16" s="8">
        <v>20</v>
      </c>
      <c r="N16" s="8">
        <v>30</v>
      </c>
      <c r="O16" s="8">
        <v>40</v>
      </c>
      <c r="P16" s="8">
        <v>50</v>
      </c>
      <c r="Q16" s="8">
        <v>10</v>
      </c>
      <c r="R16" s="8">
        <v>20</v>
      </c>
      <c r="S16" s="8">
        <v>30</v>
      </c>
      <c r="T16" s="8">
        <v>40</v>
      </c>
      <c r="U16" s="8">
        <v>50</v>
      </c>
      <c r="V16" s="8">
        <v>10</v>
      </c>
      <c r="W16" s="8">
        <v>20</v>
      </c>
      <c r="X16" s="8">
        <v>30</v>
      </c>
      <c r="Y16" s="8">
        <v>40</v>
      </c>
      <c r="Z16" s="8">
        <v>50</v>
      </c>
      <c r="AA16" s="8">
        <v>10</v>
      </c>
      <c r="AB16" s="8">
        <v>20</v>
      </c>
      <c r="AC16" s="8">
        <v>30</v>
      </c>
      <c r="AD16" s="8">
        <v>40</v>
      </c>
      <c r="AE16" s="8">
        <v>50</v>
      </c>
    </row>
    <row r="17" spans="1:26" x14ac:dyDescent="0.35">
      <c r="A17" t="s">
        <v>139</v>
      </c>
      <c r="B17" s="11">
        <v>4.8009999999999997E-3</v>
      </c>
      <c r="C17">
        <v>4.7818000000000001E-3</v>
      </c>
      <c r="D17">
        <v>4.7739999999999996E-3</v>
      </c>
      <c r="E17">
        <v>4.7777999999999996E-3</v>
      </c>
      <c r="F17">
        <v>4.7927999999999998E-3</v>
      </c>
      <c r="G17">
        <v>4.7740999999999999E-3</v>
      </c>
      <c r="H17">
        <v>4.7847000000000002E-3</v>
      </c>
      <c r="I17">
        <v>4.8085999999999997E-3</v>
      </c>
      <c r="J17">
        <v>4.8450999999999998E-3</v>
      </c>
      <c r="K17">
        <v>4.8957000000000002E-3</v>
      </c>
      <c r="L17">
        <v>4.8028000000000003E-3</v>
      </c>
      <c r="M17">
        <v>4.836E-3</v>
      </c>
      <c r="N17">
        <v>4.8823E-3</v>
      </c>
      <c r="O17">
        <v>4.9493999999999996E-3</v>
      </c>
      <c r="P17">
        <v>5.0372000000000004E-3</v>
      </c>
      <c r="Q17">
        <v>4.8466999999999998E-3</v>
      </c>
      <c r="R17">
        <v>4.8957000000000002E-3</v>
      </c>
      <c r="S17">
        <v>4.9645000000000002E-3</v>
      </c>
      <c r="T17">
        <v>5.0581000000000003E-3</v>
      </c>
      <c r="U17">
        <v>5.1837999999999997E-3</v>
      </c>
      <c r="V17">
        <v>4.8951999999999997E-3</v>
      </c>
      <c r="W17">
        <v>4.9591000000000001E-3</v>
      </c>
      <c r="X17">
        <v>5.0455999999999999E-3</v>
      </c>
      <c r="Y17">
        <v>5.1653999999999997E-3</v>
      </c>
      <c r="Z17">
        <v>5.3246999999999999E-3</v>
      </c>
    </row>
    <row r="18" spans="1:26" x14ac:dyDescent="0.35">
      <c r="A18" t="s">
        <v>136</v>
      </c>
      <c r="B18" s="11">
        <v>6.6400000000000001E-3</v>
      </c>
      <c r="C18">
        <v>6.6400000000000001E-3</v>
      </c>
      <c r="D18">
        <v>6.6499999999999997E-3</v>
      </c>
      <c r="E18">
        <v>6.6499999999999997E-3</v>
      </c>
      <c r="F18">
        <v>6.6499999999999997E-3</v>
      </c>
      <c r="G18">
        <v>6.6800000000000002E-3</v>
      </c>
      <c r="H18">
        <v>6.6899999999999998E-3</v>
      </c>
      <c r="I18">
        <v>6.6899999999999998E-3</v>
      </c>
      <c r="J18">
        <v>6.6899999999999998E-3</v>
      </c>
      <c r="K18">
        <v>6.6899999999999998E-3</v>
      </c>
      <c r="L18">
        <v>6.7200000000000003E-3</v>
      </c>
      <c r="M18">
        <v>6.7200000000000003E-3</v>
      </c>
      <c r="N18">
        <v>6.7200000000000003E-3</v>
      </c>
      <c r="O18">
        <v>6.7200000000000003E-3</v>
      </c>
      <c r="P18">
        <v>6.7299999999999999E-3</v>
      </c>
      <c r="Q18">
        <v>6.6899999999999998E-3</v>
      </c>
      <c r="R18">
        <v>6.6899999999999998E-3</v>
      </c>
      <c r="S18">
        <v>6.6899999999999998E-3</v>
      </c>
      <c r="T18">
        <v>6.6899999999999998E-3</v>
      </c>
      <c r="U18">
        <v>6.7000000000000002E-3</v>
      </c>
      <c r="V18">
        <v>6.7099999999999998E-3</v>
      </c>
      <c r="W18">
        <v>6.7099999999999998E-3</v>
      </c>
      <c r="X18">
        <v>6.7099999999999998E-3</v>
      </c>
      <c r="Y18">
        <v>6.7099999999999998E-3</v>
      </c>
      <c r="Z18">
        <v>6.7200000000000003E-3</v>
      </c>
    </row>
    <row r="19" spans="1:26" x14ac:dyDescent="0.35">
      <c r="A19" t="s">
        <v>252</v>
      </c>
      <c r="B19" s="11">
        <v>1.4999999999999999E-2</v>
      </c>
      <c r="C19">
        <v>1.4999999999999999E-2</v>
      </c>
      <c r="D19">
        <v>1.4999999999999999E-2</v>
      </c>
      <c r="E19">
        <v>1.4999999999999999E-2</v>
      </c>
      <c r="F19">
        <v>1.4999999999999999E-2</v>
      </c>
      <c r="G19">
        <v>1.4999999999999999E-2</v>
      </c>
      <c r="H19">
        <v>1.4999999999999999E-2</v>
      </c>
      <c r="I19">
        <v>1.4999999999999999E-2</v>
      </c>
      <c r="J19">
        <v>1.4999999999999999E-2</v>
      </c>
      <c r="K19">
        <v>1.4999999999999999E-2</v>
      </c>
      <c r="L19">
        <v>1.4999999999999999E-2</v>
      </c>
      <c r="M19">
        <v>1.4999999999999999E-2</v>
      </c>
      <c r="N19">
        <v>1.4999999999999999E-2</v>
      </c>
      <c r="O19">
        <v>1.4999999999999999E-2</v>
      </c>
      <c r="P19">
        <v>1.4999999999999999E-2</v>
      </c>
      <c r="Q19">
        <v>1.4999999999999999E-2</v>
      </c>
      <c r="R19">
        <v>1.4999999999999999E-2</v>
      </c>
      <c r="S19">
        <v>1.4999999999999999E-2</v>
      </c>
      <c r="T19">
        <v>1.4999999999999999E-2</v>
      </c>
      <c r="U19">
        <v>1.4999999999999999E-2</v>
      </c>
      <c r="V19">
        <v>1.4999999999999999E-2</v>
      </c>
      <c r="W19">
        <v>1.4999999999999999E-2</v>
      </c>
      <c r="X19">
        <v>1.4999999999999999E-2</v>
      </c>
      <c r="Y19">
        <v>1.4999999999999999E-2</v>
      </c>
      <c r="Z19">
        <v>1.4999999999999999E-2</v>
      </c>
    </row>
    <row r="20" spans="1:26" x14ac:dyDescent="0.35">
      <c r="A20" t="s">
        <v>258</v>
      </c>
      <c r="B20" s="11">
        <v>1.4917712126989092E-2</v>
      </c>
      <c r="C20">
        <v>6.3193060397672661E-3</v>
      </c>
      <c r="D20">
        <v>6.6425770002624023E-4</v>
      </c>
      <c r="E20">
        <v>0</v>
      </c>
      <c r="F20">
        <v>0</v>
      </c>
      <c r="G20">
        <v>1.4917712126989092E-2</v>
      </c>
      <c r="H20">
        <v>6.3193060397672661E-3</v>
      </c>
      <c r="I20">
        <v>6.6425770002624023E-4</v>
      </c>
      <c r="J20">
        <v>0</v>
      </c>
      <c r="K20">
        <v>0</v>
      </c>
      <c r="L20">
        <v>1.4917712126989092E-2</v>
      </c>
      <c r="M20">
        <v>6.3193060397672661E-3</v>
      </c>
      <c r="N20">
        <v>6.6425770002624023E-4</v>
      </c>
      <c r="O20">
        <v>0</v>
      </c>
      <c r="P20">
        <v>0</v>
      </c>
      <c r="Q20">
        <v>1.4917712126989092E-2</v>
      </c>
      <c r="R20">
        <v>6.3193060397672661E-3</v>
      </c>
      <c r="S20">
        <v>6.6425770002624023E-4</v>
      </c>
      <c r="T20">
        <v>0</v>
      </c>
      <c r="U20">
        <v>0</v>
      </c>
      <c r="V20">
        <v>1.4917712126989092E-2</v>
      </c>
      <c r="W20">
        <v>6.3193060397672661E-3</v>
      </c>
      <c r="X20">
        <v>6.6425770002624023E-4</v>
      </c>
      <c r="Y20">
        <v>0</v>
      </c>
      <c r="Z20">
        <v>0</v>
      </c>
    </row>
    <row r="21" spans="1:26" x14ac:dyDescent="0.35">
      <c r="A21" t="s">
        <v>232</v>
      </c>
      <c r="B21" s="11">
        <v>4.1358712126989092E-2</v>
      </c>
      <c r="C21">
        <v>3.2741106039767265E-2</v>
      </c>
      <c r="D21">
        <v>2.7088257700026239E-2</v>
      </c>
      <c r="E21">
        <v>2.6427799999999998E-2</v>
      </c>
      <c r="F21">
        <v>2.6442799999999999E-2</v>
      </c>
      <c r="G21">
        <v>4.1371812126989094E-2</v>
      </c>
      <c r="H21">
        <v>3.2794006039767266E-2</v>
      </c>
      <c r="I21">
        <v>2.7162857700026237E-2</v>
      </c>
      <c r="J21">
        <v>2.6535099999999999E-2</v>
      </c>
      <c r="K21">
        <v>2.65857E-2</v>
      </c>
      <c r="L21">
        <v>4.1440512126989092E-2</v>
      </c>
      <c r="M21">
        <v>3.2875306039767266E-2</v>
      </c>
      <c r="N21">
        <v>2.7266557700026239E-2</v>
      </c>
      <c r="O21">
        <v>2.6669399999999999E-2</v>
      </c>
      <c r="P21">
        <v>2.6767199999999998E-2</v>
      </c>
      <c r="Q21">
        <v>4.1454412126989096E-2</v>
      </c>
      <c r="R21">
        <v>3.2905006039767266E-2</v>
      </c>
      <c r="S21">
        <v>2.7318757700026237E-2</v>
      </c>
      <c r="T21">
        <v>2.67481E-2</v>
      </c>
      <c r="U21">
        <v>2.6883799999999999E-2</v>
      </c>
      <c r="V21">
        <v>4.1522912126989095E-2</v>
      </c>
      <c r="W21">
        <v>3.2988406039767271E-2</v>
      </c>
      <c r="X21">
        <v>2.7419857700026237E-2</v>
      </c>
      <c r="Y21">
        <v>2.6875400000000001E-2</v>
      </c>
      <c r="Z21">
        <v>2.7044699999999998E-2</v>
      </c>
    </row>
    <row r="22" spans="1:26" x14ac:dyDescent="0.35">
      <c r="A22" t="s">
        <v>251</v>
      </c>
      <c r="B22" s="11">
        <v>6.7188004575282099</v>
      </c>
      <c r="C22">
        <v>8.4872188992051285</v>
      </c>
      <c r="D22">
        <v>10.258353897796932</v>
      </c>
      <c r="E22">
        <v>10.514720633635488</v>
      </c>
      <c r="F22">
        <v>10.508756030435201</v>
      </c>
      <c r="G22">
        <v>6.7166730117754501</v>
      </c>
      <c r="H22">
        <v>8.4735281692826074</v>
      </c>
      <c r="I22">
        <v>10.230180381989907</v>
      </c>
      <c r="J22">
        <v>10.472202251417629</v>
      </c>
      <c r="K22">
        <v>10.452270730565376</v>
      </c>
      <c r="L22">
        <v>6.7055381243856669</v>
      </c>
      <c r="M22">
        <v>8.4525732969742151</v>
      </c>
      <c r="N22">
        <v>10.191273024585884</v>
      </c>
      <c r="O22">
        <v>10.419467028189308</v>
      </c>
      <c r="P22">
        <v>10.381397156280521</v>
      </c>
      <c r="Q22">
        <v>6.7032897031647005</v>
      </c>
      <c r="R22">
        <v>8.4449440193312704</v>
      </c>
      <c r="S22">
        <v>10.171799794590404</v>
      </c>
      <c r="T22">
        <v>10.38881019442846</v>
      </c>
      <c r="U22">
        <v>10.336371121701244</v>
      </c>
      <c r="V22">
        <v>6.69223134234303</v>
      </c>
      <c r="W22">
        <v>8.4235938416244966</v>
      </c>
      <c r="X22">
        <v>10.134295261544192</v>
      </c>
      <c r="Y22">
        <v>10.339601790544211</v>
      </c>
      <c r="Z22">
        <v>10.274875815283288</v>
      </c>
    </row>
  </sheetData>
  <mergeCells count="2">
    <mergeCell ref="C7:H7"/>
    <mergeCell ref="A9:A13"/>
  </mergeCells>
  <conditionalFormatting sqref="H13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9:G1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1226F-FBF5-4F20-AAE3-C1F65246A91B}">
  <sheetPr codeName="Sheet33"/>
  <dimension ref="A1:J12"/>
  <sheetViews>
    <sheetView workbookViewId="0">
      <selection activeCell="D21" sqref="D21"/>
    </sheetView>
  </sheetViews>
  <sheetFormatPr defaultRowHeight="14.5" x14ac:dyDescent="0.35"/>
  <cols>
    <col min="1" max="1" width="9.90625" bestFit="1" customWidth="1"/>
  </cols>
  <sheetData>
    <row r="1" spans="1:10" x14ac:dyDescent="0.35">
      <c r="A1" t="s">
        <v>56</v>
      </c>
      <c r="B1">
        <v>0.1</v>
      </c>
    </row>
    <row r="2" spans="1:10" x14ac:dyDescent="0.35">
      <c r="A2" t="s">
        <v>236</v>
      </c>
      <c r="B2">
        <v>40</v>
      </c>
    </row>
    <row r="4" spans="1:10" x14ac:dyDescent="0.35">
      <c r="A4" t="s">
        <v>262</v>
      </c>
    </row>
    <row r="6" spans="1:10" x14ac:dyDescent="0.35">
      <c r="A6" s="7" t="s">
        <v>263</v>
      </c>
      <c r="B6" s="8">
        <v>-8</v>
      </c>
      <c r="C6" s="8">
        <v>-6</v>
      </c>
      <c r="D6" s="8">
        <v>-4</v>
      </c>
      <c r="E6" s="8">
        <v>-2</v>
      </c>
      <c r="F6" s="8">
        <v>0</v>
      </c>
      <c r="G6" s="8">
        <v>2</v>
      </c>
      <c r="H6" s="8">
        <v>4</v>
      </c>
      <c r="I6" s="8">
        <v>6</v>
      </c>
      <c r="J6" s="8">
        <v>8</v>
      </c>
    </row>
    <row r="7" spans="1:10" x14ac:dyDescent="0.35">
      <c r="A7" s="6" t="s">
        <v>139</v>
      </c>
      <c r="B7">
        <v>5.0753999999999999E-3</v>
      </c>
      <c r="C7">
        <v>4.9305E-3</v>
      </c>
      <c r="D7">
        <v>4.8215000000000003E-3</v>
      </c>
      <c r="E7">
        <v>4.7482999999999996E-3</v>
      </c>
      <c r="F7">
        <v>4.7107E-3</v>
      </c>
      <c r="G7">
        <v>4.7086999999999997E-3</v>
      </c>
      <c r="H7">
        <v>4.7423999999999999E-3</v>
      </c>
      <c r="I7">
        <v>4.8120000000000003E-3</v>
      </c>
      <c r="J7">
        <v>4.9177999999999999E-3</v>
      </c>
    </row>
    <row r="8" spans="1:10" ht="14.5" customHeight="1" x14ac:dyDescent="0.35">
      <c r="A8" s="6" t="s">
        <v>136</v>
      </c>
      <c r="B8">
        <v>6.4900000000000001E-3</v>
      </c>
      <c r="C8">
        <v>6.4900000000000001E-3</v>
      </c>
      <c r="D8">
        <v>6.4900000000000001E-3</v>
      </c>
      <c r="E8">
        <v>6.4999999999999997E-3</v>
      </c>
      <c r="F8">
        <v>6.4999999999999997E-3</v>
      </c>
      <c r="G8">
        <v>6.5100000000000002E-3</v>
      </c>
      <c r="H8">
        <v>6.5100000000000002E-3</v>
      </c>
      <c r="I8">
        <v>6.5199999999999998E-3</v>
      </c>
      <c r="J8">
        <v>6.5300000000000002E-3</v>
      </c>
    </row>
    <row r="9" spans="1:10" x14ac:dyDescent="0.35">
      <c r="A9" s="6" t="s">
        <v>252</v>
      </c>
      <c r="B9">
        <v>1.4999999999999999E-2</v>
      </c>
      <c r="C9">
        <v>1.4999999999999999E-2</v>
      </c>
      <c r="D9">
        <v>1.4999999999999999E-2</v>
      </c>
      <c r="E9">
        <v>1.4999999999999999E-2</v>
      </c>
      <c r="F9">
        <v>1.4999999999999999E-2</v>
      </c>
      <c r="G9">
        <v>1.4999999999999999E-2</v>
      </c>
      <c r="H9">
        <v>1.4999999999999999E-2</v>
      </c>
      <c r="I9">
        <v>1.4999999999999999E-2</v>
      </c>
      <c r="J9">
        <v>1.4999999999999999E-2</v>
      </c>
    </row>
    <row r="10" spans="1:10" x14ac:dyDescent="0.35">
      <c r="A10" s="6" t="s">
        <v>258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</row>
    <row r="11" spans="1:10" x14ac:dyDescent="0.35">
      <c r="A11" s="6" t="s">
        <v>232</v>
      </c>
      <c r="B11">
        <v>2.6565399999999999E-2</v>
      </c>
      <c r="C11">
        <v>2.64205E-2</v>
      </c>
      <c r="D11">
        <v>2.6311500000000002E-2</v>
      </c>
      <c r="E11">
        <v>2.6248299999999999E-2</v>
      </c>
      <c r="F11">
        <v>2.62107E-2</v>
      </c>
      <c r="G11">
        <v>2.6218699999999998E-2</v>
      </c>
      <c r="H11">
        <v>2.6252399999999999E-2</v>
      </c>
      <c r="I11">
        <v>2.6332000000000001E-2</v>
      </c>
      <c r="J11">
        <v>2.64478E-2</v>
      </c>
    </row>
    <row r="12" spans="1:10" x14ac:dyDescent="0.35">
      <c r="A12" s="6" t="s">
        <v>251</v>
      </c>
      <c r="B12">
        <v>9.6697112950090212</v>
      </c>
      <c r="C12">
        <v>9.7227436436264512</v>
      </c>
      <c r="D12">
        <v>9.7630218131399804</v>
      </c>
      <c r="E12">
        <v>9.7865289727880533</v>
      </c>
      <c r="F12">
        <v>9.800568028951254</v>
      </c>
      <c r="G12">
        <v>9.7975776234684648</v>
      </c>
      <c r="H12">
        <v>9.7850005499090607</v>
      </c>
      <c r="I12">
        <v>9.7554211011861085</v>
      </c>
      <c r="J12">
        <v>9.7127076141090232</v>
      </c>
    </row>
  </sheetData>
  <conditionalFormatting sqref="B12:J1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E8BB9-873A-4A9F-87EE-CE1C34D252C4}">
  <sheetPr codeName="Sheet32"/>
  <dimension ref="A1:BL26"/>
  <sheetViews>
    <sheetView workbookViewId="0"/>
  </sheetViews>
  <sheetFormatPr defaultRowHeight="14.5" x14ac:dyDescent="0.35"/>
  <cols>
    <col min="1" max="1" width="9.90625" bestFit="1" customWidth="1"/>
    <col min="30" max="30" width="8.7265625" customWidth="1"/>
  </cols>
  <sheetData>
    <row r="1" spans="1:35" x14ac:dyDescent="0.35">
      <c r="B1" t="s">
        <v>51</v>
      </c>
      <c r="C1" t="s">
        <v>53</v>
      </c>
      <c r="D1" t="s">
        <v>237</v>
      </c>
      <c r="E1" t="s">
        <v>264</v>
      </c>
    </row>
    <row r="2" spans="1:35" x14ac:dyDescent="0.35">
      <c r="A2" t="s">
        <v>56</v>
      </c>
      <c r="B2">
        <v>0.05</v>
      </c>
      <c r="C2">
        <v>0.35</v>
      </c>
      <c r="D2">
        <v>0.05</v>
      </c>
      <c r="E2">
        <f>(C2-B2)/D2</f>
        <v>5.9999999999999991</v>
      </c>
      <c r="G2" t="s">
        <v>268</v>
      </c>
    </row>
    <row r="3" spans="1:35" x14ac:dyDescent="0.35">
      <c r="A3" t="s">
        <v>236</v>
      </c>
      <c r="B3">
        <v>20</v>
      </c>
      <c r="C3">
        <v>60</v>
      </c>
      <c r="D3">
        <v>5</v>
      </c>
      <c r="E3">
        <f>(C3-B3)/D3</f>
        <v>8</v>
      </c>
      <c r="G3" t="s">
        <v>265</v>
      </c>
    </row>
    <row r="4" spans="1:35" x14ac:dyDescent="0.35">
      <c r="E4">
        <f>E2*E3</f>
        <v>47.999999999999993</v>
      </c>
      <c r="G4" t="s">
        <v>266</v>
      </c>
    </row>
    <row r="6" spans="1:35" x14ac:dyDescent="0.35">
      <c r="A6" t="s">
        <v>262</v>
      </c>
    </row>
    <row r="8" spans="1:35" x14ac:dyDescent="0.35">
      <c r="A8" t="s">
        <v>251</v>
      </c>
      <c r="B8" s="6"/>
      <c r="C8" s="31" t="s">
        <v>236</v>
      </c>
      <c r="D8" s="28"/>
      <c r="E8" s="28"/>
      <c r="F8" s="28"/>
      <c r="G8" s="28"/>
      <c r="H8" s="28"/>
      <c r="J8" t="s">
        <v>143</v>
      </c>
      <c r="K8" s="6"/>
      <c r="L8" s="31" t="s">
        <v>236</v>
      </c>
      <c r="M8" s="28"/>
      <c r="N8" s="28"/>
      <c r="O8" s="28"/>
      <c r="P8" s="28"/>
      <c r="Q8" s="28"/>
      <c r="S8" t="s">
        <v>267</v>
      </c>
      <c r="T8" s="6"/>
      <c r="U8" s="31" t="s">
        <v>236</v>
      </c>
      <c r="V8" s="28"/>
      <c r="W8" s="28"/>
      <c r="X8" s="28"/>
      <c r="Y8" s="28"/>
      <c r="Z8" s="28"/>
      <c r="AB8" t="s">
        <v>258</v>
      </c>
      <c r="AC8" s="6"/>
      <c r="AD8" s="31" t="s">
        <v>236</v>
      </c>
      <c r="AE8" s="28"/>
      <c r="AF8" s="28"/>
      <c r="AG8" s="28"/>
      <c r="AH8" s="28"/>
      <c r="AI8" s="28"/>
    </row>
    <row r="9" spans="1:35" x14ac:dyDescent="0.35">
      <c r="A9" s="8"/>
      <c r="B9" s="7"/>
      <c r="C9" s="20">
        <v>20</v>
      </c>
      <c r="D9" s="8">
        <v>25</v>
      </c>
      <c r="E9" s="8">
        <v>30</v>
      </c>
      <c r="F9" s="8">
        <v>35</v>
      </c>
      <c r="G9" s="8">
        <v>40</v>
      </c>
      <c r="H9" s="8">
        <v>45</v>
      </c>
      <c r="J9" s="8"/>
      <c r="K9" s="7"/>
      <c r="L9" s="20">
        <v>20</v>
      </c>
      <c r="M9" s="8">
        <v>25</v>
      </c>
      <c r="N9" s="8">
        <v>30</v>
      </c>
      <c r="O9" s="8">
        <v>35</v>
      </c>
      <c r="P9" s="8">
        <v>40</v>
      </c>
      <c r="Q9" s="8">
        <v>45</v>
      </c>
      <c r="S9" s="8"/>
      <c r="T9" s="7"/>
      <c r="U9" s="20">
        <v>20</v>
      </c>
      <c r="V9" s="8">
        <v>25</v>
      </c>
      <c r="W9" s="8">
        <v>30</v>
      </c>
      <c r="X9" s="8">
        <v>35</v>
      </c>
      <c r="Y9" s="8">
        <v>40</v>
      </c>
      <c r="Z9" s="8">
        <v>45</v>
      </c>
      <c r="AB9" s="8"/>
      <c r="AC9" s="7"/>
      <c r="AD9" s="20">
        <v>20</v>
      </c>
      <c r="AE9" s="8">
        <v>25</v>
      </c>
      <c r="AF9" s="8">
        <v>30</v>
      </c>
      <c r="AG9" s="8">
        <v>35</v>
      </c>
      <c r="AH9" s="8">
        <v>40</v>
      </c>
      <c r="AI9" s="8">
        <v>45</v>
      </c>
    </row>
    <row r="10" spans="1:35" ht="14.5" customHeight="1" x14ac:dyDescent="0.35">
      <c r="A10" s="29" t="s">
        <v>56</v>
      </c>
      <c r="B10" s="6">
        <v>0.05</v>
      </c>
      <c r="C10">
        <f>IF(B25="","",B25)</f>
        <v>11.867461525327172</v>
      </c>
      <c r="D10">
        <f t="shared" ref="D10:I10" si="0">IF(C25="","",C25)</f>
        <v>11.922709036903395</v>
      </c>
      <c r="E10">
        <f t="shared" si="0"/>
        <v>11.931496649394067</v>
      </c>
      <c r="F10">
        <f t="shared" si="0"/>
        <v>11.938991022789137</v>
      </c>
      <c r="G10">
        <f t="shared" si="0"/>
        <v>11.944219943926415</v>
      </c>
      <c r="H10">
        <f t="shared" si="0"/>
        <v>11.942173298973717</v>
      </c>
      <c r="I10" t="str">
        <f t="shared" si="0"/>
        <v/>
      </c>
      <c r="J10" s="29" t="s">
        <v>56</v>
      </c>
      <c r="K10" s="6">
        <v>0.05</v>
      </c>
      <c r="L10">
        <f>IF(B26="","",B26)</f>
        <v>0.97544448409972417</v>
      </c>
      <c r="M10">
        <f t="shared" ref="M10:Q10" si="1">IF(C26="","",C26)</f>
        <v>0.97925005381303376</v>
      </c>
      <c r="N10">
        <f t="shared" si="1"/>
        <v>0.98228572036803397</v>
      </c>
      <c r="O10">
        <f t="shared" si="1"/>
        <v>0.98514472802124875</v>
      </c>
      <c r="P10">
        <f t="shared" si="1"/>
        <v>0.98714723166636476</v>
      </c>
      <c r="Q10">
        <f t="shared" si="1"/>
        <v>0.98854508596379453</v>
      </c>
      <c r="S10" s="29" t="s">
        <v>56</v>
      </c>
      <c r="T10" s="6">
        <v>0.05</v>
      </c>
      <c r="U10">
        <f>IF(B21="","",B21)</f>
        <v>6.4799999999999996E-3</v>
      </c>
      <c r="V10">
        <f t="shared" ref="V10:Z10" si="2">IF(C21="","",C21)</f>
        <v>6.4799999999999996E-3</v>
      </c>
      <c r="W10">
        <f t="shared" si="2"/>
        <v>6.4799999999999996E-3</v>
      </c>
      <c r="X10">
        <f t="shared" si="2"/>
        <v>6.4799999999999996E-3</v>
      </c>
      <c r="Y10">
        <f t="shared" si="2"/>
        <v>6.4799999999999996E-3</v>
      </c>
      <c r="Z10">
        <f t="shared" si="2"/>
        <v>6.4900000000000001E-3</v>
      </c>
      <c r="AB10" s="29" t="s">
        <v>56</v>
      </c>
      <c r="AC10" s="6">
        <v>0.05</v>
      </c>
      <c r="AD10">
        <f>IF(B23="","",B23)</f>
        <v>8.1566237076445197E-5</v>
      </c>
      <c r="AE10">
        <f t="shared" ref="AE10:AI10" si="3">IF(C23="","",C23)</f>
        <v>1.3989465839462357E-6</v>
      </c>
      <c r="AF10">
        <f t="shared" si="3"/>
        <v>0</v>
      </c>
      <c r="AG10">
        <f t="shared" si="3"/>
        <v>0</v>
      </c>
      <c r="AH10">
        <f t="shared" si="3"/>
        <v>0</v>
      </c>
      <c r="AI10">
        <f t="shared" si="3"/>
        <v>0</v>
      </c>
    </row>
    <row r="11" spans="1:35" x14ac:dyDescent="0.35">
      <c r="A11" s="30"/>
      <c r="B11" s="6">
        <v>0.1</v>
      </c>
      <c r="C11">
        <f>IF(K25="","",K25)</f>
        <v>11.89153497708929</v>
      </c>
      <c r="D11">
        <f t="shared" ref="D11:I11" si="4">IF(L25="","",L25)</f>
        <v>11.944049962352828</v>
      </c>
      <c r="E11">
        <f t="shared" si="4"/>
        <v>11.950705616783278</v>
      </c>
      <c r="F11">
        <f t="shared" si="4"/>
        <v>11.949111992061791</v>
      </c>
      <c r="G11">
        <f t="shared" si="4"/>
        <v>11.951844180431115</v>
      </c>
      <c r="H11">
        <f t="shared" si="4"/>
        <v>11.953039905772526</v>
      </c>
      <c r="I11" t="str">
        <f t="shared" si="4"/>
        <v/>
      </c>
      <c r="J11" s="30"/>
      <c r="K11" s="6">
        <v>0.1</v>
      </c>
      <c r="L11">
        <f>IF(K26="","",K26)</f>
        <v>0.98682018123069393</v>
      </c>
      <c r="M11">
        <f t="shared" ref="M11:Q11" si="5">IF(L26="","",L26)</f>
        <v>0.98957415901170942</v>
      </c>
      <c r="N11">
        <f t="shared" si="5"/>
        <v>0.99183687131420473</v>
      </c>
      <c r="O11">
        <f t="shared" si="5"/>
        <v>0.99342472773646251</v>
      </c>
      <c r="P11">
        <f t="shared" si="5"/>
        <v>0.99448612619017196</v>
      </c>
      <c r="Q11">
        <f t="shared" si="5"/>
        <v>0.9949512015414691</v>
      </c>
      <c r="S11" s="30"/>
      <c r="T11" s="6">
        <v>0.1</v>
      </c>
      <c r="U11">
        <f>IF(K21="","",K21)</f>
        <v>6.4900000000000001E-3</v>
      </c>
      <c r="V11">
        <f t="shared" ref="V11:Z11" si="6">IF(L21="","",L21)</f>
        <v>6.4900000000000001E-3</v>
      </c>
      <c r="W11">
        <f t="shared" si="6"/>
        <v>6.4900000000000001E-3</v>
      </c>
      <c r="X11">
        <f t="shared" si="6"/>
        <v>6.4999999999999997E-3</v>
      </c>
      <c r="Y11">
        <f t="shared" si="6"/>
        <v>6.4999999999999997E-3</v>
      </c>
      <c r="Z11">
        <f t="shared" si="6"/>
        <v>6.4999999999999997E-3</v>
      </c>
      <c r="AB11" s="30"/>
      <c r="AC11" s="6">
        <v>0.1</v>
      </c>
      <c r="AD11">
        <f>IF(K23="","",K23)</f>
        <v>8.1566237076445197E-5</v>
      </c>
      <c r="AE11">
        <f t="shared" ref="AE11:AI11" si="7">IF(L23="","",L23)</f>
        <v>1.3989465839462357E-6</v>
      </c>
      <c r="AF11">
        <f t="shared" si="7"/>
        <v>0</v>
      </c>
      <c r="AG11">
        <f t="shared" si="7"/>
        <v>0</v>
      </c>
      <c r="AH11">
        <f t="shared" si="7"/>
        <v>0</v>
      </c>
      <c r="AI11">
        <f t="shared" si="7"/>
        <v>0</v>
      </c>
    </row>
    <row r="12" spans="1:35" x14ac:dyDescent="0.35">
      <c r="A12" s="30"/>
      <c r="B12" s="6">
        <v>0.15</v>
      </c>
      <c r="C12">
        <f>IF(T25="","",T25)</f>
        <v>11.883424603276326</v>
      </c>
      <c r="D12">
        <f t="shared" ref="D12:I12" si="8">IF(U25="","",U25)</f>
        <v>11.933369958426916</v>
      </c>
      <c r="E12">
        <f t="shared" si="8"/>
        <v>11.937798106422719</v>
      </c>
      <c r="F12">
        <f t="shared" si="8"/>
        <v>11.939161458875283</v>
      </c>
      <c r="G12">
        <f t="shared" si="8"/>
        <v>11.933596395768703</v>
      </c>
      <c r="H12">
        <f t="shared" si="8"/>
        <v>11.931950585997367</v>
      </c>
      <c r="I12" t="str">
        <f t="shared" si="8"/>
        <v/>
      </c>
      <c r="J12" s="30"/>
      <c r="K12" s="6">
        <v>0.15</v>
      </c>
      <c r="L12">
        <f>IF(T26="","",T26)</f>
        <v>0.99243172227769771</v>
      </c>
      <c r="M12">
        <f t="shared" ref="M12:Q12" si="9">IF(U26="","",U26)</f>
        <v>0.99424268876915833</v>
      </c>
      <c r="N12">
        <f t="shared" si="9"/>
        <v>0.99566072482828571</v>
      </c>
      <c r="O12">
        <f t="shared" si="9"/>
        <v>0.99619353174473591</v>
      </c>
      <c r="P12">
        <f t="shared" si="9"/>
        <v>0.99623795806229309</v>
      </c>
      <c r="Q12">
        <f t="shared" si="9"/>
        <v>0.99559416403466605</v>
      </c>
      <c r="S12" s="30"/>
      <c r="T12" s="6">
        <v>0.15</v>
      </c>
      <c r="U12">
        <f>IF(T21="","",T21)</f>
        <v>6.5300000000000002E-3</v>
      </c>
      <c r="V12">
        <f t="shared" ref="V12:Z12" si="10">IF(U21="","",U21)</f>
        <v>6.5300000000000002E-3</v>
      </c>
      <c r="W12">
        <f t="shared" si="10"/>
        <v>6.5300000000000002E-3</v>
      </c>
      <c r="X12">
        <f t="shared" si="10"/>
        <v>6.5300000000000002E-3</v>
      </c>
      <c r="Y12">
        <f t="shared" si="10"/>
        <v>6.5399999999999998E-3</v>
      </c>
      <c r="Z12">
        <f t="shared" si="10"/>
        <v>6.5399999999999998E-3</v>
      </c>
      <c r="AB12" s="30"/>
      <c r="AC12" s="6">
        <v>0.15</v>
      </c>
      <c r="AD12">
        <f>IF(T23="","",T23)</f>
        <v>8.1566237076445197E-5</v>
      </c>
      <c r="AE12">
        <f t="shared" ref="AE12:AI12" si="11">IF(U23="","",U23)</f>
        <v>1.3989465839462357E-6</v>
      </c>
      <c r="AF12">
        <f t="shared" si="11"/>
        <v>0</v>
      </c>
      <c r="AG12">
        <f t="shared" si="11"/>
        <v>0</v>
      </c>
      <c r="AH12">
        <f t="shared" si="11"/>
        <v>0</v>
      </c>
      <c r="AI12">
        <f t="shared" si="11"/>
        <v>0</v>
      </c>
    </row>
    <row r="13" spans="1:35" x14ac:dyDescent="0.35">
      <c r="A13" s="30"/>
      <c r="B13" s="6">
        <v>0.2</v>
      </c>
      <c r="C13">
        <f>IF(AC25="","",AC25)</f>
        <v>11.902309582489886</v>
      </c>
      <c r="D13">
        <f t="shared" ref="D13:I13" si="12">IF(AD25="","",AD25)</f>
        <v>11.949966266290302</v>
      </c>
      <c r="E13">
        <f t="shared" si="12"/>
        <v>11.951616450346224</v>
      </c>
      <c r="F13">
        <f t="shared" si="12"/>
        <v>11.950762539813677</v>
      </c>
      <c r="G13">
        <f t="shared" si="12"/>
        <v>11.948315339072625</v>
      </c>
      <c r="H13">
        <f t="shared" si="12"/>
        <v>11.943480796776274</v>
      </c>
      <c r="I13" t="str">
        <f t="shared" si="12"/>
        <v/>
      </c>
      <c r="J13" s="30"/>
      <c r="K13" s="6">
        <v>0.2</v>
      </c>
      <c r="L13">
        <f>IF(AC26="","",AC26)</f>
        <v>0.99541671208492255</v>
      </c>
      <c r="M13">
        <f t="shared" ref="M13:Q13" si="13">IF(AD26="","",AD26)</f>
        <v>0.9962823883425056</v>
      </c>
      <c r="N13">
        <f t="shared" si="13"/>
        <v>0.99661574180726453</v>
      </c>
      <c r="O13">
        <f t="shared" si="13"/>
        <v>0.9962823883425056</v>
      </c>
      <c r="P13">
        <f t="shared" si="13"/>
        <v>0.99532800982934555</v>
      </c>
      <c r="Q13">
        <f t="shared" si="13"/>
        <v>0.9934468170951386</v>
      </c>
      <c r="S13" s="30"/>
      <c r="T13" s="6">
        <v>0.2</v>
      </c>
      <c r="U13">
        <f>IF(AC21="","",AC21)</f>
        <v>6.5100000000000002E-3</v>
      </c>
      <c r="V13">
        <f t="shared" ref="V13:Z13" si="14">IF(AD21="","",AD21)</f>
        <v>6.5100000000000002E-3</v>
      </c>
      <c r="W13">
        <f t="shared" si="14"/>
        <v>6.5100000000000002E-3</v>
      </c>
      <c r="X13">
        <f t="shared" si="14"/>
        <v>6.5100000000000002E-3</v>
      </c>
      <c r="Y13">
        <f t="shared" si="14"/>
        <v>6.5100000000000002E-3</v>
      </c>
      <c r="Z13">
        <f t="shared" si="14"/>
        <v>6.5100000000000002E-3</v>
      </c>
      <c r="AB13" s="30"/>
      <c r="AC13" s="6">
        <v>0.2</v>
      </c>
      <c r="AD13">
        <f>IF(AC23="","",AC23)</f>
        <v>8.1566237076445197E-5</v>
      </c>
      <c r="AE13">
        <f t="shared" ref="AE13:AI13" si="15">IF(AD23="","",AD23)</f>
        <v>1.3989465839462357E-6</v>
      </c>
      <c r="AF13">
        <f t="shared" si="15"/>
        <v>0</v>
      </c>
      <c r="AG13">
        <f t="shared" si="15"/>
        <v>0</v>
      </c>
      <c r="AH13">
        <f t="shared" si="15"/>
        <v>0</v>
      </c>
      <c r="AI13">
        <f t="shared" si="15"/>
        <v>0</v>
      </c>
    </row>
    <row r="14" spans="1:35" x14ac:dyDescent="0.35">
      <c r="A14" s="30"/>
      <c r="B14" s="6">
        <v>0.25</v>
      </c>
      <c r="C14">
        <f>IF(AL25="","",AL25)</f>
        <v>11.86617061788716</v>
      </c>
      <c r="D14">
        <f t="shared" ref="D14:I14" si="16">IF(AM25="","",AM25)</f>
        <v>11.911614721675145</v>
      </c>
      <c r="E14">
        <f t="shared" si="16"/>
        <v>11.911161735358792</v>
      </c>
      <c r="F14">
        <f t="shared" si="16"/>
        <v>11.908561156117226</v>
      </c>
      <c r="G14">
        <f t="shared" si="16"/>
        <v>11.903250458628932</v>
      </c>
      <c r="H14">
        <f t="shared" si="16"/>
        <v>11.895349684108334</v>
      </c>
      <c r="I14" t="str">
        <f t="shared" si="16"/>
        <v/>
      </c>
      <c r="J14" s="30"/>
      <c r="K14" s="6">
        <v>0.25</v>
      </c>
      <c r="L14">
        <f>IF(AL26="","",AL26)</f>
        <v>0.9967046737433557</v>
      </c>
      <c r="M14">
        <f t="shared" ref="M14:Q14" si="17">IF(AM26="","",AM26)</f>
        <v>0.99681586098524488</v>
      </c>
      <c r="N14">
        <f t="shared" si="17"/>
        <v>0.99632682258590333</v>
      </c>
      <c r="O14">
        <f t="shared" si="17"/>
        <v>0.99530583673549577</v>
      </c>
      <c r="P14">
        <f t="shared" si="17"/>
        <v>0.99322596770379168</v>
      </c>
      <c r="Q14">
        <f t="shared" si="17"/>
        <v>0.99014435443608939</v>
      </c>
      <c r="S14" s="30"/>
      <c r="T14" s="6">
        <v>0.25</v>
      </c>
      <c r="U14">
        <f>IF(AL21="","",AL21)</f>
        <v>6.5799999999999999E-3</v>
      </c>
      <c r="V14">
        <f t="shared" ref="V14:Z14" si="18">IF(AM21="","",AM21)</f>
        <v>6.5799999999999999E-3</v>
      </c>
      <c r="W14">
        <f t="shared" si="18"/>
        <v>6.5799999999999999E-3</v>
      </c>
      <c r="X14">
        <f t="shared" si="18"/>
        <v>6.5799999999999999E-3</v>
      </c>
      <c r="Y14">
        <f t="shared" si="18"/>
        <v>6.5799999999999999E-3</v>
      </c>
      <c r="Z14">
        <f t="shared" si="18"/>
        <v>6.5799999999999999E-3</v>
      </c>
      <c r="AB14" s="30"/>
      <c r="AC14" s="6">
        <v>0.25</v>
      </c>
      <c r="AD14">
        <f>IF(AL23="","",AL23)</f>
        <v>8.1566237076445197E-5</v>
      </c>
      <c r="AE14">
        <f t="shared" ref="AE14:AI14" si="19">IF(AM23="","",AM23)</f>
        <v>1.3989465839462357E-6</v>
      </c>
      <c r="AF14">
        <f t="shared" si="19"/>
        <v>0</v>
      </c>
      <c r="AG14">
        <f t="shared" si="19"/>
        <v>0</v>
      </c>
      <c r="AH14">
        <f t="shared" si="19"/>
        <v>0</v>
      </c>
      <c r="AI14">
        <f t="shared" si="19"/>
        <v>0</v>
      </c>
    </row>
    <row r="15" spans="1:35" x14ac:dyDescent="0.35">
      <c r="A15" s="30"/>
      <c r="B15" s="6">
        <v>0.3</v>
      </c>
      <c r="C15">
        <f>IF(AU25="","",AU25)</f>
        <v>11.888830289367675</v>
      </c>
      <c r="D15">
        <f t="shared" ref="D15:I15" si="20">IF(AV25="","",AV25)</f>
        <v>11.927640179645827</v>
      </c>
      <c r="E15">
        <f t="shared" si="20"/>
        <v>11.925371884012616</v>
      </c>
      <c r="F15">
        <f t="shared" si="20"/>
        <v>11.920046185595158</v>
      </c>
      <c r="G15">
        <f t="shared" si="20"/>
        <v>11.912688691368093</v>
      </c>
      <c r="H15">
        <f t="shared" si="20"/>
        <v>11.901613007898897</v>
      </c>
      <c r="I15" t="str">
        <f t="shared" si="20"/>
        <v/>
      </c>
      <c r="J15" s="30"/>
      <c r="K15" s="6">
        <v>0.3</v>
      </c>
      <c r="L15">
        <f>IF(AU26="","",AU26)</f>
        <v>0.99677138311178781</v>
      </c>
      <c r="M15">
        <f t="shared" ref="M15:Q15" si="21">IF(AV26="","",AV26)</f>
        <v>0.9964379255368141</v>
      </c>
      <c r="N15">
        <f t="shared" si="21"/>
        <v>0.99523932338099586</v>
      </c>
      <c r="O15">
        <f t="shared" si="21"/>
        <v>0.99315973203262486</v>
      </c>
      <c r="P15">
        <f t="shared" si="21"/>
        <v>0.99029798087640009</v>
      </c>
      <c r="Q15">
        <f t="shared" si="21"/>
        <v>0.98601438261872498</v>
      </c>
      <c r="S15" s="30"/>
      <c r="T15" s="6">
        <v>0.3</v>
      </c>
      <c r="U15">
        <f>IF(AU21="","",AU21)</f>
        <v>6.5399999999999998E-3</v>
      </c>
      <c r="V15">
        <f t="shared" ref="V15:Z15" si="22">IF(AV21="","",AV21)</f>
        <v>6.5500000000000003E-3</v>
      </c>
      <c r="W15">
        <f t="shared" si="22"/>
        <v>6.5500000000000003E-3</v>
      </c>
      <c r="X15">
        <f t="shared" si="22"/>
        <v>6.5500000000000003E-3</v>
      </c>
      <c r="Y15">
        <f t="shared" si="22"/>
        <v>6.5500000000000003E-3</v>
      </c>
      <c r="Z15">
        <f t="shared" si="22"/>
        <v>6.5500000000000003E-3</v>
      </c>
      <c r="AB15" s="30"/>
      <c r="AC15" s="6">
        <v>0.3</v>
      </c>
      <c r="AD15">
        <f>IF(AU23="","",AU23)</f>
        <v>8.1566237076445197E-5</v>
      </c>
      <c r="AE15">
        <f t="shared" ref="AE15:AI15" si="23">IF(AV23="","",AV23)</f>
        <v>1.3989465839462357E-6</v>
      </c>
      <c r="AF15">
        <f t="shared" si="23"/>
        <v>0</v>
      </c>
      <c r="AG15">
        <f t="shared" si="23"/>
        <v>0</v>
      </c>
      <c r="AH15">
        <f t="shared" si="23"/>
        <v>0</v>
      </c>
      <c r="AI15">
        <f t="shared" si="23"/>
        <v>0</v>
      </c>
    </row>
    <row r="16" spans="1:35" x14ac:dyDescent="0.35">
      <c r="A16" s="30"/>
      <c r="B16" s="6">
        <v>0.35</v>
      </c>
      <c r="C16">
        <f t="shared" ref="C16" si="24">IF(BD25="","",BD25)</f>
        <v>11.848295208995218</v>
      </c>
      <c r="D16">
        <f t="shared" ref="D16" si="25">IF(BE25="","",BE25)</f>
        <v>11.891122032835241</v>
      </c>
      <c r="E16">
        <f t="shared" ref="E16:I16" si="26">IF(BF25="","",BF25)</f>
        <v>11.887234107753379</v>
      </c>
      <c r="F16">
        <f t="shared" si="26"/>
        <v>11.880142056891954</v>
      </c>
      <c r="G16">
        <f t="shared" si="26"/>
        <v>11.869969066305138</v>
      </c>
      <c r="H16">
        <f t="shared" si="26"/>
        <v>11.85600261512776</v>
      </c>
      <c r="I16" t="str">
        <f t="shared" si="26"/>
        <v/>
      </c>
      <c r="J16" s="30"/>
      <c r="K16" s="6">
        <v>0.35</v>
      </c>
      <c r="L16">
        <f>IF(BD26="","",BD26)</f>
        <v>0.9962823883425056</v>
      </c>
      <c r="M16">
        <f t="shared" ref="M16:Q16" si="27">IF(BE26="","",BE26)</f>
        <v>0.99541671208492255</v>
      </c>
      <c r="N16">
        <f t="shared" si="27"/>
        <v>0.99357937387905948</v>
      </c>
      <c r="O16">
        <f t="shared" si="27"/>
        <v>0.99080308928702165</v>
      </c>
      <c r="P16">
        <f t="shared" si="27"/>
        <v>0.98684197785085637</v>
      </c>
      <c r="Q16">
        <f t="shared" si="27"/>
        <v>0.98144418656985855</v>
      </c>
      <c r="S16" s="30"/>
      <c r="T16" s="6">
        <v>0.35</v>
      </c>
      <c r="U16">
        <f>IF(BD21="","",BD21)</f>
        <v>6.6100000000000004E-3</v>
      </c>
      <c r="V16">
        <f t="shared" ref="V16:Z16" si="28">IF(BE21="","",BE21)</f>
        <v>6.6100000000000004E-3</v>
      </c>
      <c r="W16">
        <f t="shared" si="28"/>
        <v>6.6100000000000004E-3</v>
      </c>
      <c r="X16">
        <f t="shared" si="28"/>
        <v>6.6100000000000004E-3</v>
      </c>
      <c r="Y16">
        <f t="shared" si="28"/>
        <v>6.6100000000000004E-3</v>
      </c>
      <c r="Z16">
        <f t="shared" si="28"/>
        <v>6.6100000000000004E-3</v>
      </c>
      <c r="AB16" s="30"/>
      <c r="AC16" s="6">
        <v>0.35</v>
      </c>
      <c r="AD16">
        <f>IF(BD23="","",BD23)</f>
        <v>8.1566237076445197E-5</v>
      </c>
      <c r="AE16">
        <f t="shared" ref="AE16:AI16" si="29">IF(BE23="","",BE23)</f>
        <v>1.3989465839462357E-6</v>
      </c>
      <c r="AF16">
        <f t="shared" si="29"/>
        <v>0</v>
      </c>
      <c r="AG16">
        <f t="shared" si="29"/>
        <v>0</v>
      </c>
      <c r="AH16">
        <f t="shared" si="29"/>
        <v>0</v>
      </c>
      <c r="AI16">
        <f t="shared" si="29"/>
        <v>0</v>
      </c>
    </row>
    <row r="18" spans="1:64" x14ac:dyDescent="0.35">
      <c r="A18" t="s">
        <v>233</v>
      </c>
      <c r="B18" s="11">
        <v>0.05</v>
      </c>
      <c r="C18">
        <v>0.05</v>
      </c>
      <c r="D18">
        <v>0.05</v>
      </c>
      <c r="E18">
        <v>0.05</v>
      </c>
      <c r="F18">
        <v>0.05</v>
      </c>
      <c r="G18">
        <v>0.05</v>
      </c>
      <c r="H18">
        <v>0.05</v>
      </c>
      <c r="I18">
        <v>0.05</v>
      </c>
      <c r="J18">
        <v>0.05</v>
      </c>
      <c r="K18">
        <v>0.1</v>
      </c>
      <c r="L18">
        <v>0.1</v>
      </c>
      <c r="M18">
        <v>0.1</v>
      </c>
      <c r="N18">
        <v>0.1</v>
      </c>
      <c r="O18">
        <v>0.1</v>
      </c>
      <c r="P18">
        <v>0.1</v>
      </c>
      <c r="Q18">
        <v>0.1</v>
      </c>
      <c r="R18">
        <v>0.1</v>
      </c>
      <c r="S18">
        <v>0.1</v>
      </c>
      <c r="T18">
        <v>0.15</v>
      </c>
      <c r="U18">
        <v>0.15</v>
      </c>
      <c r="V18">
        <v>0.15</v>
      </c>
      <c r="W18">
        <v>0.15</v>
      </c>
      <c r="X18">
        <v>0.15</v>
      </c>
      <c r="Y18">
        <v>0.15</v>
      </c>
      <c r="Z18">
        <v>0.15</v>
      </c>
      <c r="AA18">
        <v>0.15</v>
      </c>
      <c r="AB18">
        <v>0.15</v>
      </c>
      <c r="AC18">
        <v>0.2</v>
      </c>
      <c r="AD18">
        <v>0.2</v>
      </c>
      <c r="AE18">
        <v>0.2</v>
      </c>
      <c r="AF18">
        <v>0.2</v>
      </c>
      <c r="AG18">
        <v>0.2</v>
      </c>
      <c r="AH18">
        <v>0.2</v>
      </c>
      <c r="AI18">
        <v>0.2</v>
      </c>
      <c r="AJ18">
        <v>0.2</v>
      </c>
      <c r="AK18">
        <v>0.2</v>
      </c>
      <c r="AL18">
        <v>0.25</v>
      </c>
      <c r="AM18">
        <v>0.25</v>
      </c>
      <c r="AN18">
        <v>0.25</v>
      </c>
      <c r="AO18">
        <v>0.25</v>
      </c>
      <c r="AP18">
        <v>0.25</v>
      </c>
      <c r="AQ18">
        <v>0.25</v>
      </c>
      <c r="AR18">
        <v>0.25</v>
      </c>
      <c r="AS18">
        <v>0.25</v>
      </c>
      <c r="AT18">
        <v>0.25</v>
      </c>
      <c r="AU18">
        <v>0.3</v>
      </c>
      <c r="AV18">
        <v>0.3</v>
      </c>
      <c r="AW18">
        <v>0.3</v>
      </c>
      <c r="AX18">
        <v>0.3</v>
      </c>
      <c r="AY18">
        <v>0.3</v>
      </c>
      <c r="AZ18">
        <v>0.3</v>
      </c>
      <c r="BA18">
        <v>0.3</v>
      </c>
      <c r="BB18">
        <v>0.3</v>
      </c>
      <c r="BC18">
        <v>0.3</v>
      </c>
      <c r="BD18">
        <v>0.35</v>
      </c>
      <c r="BE18">
        <v>0.35</v>
      </c>
      <c r="BF18">
        <v>0.35</v>
      </c>
      <c r="BG18">
        <v>0.35</v>
      </c>
      <c r="BH18">
        <v>0.35</v>
      </c>
      <c r="BI18">
        <v>0.35</v>
      </c>
      <c r="BJ18">
        <v>0.35</v>
      </c>
      <c r="BK18">
        <v>0.35</v>
      </c>
      <c r="BL18">
        <v>0.35</v>
      </c>
    </row>
    <row r="19" spans="1:64" x14ac:dyDescent="0.35">
      <c r="A19" s="8" t="s">
        <v>236</v>
      </c>
      <c r="B19" s="20">
        <v>20</v>
      </c>
      <c r="C19" s="8">
        <v>25</v>
      </c>
      <c r="D19" s="8">
        <v>30</v>
      </c>
      <c r="E19" s="8">
        <v>35</v>
      </c>
      <c r="F19" s="8">
        <v>40</v>
      </c>
      <c r="G19" s="8">
        <v>45</v>
      </c>
      <c r="H19" s="8">
        <v>50</v>
      </c>
      <c r="I19" s="8">
        <v>55</v>
      </c>
      <c r="J19" s="8">
        <v>60</v>
      </c>
      <c r="K19" s="8">
        <v>20</v>
      </c>
      <c r="L19" s="8">
        <v>25</v>
      </c>
      <c r="M19" s="8">
        <v>30</v>
      </c>
      <c r="N19" s="8">
        <v>35</v>
      </c>
      <c r="O19" s="8">
        <v>40</v>
      </c>
      <c r="P19" s="8">
        <v>45</v>
      </c>
      <c r="Q19" s="8">
        <v>50</v>
      </c>
      <c r="R19" s="8">
        <v>55</v>
      </c>
      <c r="S19" s="8">
        <v>60</v>
      </c>
      <c r="T19" s="8">
        <v>20</v>
      </c>
      <c r="U19" s="8">
        <v>25</v>
      </c>
      <c r="V19" s="8">
        <v>30</v>
      </c>
      <c r="W19" s="8">
        <v>35</v>
      </c>
      <c r="X19" s="8">
        <v>40</v>
      </c>
      <c r="Y19" s="8">
        <v>45</v>
      </c>
      <c r="Z19" s="8">
        <v>50</v>
      </c>
      <c r="AA19" s="8">
        <v>55</v>
      </c>
      <c r="AB19" s="8">
        <v>60</v>
      </c>
      <c r="AC19" s="8">
        <v>20</v>
      </c>
      <c r="AD19" s="8">
        <v>25</v>
      </c>
      <c r="AE19" s="8">
        <v>30</v>
      </c>
      <c r="AF19" s="8">
        <v>35</v>
      </c>
      <c r="AG19" s="8">
        <v>40</v>
      </c>
      <c r="AH19" s="8">
        <v>45</v>
      </c>
      <c r="AI19" s="8">
        <v>50</v>
      </c>
      <c r="AJ19" s="8">
        <v>55</v>
      </c>
      <c r="AK19" s="8">
        <v>60</v>
      </c>
      <c r="AL19" s="8">
        <v>20</v>
      </c>
      <c r="AM19" s="8">
        <v>25</v>
      </c>
      <c r="AN19" s="8">
        <v>30</v>
      </c>
      <c r="AO19" s="8">
        <v>35</v>
      </c>
      <c r="AP19" s="8">
        <v>40</v>
      </c>
      <c r="AQ19" s="8">
        <v>45</v>
      </c>
      <c r="AR19" s="8">
        <v>50</v>
      </c>
      <c r="AS19" s="8">
        <v>55</v>
      </c>
      <c r="AT19" s="8">
        <v>60</v>
      </c>
      <c r="AU19" s="8">
        <v>20</v>
      </c>
      <c r="AV19" s="8">
        <v>25</v>
      </c>
      <c r="AW19" s="8">
        <v>30</v>
      </c>
      <c r="AX19" s="8">
        <v>35</v>
      </c>
      <c r="AY19" s="8">
        <v>40</v>
      </c>
      <c r="AZ19" s="8">
        <v>45</v>
      </c>
      <c r="BA19" s="8">
        <v>50</v>
      </c>
      <c r="BB19" s="8">
        <v>55</v>
      </c>
      <c r="BC19" s="8">
        <v>60</v>
      </c>
      <c r="BD19" s="8">
        <v>20</v>
      </c>
      <c r="BE19" s="8">
        <v>25</v>
      </c>
      <c r="BF19" s="8">
        <v>30</v>
      </c>
      <c r="BG19" s="8">
        <v>35</v>
      </c>
      <c r="BH19" s="8">
        <v>40</v>
      </c>
      <c r="BI19" s="8">
        <v>45</v>
      </c>
      <c r="BJ19" s="8">
        <v>50</v>
      </c>
      <c r="BK19" s="8">
        <v>55</v>
      </c>
      <c r="BL19" s="8">
        <v>60</v>
      </c>
    </row>
    <row r="20" spans="1:64" x14ac:dyDescent="0.35">
      <c r="A20" t="s">
        <v>139</v>
      </c>
      <c r="B20" s="11">
        <v>4.5802999999999998E-3</v>
      </c>
      <c r="C20">
        <v>4.5624999999999997E-3</v>
      </c>
      <c r="D20">
        <v>4.5484000000000002E-3</v>
      </c>
      <c r="E20">
        <v>4.5351999999999996E-3</v>
      </c>
      <c r="F20">
        <v>4.5259999999999996E-3</v>
      </c>
      <c r="G20">
        <v>4.5196000000000004E-3</v>
      </c>
      <c r="K20">
        <v>4.5275000000000003E-3</v>
      </c>
      <c r="L20">
        <v>4.5148999999999996E-3</v>
      </c>
      <c r="M20">
        <v>4.5046000000000001E-3</v>
      </c>
      <c r="N20">
        <v>4.4974000000000004E-3</v>
      </c>
      <c r="O20">
        <v>4.4926000000000002E-3</v>
      </c>
      <c r="P20">
        <v>4.4904999999999997E-3</v>
      </c>
      <c r="T20">
        <v>4.5018999999999997E-3</v>
      </c>
      <c r="U20">
        <v>4.4936999999999998E-3</v>
      </c>
      <c r="V20">
        <v>4.4872999999999996E-3</v>
      </c>
      <c r="W20">
        <v>4.4849E-3</v>
      </c>
      <c r="X20">
        <v>4.4847000000000003E-3</v>
      </c>
      <c r="Y20">
        <v>4.4875999999999996E-3</v>
      </c>
      <c r="AC20">
        <v>4.4884E-3</v>
      </c>
      <c r="AD20">
        <v>4.4844999999999998E-3</v>
      </c>
      <c r="AE20">
        <v>4.483E-3</v>
      </c>
      <c r="AF20">
        <v>4.4844999999999998E-3</v>
      </c>
      <c r="AG20">
        <v>4.4888000000000003E-3</v>
      </c>
      <c r="AH20">
        <v>4.4973000000000001E-3</v>
      </c>
      <c r="AL20">
        <v>4.4825999999999998E-3</v>
      </c>
      <c r="AM20">
        <v>4.4821000000000001E-3</v>
      </c>
      <c r="AN20">
        <v>4.4843000000000001E-3</v>
      </c>
      <c r="AO20">
        <v>4.4888999999999997E-3</v>
      </c>
      <c r="AP20">
        <v>4.4983000000000002E-3</v>
      </c>
      <c r="AQ20">
        <v>4.5123000000000003E-3</v>
      </c>
      <c r="AU20">
        <v>4.4822999999999998E-3</v>
      </c>
      <c r="AV20">
        <v>4.4837999999999996E-3</v>
      </c>
      <c r="AW20">
        <v>4.4891999999999996E-3</v>
      </c>
      <c r="AX20">
        <v>4.4986000000000002E-3</v>
      </c>
      <c r="AY20">
        <v>4.5116000000000002E-3</v>
      </c>
      <c r="AZ20">
        <v>4.5312E-3</v>
      </c>
      <c r="BD20">
        <v>4.4844999999999998E-3</v>
      </c>
      <c r="BE20">
        <v>4.4884E-3</v>
      </c>
      <c r="BF20">
        <v>4.4967000000000002E-3</v>
      </c>
      <c r="BG20">
        <v>4.5092999999999999E-3</v>
      </c>
      <c r="BH20">
        <v>4.5274E-3</v>
      </c>
      <c r="BI20">
        <v>4.5522999999999996E-3</v>
      </c>
    </row>
    <row r="21" spans="1:64" x14ac:dyDescent="0.35">
      <c r="A21" t="s">
        <v>136</v>
      </c>
      <c r="B21" s="11">
        <v>6.4799999999999996E-3</v>
      </c>
      <c r="C21">
        <v>6.4799999999999996E-3</v>
      </c>
      <c r="D21">
        <v>6.4799999999999996E-3</v>
      </c>
      <c r="E21">
        <v>6.4799999999999996E-3</v>
      </c>
      <c r="F21">
        <v>6.4799999999999996E-3</v>
      </c>
      <c r="G21">
        <v>6.4900000000000001E-3</v>
      </c>
      <c r="K21">
        <v>6.4900000000000001E-3</v>
      </c>
      <c r="L21">
        <v>6.4900000000000001E-3</v>
      </c>
      <c r="M21">
        <v>6.4900000000000001E-3</v>
      </c>
      <c r="N21">
        <v>6.4999999999999997E-3</v>
      </c>
      <c r="O21">
        <v>6.4999999999999997E-3</v>
      </c>
      <c r="P21">
        <v>6.4999999999999997E-3</v>
      </c>
      <c r="T21">
        <v>6.5300000000000002E-3</v>
      </c>
      <c r="U21">
        <v>6.5300000000000002E-3</v>
      </c>
      <c r="V21">
        <v>6.5300000000000002E-3</v>
      </c>
      <c r="W21">
        <v>6.5300000000000002E-3</v>
      </c>
      <c r="X21">
        <v>6.5399999999999998E-3</v>
      </c>
      <c r="Y21">
        <v>6.5399999999999998E-3</v>
      </c>
      <c r="AC21">
        <v>6.5100000000000002E-3</v>
      </c>
      <c r="AD21">
        <v>6.5100000000000002E-3</v>
      </c>
      <c r="AE21">
        <v>6.5100000000000002E-3</v>
      </c>
      <c r="AF21">
        <v>6.5100000000000002E-3</v>
      </c>
      <c r="AG21">
        <v>6.5100000000000002E-3</v>
      </c>
      <c r="AH21">
        <v>6.5100000000000002E-3</v>
      </c>
      <c r="AL21">
        <v>6.5799999999999999E-3</v>
      </c>
      <c r="AM21">
        <v>6.5799999999999999E-3</v>
      </c>
      <c r="AN21">
        <v>6.5799999999999999E-3</v>
      </c>
      <c r="AO21">
        <v>6.5799999999999999E-3</v>
      </c>
      <c r="AP21">
        <v>6.5799999999999999E-3</v>
      </c>
      <c r="AQ21">
        <v>6.5799999999999999E-3</v>
      </c>
      <c r="AU21">
        <v>6.5399999999999998E-3</v>
      </c>
      <c r="AV21">
        <v>6.5500000000000003E-3</v>
      </c>
      <c r="AW21">
        <v>6.5500000000000003E-3</v>
      </c>
      <c r="AX21">
        <v>6.5500000000000003E-3</v>
      </c>
      <c r="AY21">
        <v>6.5500000000000003E-3</v>
      </c>
      <c r="AZ21">
        <v>6.5500000000000003E-3</v>
      </c>
      <c r="BD21">
        <v>6.6100000000000004E-3</v>
      </c>
      <c r="BE21">
        <v>6.6100000000000004E-3</v>
      </c>
      <c r="BF21">
        <v>6.6100000000000004E-3</v>
      </c>
      <c r="BG21">
        <v>6.6100000000000004E-3</v>
      </c>
      <c r="BH21">
        <v>6.6100000000000004E-3</v>
      </c>
      <c r="BI21">
        <v>6.6100000000000004E-3</v>
      </c>
    </row>
    <row r="22" spans="1:64" x14ac:dyDescent="0.35">
      <c r="A22" t="s">
        <v>252</v>
      </c>
      <c r="B22" s="11">
        <v>0.01</v>
      </c>
      <c r="C22">
        <v>0.01</v>
      </c>
      <c r="D22">
        <v>0.01</v>
      </c>
      <c r="E22">
        <v>0.01</v>
      </c>
      <c r="F22">
        <v>0.01</v>
      </c>
      <c r="G22">
        <v>0.01</v>
      </c>
      <c r="K22">
        <v>0.01</v>
      </c>
      <c r="L22">
        <v>0.01</v>
      </c>
      <c r="M22">
        <v>0.01</v>
      </c>
      <c r="N22">
        <v>0.01</v>
      </c>
      <c r="O22">
        <v>0.01</v>
      </c>
      <c r="P22">
        <v>0.01</v>
      </c>
      <c r="T22">
        <v>0.01</v>
      </c>
      <c r="U22">
        <v>0.01</v>
      </c>
      <c r="V22">
        <v>0.01</v>
      </c>
      <c r="W22">
        <v>0.01</v>
      </c>
      <c r="X22">
        <v>0.01</v>
      </c>
      <c r="Y22">
        <v>0.01</v>
      </c>
      <c r="AC22">
        <v>0.01</v>
      </c>
      <c r="AD22">
        <v>0.01</v>
      </c>
      <c r="AE22">
        <v>0.01</v>
      </c>
      <c r="AF22">
        <v>0.01</v>
      </c>
      <c r="AG22">
        <v>0.01</v>
      </c>
      <c r="AH22">
        <v>0.01</v>
      </c>
      <c r="AL22">
        <v>0.01</v>
      </c>
      <c r="AM22">
        <v>0.01</v>
      </c>
      <c r="AN22">
        <v>0.01</v>
      </c>
      <c r="AO22">
        <v>0.01</v>
      </c>
      <c r="AP22">
        <v>0.01</v>
      </c>
      <c r="AQ22">
        <v>0.01</v>
      </c>
      <c r="AU22">
        <v>0.01</v>
      </c>
      <c r="AV22">
        <v>0.01</v>
      </c>
      <c r="AW22">
        <v>0.01</v>
      </c>
      <c r="AX22">
        <v>0.01</v>
      </c>
      <c r="AY22">
        <v>0.01</v>
      </c>
      <c r="AZ22">
        <v>0.01</v>
      </c>
      <c r="BD22">
        <v>0.01</v>
      </c>
      <c r="BE22">
        <v>0.01</v>
      </c>
      <c r="BF22">
        <v>0.01</v>
      </c>
      <c r="BG22">
        <v>0.01</v>
      </c>
      <c r="BH22">
        <v>0.01</v>
      </c>
      <c r="BI22">
        <v>0.01</v>
      </c>
    </row>
    <row r="23" spans="1:64" x14ac:dyDescent="0.35">
      <c r="A23" t="s">
        <v>258</v>
      </c>
      <c r="B23" s="11">
        <v>8.1566237076445197E-5</v>
      </c>
      <c r="C23">
        <v>1.3989465839462357E-6</v>
      </c>
      <c r="D23">
        <v>0</v>
      </c>
      <c r="E23">
        <v>0</v>
      </c>
      <c r="F23">
        <v>0</v>
      </c>
      <c r="G23">
        <v>0</v>
      </c>
      <c r="K23">
        <v>8.1566237076445197E-5</v>
      </c>
      <c r="L23">
        <v>1.3989465839462357E-6</v>
      </c>
      <c r="M23">
        <v>0</v>
      </c>
      <c r="N23">
        <v>0</v>
      </c>
      <c r="O23">
        <v>0</v>
      </c>
      <c r="P23">
        <v>0</v>
      </c>
      <c r="T23">
        <v>8.1566237076445197E-5</v>
      </c>
      <c r="U23">
        <v>1.3989465839462357E-6</v>
      </c>
      <c r="V23">
        <v>0</v>
      </c>
      <c r="W23">
        <v>0</v>
      </c>
      <c r="X23">
        <v>0</v>
      </c>
      <c r="Y23">
        <v>0</v>
      </c>
      <c r="AC23">
        <v>8.1566237076445197E-5</v>
      </c>
      <c r="AD23">
        <v>1.3989465839462357E-6</v>
      </c>
      <c r="AE23">
        <v>0</v>
      </c>
      <c r="AF23">
        <v>0</v>
      </c>
      <c r="AG23">
        <v>0</v>
      </c>
      <c r="AH23">
        <v>0</v>
      </c>
      <c r="AL23">
        <v>8.1566237076445197E-5</v>
      </c>
      <c r="AM23">
        <v>1.3989465839462357E-6</v>
      </c>
      <c r="AN23">
        <v>0</v>
      </c>
      <c r="AO23">
        <v>0</v>
      </c>
      <c r="AP23">
        <v>0</v>
      </c>
      <c r="AQ23">
        <v>0</v>
      </c>
      <c r="AU23">
        <v>8.1566237076445197E-5</v>
      </c>
      <c r="AV23">
        <v>1.3989465839462357E-6</v>
      </c>
      <c r="AW23">
        <v>0</v>
      </c>
      <c r="AX23">
        <v>0</v>
      </c>
      <c r="AY23">
        <v>0</v>
      </c>
      <c r="AZ23">
        <v>0</v>
      </c>
      <c r="BD23">
        <v>8.1566237076445197E-5</v>
      </c>
      <c r="BE23">
        <v>1.3989465839462357E-6</v>
      </c>
      <c r="BF23">
        <v>0</v>
      </c>
      <c r="BG23">
        <v>0</v>
      </c>
      <c r="BH23">
        <v>0</v>
      </c>
      <c r="BI23">
        <v>0</v>
      </c>
    </row>
    <row r="24" spans="1:64" x14ac:dyDescent="0.35">
      <c r="A24" t="s">
        <v>232</v>
      </c>
      <c r="B24" s="11">
        <v>2.1141866237076441E-2</v>
      </c>
      <c r="C24">
        <v>2.1043898946583945E-2</v>
      </c>
      <c r="D24">
        <v>2.1028400000000003E-2</v>
      </c>
      <c r="E24">
        <v>2.1015199999999998E-2</v>
      </c>
      <c r="F24">
        <v>2.1005999999999997E-2</v>
      </c>
      <c r="G24">
        <v>2.1009600000000003E-2</v>
      </c>
      <c r="K24">
        <v>2.1099066237076445E-2</v>
      </c>
      <c r="L24">
        <v>2.1006298946583946E-2</v>
      </c>
      <c r="M24">
        <v>2.0994600000000002E-2</v>
      </c>
      <c r="N24">
        <v>2.0997399999999999E-2</v>
      </c>
      <c r="O24">
        <v>2.09926E-2</v>
      </c>
      <c r="P24">
        <v>2.0990500000000002E-2</v>
      </c>
      <c r="T24">
        <v>2.1113466237076443E-2</v>
      </c>
      <c r="U24">
        <v>2.1025098946583946E-2</v>
      </c>
      <c r="V24">
        <v>2.1017300000000003E-2</v>
      </c>
      <c r="W24">
        <v>2.1014900000000003E-2</v>
      </c>
      <c r="X24">
        <v>2.10247E-2</v>
      </c>
      <c r="Y24">
        <v>2.10276E-2</v>
      </c>
      <c r="AC24">
        <v>2.1079966237076444E-2</v>
      </c>
      <c r="AD24">
        <v>2.0995898946583946E-2</v>
      </c>
      <c r="AE24">
        <v>2.0992999999999998E-2</v>
      </c>
      <c r="AF24">
        <v>2.0994499999999999E-2</v>
      </c>
      <c r="AG24">
        <v>2.0998799999999998E-2</v>
      </c>
      <c r="AH24">
        <v>2.10073E-2</v>
      </c>
      <c r="AL24">
        <v>2.1144166237076444E-2</v>
      </c>
      <c r="AM24">
        <v>2.1063498946583947E-2</v>
      </c>
      <c r="AN24">
        <v>2.1064300000000001E-2</v>
      </c>
      <c r="AO24">
        <v>2.1068900000000002E-2</v>
      </c>
      <c r="AP24">
        <v>2.1078300000000001E-2</v>
      </c>
      <c r="AQ24">
        <v>2.1092300000000001E-2</v>
      </c>
      <c r="AU24">
        <v>2.1103866237076444E-2</v>
      </c>
      <c r="AV24">
        <v>2.1035198946583945E-2</v>
      </c>
      <c r="AW24">
        <v>2.1039200000000001E-2</v>
      </c>
      <c r="AX24">
        <v>2.1048600000000001E-2</v>
      </c>
      <c r="AY24">
        <v>2.10616E-2</v>
      </c>
      <c r="AZ24">
        <v>2.1081200000000001E-2</v>
      </c>
      <c r="BD24">
        <v>2.1176066237076446E-2</v>
      </c>
      <c r="BE24">
        <v>2.109979894658395E-2</v>
      </c>
      <c r="BF24">
        <v>2.1106699999999999E-2</v>
      </c>
      <c r="BG24">
        <v>2.1119300000000001E-2</v>
      </c>
      <c r="BH24">
        <v>2.1137400000000001E-2</v>
      </c>
      <c r="BI24">
        <v>2.1162300000000002E-2</v>
      </c>
    </row>
    <row r="25" spans="1:64" x14ac:dyDescent="0.35">
      <c r="A25" s="6" t="s">
        <v>251</v>
      </c>
      <c r="B25">
        <v>11.867461525327172</v>
      </c>
      <c r="C25">
        <v>11.922709036903395</v>
      </c>
      <c r="D25">
        <v>11.931496649394067</v>
      </c>
      <c r="E25">
        <v>11.938991022789137</v>
      </c>
      <c r="F25">
        <v>11.944219943926415</v>
      </c>
      <c r="G25">
        <v>11.942173298973717</v>
      </c>
      <c r="K25">
        <v>11.89153497708929</v>
      </c>
      <c r="L25">
        <v>11.944049962352828</v>
      </c>
      <c r="M25">
        <v>11.950705616783278</v>
      </c>
      <c r="N25">
        <v>11.949111992061791</v>
      </c>
      <c r="O25">
        <v>11.951844180431115</v>
      </c>
      <c r="P25">
        <v>11.953039905772526</v>
      </c>
      <c r="T25">
        <v>11.883424603276326</v>
      </c>
      <c r="U25">
        <v>11.933369958426916</v>
      </c>
      <c r="V25">
        <v>11.937798106422719</v>
      </c>
      <c r="W25">
        <v>11.939161458875283</v>
      </c>
      <c r="X25">
        <v>11.933596395768703</v>
      </c>
      <c r="Y25">
        <v>11.931950585997367</v>
      </c>
      <c r="AC25">
        <v>11.902309582489886</v>
      </c>
      <c r="AD25">
        <v>11.949966266290302</v>
      </c>
      <c r="AE25">
        <v>11.951616450346224</v>
      </c>
      <c r="AF25">
        <v>11.950762539813677</v>
      </c>
      <c r="AG25">
        <v>11.948315339072625</v>
      </c>
      <c r="AH25">
        <v>11.943480796776274</v>
      </c>
      <c r="AL25">
        <v>11.86617061788716</v>
      </c>
      <c r="AM25">
        <v>11.911614721675145</v>
      </c>
      <c r="AN25">
        <v>11.911161735358792</v>
      </c>
      <c r="AO25">
        <v>11.908561156117226</v>
      </c>
      <c r="AP25">
        <v>11.903250458628932</v>
      </c>
      <c r="AQ25">
        <v>11.895349684108334</v>
      </c>
      <c r="AU25">
        <v>11.888830289367675</v>
      </c>
      <c r="AV25">
        <v>11.927640179645827</v>
      </c>
      <c r="AW25">
        <v>11.925371884012616</v>
      </c>
      <c r="AX25">
        <v>11.920046185595158</v>
      </c>
      <c r="AY25">
        <v>11.912688691368093</v>
      </c>
      <c r="AZ25">
        <v>11.901613007898897</v>
      </c>
      <c r="BD25">
        <v>11.848295208995218</v>
      </c>
      <c r="BE25">
        <v>11.891122032835241</v>
      </c>
      <c r="BF25">
        <v>11.887234107753379</v>
      </c>
      <c r="BG25">
        <v>11.880142056891954</v>
      </c>
      <c r="BH25">
        <v>11.869969066305138</v>
      </c>
      <c r="BI25">
        <v>11.85600261512776</v>
      </c>
    </row>
    <row r="26" spans="1:64" x14ac:dyDescent="0.35">
      <c r="A26" s="6" t="s">
        <v>143</v>
      </c>
      <c r="B26">
        <v>0.97544448409972417</v>
      </c>
      <c r="C26">
        <v>0.97925005381303376</v>
      </c>
      <c r="D26">
        <v>0.98228572036803397</v>
      </c>
      <c r="E26">
        <v>0.98514472802124875</v>
      </c>
      <c r="F26">
        <v>0.98714723166636476</v>
      </c>
      <c r="G26">
        <v>0.98854508596379453</v>
      </c>
      <c r="K26">
        <v>0.98682018123069393</v>
      </c>
      <c r="L26">
        <v>0.98957415901170942</v>
      </c>
      <c r="M26">
        <v>0.99183687131420473</v>
      </c>
      <c r="N26">
        <v>0.99342472773646251</v>
      </c>
      <c r="O26">
        <v>0.99448612619017196</v>
      </c>
      <c r="P26">
        <v>0.9949512015414691</v>
      </c>
      <c r="T26">
        <v>0.99243172227769771</v>
      </c>
      <c r="U26">
        <v>0.99424268876915833</v>
      </c>
      <c r="V26">
        <v>0.99566072482828571</v>
      </c>
      <c r="W26">
        <v>0.99619353174473591</v>
      </c>
      <c r="X26">
        <v>0.99623795806229309</v>
      </c>
      <c r="Y26">
        <v>0.99559416403466605</v>
      </c>
      <c r="AC26">
        <v>0.99541671208492255</v>
      </c>
      <c r="AD26">
        <v>0.9962823883425056</v>
      </c>
      <c r="AE26">
        <v>0.99661574180726453</v>
      </c>
      <c r="AF26">
        <v>0.9962823883425056</v>
      </c>
      <c r="AG26">
        <v>0.99532800982934555</v>
      </c>
      <c r="AH26">
        <v>0.9934468170951386</v>
      </c>
      <c r="AL26">
        <v>0.9967046737433557</v>
      </c>
      <c r="AM26">
        <v>0.99681586098524488</v>
      </c>
      <c r="AN26">
        <v>0.99632682258590333</v>
      </c>
      <c r="AO26">
        <v>0.99530583673549577</v>
      </c>
      <c r="AP26">
        <v>0.99322596770379168</v>
      </c>
      <c r="AQ26">
        <v>0.99014435443608939</v>
      </c>
      <c r="AU26">
        <v>0.99677138311178781</v>
      </c>
      <c r="AV26">
        <v>0.9964379255368141</v>
      </c>
      <c r="AW26">
        <v>0.99523932338099586</v>
      </c>
      <c r="AX26">
        <v>0.99315973203262486</v>
      </c>
      <c r="AY26">
        <v>0.99029798087640009</v>
      </c>
      <c r="AZ26">
        <v>0.98601438261872498</v>
      </c>
      <c r="BD26">
        <v>0.9962823883425056</v>
      </c>
      <c r="BE26">
        <v>0.99541671208492255</v>
      </c>
      <c r="BF26">
        <v>0.99357937387905948</v>
      </c>
      <c r="BG26">
        <v>0.99080308928702165</v>
      </c>
      <c r="BH26">
        <v>0.98684197785085637</v>
      </c>
      <c r="BI26">
        <v>0.98144418656985855</v>
      </c>
    </row>
  </sheetData>
  <mergeCells count="8">
    <mergeCell ref="U8:Z8"/>
    <mergeCell ref="S10:S16"/>
    <mergeCell ref="AD8:AI8"/>
    <mergeCell ref="AB10:AB16"/>
    <mergeCell ref="A10:A16"/>
    <mergeCell ref="C8:H8"/>
    <mergeCell ref="L8:Q8"/>
    <mergeCell ref="J10:J16"/>
  </mergeCells>
  <conditionalFormatting sqref="C10:I1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0:Q1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0:Z1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0:AI1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5969C-0496-4074-AEBD-6C779141CFF4}">
  <sheetPr codeName="Sheet35"/>
  <dimension ref="A1:BL26"/>
  <sheetViews>
    <sheetView topLeftCell="W1" zoomScale="98" workbookViewId="0">
      <selection activeCell="G16" sqref="G16"/>
    </sheetView>
  </sheetViews>
  <sheetFormatPr defaultRowHeight="14.5" x14ac:dyDescent="0.35"/>
  <cols>
    <col min="1" max="1" width="9.90625" bestFit="1" customWidth="1"/>
    <col min="30" max="30" width="8.7265625" customWidth="1"/>
  </cols>
  <sheetData>
    <row r="1" spans="1:35" x14ac:dyDescent="0.35">
      <c r="B1" t="s">
        <v>51</v>
      </c>
      <c r="C1" t="s">
        <v>53</v>
      </c>
      <c r="D1" t="s">
        <v>237</v>
      </c>
      <c r="E1" t="s">
        <v>264</v>
      </c>
    </row>
    <row r="2" spans="1:35" x14ac:dyDescent="0.35">
      <c r="A2" t="s">
        <v>56</v>
      </c>
      <c r="B2">
        <v>0.05</v>
      </c>
      <c r="C2">
        <v>0.35</v>
      </c>
      <c r="D2">
        <v>0.05</v>
      </c>
      <c r="E2">
        <f>(C2-B2)/D2</f>
        <v>5.9999999999999991</v>
      </c>
      <c r="G2" t="s">
        <v>279</v>
      </c>
    </row>
    <row r="3" spans="1:35" x14ac:dyDescent="0.35">
      <c r="A3" t="s">
        <v>236</v>
      </c>
      <c r="B3">
        <v>20</v>
      </c>
      <c r="C3">
        <v>60</v>
      </c>
      <c r="D3">
        <v>5</v>
      </c>
      <c r="E3">
        <f>(C3-B3)/D3</f>
        <v>8</v>
      </c>
      <c r="G3" t="s">
        <v>265</v>
      </c>
    </row>
    <row r="4" spans="1:35" x14ac:dyDescent="0.35">
      <c r="E4">
        <f>E2*E3</f>
        <v>47.999999999999993</v>
      </c>
      <c r="G4" t="s">
        <v>280</v>
      </c>
    </row>
    <row r="6" spans="1:35" x14ac:dyDescent="0.35">
      <c r="A6" t="s">
        <v>262</v>
      </c>
    </row>
    <row r="8" spans="1:35" x14ac:dyDescent="0.35">
      <c r="A8" t="s">
        <v>251</v>
      </c>
      <c r="B8" s="6"/>
      <c r="C8" s="31" t="s">
        <v>236</v>
      </c>
      <c r="D8" s="28"/>
      <c r="E8" s="28"/>
      <c r="F8" s="28"/>
      <c r="G8" s="28"/>
      <c r="H8" s="28"/>
      <c r="J8" t="s">
        <v>143</v>
      </c>
      <c r="K8" s="6"/>
      <c r="L8" s="31" t="s">
        <v>236</v>
      </c>
      <c r="M8" s="28"/>
      <c r="N8" s="28"/>
      <c r="O8" s="28"/>
      <c r="P8" s="28"/>
      <c r="Q8" s="28"/>
      <c r="S8" t="s">
        <v>267</v>
      </c>
      <c r="T8" s="6"/>
      <c r="U8" s="31" t="s">
        <v>236</v>
      </c>
      <c r="V8" s="28"/>
      <c r="W8" s="28"/>
      <c r="X8" s="28"/>
      <c r="Y8" s="28"/>
      <c r="Z8" s="28"/>
      <c r="AB8" t="s">
        <v>258</v>
      </c>
      <c r="AC8" s="6"/>
      <c r="AD8" s="31" t="s">
        <v>236</v>
      </c>
      <c r="AE8" s="28"/>
      <c r="AF8" s="28"/>
      <c r="AG8" s="28"/>
      <c r="AH8" s="28"/>
      <c r="AI8" s="28"/>
    </row>
    <row r="9" spans="1:35" x14ac:dyDescent="0.35">
      <c r="A9" s="8"/>
      <c r="B9" s="7"/>
      <c r="C9" s="20">
        <v>20</v>
      </c>
      <c r="D9" s="8">
        <v>25</v>
      </c>
      <c r="E9" s="8">
        <v>30</v>
      </c>
      <c r="F9" s="8">
        <v>35</v>
      </c>
      <c r="G9" s="8">
        <v>40</v>
      </c>
      <c r="H9" s="8">
        <v>45</v>
      </c>
      <c r="J9" s="8"/>
      <c r="K9" s="7"/>
      <c r="L9" s="20">
        <v>20</v>
      </c>
      <c r="M9" s="8">
        <v>25</v>
      </c>
      <c r="N9" s="8">
        <v>30</v>
      </c>
      <c r="O9" s="8">
        <v>35</v>
      </c>
      <c r="P9" s="8">
        <v>40</v>
      </c>
      <c r="Q9" s="8">
        <v>45</v>
      </c>
      <c r="S9" s="8"/>
      <c r="T9" s="7"/>
      <c r="U9" s="20">
        <v>20</v>
      </c>
      <c r="V9" s="8">
        <v>25</v>
      </c>
      <c r="W9" s="8">
        <v>30</v>
      </c>
      <c r="X9" s="8">
        <v>35</v>
      </c>
      <c r="Y9" s="8">
        <v>40</v>
      </c>
      <c r="Z9" s="8">
        <v>45</v>
      </c>
      <c r="AB9" s="8"/>
      <c r="AC9" s="7"/>
      <c r="AD9" s="20">
        <v>20</v>
      </c>
      <c r="AE9" s="8">
        <v>25</v>
      </c>
      <c r="AF9" s="8">
        <v>30</v>
      </c>
      <c r="AG9" s="8">
        <v>35</v>
      </c>
      <c r="AH9" s="8">
        <v>40</v>
      </c>
      <c r="AI9" s="8">
        <v>45</v>
      </c>
    </row>
    <row r="10" spans="1:35" ht="14.5" customHeight="1" x14ac:dyDescent="0.35">
      <c r="A10" s="29" t="s">
        <v>56</v>
      </c>
      <c r="B10" s="6">
        <v>0.05</v>
      </c>
      <c r="C10">
        <f>IF(B25="","",B25)</f>
        <v>11.07588</v>
      </c>
      <c r="D10">
        <f t="shared" ref="D10:H10" si="0">IF(C25="","",C25)</f>
        <v>11.12546</v>
      </c>
      <c r="E10">
        <f t="shared" si="0"/>
        <v>11.133570000000001</v>
      </c>
      <c r="F10">
        <f t="shared" si="0"/>
        <v>11.14001</v>
      </c>
      <c r="G10">
        <f t="shared" si="0"/>
        <v>11.1448</v>
      </c>
      <c r="H10">
        <f t="shared" si="0"/>
        <v>11.14831</v>
      </c>
      <c r="J10" s="29" t="s">
        <v>56</v>
      </c>
      <c r="K10" s="6">
        <v>0.05</v>
      </c>
      <c r="L10">
        <f>IF(B26="","",B26)</f>
        <v>0.97696400000000005</v>
      </c>
      <c r="M10">
        <f t="shared" ref="M10:Q10" si="1">IF(C26="","",C26)</f>
        <v>0.98063599999999995</v>
      </c>
      <c r="N10">
        <f t="shared" si="1"/>
        <v>0.98352799999999996</v>
      </c>
      <c r="O10">
        <f t="shared" si="1"/>
        <v>0.98607</v>
      </c>
      <c r="P10">
        <f t="shared" si="1"/>
        <v>0.98796600000000001</v>
      </c>
      <c r="Q10">
        <f t="shared" si="1"/>
        <v>0.98936400000000002</v>
      </c>
      <c r="S10" s="29" t="s">
        <v>56</v>
      </c>
      <c r="T10" s="6">
        <v>0.05</v>
      </c>
      <c r="U10">
        <f>IF(B21="","",B21)</f>
        <v>7.7200000000000003E-3</v>
      </c>
      <c r="V10">
        <f t="shared" ref="V10:Z10" si="2">IF(C21="","",C21)</f>
        <v>7.7200000000000003E-3</v>
      </c>
      <c r="W10">
        <f t="shared" si="2"/>
        <v>7.7200000000000003E-3</v>
      </c>
      <c r="X10">
        <f t="shared" si="2"/>
        <v>7.7200000000000003E-3</v>
      </c>
      <c r="Y10">
        <f t="shared" si="2"/>
        <v>7.7200000000000003E-3</v>
      </c>
      <c r="Z10">
        <f t="shared" si="2"/>
        <v>7.7200000000000003E-3</v>
      </c>
      <c r="AB10" s="29" t="s">
        <v>56</v>
      </c>
      <c r="AC10" s="6">
        <v>0.05</v>
      </c>
      <c r="AD10">
        <f>IF(B23="","",B23)</f>
        <v>8.4599999999999996E-5</v>
      </c>
      <c r="AE10">
        <f t="shared" ref="AE10:AI10" si="3">IF(C23="","",C23)</f>
        <v>1.5600000000000001E-6</v>
      </c>
      <c r="AF10">
        <f t="shared" si="3"/>
        <v>0</v>
      </c>
      <c r="AG10">
        <f t="shared" si="3"/>
        <v>0</v>
      </c>
      <c r="AH10">
        <f t="shared" si="3"/>
        <v>0</v>
      </c>
      <c r="AI10">
        <f t="shared" si="3"/>
        <v>0</v>
      </c>
    </row>
    <row r="11" spans="1:35" x14ac:dyDescent="0.35">
      <c r="A11" s="30"/>
      <c r="B11" s="6">
        <v>0.1</v>
      </c>
      <c r="C11">
        <f>IF(K25="","",K25)</f>
        <v>11.078290000000001</v>
      </c>
      <c r="D11">
        <f t="shared" ref="D11:H11" si="4">IF(L25="","",L25)</f>
        <v>11.12448</v>
      </c>
      <c r="E11">
        <f t="shared" si="4"/>
        <v>11.13026</v>
      </c>
      <c r="F11">
        <f t="shared" si="4"/>
        <v>11.134209999999999</v>
      </c>
      <c r="G11">
        <f t="shared" si="4"/>
        <v>11.13679</v>
      </c>
      <c r="H11">
        <f t="shared" si="4"/>
        <v>11.138210000000001</v>
      </c>
      <c r="J11" s="30"/>
      <c r="K11" s="6">
        <v>0.1</v>
      </c>
      <c r="L11">
        <f>IF(K26="","",K26)</f>
        <v>0.98750099999999996</v>
      </c>
      <c r="M11">
        <f t="shared" ref="M11:Q11" si="5">IF(L26="","",L26)</f>
        <v>0.98988900000000002</v>
      </c>
      <c r="N11">
        <f t="shared" si="5"/>
        <v>0.99189700000000003</v>
      </c>
      <c r="O11">
        <f t="shared" si="5"/>
        <v>0.99348199999999998</v>
      </c>
      <c r="P11">
        <f t="shared" si="5"/>
        <v>0.99452200000000002</v>
      </c>
      <c r="Q11">
        <f t="shared" si="5"/>
        <v>0.99509199999999998</v>
      </c>
      <c r="S11" s="30"/>
      <c r="T11" s="6">
        <v>0.1</v>
      </c>
      <c r="U11">
        <f>IF(K21="","",K21)</f>
        <v>7.77E-3</v>
      </c>
      <c r="V11">
        <f t="shared" ref="V11:Z11" si="6">IF(L21="","",L21)</f>
        <v>7.77E-3</v>
      </c>
      <c r="W11">
        <f t="shared" si="6"/>
        <v>7.77E-3</v>
      </c>
      <c r="X11">
        <f t="shared" si="6"/>
        <v>7.77E-3</v>
      </c>
      <c r="Y11">
        <f t="shared" si="6"/>
        <v>7.77E-3</v>
      </c>
      <c r="Z11">
        <f t="shared" si="6"/>
        <v>7.77E-3</v>
      </c>
      <c r="AB11" s="30"/>
      <c r="AC11" s="6">
        <v>0.1</v>
      </c>
      <c r="AD11">
        <f>IF(K23="","",K23)</f>
        <v>8.4599999999999996E-5</v>
      </c>
      <c r="AE11">
        <f t="shared" ref="AE11:AI11" si="7">IF(L23="","",L23)</f>
        <v>1.5600000000000001E-6</v>
      </c>
      <c r="AF11">
        <f t="shared" si="7"/>
        <v>0</v>
      </c>
      <c r="AG11">
        <f t="shared" si="7"/>
        <v>0</v>
      </c>
      <c r="AH11">
        <f t="shared" si="7"/>
        <v>0</v>
      </c>
      <c r="AI11">
        <f t="shared" si="7"/>
        <v>0</v>
      </c>
    </row>
    <row r="12" spans="1:35" x14ac:dyDescent="0.35">
      <c r="A12" s="30"/>
      <c r="B12" s="6">
        <v>0.15</v>
      </c>
      <c r="C12">
        <f>IF(T25="","",T25)</f>
        <v>11.06711</v>
      </c>
      <c r="D12">
        <f t="shared" ref="D12:H12" si="8">IF(U25="","",U25)</f>
        <v>11.11049</v>
      </c>
      <c r="E12">
        <f t="shared" si="8"/>
        <v>11.1144</v>
      </c>
      <c r="F12">
        <f t="shared" si="8"/>
        <v>11.116099999999999</v>
      </c>
      <c r="G12">
        <f t="shared" si="8"/>
        <v>11.116339999999999</v>
      </c>
      <c r="H12">
        <f t="shared" si="8"/>
        <v>11.114599999999999</v>
      </c>
      <c r="J12" s="30"/>
      <c r="K12" s="6">
        <v>0.15</v>
      </c>
      <c r="L12">
        <f>IF(T26="","",T26)</f>
        <v>0.99271799999999999</v>
      </c>
      <c r="M12">
        <f t="shared" ref="M12:Q12" si="9">IF(U26="","",U26)</f>
        <v>0.994031</v>
      </c>
      <c r="N12">
        <f t="shared" si="9"/>
        <v>0.99530799999999997</v>
      </c>
      <c r="O12">
        <f t="shared" si="9"/>
        <v>0.99599700000000002</v>
      </c>
      <c r="P12">
        <f t="shared" si="9"/>
        <v>0.99609599999999998</v>
      </c>
      <c r="Q12">
        <f t="shared" si="9"/>
        <v>0.99538700000000002</v>
      </c>
      <c r="S12" s="30"/>
      <c r="T12" s="6">
        <v>0.15</v>
      </c>
      <c r="U12">
        <f>IF(T21="","",T21)</f>
        <v>7.8200000000000006E-3</v>
      </c>
      <c r="V12">
        <f t="shared" ref="V12:Z12" si="10">IF(U21="","",U21)</f>
        <v>7.8200000000000006E-3</v>
      </c>
      <c r="W12">
        <f t="shared" si="10"/>
        <v>7.8200000000000006E-3</v>
      </c>
      <c r="X12">
        <f t="shared" si="10"/>
        <v>7.8200000000000006E-3</v>
      </c>
      <c r="Y12">
        <f t="shared" si="10"/>
        <v>7.8200000000000006E-3</v>
      </c>
      <c r="Z12">
        <f t="shared" si="10"/>
        <v>7.8200000000000006E-3</v>
      </c>
      <c r="AB12" s="30"/>
      <c r="AC12" s="6">
        <v>0.15</v>
      </c>
      <c r="AD12">
        <f>IF(T23="","",T23)</f>
        <v>8.4599999999999996E-5</v>
      </c>
      <c r="AE12">
        <f t="shared" ref="AE12:AI12" si="11">IF(U23="","",U23)</f>
        <v>1.5600000000000001E-6</v>
      </c>
      <c r="AF12">
        <f t="shared" si="11"/>
        <v>0</v>
      </c>
      <c r="AG12">
        <f t="shared" si="11"/>
        <v>0</v>
      </c>
      <c r="AH12">
        <f t="shared" si="11"/>
        <v>0</v>
      </c>
      <c r="AI12">
        <f t="shared" si="11"/>
        <v>0</v>
      </c>
    </row>
    <row r="13" spans="1:35" x14ac:dyDescent="0.35">
      <c r="A13" s="30"/>
      <c r="B13" s="6">
        <v>0.2</v>
      </c>
      <c r="C13">
        <f>IF(AC25="","",AC25)</f>
        <v>11.053972949159292</v>
      </c>
      <c r="D13">
        <f t="shared" ref="D13:H13" si="12">IF(AD25="","",AD25)</f>
        <v>11.096038629315753</v>
      </c>
      <c r="E13">
        <f t="shared" si="12"/>
        <v>11.097812151840703</v>
      </c>
      <c r="F13">
        <f t="shared" si="12"/>
        <v>11.097182554687873</v>
      </c>
      <c r="G13">
        <f t="shared" si="12"/>
        <v>11.095197369973258</v>
      </c>
      <c r="H13">
        <f t="shared" si="12"/>
        <v>11.090648650687232</v>
      </c>
      <c r="J13" s="30"/>
      <c r="K13" s="6">
        <v>0.2</v>
      </c>
      <c r="L13">
        <f>IF(AC26="","",AC26)</f>
        <v>0.99520992729366564</v>
      </c>
      <c r="M13">
        <f t="shared" ref="M13:Q13" si="13">IF(AD26="","",AD26)</f>
        <v>0.99603669345752688</v>
      </c>
      <c r="N13">
        <f t="shared" si="13"/>
        <v>0.99645059187771468</v>
      </c>
      <c r="O13">
        <f t="shared" si="13"/>
        <v>0.9961943284957604</v>
      </c>
      <c r="P13">
        <f t="shared" si="13"/>
        <v>0.99538697590694181</v>
      </c>
      <c r="Q13">
        <f t="shared" si="13"/>
        <v>0.9935409026740627</v>
      </c>
      <c r="S13" s="30"/>
      <c r="T13" s="6">
        <v>0.2</v>
      </c>
      <c r="U13">
        <f>IF(AC21="","",AC21)</f>
        <v>7.8600000000000007E-3</v>
      </c>
      <c r="V13">
        <f t="shared" ref="V13:Z13" si="14">IF(AD21="","",AD21)</f>
        <v>7.8600000000000007E-3</v>
      </c>
      <c r="W13">
        <f t="shared" si="14"/>
        <v>7.8600000000000007E-3</v>
      </c>
      <c r="X13">
        <f t="shared" si="14"/>
        <v>7.8600000000000007E-3</v>
      </c>
      <c r="Y13">
        <f t="shared" si="14"/>
        <v>7.8600000000000007E-3</v>
      </c>
      <c r="Z13">
        <f t="shared" si="14"/>
        <v>7.8600000000000007E-3</v>
      </c>
      <c r="AB13" s="30"/>
      <c r="AC13" s="6">
        <v>0.2</v>
      </c>
      <c r="AD13">
        <f>IF(AC23="","",AC23)</f>
        <v>8.4573567284889573E-5</v>
      </c>
      <c r="AE13">
        <f t="shared" ref="AE13:AI13" si="15">IF(AD23="","",AD23)</f>
        <v>1.5623688043353551E-6</v>
      </c>
      <c r="AF13">
        <f t="shared" si="15"/>
        <v>0</v>
      </c>
      <c r="AG13">
        <f t="shared" si="15"/>
        <v>0</v>
      </c>
      <c r="AH13">
        <f t="shared" si="15"/>
        <v>0</v>
      </c>
      <c r="AI13">
        <f t="shared" si="15"/>
        <v>0</v>
      </c>
    </row>
    <row r="14" spans="1:35" x14ac:dyDescent="0.35">
      <c r="A14" s="30"/>
      <c r="B14" s="6">
        <v>0.25</v>
      </c>
      <c r="C14">
        <f>IF(AL25="","",AL25)</f>
        <v>11.02306644813352</v>
      </c>
      <c r="D14">
        <f>IF(AM25="","",AM25)</f>
        <v>11.063211915629093</v>
      </c>
      <c r="E14">
        <f>IF(AN25="","",AN25)</f>
        <v>11.063386332871454</v>
      </c>
      <c r="F14">
        <f t="shared" ref="F14:H14" si="16">IF(AO25="","",AO25)</f>
        <v>11.060980192276483</v>
      </c>
      <c r="G14">
        <f t="shared" si="16"/>
        <v>11.056603701135577</v>
      </c>
      <c r="H14">
        <f t="shared" si="16"/>
        <v>11.049685336474278</v>
      </c>
      <c r="J14" s="30"/>
      <c r="K14" s="6">
        <v>0.25</v>
      </c>
      <c r="L14">
        <f>IF(AL26="","",AL26)</f>
        <v>0.99629287573465086</v>
      </c>
      <c r="M14">
        <f>IF(AM26="","",AM26)</f>
        <v>0.99643087462912683</v>
      </c>
      <c r="N14">
        <f>IF(AN26="","",AN26)</f>
        <v>0.9961943284957604</v>
      </c>
      <c r="O14">
        <f t="shared" ref="O14:Q14" si="17">IF(AO26="","",AO26)</f>
        <v>0.99520992729366564</v>
      </c>
      <c r="P14">
        <f t="shared" si="17"/>
        <v>0.99342330067335161</v>
      </c>
      <c r="Q14">
        <f t="shared" si="17"/>
        <v>0.99060918108219287</v>
      </c>
      <c r="S14" s="30"/>
      <c r="T14" s="6">
        <v>0.25</v>
      </c>
      <c r="U14">
        <f>IF(AL21="","",AL21)</f>
        <v>7.9299999999999995E-3</v>
      </c>
      <c r="V14">
        <f>IF(AM21="","",AM21)</f>
        <v>7.9299999999999995E-3</v>
      </c>
      <c r="W14">
        <f>IF(AN21="","",AN21)</f>
        <v>7.9299999999999995E-3</v>
      </c>
      <c r="X14">
        <f t="shared" ref="X14:Z14" si="18">IF(AO21="","",AO21)</f>
        <v>7.9299999999999995E-3</v>
      </c>
      <c r="Y14">
        <f t="shared" si="18"/>
        <v>7.9299999999999995E-3</v>
      </c>
      <c r="Z14">
        <f t="shared" si="18"/>
        <v>7.9299999999999995E-3</v>
      </c>
      <c r="AB14" s="30"/>
      <c r="AC14" s="6">
        <v>0.25</v>
      </c>
      <c r="AD14">
        <f>IF(AL23="","",AL23)</f>
        <v>8.4573567284889573E-5</v>
      </c>
      <c r="AE14">
        <f>IF(AM23="","",AM23)</f>
        <v>1.5623688043353551E-6</v>
      </c>
      <c r="AF14">
        <f>IF(AN23="","",AN23)</f>
        <v>0</v>
      </c>
      <c r="AG14">
        <f t="shared" ref="AG14:AI14" si="19">IF(AO23="","",AO23)</f>
        <v>0</v>
      </c>
      <c r="AH14">
        <f t="shared" si="19"/>
        <v>0</v>
      </c>
      <c r="AI14">
        <f t="shared" si="19"/>
        <v>0</v>
      </c>
    </row>
    <row r="15" spans="1:35" x14ac:dyDescent="0.35">
      <c r="A15" s="30"/>
      <c r="B15" s="6">
        <v>0.3</v>
      </c>
      <c r="C15">
        <f>IF(AU25="","",AU25)</f>
        <v>11.033062168083539</v>
      </c>
      <c r="D15">
        <f t="shared" ref="D15:H15" si="20">IF(AV25="","",AV25)</f>
        <v>11.072364516214313</v>
      </c>
      <c r="E15">
        <f t="shared" si="20"/>
        <v>11.070852025843823</v>
      </c>
      <c r="F15">
        <f t="shared" si="20"/>
        <v>11.066804851744603</v>
      </c>
      <c r="G15">
        <f t="shared" si="20"/>
        <v>11.060210448314253</v>
      </c>
      <c r="H15">
        <f t="shared" si="20"/>
        <v>11.050885820303296</v>
      </c>
      <c r="J15" s="30"/>
      <c r="K15" s="6">
        <v>0.3</v>
      </c>
      <c r="L15">
        <f>IF(AU26="","",AU26)</f>
        <v>0.99647030990664265</v>
      </c>
      <c r="M15">
        <f t="shared" ref="M15:Q15" si="21">IF(AV26="","",AV26)</f>
        <v>0.99623374505177742</v>
      </c>
      <c r="N15">
        <f t="shared" si="21"/>
        <v>0.99530827985793147</v>
      </c>
      <c r="O15">
        <f t="shared" si="21"/>
        <v>0.99365853252165015</v>
      </c>
      <c r="P15">
        <f t="shared" si="21"/>
        <v>0.99097957514773571</v>
      </c>
      <c r="Q15">
        <f t="shared" si="21"/>
        <v>0.98721063167543355</v>
      </c>
      <c r="S15" s="30"/>
      <c r="T15" s="6">
        <v>0.3</v>
      </c>
      <c r="U15">
        <f>IF(AU21="","",AU21)</f>
        <v>7.9100000000000004E-3</v>
      </c>
      <c r="V15">
        <f t="shared" ref="V15:Z15" si="22">IF(AV21="","",AV21)</f>
        <v>7.9100000000000004E-3</v>
      </c>
      <c r="W15">
        <f t="shared" si="22"/>
        <v>7.9100000000000004E-3</v>
      </c>
      <c r="X15">
        <f t="shared" si="22"/>
        <v>7.9100000000000004E-3</v>
      </c>
      <c r="Y15">
        <f t="shared" si="22"/>
        <v>7.9100000000000004E-3</v>
      </c>
      <c r="Z15">
        <f t="shared" si="22"/>
        <v>7.9100000000000004E-3</v>
      </c>
      <c r="AB15" s="30"/>
      <c r="AC15" s="6">
        <v>0.3</v>
      </c>
      <c r="AD15">
        <f>IF(AU23="","",AU23)</f>
        <v>8.4573567284889573E-5</v>
      </c>
      <c r="AE15">
        <f t="shared" ref="AE15:AI15" si="23">IF(AV23="","",AV23)</f>
        <v>1.5623688043353551E-6</v>
      </c>
      <c r="AF15">
        <f t="shared" si="23"/>
        <v>0</v>
      </c>
      <c r="AG15">
        <f t="shared" si="23"/>
        <v>0</v>
      </c>
      <c r="AH15">
        <f t="shared" si="23"/>
        <v>0</v>
      </c>
      <c r="AI15">
        <f t="shared" si="23"/>
        <v>0</v>
      </c>
    </row>
    <row r="16" spans="1:35" x14ac:dyDescent="0.35">
      <c r="A16" s="30"/>
      <c r="B16" s="6">
        <v>0.35</v>
      </c>
      <c r="C16">
        <f t="shared" ref="C16:H16" si="24">IF(BD25="","",BD25)</f>
        <v>11.018433437304925</v>
      </c>
      <c r="D16">
        <f t="shared" si="24"/>
        <v>11.056477570660324</v>
      </c>
      <c r="E16">
        <f t="shared" si="24"/>
        <v>11.053239525446282</v>
      </c>
      <c r="F16">
        <f t="shared" si="24"/>
        <v>11.047429132830995</v>
      </c>
      <c r="G16">
        <f t="shared" si="24"/>
        <v>11.038844787394389</v>
      </c>
      <c r="H16">
        <f t="shared" si="24"/>
        <v>11.026543078889118</v>
      </c>
      <c r="J16" s="30"/>
      <c r="K16" s="6">
        <v>0.35</v>
      </c>
      <c r="L16">
        <f>IF(BD26="","",BD26)</f>
        <v>0.99635201343725266</v>
      </c>
      <c r="M16">
        <f t="shared" ref="M16:Q16" si="25">IF(BE26="","",BE26)</f>
        <v>0.99564282403329951</v>
      </c>
      <c r="N16">
        <f t="shared" si="25"/>
        <v>0.99401158924461497</v>
      </c>
      <c r="O16">
        <f t="shared" si="25"/>
        <v>0.99164307735436841</v>
      </c>
      <c r="P16">
        <f t="shared" si="25"/>
        <v>0.98815987266742922</v>
      </c>
      <c r="Q16">
        <f t="shared" si="25"/>
        <v>0.9832014196679264</v>
      </c>
      <c r="S16" s="30"/>
      <c r="T16" s="6">
        <v>0.35</v>
      </c>
      <c r="U16">
        <f>IF(BD21="","",BD21)</f>
        <v>7.9399999999999991E-3</v>
      </c>
      <c r="V16">
        <f t="shared" ref="V16:Z16" si="26">IF(BE21="","",BE21)</f>
        <v>7.9399999999999991E-3</v>
      </c>
      <c r="W16">
        <f t="shared" si="26"/>
        <v>7.9399999999999991E-3</v>
      </c>
      <c r="X16">
        <f t="shared" si="26"/>
        <v>7.9399999999999991E-3</v>
      </c>
      <c r="Y16">
        <f t="shared" si="26"/>
        <v>7.9399999999999991E-3</v>
      </c>
      <c r="Z16">
        <f t="shared" si="26"/>
        <v>7.9399999999999991E-3</v>
      </c>
      <c r="AB16" s="30"/>
      <c r="AC16" s="6">
        <v>0.35</v>
      </c>
      <c r="AD16">
        <f>IF(BD23="","",BD23)</f>
        <v>8.4573567284889573E-5</v>
      </c>
      <c r="AE16">
        <f t="shared" ref="AE16:AI16" si="27">IF(BE23="","",BE23)</f>
        <v>1.5623688043353551E-6</v>
      </c>
      <c r="AF16">
        <f t="shared" si="27"/>
        <v>0</v>
      </c>
      <c r="AG16">
        <f t="shared" si="27"/>
        <v>0</v>
      </c>
      <c r="AH16">
        <f t="shared" si="27"/>
        <v>0</v>
      </c>
      <c r="AI16">
        <f t="shared" si="27"/>
        <v>0</v>
      </c>
    </row>
    <row r="18" spans="1:64" x14ac:dyDescent="0.35">
      <c r="A18" t="s">
        <v>233</v>
      </c>
      <c r="B18" s="11">
        <v>0.05</v>
      </c>
      <c r="C18">
        <v>0.05</v>
      </c>
      <c r="D18">
        <v>0.05</v>
      </c>
      <c r="E18">
        <v>0.05</v>
      </c>
      <c r="F18">
        <v>0.05</v>
      </c>
      <c r="G18">
        <v>0.05</v>
      </c>
      <c r="H18">
        <v>0.05</v>
      </c>
      <c r="I18">
        <v>0.05</v>
      </c>
      <c r="J18">
        <v>0.05</v>
      </c>
      <c r="K18">
        <v>0.1</v>
      </c>
      <c r="L18">
        <v>0.1</v>
      </c>
      <c r="M18">
        <v>0.1</v>
      </c>
      <c r="N18">
        <v>0.1</v>
      </c>
      <c r="O18">
        <v>0.1</v>
      </c>
      <c r="P18">
        <v>0.1</v>
      </c>
      <c r="Q18">
        <v>0.1</v>
      </c>
      <c r="R18">
        <v>0.1</v>
      </c>
      <c r="S18">
        <v>0.1</v>
      </c>
      <c r="T18">
        <v>0.15</v>
      </c>
      <c r="U18">
        <v>0.15</v>
      </c>
      <c r="V18">
        <v>0.15</v>
      </c>
      <c r="W18">
        <v>0.15</v>
      </c>
      <c r="X18">
        <v>0.15</v>
      </c>
      <c r="Y18">
        <v>0.15</v>
      </c>
      <c r="Z18">
        <v>0.15</v>
      </c>
      <c r="AA18">
        <v>0.15</v>
      </c>
      <c r="AB18">
        <v>0.15</v>
      </c>
      <c r="AC18">
        <v>0.2</v>
      </c>
      <c r="AD18">
        <v>0.2</v>
      </c>
      <c r="AE18">
        <v>0.2</v>
      </c>
      <c r="AF18">
        <v>0.2</v>
      </c>
      <c r="AG18">
        <v>0.2</v>
      </c>
      <c r="AH18">
        <v>0.2</v>
      </c>
      <c r="AI18">
        <v>0.2</v>
      </c>
      <c r="AJ18">
        <v>0.2</v>
      </c>
      <c r="AK18">
        <v>0.2</v>
      </c>
      <c r="AL18">
        <v>0.25</v>
      </c>
      <c r="AM18">
        <v>0.25</v>
      </c>
      <c r="AN18">
        <v>0.25</v>
      </c>
      <c r="AO18">
        <v>0.25</v>
      </c>
      <c r="AP18">
        <v>0.25</v>
      </c>
      <c r="AQ18">
        <v>0.25</v>
      </c>
      <c r="AR18">
        <v>0.25</v>
      </c>
      <c r="AS18">
        <v>0.25</v>
      </c>
      <c r="AT18">
        <v>0.25</v>
      </c>
      <c r="AU18">
        <v>0.3</v>
      </c>
      <c r="AV18">
        <v>0.3</v>
      </c>
      <c r="AW18">
        <v>0.3</v>
      </c>
      <c r="AX18">
        <v>0.3</v>
      </c>
      <c r="AY18">
        <v>0.3</v>
      </c>
      <c r="AZ18">
        <v>0.3</v>
      </c>
      <c r="BA18">
        <v>0.3</v>
      </c>
      <c r="BB18">
        <v>0.3</v>
      </c>
      <c r="BC18">
        <v>0.3</v>
      </c>
      <c r="BD18">
        <v>0.35</v>
      </c>
      <c r="BE18">
        <v>0.35</v>
      </c>
      <c r="BF18">
        <v>0.35</v>
      </c>
      <c r="BG18">
        <v>0.35</v>
      </c>
      <c r="BH18">
        <v>0.35</v>
      </c>
      <c r="BI18">
        <v>0.35</v>
      </c>
      <c r="BJ18">
        <v>0.35</v>
      </c>
      <c r="BK18">
        <v>0.35</v>
      </c>
      <c r="BL18">
        <v>0.35</v>
      </c>
    </row>
    <row r="19" spans="1:64" x14ac:dyDescent="0.35">
      <c r="A19" s="8" t="s">
        <v>236</v>
      </c>
      <c r="B19" s="20">
        <v>20</v>
      </c>
      <c r="C19" s="8">
        <v>25</v>
      </c>
      <c r="D19" s="8">
        <v>30</v>
      </c>
      <c r="E19" s="8">
        <v>35</v>
      </c>
      <c r="F19" s="8">
        <v>40</v>
      </c>
      <c r="G19" s="8">
        <v>45</v>
      </c>
      <c r="H19" s="8">
        <v>50</v>
      </c>
      <c r="I19" s="8">
        <v>55</v>
      </c>
      <c r="J19" s="8">
        <v>60</v>
      </c>
      <c r="K19" s="8">
        <v>20</v>
      </c>
      <c r="L19" s="8">
        <v>25</v>
      </c>
      <c r="M19" s="8">
        <v>30</v>
      </c>
      <c r="N19" s="8">
        <v>35</v>
      </c>
      <c r="O19" s="8">
        <v>40</v>
      </c>
      <c r="P19" s="8">
        <v>45</v>
      </c>
      <c r="Q19" s="8">
        <v>50</v>
      </c>
      <c r="R19" s="8">
        <v>55</v>
      </c>
      <c r="S19" s="8">
        <v>60</v>
      </c>
      <c r="T19" s="8">
        <v>20</v>
      </c>
      <c r="U19" s="8">
        <v>25</v>
      </c>
      <c r="V19" s="8">
        <v>30</v>
      </c>
      <c r="W19" s="8">
        <v>35</v>
      </c>
      <c r="X19" s="8">
        <v>40</v>
      </c>
      <c r="Y19" s="8">
        <v>45</v>
      </c>
      <c r="Z19" s="8">
        <v>50</v>
      </c>
      <c r="AA19" s="8">
        <v>55</v>
      </c>
      <c r="AB19" s="8">
        <v>60</v>
      </c>
      <c r="AC19" s="8">
        <v>20</v>
      </c>
      <c r="AD19" s="8">
        <v>25</v>
      </c>
      <c r="AE19" s="8">
        <v>30</v>
      </c>
      <c r="AF19" s="8">
        <v>35</v>
      </c>
      <c r="AG19" s="8">
        <v>40</v>
      </c>
      <c r="AH19" s="8">
        <v>45</v>
      </c>
      <c r="AI19" s="8">
        <v>50</v>
      </c>
      <c r="AJ19" s="8">
        <v>55</v>
      </c>
      <c r="AK19" s="8">
        <v>60</v>
      </c>
      <c r="AL19" s="8">
        <v>20</v>
      </c>
      <c r="AM19" s="8">
        <v>25</v>
      </c>
      <c r="AN19" s="8">
        <v>30</v>
      </c>
      <c r="AO19" s="8">
        <v>35</v>
      </c>
      <c r="AP19" s="8">
        <v>40</v>
      </c>
      <c r="AQ19" s="8">
        <v>45</v>
      </c>
      <c r="AR19" s="8">
        <v>50</v>
      </c>
      <c r="AS19" s="8">
        <v>55</v>
      </c>
      <c r="AT19" s="8">
        <v>60</v>
      </c>
      <c r="AU19" s="8">
        <v>20</v>
      </c>
      <c r="AV19" s="8">
        <v>25</v>
      </c>
      <c r="AW19" s="8">
        <v>30</v>
      </c>
      <c r="AX19" s="8">
        <v>35</v>
      </c>
      <c r="AY19" s="8">
        <v>40</v>
      </c>
      <c r="AZ19" s="8">
        <v>45</v>
      </c>
      <c r="BA19" s="8">
        <v>50</v>
      </c>
      <c r="BB19" s="8">
        <v>55</v>
      </c>
      <c r="BC19" s="8">
        <v>60</v>
      </c>
      <c r="BD19" s="8">
        <v>20</v>
      </c>
      <c r="BE19" s="8">
        <v>25</v>
      </c>
      <c r="BF19" s="8">
        <v>30</v>
      </c>
      <c r="BG19" s="8">
        <v>35</v>
      </c>
      <c r="BH19" s="8">
        <v>40</v>
      </c>
      <c r="BI19" s="8">
        <v>45</v>
      </c>
      <c r="BJ19" s="8">
        <v>50</v>
      </c>
      <c r="BK19" s="8">
        <v>55</v>
      </c>
      <c r="BL19" s="8">
        <v>60</v>
      </c>
    </row>
    <row r="20" spans="1:64" x14ac:dyDescent="0.35">
      <c r="A20" t="s">
        <v>139</v>
      </c>
      <c r="B20" s="11">
        <v>5.1539999999999997E-3</v>
      </c>
      <c r="C20">
        <v>5.1349999999999998E-3</v>
      </c>
      <c r="D20">
        <v>5.1200000000000004E-3</v>
      </c>
      <c r="E20">
        <v>5.1070000000000004E-3</v>
      </c>
      <c r="F20">
        <v>5.097E-3</v>
      </c>
      <c r="G20">
        <v>5.0899999999999999E-3</v>
      </c>
      <c r="K20">
        <v>5.0990000000000002E-3</v>
      </c>
      <c r="L20">
        <v>5.0870000000000004E-3</v>
      </c>
      <c r="M20">
        <v>5.0769999999999999E-3</v>
      </c>
      <c r="N20">
        <v>5.0689999999999997E-3</v>
      </c>
      <c r="O20">
        <v>5.0629999999999998E-3</v>
      </c>
      <c r="P20">
        <v>5.0610000000000004E-3</v>
      </c>
      <c r="T20">
        <v>5.0730000000000003E-3</v>
      </c>
      <c r="U20">
        <v>5.0660000000000002E-3</v>
      </c>
      <c r="V20">
        <v>5.0590000000000001E-3</v>
      </c>
      <c r="W20">
        <v>5.0559999999999997E-3</v>
      </c>
      <c r="X20">
        <v>5.0549999999999996E-3</v>
      </c>
      <c r="Y20">
        <v>5.0590000000000001E-3</v>
      </c>
      <c r="AC20">
        <v>5.0599E-3</v>
      </c>
      <c r="AD20">
        <v>5.0556999999999998E-3</v>
      </c>
      <c r="AE20">
        <v>5.0536000000000001E-3</v>
      </c>
      <c r="AF20">
        <v>5.0549000000000002E-3</v>
      </c>
      <c r="AG20">
        <v>5.0590000000000001E-3</v>
      </c>
      <c r="AH20">
        <v>5.0683999999999998E-3</v>
      </c>
      <c r="AL20">
        <v>5.0543999999999997E-3</v>
      </c>
      <c r="AM20">
        <v>5.0537000000000004E-3</v>
      </c>
      <c r="AN20">
        <v>5.0549000000000002E-3</v>
      </c>
      <c r="AO20">
        <v>5.0599E-3</v>
      </c>
      <c r="AP20">
        <v>5.0689999999999997E-3</v>
      </c>
      <c r="AQ20">
        <v>5.0834000000000001E-3</v>
      </c>
      <c r="AU20">
        <v>5.0534999999999998E-3</v>
      </c>
      <c r="AV20">
        <v>5.0546999999999996E-3</v>
      </c>
      <c r="AW20">
        <v>5.0594000000000004E-3</v>
      </c>
      <c r="AX20">
        <v>5.0677999999999999E-3</v>
      </c>
      <c r="AY20">
        <v>5.0815000000000001E-3</v>
      </c>
      <c r="AZ20">
        <v>5.1009000000000002E-3</v>
      </c>
      <c r="BD20">
        <v>5.0540999999999997E-3</v>
      </c>
      <c r="BE20">
        <v>5.0577E-3</v>
      </c>
      <c r="BF20">
        <v>5.0660000000000002E-3</v>
      </c>
      <c r="BG20">
        <v>5.0781000000000003E-3</v>
      </c>
      <c r="BH20">
        <v>5.0959999999999998E-3</v>
      </c>
      <c r="BI20">
        <v>5.1216999999999999E-3</v>
      </c>
    </row>
    <row r="21" spans="1:64" x14ac:dyDescent="0.35">
      <c r="A21" t="s">
        <v>136</v>
      </c>
      <c r="B21" s="11">
        <v>7.7200000000000003E-3</v>
      </c>
      <c r="C21">
        <v>7.7200000000000003E-3</v>
      </c>
      <c r="D21">
        <v>7.7200000000000003E-3</v>
      </c>
      <c r="E21">
        <v>7.7200000000000003E-3</v>
      </c>
      <c r="F21">
        <v>7.7200000000000003E-3</v>
      </c>
      <c r="G21">
        <v>7.7200000000000003E-3</v>
      </c>
      <c r="K21">
        <v>7.77E-3</v>
      </c>
      <c r="L21">
        <v>7.77E-3</v>
      </c>
      <c r="M21">
        <v>7.77E-3</v>
      </c>
      <c r="N21">
        <v>7.77E-3</v>
      </c>
      <c r="O21">
        <v>7.77E-3</v>
      </c>
      <c r="P21">
        <v>7.77E-3</v>
      </c>
      <c r="T21">
        <v>7.8200000000000006E-3</v>
      </c>
      <c r="U21">
        <v>7.8200000000000006E-3</v>
      </c>
      <c r="V21">
        <v>7.8200000000000006E-3</v>
      </c>
      <c r="W21">
        <v>7.8200000000000006E-3</v>
      </c>
      <c r="X21">
        <v>7.8200000000000006E-3</v>
      </c>
      <c r="Y21">
        <v>7.8200000000000006E-3</v>
      </c>
      <c r="AC21">
        <v>7.8600000000000007E-3</v>
      </c>
      <c r="AD21">
        <v>7.8600000000000007E-3</v>
      </c>
      <c r="AE21">
        <v>7.8600000000000007E-3</v>
      </c>
      <c r="AF21">
        <v>7.8600000000000007E-3</v>
      </c>
      <c r="AG21">
        <v>7.8600000000000007E-3</v>
      </c>
      <c r="AH21">
        <v>7.8600000000000007E-3</v>
      </c>
      <c r="AL21">
        <v>7.9299999999999995E-3</v>
      </c>
      <c r="AM21">
        <v>7.9299999999999995E-3</v>
      </c>
      <c r="AN21">
        <v>7.9299999999999995E-3</v>
      </c>
      <c r="AO21">
        <v>7.9299999999999995E-3</v>
      </c>
      <c r="AP21">
        <v>7.9299999999999995E-3</v>
      </c>
      <c r="AQ21">
        <v>7.9299999999999995E-3</v>
      </c>
      <c r="AU21">
        <v>7.9100000000000004E-3</v>
      </c>
      <c r="AV21">
        <v>7.9100000000000004E-3</v>
      </c>
      <c r="AW21">
        <v>7.9100000000000004E-3</v>
      </c>
      <c r="AX21">
        <v>7.9100000000000004E-3</v>
      </c>
      <c r="AY21">
        <v>7.9100000000000004E-3</v>
      </c>
      <c r="AZ21">
        <v>7.9100000000000004E-3</v>
      </c>
      <c r="BD21">
        <v>7.9399999999999991E-3</v>
      </c>
      <c r="BE21">
        <v>7.9399999999999991E-3</v>
      </c>
      <c r="BF21">
        <v>7.9399999999999991E-3</v>
      </c>
      <c r="BG21">
        <v>7.9399999999999991E-3</v>
      </c>
      <c r="BH21">
        <v>7.9399999999999991E-3</v>
      </c>
      <c r="BI21">
        <v>7.9399999999999991E-3</v>
      </c>
    </row>
    <row r="22" spans="1:64" x14ac:dyDescent="0.35">
      <c r="A22" t="s">
        <v>252</v>
      </c>
      <c r="B22" s="11">
        <v>0.01</v>
      </c>
      <c r="C22">
        <v>0.01</v>
      </c>
      <c r="D22">
        <v>0.01</v>
      </c>
      <c r="E22">
        <v>0.01</v>
      </c>
      <c r="F22">
        <v>0.01</v>
      </c>
      <c r="G22">
        <v>0.01</v>
      </c>
      <c r="K22">
        <v>0.01</v>
      </c>
      <c r="L22">
        <v>0.01</v>
      </c>
      <c r="M22">
        <v>0.01</v>
      </c>
      <c r="N22">
        <v>0.01</v>
      </c>
      <c r="O22">
        <v>0.01</v>
      </c>
      <c r="P22">
        <v>0.01</v>
      </c>
      <c r="T22">
        <v>0.01</v>
      </c>
      <c r="U22">
        <v>0.01</v>
      </c>
      <c r="V22">
        <v>0.01</v>
      </c>
      <c r="W22">
        <v>0.01</v>
      </c>
      <c r="X22">
        <v>0.01</v>
      </c>
      <c r="Y22">
        <v>0.01</v>
      </c>
      <c r="AC22">
        <v>0.01</v>
      </c>
      <c r="AD22">
        <v>0.01</v>
      </c>
      <c r="AE22">
        <v>0.01</v>
      </c>
      <c r="AF22">
        <v>0.01</v>
      </c>
      <c r="AG22">
        <v>0.01</v>
      </c>
      <c r="AH22">
        <v>0.01</v>
      </c>
      <c r="AL22">
        <v>0.01</v>
      </c>
      <c r="AM22">
        <v>0.01</v>
      </c>
      <c r="AN22">
        <v>0.01</v>
      </c>
      <c r="AO22">
        <v>0.01</v>
      </c>
      <c r="AP22">
        <v>0.01</v>
      </c>
      <c r="AQ22">
        <v>0.01</v>
      </c>
      <c r="AU22">
        <v>0.01</v>
      </c>
      <c r="AV22">
        <v>0.01</v>
      </c>
      <c r="AW22">
        <v>0.01</v>
      </c>
      <c r="AX22">
        <v>0.01</v>
      </c>
      <c r="AY22">
        <v>0.01</v>
      </c>
      <c r="AZ22">
        <v>0.01</v>
      </c>
      <c r="BD22">
        <v>0.01</v>
      </c>
      <c r="BE22">
        <v>0.01</v>
      </c>
      <c r="BF22">
        <v>0.01</v>
      </c>
      <c r="BG22">
        <v>0.01</v>
      </c>
      <c r="BH22">
        <v>0.01</v>
      </c>
      <c r="BI22">
        <v>0.01</v>
      </c>
    </row>
    <row r="23" spans="1:64" x14ac:dyDescent="0.35">
      <c r="A23" t="s">
        <v>258</v>
      </c>
      <c r="B23" s="21">
        <v>8.4599999999999996E-5</v>
      </c>
      <c r="C23" s="18">
        <v>1.5600000000000001E-6</v>
      </c>
      <c r="D23">
        <v>0</v>
      </c>
      <c r="E23">
        <v>0</v>
      </c>
      <c r="F23">
        <v>0</v>
      </c>
      <c r="G23">
        <v>0</v>
      </c>
      <c r="K23" s="18">
        <v>8.4599999999999996E-5</v>
      </c>
      <c r="L23" s="18">
        <v>1.5600000000000001E-6</v>
      </c>
      <c r="M23">
        <v>0</v>
      </c>
      <c r="N23">
        <v>0</v>
      </c>
      <c r="O23">
        <v>0</v>
      </c>
      <c r="P23">
        <v>0</v>
      </c>
      <c r="T23" s="18">
        <v>8.4599999999999996E-5</v>
      </c>
      <c r="U23" s="18">
        <v>1.5600000000000001E-6</v>
      </c>
      <c r="V23">
        <v>0</v>
      </c>
      <c r="W23">
        <v>0</v>
      </c>
      <c r="X23">
        <v>0</v>
      </c>
      <c r="Y23">
        <v>0</v>
      </c>
      <c r="AC23">
        <v>8.4573567284889573E-5</v>
      </c>
      <c r="AD23">
        <v>1.5623688043353551E-6</v>
      </c>
      <c r="AE23">
        <v>0</v>
      </c>
      <c r="AF23">
        <v>0</v>
      </c>
      <c r="AG23">
        <v>0</v>
      </c>
      <c r="AH23">
        <v>0</v>
      </c>
      <c r="AL23">
        <v>8.4573567284889573E-5</v>
      </c>
      <c r="AM23">
        <v>1.5623688043353551E-6</v>
      </c>
      <c r="AN23">
        <v>0</v>
      </c>
      <c r="AO23">
        <v>0</v>
      </c>
      <c r="AP23">
        <v>0</v>
      </c>
      <c r="AQ23">
        <v>0</v>
      </c>
      <c r="AU23">
        <v>8.4573567284889573E-5</v>
      </c>
      <c r="AV23">
        <v>1.5623688043353551E-6</v>
      </c>
      <c r="AW23">
        <v>0</v>
      </c>
      <c r="AX23">
        <v>0</v>
      </c>
      <c r="AY23">
        <v>0</v>
      </c>
      <c r="AZ23">
        <v>0</v>
      </c>
      <c r="BD23">
        <v>8.4573567284889573E-5</v>
      </c>
      <c r="BE23">
        <v>1.5623688043353551E-6</v>
      </c>
      <c r="BF23">
        <v>0</v>
      </c>
      <c r="BG23">
        <v>0</v>
      </c>
      <c r="BH23">
        <v>0</v>
      </c>
      <c r="BI23">
        <v>0</v>
      </c>
    </row>
    <row r="24" spans="1:64" x14ac:dyDescent="0.35">
      <c r="A24" t="s">
        <v>232</v>
      </c>
      <c r="B24" s="11">
        <v>2.2959E-2</v>
      </c>
      <c r="C24">
        <v>2.2856999999999999E-2</v>
      </c>
      <c r="D24">
        <v>2.2839999999999999E-2</v>
      </c>
      <c r="E24">
        <v>2.2827E-2</v>
      </c>
      <c r="F24">
        <v>2.2817E-2</v>
      </c>
      <c r="G24">
        <v>2.281E-2</v>
      </c>
      <c r="K24">
        <v>2.2953999999999999E-2</v>
      </c>
      <c r="L24">
        <v>2.2859000000000001E-2</v>
      </c>
      <c r="M24">
        <v>2.2846999999999999E-2</v>
      </c>
      <c r="N24">
        <v>2.2839000000000002E-2</v>
      </c>
      <c r="O24">
        <v>2.2832999999999999E-2</v>
      </c>
      <c r="P24">
        <v>2.2831000000000001E-2</v>
      </c>
      <c r="T24">
        <v>2.2977000000000001E-2</v>
      </c>
      <c r="U24">
        <v>2.2887000000000001E-2</v>
      </c>
      <c r="V24">
        <v>2.2879E-2</v>
      </c>
      <c r="W24">
        <v>2.2876000000000001E-2</v>
      </c>
      <c r="X24">
        <v>2.2875E-2</v>
      </c>
      <c r="Y24">
        <v>2.2879E-2</v>
      </c>
      <c r="AC24">
        <v>2.300447356728489E-2</v>
      </c>
      <c r="AD24">
        <v>2.2917262368804335E-2</v>
      </c>
      <c r="AE24">
        <v>2.2913599999999999E-2</v>
      </c>
      <c r="AF24">
        <v>2.2914900000000002E-2</v>
      </c>
      <c r="AG24">
        <v>2.2919000000000002E-2</v>
      </c>
      <c r="AH24">
        <v>2.2928400000000002E-2</v>
      </c>
      <c r="AL24">
        <v>2.3068973567284892E-2</v>
      </c>
      <c r="AM24">
        <v>2.2985262368804337E-2</v>
      </c>
      <c r="AN24">
        <v>2.2984900000000003E-2</v>
      </c>
      <c r="AO24">
        <v>2.2989900000000001E-2</v>
      </c>
      <c r="AP24">
        <v>2.2998999999999999E-2</v>
      </c>
      <c r="AQ24">
        <v>2.30134E-2</v>
      </c>
      <c r="AU24">
        <v>2.3048073567284888E-2</v>
      </c>
      <c r="AV24">
        <v>2.2966262368804332E-2</v>
      </c>
      <c r="AW24">
        <v>2.2969400000000001E-2</v>
      </c>
      <c r="AX24">
        <v>2.29778E-2</v>
      </c>
      <c r="AY24">
        <v>2.2991499999999998E-2</v>
      </c>
      <c r="AZ24">
        <v>2.3010900000000001E-2</v>
      </c>
      <c r="BD24">
        <v>2.3078673567284887E-2</v>
      </c>
      <c r="BE24">
        <v>2.2999262368804334E-2</v>
      </c>
      <c r="BF24">
        <v>2.3005999999999999E-2</v>
      </c>
      <c r="BG24">
        <v>2.30181E-2</v>
      </c>
      <c r="BH24">
        <v>2.3036000000000001E-2</v>
      </c>
      <c r="BI24">
        <v>2.3061699999999997E-2</v>
      </c>
    </row>
    <row r="25" spans="1:64" x14ac:dyDescent="0.35">
      <c r="A25" s="6" t="s">
        <v>251</v>
      </c>
      <c r="B25">
        <v>11.07588</v>
      </c>
      <c r="C25">
        <v>11.12546</v>
      </c>
      <c r="D25">
        <v>11.133570000000001</v>
      </c>
      <c r="E25">
        <v>11.14001</v>
      </c>
      <c r="F25">
        <v>11.1448</v>
      </c>
      <c r="G25">
        <v>11.14831</v>
      </c>
      <c r="K25">
        <v>11.078290000000001</v>
      </c>
      <c r="L25">
        <v>11.12448</v>
      </c>
      <c r="M25">
        <v>11.13026</v>
      </c>
      <c r="N25">
        <v>11.134209999999999</v>
      </c>
      <c r="O25">
        <v>11.13679</v>
      </c>
      <c r="P25">
        <v>11.138210000000001</v>
      </c>
      <c r="T25">
        <v>11.06711</v>
      </c>
      <c r="U25">
        <v>11.11049</v>
      </c>
      <c r="V25">
        <v>11.1144</v>
      </c>
      <c r="W25">
        <v>11.116099999999999</v>
      </c>
      <c r="X25">
        <v>11.116339999999999</v>
      </c>
      <c r="Y25">
        <v>11.114599999999999</v>
      </c>
      <c r="AC25">
        <v>11.053972949159292</v>
      </c>
      <c r="AD25">
        <v>11.096038629315753</v>
      </c>
      <c r="AE25">
        <v>11.097812151840703</v>
      </c>
      <c r="AF25">
        <v>11.097182554687873</v>
      </c>
      <c r="AG25">
        <v>11.095197369973258</v>
      </c>
      <c r="AH25">
        <v>11.090648650687232</v>
      </c>
      <c r="AL25">
        <v>11.02306644813352</v>
      </c>
      <c r="AM25">
        <v>11.063211915629093</v>
      </c>
      <c r="AN25">
        <v>11.063386332871454</v>
      </c>
      <c r="AO25">
        <v>11.060980192276483</v>
      </c>
      <c r="AP25">
        <v>11.056603701135577</v>
      </c>
      <c r="AQ25">
        <v>11.049685336474278</v>
      </c>
      <c r="AU25">
        <v>11.033062168083539</v>
      </c>
      <c r="AV25">
        <v>11.072364516214313</v>
      </c>
      <c r="AW25">
        <v>11.070852025843823</v>
      </c>
      <c r="AX25">
        <v>11.066804851744603</v>
      </c>
      <c r="AY25">
        <v>11.060210448314253</v>
      </c>
      <c r="AZ25">
        <v>11.050885820303296</v>
      </c>
      <c r="BD25">
        <v>11.018433437304925</v>
      </c>
      <c r="BE25">
        <v>11.056477570660324</v>
      </c>
      <c r="BF25">
        <v>11.053239525446282</v>
      </c>
      <c r="BG25">
        <v>11.047429132830995</v>
      </c>
      <c r="BH25">
        <v>11.038844787394389</v>
      </c>
      <c r="BI25">
        <v>11.026543078889118</v>
      </c>
    </row>
    <row r="26" spans="1:64" x14ac:dyDescent="0.35">
      <c r="A26" s="6" t="s">
        <v>143</v>
      </c>
      <c r="B26">
        <v>0.97696400000000005</v>
      </c>
      <c r="C26">
        <v>0.98063599999999995</v>
      </c>
      <c r="D26">
        <v>0.98352799999999996</v>
      </c>
      <c r="E26">
        <v>0.98607</v>
      </c>
      <c r="F26">
        <v>0.98796600000000001</v>
      </c>
      <c r="G26">
        <v>0.98936400000000002</v>
      </c>
      <c r="K26">
        <v>0.98750099999999996</v>
      </c>
      <c r="L26">
        <v>0.98988900000000002</v>
      </c>
      <c r="M26">
        <v>0.99189700000000003</v>
      </c>
      <c r="N26">
        <v>0.99348199999999998</v>
      </c>
      <c r="O26">
        <v>0.99452200000000002</v>
      </c>
      <c r="P26">
        <v>0.99509199999999998</v>
      </c>
      <c r="T26">
        <v>0.99271799999999999</v>
      </c>
      <c r="U26">
        <v>0.994031</v>
      </c>
      <c r="V26">
        <v>0.99530799999999997</v>
      </c>
      <c r="W26">
        <v>0.99599700000000002</v>
      </c>
      <c r="X26">
        <v>0.99609599999999998</v>
      </c>
      <c r="Y26">
        <v>0.99538700000000002</v>
      </c>
      <c r="AC26">
        <v>0.99520992729366564</v>
      </c>
      <c r="AD26">
        <v>0.99603669345752688</v>
      </c>
      <c r="AE26">
        <v>0.99645059187771468</v>
      </c>
      <c r="AF26">
        <v>0.9961943284957604</v>
      </c>
      <c r="AG26">
        <v>0.99538697590694181</v>
      </c>
      <c r="AH26">
        <v>0.9935409026740627</v>
      </c>
      <c r="AL26">
        <v>0.99629287573465086</v>
      </c>
      <c r="AM26">
        <v>0.99643087462912683</v>
      </c>
      <c r="AN26">
        <v>0.9961943284957604</v>
      </c>
      <c r="AO26">
        <v>0.99520992729366564</v>
      </c>
      <c r="AP26">
        <v>0.99342330067335161</v>
      </c>
      <c r="AQ26">
        <v>0.99060918108219287</v>
      </c>
      <c r="AU26">
        <v>0.99647030990664265</v>
      </c>
      <c r="AV26">
        <v>0.99623374505177742</v>
      </c>
      <c r="AW26">
        <v>0.99530827985793147</v>
      </c>
      <c r="AX26">
        <v>0.99365853252165015</v>
      </c>
      <c r="AY26">
        <v>0.99097957514773571</v>
      </c>
      <c r="AZ26">
        <v>0.98721063167543355</v>
      </c>
      <c r="BD26">
        <v>0.99635201343725266</v>
      </c>
      <c r="BE26">
        <v>0.99564282403329951</v>
      </c>
      <c r="BF26">
        <v>0.99401158924461497</v>
      </c>
      <c r="BG26">
        <v>0.99164307735436841</v>
      </c>
      <c r="BH26">
        <v>0.98815987266742922</v>
      </c>
      <c r="BI26">
        <v>0.9832014196679264</v>
      </c>
    </row>
  </sheetData>
  <mergeCells count="8">
    <mergeCell ref="C8:H8"/>
    <mergeCell ref="L8:Q8"/>
    <mergeCell ref="U8:Z8"/>
    <mergeCell ref="AD8:AI8"/>
    <mergeCell ref="A10:A16"/>
    <mergeCell ref="J10:J16"/>
    <mergeCell ref="S10:S16"/>
    <mergeCell ref="AB10:AB16"/>
  </mergeCells>
  <conditionalFormatting sqref="C10:I1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0:Q1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0:Z1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0:AI1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208EE-1921-41B0-AD5C-8AAC44576CE7}">
  <sheetPr codeName="Sheet34"/>
  <dimension ref="A1:AC1000"/>
  <sheetViews>
    <sheetView workbookViewId="0"/>
  </sheetViews>
  <sheetFormatPr defaultRowHeight="14.5" x14ac:dyDescent="0.35"/>
  <sheetData>
    <row r="1" spans="1:19" x14ac:dyDescent="0.35">
      <c r="A1" t="s">
        <v>12</v>
      </c>
      <c r="B1" s="1" t="s">
        <v>270</v>
      </c>
    </row>
    <row r="2" spans="1:19" x14ac:dyDescent="0.35">
      <c r="I2" s="2" t="s">
        <v>24</v>
      </c>
      <c r="L2" s="2" t="s">
        <v>25</v>
      </c>
      <c r="M2" s="2"/>
      <c r="O2" s="2" t="s">
        <v>31</v>
      </c>
      <c r="R2" s="2" t="s">
        <v>32</v>
      </c>
    </row>
    <row r="3" spans="1:19" x14ac:dyDescent="0.35">
      <c r="A3" t="s">
        <v>0</v>
      </c>
      <c r="B3" t="s">
        <v>41</v>
      </c>
      <c r="C3" t="s">
        <v>40</v>
      </c>
      <c r="D3" t="s">
        <v>42</v>
      </c>
      <c r="F3" t="s">
        <v>23</v>
      </c>
      <c r="G3">
        <v>0.08</v>
      </c>
      <c r="I3" t="s">
        <v>2</v>
      </c>
      <c r="J3" t="s">
        <v>1</v>
      </c>
      <c r="L3" t="s">
        <v>2</v>
      </c>
      <c r="M3" t="s">
        <v>1</v>
      </c>
      <c r="O3" t="s">
        <v>2</v>
      </c>
      <c r="P3" t="s">
        <v>1</v>
      </c>
      <c r="R3" t="s">
        <v>2</v>
      </c>
      <c r="S3" t="s">
        <v>1</v>
      </c>
    </row>
    <row r="4" spans="1:19" x14ac:dyDescent="0.35">
      <c r="A4" cm="1">
        <f t="array" aca="1" ref="A4:A43" ca="1">_xlfn._xlws.FILTER(INDIRECT("'" &amp; B1 &amp; "'!A2:A1000"),(INDIRECT("'" &amp; B1 &amp; "'!C2:C1000")&lt;G3) * (INDIRECT("'" &amp; B1 &amp; "'!C2:C1000")&lt;&gt;""))</f>
        <v>-3</v>
      </c>
      <c r="B4" cm="1">
        <f t="array" aca="1" ref="B4:B43" ca="1">_xlfn._xlws.FILTER(INDIRECT("'" &amp; B1 &amp; "'!C2:C1000"),(INDIRECT("'" &amp; B1 &amp; "'!C2:C1000")&lt;G3) * (INDIRECT("'" &amp; B1 &amp; "'!C2:C1000")&lt;&gt;""))</f>
        <v>2.0762626491451074E-2</v>
      </c>
      <c r="C4">
        <f ca="1">IF(ISBLANK(D4), "",
IF(D4 &lt; $G$9,
    $G$10 + $G$19 * ($G$23 * (D4 - $G$9))^2 + $G$21 * (1 - (D4 - $G$6)/($G$9 - $G$6)),
IF(D4 &gt; $G$13,
    $G$14 + $G$19 * ($G$23 * (D4 - $G$13))^2 - $G$22 * (1 - (D4 - $G$6)/($G$13 - $G$6)),
IF(D4 &lt; $G$6,
    $G$16 * (D4 - $G$6)^2 + $G$5,
    $G$17 * (D4 - $G$6)^2 + $G$5))))</f>
        <v>-2.7654252422056413</v>
      </c>
      <c r="D4" cm="1">
        <f t="array" aca="1" ref="D4:D43" ca="1">_xlfn._xlws.FILTER(INDIRECT("'" &amp; B1 &amp; "'!B2:B1000"),(INDIRECT("'" &amp; B1 &amp; "'!C2:C1000")&lt;G3) * (INDIRECT("'" &amp; B1 &amp; "'!C2:C1000")&lt;&gt;""))</f>
        <v>-0.43144226308594874</v>
      </c>
      <c r="I4">
        <f ca="1">$G$16 * (J4 - $G$6)^2 + $G$5</f>
        <v>0</v>
      </c>
      <c r="J4">
        <f ca="1">$G$9 + ($G$6 - $G$9) * (ROW(A1)-1)/99</f>
        <v>0</v>
      </c>
      <c r="L4">
        <f ca="1">$G$17 * (M4 - $G$6)^2 + $G$5</f>
        <v>0</v>
      </c>
      <c r="M4">
        <f ca="1">$G$13 + ($G$6 - $G$13) * (ROW(F1)-1)/99</f>
        <v>0</v>
      </c>
      <c r="O4">
        <f ca="1">$G$10 + $G$19 * ($G$23 * (P4 - $G$9))^2 + $G$21 * (1 - (P4 - $G$6)/($G$9 - $G$6))</f>
        <v>-3.6605460011967841</v>
      </c>
      <c r="P4">
        <f ca="1">$G$26 + ($G$9 - $G$26) * (ROW(A1)-1)/99</f>
        <v>-0.58922300842456532</v>
      </c>
      <c r="R4">
        <f ca="1">$G$14 + $G$19 * ($G$23 * (S4 - $G$13))^2 - $G$22 * (1 - (S4 - $G$6)/($G$13 - $G$6))</f>
        <v>0</v>
      </c>
      <c r="S4">
        <f ca="1">$G$13 + ($G$25 - $G$13) * (ROW(A1)-1)/99</f>
        <v>0</v>
      </c>
    </row>
    <row r="5" spans="1:19" x14ac:dyDescent="0.35">
      <c r="A5">
        <f ca="1"/>
        <v>-2.8461538461538463</v>
      </c>
      <c r="B5">
        <f ca="1"/>
        <v>2.6731069783210458E-2</v>
      </c>
      <c r="C5">
        <f t="shared" ref="C5:C68" ca="1" si="0">IF(ISBLANK(D5), "",
IF(D5 &lt; $G$9,
    $G$10 + $G$19 * ($G$23 * (D5 - $G$9))^2 + $G$21 * (1 - (D5 - $G$6)/($G$9 - $G$6)),
IF(D5 &gt; $G$13,
    $G$14 + $G$19 * ($G$23 * (D5 - $G$13))^2 - $G$22 * (1 - (D5 - $G$6)/($G$13 - $G$6)),
IF(D5 &lt; $G$6,
    $G$16 * (D5 - $G$6)^2 + $G$5,
    $G$17 * (D5 - $G$6)^2 + $G$5))))</f>
        <v>-3.6605460011967841</v>
      </c>
      <c r="D5">
        <f ca="1"/>
        <v>-0.58922300842456532</v>
      </c>
      <c r="F5" t="s">
        <v>13</v>
      </c>
      <c r="G5">
        <f ca="1">MIN(B4:B1000)</f>
        <v>6.5268971731127015E-3</v>
      </c>
      <c r="I5">
        <f t="shared" ref="I5:I68" ca="1" si="1">$G$16 * (J5 - $G$6)^2 + $G$5</f>
        <v>1.3119056658537041E-4</v>
      </c>
      <c r="J5">
        <f t="shared" ref="J5:J68" ca="1" si="2">$G$9 + ($G$6 - $G$9) * (ROW(B2)-1)/99</f>
        <v>-4.3779544315042065E-4</v>
      </c>
      <c r="L5">
        <f t="shared" ref="L5:L68" ca="1" si="3">$G$17 * (M5 - $G$6)^2 + $G$5</f>
        <v>1.3119056658537041E-4</v>
      </c>
      <c r="M5">
        <f t="shared" ref="M5:M68" ca="1" si="4">$G$13 + ($G$6 - $G$13) * (ROW(F2)-1)/99</f>
        <v>-4.3779544315042065E-4</v>
      </c>
      <c r="O5">
        <f t="shared" ref="O5:O68" ca="1" si="5">$G$10 + $G$19 * ($G$23 * (P5 - $G$9))^2 + $G$21 * (1 - (P5 - $G$6)/($G$9 - $G$6))</f>
        <v>-3.627910143192957</v>
      </c>
      <c r="P5">
        <f t="shared" ref="P5:P68" ca="1" si="6">$G$26 + ($G$9 - $G$26) * (ROW(B2)-1)/99</f>
        <v>-0.58327126086472125</v>
      </c>
      <c r="R5">
        <f t="shared" ref="R5:R68" ca="1" si="7">$G$14 + $G$19 * ($G$23 * (S5 - $G$13))^2 - $G$22 * (1 - (S5 - $G$6)/($G$13 - $G$6))</f>
        <v>-5.8080124720012921E-2</v>
      </c>
      <c r="S5">
        <f t="shared" ref="S5:S68" ca="1" si="8">$G$13 + ($G$25 - $G$13) * (ROW(B2)-1)/99</f>
        <v>8.3706282614639665E-3</v>
      </c>
    </row>
    <row r="6" spans="1:19" x14ac:dyDescent="0.35">
      <c r="A6">
        <f ca="1"/>
        <v>-2.6923076923076925</v>
      </c>
      <c r="B6">
        <f ca="1"/>
        <v>2.3260958694217227E-2</v>
      </c>
      <c r="C6">
        <f t="shared" ca="1" si="0"/>
        <v>-3.5231311479194929</v>
      </c>
      <c r="D6">
        <f ca="1"/>
        <v>-0.56427096362307461</v>
      </c>
      <c r="F6" t="s">
        <v>14</v>
      </c>
      <c r="G6">
        <f ca="1">INDEX(D4:D1000, MATCH(G5, B4:B1000, 0))</f>
        <v>-4.3341748871891642E-2</v>
      </c>
      <c r="I6">
        <f t="shared" ca="1" si="1"/>
        <v>2.6104924924601289E-4</v>
      </c>
      <c r="J6">
        <f t="shared" ca="1" si="2"/>
        <v>-8.755908863008413E-4</v>
      </c>
      <c r="L6">
        <f t="shared" ca="1" si="3"/>
        <v>2.6104924924601289E-4</v>
      </c>
      <c r="M6">
        <f t="shared" ca="1" si="4"/>
        <v>-8.755908863008413E-4</v>
      </c>
      <c r="O6">
        <f t="shared" ca="1" si="5"/>
        <v>-3.595185726941589</v>
      </c>
      <c r="P6">
        <f t="shared" ca="1" si="6"/>
        <v>-0.57731951330487719</v>
      </c>
      <c r="R6">
        <f t="shared" ca="1" si="7"/>
        <v>-0.11598508089629672</v>
      </c>
      <c r="S6">
        <f t="shared" ca="1" si="8"/>
        <v>1.6741256522927933E-2</v>
      </c>
    </row>
    <row r="7" spans="1:19" x14ac:dyDescent="0.35">
      <c r="A7">
        <f ca="1"/>
        <v>-2.5384615384615383</v>
      </c>
      <c r="B7">
        <f ca="1"/>
        <v>1.905273924792774E-2</v>
      </c>
      <c r="C7">
        <f t="shared" ca="1" si="0"/>
        <v>-3.2999408572834978</v>
      </c>
      <c r="D7">
        <f ca="1"/>
        <v>-0.52433190992430678</v>
      </c>
      <c r="I7">
        <f t="shared" ca="1" si="1"/>
        <v>3.8957604798193438E-4</v>
      </c>
      <c r="J7">
        <f t="shared" ca="1" si="2"/>
        <v>-1.313386329451262E-3</v>
      </c>
      <c r="L7">
        <f t="shared" ca="1" si="3"/>
        <v>3.8957604798193438E-4</v>
      </c>
      <c r="M7">
        <f t="shared" ca="1" si="4"/>
        <v>-1.313386329451262E-3</v>
      </c>
      <c r="O7">
        <f t="shared" ca="1" si="5"/>
        <v>-3.5623727524426814</v>
      </c>
      <c r="P7">
        <f t="shared" ca="1" si="6"/>
        <v>-0.57136776574503301</v>
      </c>
      <c r="R7">
        <f t="shared" ca="1" si="7"/>
        <v>-0.17371486852885157</v>
      </c>
      <c r="S7">
        <f t="shared" ca="1" si="8"/>
        <v>2.5111884784391903E-2</v>
      </c>
    </row>
    <row r="8" spans="1:19" x14ac:dyDescent="0.35">
      <c r="A8">
        <f ca="1"/>
        <v>-2.3846153846153846</v>
      </c>
      <c r="B8">
        <f ca="1"/>
        <v>1.5102744564496237E-2</v>
      </c>
      <c r="C8">
        <f t="shared" ca="1" si="0"/>
        <v>-3.0434174920520709</v>
      </c>
      <c r="D8">
        <f ca="1"/>
        <v>-0.47928438417741526</v>
      </c>
      <c r="F8" t="s">
        <v>15</v>
      </c>
      <c r="G8" s="5">
        <v>70</v>
      </c>
      <c r="I8">
        <f t="shared" ca="1" si="1"/>
        <v>5.1677096279312794E-4</v>
      </c>
      <c r="J8">
        <f t="shared" ca="1" si="2"/>
        <v>-1.7511817726016826E-3</v>
      </c>
      <c r="L8">
        <f t="shared" ca="1" si="3"/>
        <v>5.1677096279312794E-4</v>
      </c>
      <c r="M8">
        <f t="shared" ca="1" si="4"/>
        <v>-1.7511817726016826E-3</v>
      </c>
      <c r="O8">
        <f t="shared" ca="1" si="5"/>
        <v>-3.5294712196962328</v>
      </c>
      <c r="P8">
        <f t="shared" ca="1" si="6"/>
        <v>-0.56541601818518894</v>
      </c>
      <c r="R8">
        <f t="shared" ca="1" si="7"/>
        <v>-0.23126948761767732</v>
      </c>
      <c r="S8">
        <f t="shared" ca="1" si="8"/>
        <v>3.3482513045855866E-2</v>
      </c>
    </row>
    <row r="9" spans="1:19" x14ac:dyDescent="0.35">
      <c r="A9">
        <f ca="1"/>
        <v>-2.2307692307692308</v>
      </c>
      <c r="B9">
        <f ca="1"/>
        <v>1.1359388654780304E-2</v>
      </c>
      <c r="C9">
        <f t="shared" ca="1" si="0"/>
        <v>-2.6371814910317228</v>
      </c>
      <c r="D9">
        <f ca="1"/>
        <v>-0.40969719286116341</v>
      </c>
      <c r="F9" t="s">
        <v>17</v>
      </c>
      <c r="G9" cm="1">
        <f t="array" ref="G9">INDEX(D4:D1000, G8)</f>
        <v>0</v>
      </c>
      <c r="I9">
        <f t="shared" ca="1" si="1"/>
        <v>6.426339936796005E-4</v>
      </c>
      <c r="J9">
        <f t="shared" ca="1" si="2"/>
        <v>-2.1889772157521032E-3</v>
      </c>
      <c r="L9">
        <f t="shared" ca="1" si="3"/>
        <v>6.426339936796005E-4</v>
      </c>
      <c r="M9">
        <f t="shared" ca="1" si="4"/>
        <v>-2.1889772157521032E-3</v>
      </c>
      <c r="O9">
        <f t="shared" ca="1" si="5"/>
        <v>-3.4964811287022446</v>
      </c>
      <c r="P9">
        <f t="shared" ca="1" si="6"/>
        <v>-0.55946427062534487</v>
      </c>
      <c r="R9">
        <f t="shared" ca="1" si="7"/>
        <v>-0.28864893816277404</v>
      </c>
      <c r="S9">
        <f t="shared" ca="1" si="8"/>
        <v>4.185314130731984E-2</v>
      </c>
    </row>
    <row r="10" spans="1:19" x14ac:dyDescent="0.35">
      <c r="A10">
        <f ca="1"/>
        <v>-2.0769230769230766</v>
      </c>
      <c r="B10">
        <f ca="1"/>
        <v>1.0442078186554869E-2</v>
      </c>
      <c r="C10">
        <f t="shared" ca="1" si="0"/>
        <v>-2.2952607820071518</v>
      </c>
      <c r="D10">
        <f ca="1"/>
        <v>-0.35267298820868725</v>
      </c>
      <c r="F10" t="s">
        <v>18</v>
      </c>
      <c r="G10" cm="1">
        <f t="array" ref="G10">INDEX(B4:B1000, G8)</f>
        <v>0</v>
      </c>
      <c r="I10">
        <f t="shared" ca="1" si="1"/>
        <v>7.6716514064134513E-4</v>
      </c>
      <c r="J10">
        <f t="shared" ca="1" si="2"/>
        <v>-2.626772658902524E-3</v>
      </c>
      <c r="L10">
        <f t="shared" ca="1" si="3"/>
        <v>7.6716514064134513E-4</v>
      </c>
      <c r="M10">
        <f t="shared" ca="1" si="4"/>
        <v>-2.626772658902524E-3</v>
      </c>
      <c r="O10">
        <f t="shared" ca="1" si="5"/>
        <v>-3.4634024794607159</v>
      </c>
      <c r="P10">
        <f t="shared" ca="1" si="6"/>
        <v>-0.55351252306550081</v>
      </c>
      <c r="R10">
        <f t="shared" ca="1" si="7"/>
        <v>-0.34585322016414177</v>
      </c>
      <c r="S10">
        <f t="shared" ca="1" si="8"/>
        <v>5.0223769568783806E-2</v>
      </c>
    </row>
    <row r="11" spans="1:19" x14ac:dyDescent="0.35">
      <c r="A11">
        <f ca="1"/>
        <v>-1.9230769230769229</v>
      </c>
      <c r="B11">
        <f ca="1"/>
        <v>9.0081445615526196E-3</v>
      </c>
      <c r="C11">
        <f t="shared" ca="1" si="0"/>
        <v>-2.2131348894835448</v>
      </c>
      <c r="D11">
        <f ca="1"/>
        <v>-0.33917479943798506</v>
      </c>
      <c r="I11">
        <f t="shared" ca="1" si="1"/>
        <v>8.903644036783679E-4</v>
      </c>
      <c r="J11">
        <f t="shared" ca="1" si="2"/>
        <v>-3.0645681020529444E-3</v>
      </c>
      <c r="L11">
        <f t="shared" ca="1" si="3"/>
        <v>8.903644036783679E-4</v>
      </c>
      <c r="M11">
        <f t="shared" ca="1" si="4"/>
        <v>-3.0645681020529444E-3</v>
      </c>
      <c r="O11">
        <f t="shared" ca="1" si="5"/>
        <v>-3.4302352719716467</v>
      </c>
      <c r="P11">
        <f t="shared" ca="1" si="6"/>
        <v>-0.54756077550565663</v>
      </c>
      <c r="R11">
        <f t="shared" ca="1" si="7"/>
        <v>-0.40288233362178039</v>
      </c>
      <c r="S11">
        <f t="shared" ca="1" si="8"/>
        <v>5.8594397830247773E-2</v>
      </c>
    </row>
    <row r="12" spans="1:19" x14ac:dyDescent="0.35">
      <c r="A12">
        <f ca="1"/>
        <v>-1.7692307692307692</v>
      </c>
      <c r="B12">
        <f ca="1"/>
        <v>9.9585825554046915E-3</v>
      </c>
      <c r="C12">
        <f t="shared" ca="1" si="0"/>
        <v>-1.7052354105960481</v>
      </c>
      <c r="D12">
        <f ca="1"/>
        <v>-0.25730083567386902</v>
      </c>
      <c r="F12" t="s">
        <v>16</v>
      </c>
      <c r="G12" s="5">
        <v>140</v>
      </c>
      <c r="I12">
        <f t="shared" ca="1" si="1"/>
        <v>1.0122317827906645E-3</v>
      </c>
      <c r="J12">
        <f t="shared" ca="1" si="2"/>
        <v>-3.5023635452033652E-3</v>
      </c>
      <c r="L12">
        <f t="shared" ca="1" si="3"/>
        <v>1.0122317827906645E-3</v>
      </c>
      <c r="M12">
        <f t="shared" ca="1" si="4"/>
        <v>-3.5023635452033652E-3</v>
      </c>
      <c r="O12">
        <f t="shared" ca="1" si="5"/>
        <v>-3.3969795062350379</v>
      </c>
      <c r="P12">
        <f t="shared" ca="1" si="6"/>
        <v>-0.54160902794581256</v>
      </c>
      <c r="R12">
        <f t="shared" ca="1" si="7"/>
        <v>-0.45973627853568988</v>
      </c>
      <c r="S12">
        <f t="shared" ca="1" si="8"/>
        <v>6.6965026091711732E-2</v>
      </c>
    </row>
    <row r="13" spans="1:19" x14ac:dyDescent="0.35">
      <c r="A13">
        <f ca="1"/>
        <v>-1.6153846153846154</v>
      </c>
      <c r="B13">
        <f ca="1"/>
        <v>8.8252393976860789E-3</v>
      </c>
      <c r="C13">
        <f t="shared" ca="1" si="0"/>
        <v>-1.4404489677562244</v>
      </c>
      <c r="D13">
        <f ca="1"/>
        <v>-0.21565355359848665</v>
      </c>
      <c r="F13" t="s">
        <v>19</v>
      </c>
      <c r="G13" cm="1">
        <f t="array" ref="G13">INDEX(D4:D1000, G12)</f>
        <v>0</v>
      </c>
      <c r="I13">
        <f t="shared" ca="1" si="1"/>
        <v>1.1327672779782375E-3</v>
      </c>
      <c r="J13">
        <f t="shared" ca="1" si="2"/>
        <v>-3.9401589883537851E-3</v>
      </c>
      <c r="L13">
        <f t="shared" ca="1" si="3"/>
        <v>1.1327672779782375E-3</v>
      </c>
      <c r="M13">
        <f t="shared" ca="1" si="4"/>
        <v>-3.9401589883537851E-3</v>
      </c>
      <c r="O13">
        <f t="shared" ca="1" si="5"/>
        <v>-3.363635182250889</v>
      </c>
      <c r="P13">
        <f t="shared" ca="1" si="6"/>
        <v>-0.53565728038596849</v>
      </c>
      <c r="R13">
        <f t="shared" ca="1" si="7"/>
        <v>-0.51641505490587036</v>
      </c>
      <c r="S13">
        <f t="shared" ca="1" si="8"/>
        <v>7.5335654353175699E-2</v>
      </c>
    </row>
    <row r="14" spans="1:19" x14ac:dyDescent="0.35">
      <c r="A14">
        <f ca="1"/>
        <v>-1.4615384615384615</v>
      </c>
      <c r="B14">
        <f ca="1"/>
        <v>7.972605116331067E-3</v>
      </c>
      <c r="C14">
        <f t="shared" ca="1" si="0"/>
        <v>-1.1795466657682709</v>
      </c>
      <c r="D14">
        <f ca="1"/>
        <v>-0.17526853132933995</v>
      </c>
      <c r="F14" t="s">
        <v>20</v>
      </c>
      <c r="G14" cm="1">
        <f t="array" ref="G14">INDEX(B4:B1000, G12)</f>
        <v>0</v>
      </c>
      <c r="I14">
        <f t="shared" ca="1" si="1"/>
        <v>1.2519708892410842E-3</v>
      </c>
      <c r="J14">
        <f t="shared" ca="1" si="2"/>
        <v>-4.3779544315042064E-3</v>
      </c>
      <c r="L14">
        <f t="shared" ca="1" si="3"/>
        <v>1.2519708892410842E-3</v>
      </c>
      <c r="M14">
        <f t="shared" ca="1" si="4"/>
        <v>-4.3779544315042064E-3</v>
      </c>
      <c r="O14">
        <f t="shared" ca="1" si="5"/>
        <v>-3.3302023000191987</v>
      </c>
      <c r="P14">
        <f t="shared" ca="1" si="6"/>
        <v>-0.52970553282612443</v>
      </c>
      <c r="R14">
        <f t="shared" ca="1" si="7"/>
        <v>-0.57291866273232195</v>
      </c>
      <c r="S14">
        <f t="shared" ca="1" si="8"/>
        <v>8.3706282614639679E-2</v>
      </c>
    </row>
    <row r="15" spans="1:19" x14ac:dyDescent="0.35">
      <c r="A15">
        <f ca="1"/>
        <v>-1.3076923076923075</v>
      </c>
      <c r="B15">
        <f ca="1"/>
        <v>7.3836390638719494E-3</v>
      </c>
      <c r="C15">
        <f t="shared" ca="1" si="0"/>
        <v>-0.91871433235609556</v>
      </c>
      <c r="D15">
        <f ca="1"/>
        <v>-0.13551084580648445</v>
      </c>
      <c r="I15">
        <f t="shared" ca="1" si="1"/>
        <v>1.3698426165792092E-3</v>
      </c>
      <c r="J15">
        <f t="shared" ca="1" si="2"/>
        <v>-4.8157498746546267E-3</v>
      </c>
      <c r="L15">
        <f t="shared" ca="1" si="3"/>
        <v>1.3698426165792092E-3</v>
      </c>
      <c r="M15">
        <f t="shared" ca="1" si="4"/>
        <v>-4.8157498746546267E-3</v>
      </c>
      <c r="O15">
        <f t="shared" ca="1" si="5"/>
        <v>-3.2966808595399684</v>
      </c>
      <c r="P15">
        <f t="shared" ca="1" si="6"/>
        <v>-0.52375378526628025</v>
      </c>
      <c r="R15">
        <f t="shared" ca="1" si="7"/>
        <v>-0.6292471020150443</v>
      </c>
      <c r="S15">
        <f t="shared" ca="1" si="8"/>
        <v>9.2076910876103632E-2</v>
      </c>
    </row>
    <row r="16" spans="1:19" x14ac:dyDescent="0.35">
      <c r="A16">
        <f ca="1"/>
        <v>-1.1538461538461537</v>
      </c>
      <c r="B16">
        <f ca="1"/>
        <v>6.9281899313163274E-3</v>
      </c>
      <c r="C16">
        <f t="shared" ca="1" si="0"/>
        <v>-0.66806702498527604</v>
      </c>
      <c r="D16">
        <f ca="1"/>
        <v>-9.7860912382717866E-2</v>
      </c>
      <c r="F16" t="s">
        <v>21</v>
      </c>
      <c r="G16">
        <f ca="1">(G10 - G5) / (G9 - G6)^2</f>
        <v>-3.4745127351829317</v>
      </c>
      <c r="I16">
        <f t="shared" ca="1" si="1"/>
        <v>1.486382459992607E-3</v>
      </c>
      <c r="J16">
        <f t="shared" ca="1" si="2"/>
        <v>-5.253545317805048E-3</v>
      </c>
      <c r="L16">
        <f t="shared" ca="1" si="3"/>
        <v>1.486382459992607E-3</v>
      </c>
      <c r="M16">
        <f t="shared" ca="1" si="4"/>
        <v>-5.253545317805048E-3</v>
      </c>
      <c r="O16">
        <f t="shared" ca="1" si="5"/>
        <v>-3.2630708608131984</v>
      </c>
      <c r="P16">
        <f t="shared" ca="1" si="6"/>
        <v>-0.51780203770643618</v>
      </c>
      <c r="R16">
        <f t="shared" ca="1" si="7"/>
        <v>-0.68540037275403776</v>
      </c>
      <c r="S16">
        <f t="shared" ca="1" si="8"/>
        <v>0.10044753913756761</v>
      </c>
    </row>
    <row r="17" spans="1:19" x14ac:dyDescent="0.35">
      <c r="A17">
        <f ca="1"/>
        <v>-1</v>
      </c>
      <c r="B17">
        <f ca="1"/>
        <v>6.6701551426987908E-3</v>
      </c>
      <c r="C17">
        <f t="shared" ca="1" si="0"/>
        <v>-0.49150756200465412</v>
      </c>
      <c r="D17">
        <f ca="1"/>
        <v>-7.1653994179530445E-2</v>
      </c>
      <c r="F17" t="s">
        <v>22</v>
      </c>
      <c r="G17">
        <f ca="1">(G14 - G5) / (G13 - G6)^2</f>
        <v>-3.4745127351829317</v>
      </c>
      <c r="I17">
        <f t="shared" ca="1" si="1"/>
        <v>1.601590419481283E-3</v>
      </c>
      <c r="J17">
        <f t="shared" ca="1" si="2"/>
        <v>-5.6913407609554684E-3</v>
      </c>
      <c r="L17">
        <f t="shared" ca="1" si="3"/>
        <v>1.601590419481283E-3</v>
      </c>
      <c r="M17">
        <f t="shared" ca="1" si="4"/>
        <v>-5.6913407609554684E-3</v>
      </c>
      <c r="O17">
        <f t="shared" ca="1" si="5"/>
        <v>-3.2293723038388875</v>
      </c>
      <c r="P17">
        <f t="shared" ca="1" si="6"/>
        <v>-0.51185029014659211</v>
      </c>
      <c r="R17">
        <f t="shared" ca="1" si="7"/>
        <v>-0.74137847494930209</v>
      </c>
      <c r="S17">
        <f t="shared" ca="1" si="8"/>
        <v>0.10881816739903157</v>
      </c>
    </row>
    <row r="18" spans="1:19" x14ac:dyDescent="0.35">
      <c r="A18">
        <f ca="1"/>
        <v>-0.84615384615384581</v>
      </c>
      <c r="B18">
        <f ca="1"/>
        <v>6.5268971731127015E-3</v>
      </c>
      <c r="C18">
        <f t="shared" ca="1" si="0"/>
        <v>-0.29883478284688325</v>
      </c>
      <c r="D18">
        <f ca="1"/>
        <v>-4.3341748871891642E-2</v>
      </c>
      <c r="I18">
        <f t="shared" ca="1" si="1"/>
        <v>1.7154664950452328E-3</v>
      </c>
      <c r="J18">
        <f t="shared" ca="1" si="2"/>
        <v>-6.1291362041058887E-3</v>
      </c>
      <c r="L18">
        <f t="shared" ca="1" si="3"/>
        <v>1.7154664950452328E-3</v>
      </c>
      <c r="M18">
        <f t="shared" ca="1" si="4"/>
        <v>-6.1291362041058887E-3</v>
      </c>
      <c r="O18">
        <f t="shared" ca="1" si="5"/>
        <v>-3.195585188617037</v>
      </c>
      <c r="P18">
        <f t="shared" ca="1" si="6"/>
        <v>-0.50589854258674805</v>
      </c>
      <c r="R18">
        <f t="shared" ca="1" si="7"/>
        <v>-0.79718140860083742</v>
      </c>
      <c r="S18">
        <f t="shared" ca="1" si="8"/>
        <v>0.11718879566049555</v>
      </c>
    </row>
    <row r="19" spans="1:19" x14ac:dyDescent="0.35">
      <c r="A19">
        <f ca="1"/>
        <v>-0.69230769230769207</v>
      </c>
      <c r="B19">
        <f ca="1"/>
        <v>6.5555805851805924E-3</v>
      </c>
      <c r="C19">
        <f t="shared" ca="1" si="0"/>
        <v>-0.13678346783028641</v>
      </c>
      <c r="D19">
        <f ca="1"/>
        <v>1.9754028165769075E-2</v>
      </c>
      <c r="F19" t="s">
        <v>26</v>
      </c>
      <c r="G19" s="3">
        <v>0.05</v>
      </c>
      <c r="I19">
        <f t="shared" ca="1" si="1"/>
        <v>1.8280106866844573E-3</v>
      </c>
      <c r="J19">
        <f t="shared" ca="1" si="2"/>
        <v>-6.5669316472563091E-3</v>
      </c>
      <c r="L19">
        <f t="shared" ca="1" si="3"/>
        <v>1.8280106866844573E-3</v>
      </c>
      <c r="M19">
        <f t="shared" ca="1" si="4"/>
        <v>-6.5669316472563091E-3</v>
      </c>
      <c r="O19">
        <f t="shared" ca="1" si="5"/>
        <v>-3.1617095151476451</v>
      </c>
      <c r="P19">
        <f t="shared" ca="1" si="6"/>
        <v>-0.49994679502690387</v>
      </c>
      <c r="R19">
        <f t="shared" ca="1" si="7"/>
        <v>-0.8528091737086434</v>
      </c>
      <c r="S19">
        <f t="shared" ca="1" si="8"/>
        <v>0.12555942392195951</v>
      </c>
    </row>
    <row r="20" spans="1:19" x14ac:dyDescent="0.35">
      <c r="A20">
        <f ca="1"/>
        <v>-0.53846153846153832</v>
      </c>
      <c r="B20">
        <f ca="1"/>
        <v>6.5829098600688864E-3</v>
      </c>
      <c r="C20">
        <f t="shared" ca="1" si="0"/>
        <v>-0.39300884034441907</v>
      </c>
      <c r="D20">
        <f ca="1"/>
        <v>5.7143342476516784E-2</v>
      </c>
      <c r="F20" t="s">
        <v>27</v>
      </c>
      <c r="G20" s="3">
        <v>0.2</v>
      </c>
      <c r="I20">
        <f t="shared" ca="1" si="1"/>
        <v>1.939222994398959E-3</v>
      </c>
      <c r="J20">
        <f t="shared" ca="1" si="2"/>
        <v>-7.0047270904067304E-3</v>
      </c>
      <c r="L20">
        <f t="shared" ca="1" si="3"/>
        <v>1.939222994398959E-3</v>
      </c>
      <c r="M20">
        <f t="shared" ca="1" si="4"/>
        <v>-7.0047270904067304E-3</v>
      </c>
      <c r="O20">
        <f t="shared" ca="1" si="5"/>
        <v>-3.1277452834307136</v>
      </c>
      <c r="P20">
        <f t="shared" ca="1" si="6"/>
        <v>-0.4939950474670598</v>
      </c>
      <c r="R20">
        <f t="shared" ca="1" si="7"/>
        <v>-0.9082617702727207</v>
      </c>
      <c r="S20">
        <f t="shared" ca="1" si="8"/>
        <v>0.13393005218342346</v>
      </c>
    </row>
    <row r="21" spans="1:19" x14ac:dyDescent="0.35">
      <c r="A21">
        <f ca="1"/>
        <v>-0.38461538461538458</v>
      </c>
      <c r="B21">
        <f ca="1"/>
        <v>6.6509869745660158E-3</v>
      </c>
      <c r="C21">
        <f t="shared" ca="1" si="0"/>
        <v>-0.64280513027464103</v>
      </c>
      <c r="D21">
        <f ca="1"/>
        <v>9.4095583116752798E-2</v>
      </c>
      <c r="F21" t="s">
        <v>28</v>
      </c>
      <c r="G21">
        <f ca="1">2 * (G10 - G5) * (G9 - G6) / (G9 - G6)^2</f>
        <v>-0.30118291684097592</v>
      </c>
      <c r="I21">
        <f t="shared" ca="1" si="1"/>
        <v>2.0491034181887337E-3</v>
      </c>
      <c r="J21">
        <f t="shared" ca="1" si="2"/>
        <v>-7.4425225335571507E-3</v>
      </c>
      <c r="L21">
        <f t="shared" ca="1" si="3"/>
        <v>2.0491034181887337E-3</v>
      </c>
      <c r="M21">
        <f t="shared" ca="1" si="4"/>
        <v>-7.4425225335571507E-3</v>
      </c>
      <c r="O21">
        <f t="shared" ca="1" si="5"/>
        <v>-3.0936924934662424</v>
      </c>
      <c r="P21">
        <f t="shared" ca="1" si="6"/>
        <v>-0.48804329990721573</v>
      </c>
      <c r="R21">
        <f t="shared" ca="1" si="7"/>
        <v>-0.963539198293069</v>
      </c>
      <c r="S21">
        <f t="shared" ca="1" si="8"/>
        <v>0.14230068044488745</v>
      </c>
    </row>
    <row r="22" spans="1:19" x14ac:dyDescent="0.35">
      <c r="A22">
        <f ca="1"/>
        <v>-0.23076923076923084</v>
      </c>
      <c r="B22">
        <f ca="1"/>
        <v>6.7426710283406046E-3</v>
      </c>
      <c r="C22">
        <f t="shared" ca="1" si="0"/>
        <v>-0.88713534652526882</v>
      </c>
      <c r="D22">
        <f ca="1"/>
        <v>0.13073787698698214</v>
      </c>
      <c r="F22" t="s">
        <v>29</v>
      </c>
      <c r="G22">
        <f ca="1">2 * (G14 - G5) * (G13 - G6) / (G13 - G6)^2</f>
        <v>-0.30118291684097592</v>
      </c>
      <c r="I22">
        <f t="shared" ca="1" si="1"/>
        <v>2.1576519580537865E-3</v>
      </c>
      <c r="J22">
        <f t="shared" ca="1" si="2"/>
        <v>-7.8803179767075703E-3</v>
      </c>
      <c r="L22">
        <f t="shared" ca="1" si="3"/>
        <v>2.1576519580537865E-3</v>
      </c>
      <c r="M22">
        <f t="shared" ca="1" si="4"/>
        <v>-7.8803179767075703E-3</v>
      </c>
      <c r="O22">
        <f t="shared" ca="1" si="5"/>
        <v>-3.0595511452542299</v>
      </c>
      <c r="P22">
        <f t="shared" ca="1" si="6"/>
        <v>-0.48209155234737161</v>
      </c>
      <c r="R22">
        <f t="shared" ca="1" si="7"/>
        <v>-1.0186414577696881</v>
      </c>
      <c r="S22">
        <f t="shared" ca="1" si="8"/>
        <v>0.1506713087063514</v>
      </c>
    </row>
    <row r="23" spans="1:19" x14ac:dyDescent="0.35">
      <c r="A23">
        <f ca="1"/>
        <v>-7.692307692307665E-2</v>
      </c>
      <c r="B23">
        <f ca="1"/>
        <v>6.8536416321900639E-3</v>
      </c>
      <c r="C23">
        <f t="shared" ca="1" si="0"/>
        <v>-1.1260621396400881</v>
      </c>
      <c r="D23">
        <f ca="1"/>
        <v>0.16706677485444543</v>
      </c>
      <c r="F23" t="s">
        <v>30</v>
      </c>
      <c r="G23">
        <f>1/G20</f>
        <v>5</v>
      </c>
      <c r="I23">
        <f t="shared" ca="1" si="1"/>
        <v>2.2648686139941122E-3</v>
      </c>
      <c r="J23">
        <f t="shared" ca="1" si="2"/>
        <v>-8.3181134198579924E-3</v>
      </c>
      <c r="L23">
        <f t="shared" ca="1" si="3"/>
        <v>2.2648686139941122E-3</v>
      </c>
      <c r="M23">
        <f t="shared" ca="1" si="4"/>
        <v>-8.3181134198579924E-3</v>
      </c>
      <c r="O23">
        <f t="shared" ca="1" si="5"/>
        <v>-3.0253212387946777</v>
      </c>
      <c r="P23">
        <f t="shared" ca="1" si="6"/>
        <v>-0.47613980478752754</v>
      </c>
      <c r="R23">
        <f t="shared" ca="1" si="7"/>
        <v>-1.0735685487025777</v>
      </c>
      <c r="S23">
        <f t="shared" ca="1" si="8"/>
        <v>0.15904193696781538</v>
      </c>
    </row>
    <row r="24" spans="1:19" x14ac:dyDescent="0.35">
      <c r="A24">
        <f ca="1"/>
        <v>7.6923076923077094E-2</v>
      </c>
      <c r="B24">
        <f ca="1"/>
        <v>6.9801697013243307E-3</v>
      </c>
      <c r="C24">
        <f t="shared" ca="1" si="0"/>
        <v>-1.3596191436647485</v>
      </c>
      <c r="D24">
        <f ca="1"/>
        <v>0.20307424174172303</v>
      </c>
      <c r="I24">
        <f t="shared" ca="1" si="1"/>
        <v>2.3707533860097153E-3</v>
      </c>
      <c r="J24">
        <f t="shared" ca="1" si="2"/>
        <v>-8.7559088630084127E-3</v>
      </c>
      <c r="L24">
        <f t="shared" ca="1" si="3"/>
        <v>2.3707533860097153E-3</v>
      </c>
      <c r="M24">
        <f t="shared" ca="1" si="4"/>
        <v>-8.7559088630084127E-3</v>
      </c>
      <c r="O24">
        <f t="shared" ca="1" si="5"/>
        <v>-2.9910027740875851</v>
      </c>
      <c r="P24">
        <f t="shared" ca="1" si="6"/>
        <v>-0.47018805722768342</v>
      </c>
      <c r="R24">
        <f t="shared" ca="1" si="7"/>
        <v>-1.1283204710917392</v>
      </c>
      <c r="S24">
        <f t="shared" ca="1" si="8"/>
        <v>0.16741256522927936</v>
      </c>
    </row>
    <row r="25" spans="1:19" x14ac:dyDescent="0.35">
      <c r="A25">
        <f ca="1"/>
        <v>0.23076923076923084</v>
      </c>
      <c r="B25">
        <f ca="1"/>
        <v>7.117210584767792E-3</v>
      </c>
      <c r="C25">
        <f t="shared" ca="1" si="0"/>
        <v>-1.5882089379241422</v>
      </c>
      <c r="D25">
        <f ca="1"/>
        <v>0.23880998984116422</v>
      </c>
      <c r="F25" t="s">
        <v>33</v>
      </c>
      <c r="G25">
        <f ca="1">MAX(D4:D1000)</f>
        <v>0.82869219788493276</v>
      </c>
      <c r="I25">
        <f t="shared" ca="1" si="1"/>
        <v>2.475306274100593E-3</v>
      </c>
      <c r="J25">
        <f t="shared" ca="1" si="2"/>
        <v>-9.1937043061588331E-3</v>
      </c>
      <c r="L25">
        <f t="shared" ca="1" si="3"/>
        <v>2.475306274100593E-3</v>
      </c>
      <c r="M25">
        <f t="shared" ca="1" si="4"/>
        <v>-9.1937043061588331E-3</v>
      </c>
      <c r="O25">
        <f t="shared" ca="1" si="5"/>
        <v>-2.9565957511329524</v>
      </c>
      <c r="P25">
        <f t="shared" ca="1" si="6"/>
        <v>-0.46423630966783935</v>
      </c>
      <c r="R25">
        <f t="shared" ca="1" si="7"/>
        <v>-1.1828972249371712</v>
      </c>
      <c r="S25">
        <f t="shared" ca="1" si="8"/>
        <v>0.17578319349074331</v>
      </c>
    </row>
    <row r="26" spans="1:19" x14ac:dyDescent="0.35">
      <c r="A26">
        <f ca="1"/>
        <v>0.38461538461538503</v>
      </c>
      <c r="B26">
        <f ca="1"/>
        <v>7.2659379060358055E-3</v>
      </c>
      <c r="C26">
        <f t="shared" ca="1" si="0"/>
        <v>-1.8120549419709235</v>
      </c>
      <c r="D26">
        <f ca="1"/>
        <v>0.27429806298704251</v>
      </c>
      <c r="F26" t="s">
        <v>14</v>
      </c>
      <c r="G26">
        <f ca="1">MIN(D4:D1000)</f>
        <v>-0.58922300842456532</v>
      </c>
      <c r="I26">
        <f t="shared" ca="1" si="1"/>
        <v>2.5785272782667462E-3</v>
      </c>
      <c r="J26">
        <f t="shared" ca="1" si="2"/>
        <v>-9.6314997493092535E-3</v>
      </c>
      <c r="L26">
        <f t="shared" ca="1" si="3"/>
        <v>2.5785272782667462E-3</v>
      </c>
      <c r="M26">
        <f t="shared" ca="1" si="4"/>
        <v>-9.6314997493092535E-3</v>
      </c>
      <c r="O26">
        <f t="shared" ca="1" si="5"/>
        <v>-2.9221001699307791</v>
      </c>
      <c r="P26">
        <f t="shared" ca="1" si="6"/>
        <v>-0.45828456210799529</v>
      </c>
      <c r="R26">
        <f t="shared" ca="1" si="7"/>
        <v>-1.2372988102388738</v>
      </c>
      <c r="S26">
        <f t="shared" ca="1" si="8"/>
        <v>0.18415382175220726</v>
      </c>
    </row>
    <row r="27" spans="1:19" x14ac:dyDescent="0.35">
      <c r="A27">
        <f ca="1"/>
        <v>0.53846153846153877</v>
      </c>
      <c r="B27">
        <f ca="1"/>
        <v>7.4310495748494583E-3</v>
      </c>
      <c r="C27">
        <f t="shared" ca="1" si="0"/>
        <v>-2.0323730147036465</v>
      </c>
      <c r="D27">
        <f ca="1"/>
        <v>0.30972468750384707</v>
      </c>
      <c r="I27">
        <f t="shared" ca="1" si="1"/>
        <v>2.6804163985081741E-3</v>
      </c>
      <c r="J27">
        <f t="shared" ca="1" si="2"/>
        <v>-1.0069295192459674E-2</v>
      </c>
      <c r="L27">
        <f t="shared" ca="1" si="3"/>
        <v>2.6804163985081741E-3</v>
      </c>
      <c r="M27">
        <f t="shared" ca="1" si="4"/>
        <v>-1.0069295192459674E-2</v>
      </c>
      <c r="O27">
        <f t="shared" ca="1" si="5"/>
        <v>-2.8875160304810654</v>
      </c>
      <c r="P27">
        <f t="shared" ca="1" si="6"/>
        <v>-0.45233281454815111</v>
      </c>
      <c r="R27">
        <f t="shared" ca="1" si="7"/>
        <v>-1.2915252269968476</v>
      </c>
      <c r="S27">
        <f t="shared" ca="1" si="8"/>
        <v>0.19252445001367124</v>
      </c>
    </row>
    <row r="28" spans="1:19" x14ac:dyDescent="0.35">
      <c r="A28">
        <f ca="1"/>
        <v>0.69230769230769251</v>
      </c>
      <c r="B28">
        <f ca="1"/>
        <v>7.6180228072061981E-3</v>
      </c>
      <c r="C28">
        <f t="shared" ca="1" si="0"/>
        <v>-2.2534198189046935</v>
      </c>
      <c r="D28">
        <f ca="1"/>
        <v>0.34578666477345982</v>
      </c>
      <c r="F28" t="s">
        <v>44</v>
      </c>
      <c r="G28">
        <f ca="1">COUNTIF(B4:B1000, "&lt;&gt;")</f>
        <v>40</v>
      </c>
      <c r="I28">
        <f t="shared" ca="1" si="1"/>
        <v>2.7809736348248797E-3</v>
      </c>
      <c r="J28">
        <f t="shared" ca="1" si="2"/>
        <v>-1.0507090635610096E-2</v>
      </c>
      <c r="L28">
        <f t="shared" ca="1" si="3"/>
        <v>2.7809736348248797E-3</v>
      </c>
      <c r="M28">
        <f t="shared" ca="1" si="4"/>
        <v>-1.0507090635610096E-2</v>
      </c>
      <c r="O28">
        <f t="shared" ca="1" si="5"/>
        <v>-2.8528433327838121</v>
      </c>
      <c r="P28">
        <f t="shared" ca="1" si="6"/>
        <v>-0.44638106698830704</v>
      </c>
      <c r="R28">
        <f t="shared" ca="1" si="7"/>
        <v>-1.3455764752110926</v>
      </c>
      <c r="S28">
        <f t="shared" ca="1" si="8"/>
        <v>0.20089507827513522</v>
      </c>
    </row>
    <row r="29" spans="1:19" x14ac:dyDescent="0.35">
      <c r="A29">
        <f ca="1"/>
        <v>0.84615384615384626</v>
      </c>
      <c r="B29">
        <f ca="1"/>
        <v>7.8517765427252376E-3</v>
      </c>
      <c r="C29">
        <f t="shared" ca="1" si="0"/>
        <v>-2.4839452421749102</v>
      </c>
      <c r="D29">
        <f ca="1"/>
        <v>0.38397319471285918</v>
      </c>
      <c r="I29">
        <f t="shared" ca="1" si="1"/>
        <v>2.8801989872168587E-3</v>
      </c>
      <c r="J29">
        <f t="shared" ca="1" si="2"/>
        <v>-1.0944886078760515E-2</v>
      </c>
      <c r="L29">
        <f t="shared" ca="1" si="3"/>
        <v>2.8801989872168587E-3</v>
      </c>
      <c r="M29">
        <f t="shared" ca="1" si="4"/>
        <v>-1.0944886078760515E-2</v>
      </c>
      <c r="O29">
        <f t="shared" ca="1" si="5"/>
        <v>-2.8180820768390182</v>
      </c>
      <c r="P29">
        <f t="shared" ca="1" si="6"/>
        <v>-0.44042931942846297</v>
      </c>
      <c r="R29">
        <f t="shared" ca="1" si="7"/>
        <v>-1.3994525548816081</v>
      </c>
      <c r="S29">
        <f t="shared" ca="1" si="8"/>
        <v>0.20926570653659921</v>
      </c>
    </row>
    <row r="30" spans="1:19" x14ac:dyDescent="0.35">
      <c r="A30">
        <f ca="1"/>
        <v>1</v>
      </c>
      <c r="B30">
        <f ca="1"/>
        <v>8.5795287022982607E-3</v>
      </c>
      <c r="C30">
        <f t="shared" ca="1" si="0"/>
        <v>-2.6123091100821556</v>
      </c>
      <c r="D30">
        <f ca="1"/>
        <v>0.4055028801290273</v>
      </c>
      <c r="F30" t="s">
        <v>234</v>
      </c>
      <c r="G30">
        <v>0.1019</v>
      </c>
      <c r="I30">
        <f t="shared" ca="1" si="1"/>
        <v>2.9780924556841145E-3</v>
      </c>
      <c r="J30">
        <f t="shared" ca="1" si="2"/>
        <v>-1.1382681521910937E-2</v>
      </c>
      <c r="L30">
        <f t="shared" ca="1" si="3"/>
        <v>2.9780924556841145E-3</v>
      </c>
      <c r="M30">
        <f t="shared" ca="1" si="4"/>
        <v>-1.1382681521910937E-2</v>
      </c>
      <c r="O30">
        <f t="shared" ca="1" si="5"/>
        <v>-2.7832322626466843</v>
      </c>
      <c r="P30">
        <f t="shared" ca="1" si="6"/>
        <v>-0.43447757186861891</v>
      </c>
      <c r="R30">
        <f t="shared" ca="1" si="7"/>
        <v>-1.4531534660083949</v>
      </c>
      <c r="S30">
        <f t="shared" ca="1" si="8"/>
        <v>0.21763633479806313</v>
      </c>
    </row>
    <row r="31" spans="1:19" x14ac:dyDescent="0.35">
      <c r="A31">
        <f ca="1"/>
        <v>1.1538461538461542</v>
      </c>
      <c r="B31">
        <f ca="1"/>
        <v>9.4588273047107093E-3</v>
      </c>
      <c r="C31">
        <f t="shared" ca="1" si="0"/>
        <v>-2.7063733395484615</v>
      </c>
      <c r="D31">
        <f ca="1"/>
        <v>0.42140448753238241</v>
      </c>
      <c r="F31" t="s">
        <v>235</v>
      </c>
      <c r="G31">
        <f>G30*180/PI()</f>
        <v>5.8384399323830891</v>
      </c>
      <c r="I31">
        <f t="shared" ca="1" si="1"/>
        <v>3.0746540402266454E-3</v>
      </c>
      <c r="J31">
        <f t="shared" ca="1" si="2"/>
        <v>-1.1820476965061357E-2</v>
      </c>
      <c r="L31">
        <f t="shared" ca="1" si="3"/>
        <v>3.0746540402266454E-3</v>
      </c>
      <c r="M31">
        <f t="shared" ca="1" si="4"/>
        <v>-1.1820476965061357E-2</v>
      </c>
      <c r="O31">
        <f t="shared" ca="1" si="5"/>
        <v>-2.748293890206809</v>
      </c>
      <c r="P31">
        <f t="shared" ca="1" si="6"/>
        <v>-0.42852582430877478</v>
      </c>
      <c r="R31">
        <f t="shared" ca="1" si="7"/>
        <v>-1.5066792085914524</v>
      </c>
      <c r="S31">
        <f t="shared" ca="1" si="8"/>
        <v>0.22600696305952711</v>
      </c>
    </row>
    <row r="32" spans="1:19" x14ac:dyDescent="0.35">
      <c r="A32">
        <f ca="1"/>
        <v>1.3076923076923084</v>
      </c>
      <c r="B32">
        <f ca="1"/>
        <v>8.2857099344917431E-3</v>
      </c>
      <c r="C32">
        <f t="shared" ca="1" si="0"/>
        <v>-3.3255238351494478</v>
      </c>
      <c r="D32">
        <f ca="1"/>
        <v>0.52887392418128387</v>
      </c>
      <c r="F32" t="s">
        <v>46</v>
      </c>
      <c r="G32">
        <f>G31/(2*PI())</f>
        <v>0.92921657518387979</v>
      </c>
      <c r="I32">
        <f t="shared" ca="1" si="1"/>
        <v>3.1698837408444505E-3</v>
      </c>
      <c r="J32">
        <f t="shared" ca="1" si="2"/>
        <v>-1.2258272408211777E-2</v>
      </c>
      <c r="L32">
        <f t="shared" ca="1" si="3"/>
        <v>3.1698837408444505E-3</v>
      </c>
      <c r="M32">
        <f t="shared" ca="1" si="4"/>
        <v>-1.2258272408211777E-2</v>
      </c>
      <c r="O32">
        <f t="shared" ca="1" si="5"/>
        <v>-2.7132669595193946</v>
      </c>
      <c r="P32">
        <f t="shared" ca="1" si="6"/>
        <v>-0.42257407674893066</v>
      </c>
      <c r="R32">
        <f t="shared" ca="1" si="7"/>
        <v>-1.5600297826307814</v>
      </c>
      <c r="S32">
        <f t="shared" ca="1" si="8"/>
        <v>0.23437759132099109</v>
      </c>
    </row>
    <row r="33" spans="1:29" x14ac:dyDescent="0.35">
      <c r="A33">
        <f ca="1"/>
        <v>1.4615384615384617</v>
      </c>
      <c r="B33">
        <f ca="1"/>
        <v>1.0000916953434979E-2</v>
      </c>
      <c r="C33">
        <f t="shared" ca="1" si="0"/>
        <v>-3.4901500028764603</v>
      </c>
      <c r="D33">
        <f ca="1"/>
        <v>0.55832389508419411</v>
      </c>
      <c r="I33">
        <f t="shared" ca="1" si="1"/>
        <v>3.2637815575375325E-3</v>
      </c>
      <c r="J33">
        <f t="shared" ca="1" si="2"/>
        <v>-1.26960678513622E-2</v>
      </c>
      <c r="L33">
        <f t="shared" ca="1" si="3"/>
        <v>3.2637815575375325E-3</v>
      </c>
      <c r="M33">
        <f t="shared" ca="1" si="4"/>
        <v>-1.26960678513622E-2</v>
      </c>
      <c r="O33">
        <f t="shared" ca="1" si="5"/>
        <v>-2.6781514705844396</v>
      </c>
      <c r="P33">
        <f t="shared" ca="1" si="6"/>
        <v>-0.41662232918908659</v>
      </c>
      <c r="R33">
        <f t="shared" ca="1" si="7"/>
        <v>-1.6132051881263807</v>
      </c>
      <c r="S33">
        <f t="shared" ca="1" si="8"/>
        <v>0.24274821958245507</v>
      </c>
      <c r="U33" t="s">
        <v>43</v>
      </c>
      <c r="W33" t="s">
        <v>34</v>
      </c>
      <c r="X33" t="s">
        <v>35</v>
      </c>
      <c r="Y33" t="s">
        <v>36</v>
      </c>
      <c r="Z33" t="s">
        <v>38</v>
      </c>
      <c r="AA33" t="s">
        <v>37</v>
      </c>
      <c r="AB33" t="s">
        <v>39</v>
      </c>
      <c r="AC33" t="s">
        <v>46</v>
      </c>
    </row>
    <row r="34" spans="1:29" x14ac:dyDescent="0.35">
      <c r="A34">
        <f ca="1"/>
        <v>1.6153846153846159</v>
      </c>
      <c r="B34">
        <f ca="1"/>
        <v>1.4480852393229483E-2</v>
      </c>
      <c r="C34">
        <f t="shared" ca="1" si="0"/>
        <v>-4.0931467571200093</v>
      </c>
      <c r="D34">
        <f ca="1"/>
        <v>0.66970132936809146</v>
      </c>
      <c r="I34">
        <f t="shared" ca="1" si="1"/>
        <v>3.3563474903058887E-3</v>
      </c>
      <c r="J34">
        <f t="shared" ca="1" si="2"/>
        <v>-1.3133863294512618E-2</v>
      </c>
      <c r="L34">
        <f t="shared" ca="1" si="3"/>
        <v>3.3563474903058887E-3</v>
      </c>
      <c r="M34">
        <f t="shared" ca="1" si="4"/>
        <v>-1.3133863294512618E-2</v>
      </c>
      <c r="O34">
        <f t="shared" ca="1" si="5"/>
        <v>-2.6429474234019437</v>
      </c>
      <c r="P34">
        <f t="shared" ca="1" si="6"/>
        <v>-0.41067058162924247</v>
      </c>
      <c r="R34">
        <f t="shared" ca="1" si="7"/>
        <v>-1.6662054250782512</v>
      </c>
      <c r="S34">
        <f t="shared" ca="1" si="8"/>
        <v>0.25111884784391902</v>
      </c>
      <c r="U34" s="4">
        <f ca="1">1 - SUMXMY2(B4:B1000, C4:C1000) / DEVSQ(_xlfn.ANCHORARRAY(B4))</f>
        <v>-83750.501531974296</v>
      </c>
      <c r="W34">
        <f>G9</f>
        <v>0</v>
      </c>
      <c r="X34">
        <f>G10</f>
        <v>0</v>
      </c>
      <c r="Y34">
        <f ca="1">G6</f>
        <v>-4.3341748871891642E-2</v>
      </c>
      <c r="Z34">
        <f ca="1">G5</f>
        <v>6.5268971731127015E-3</v>
      </c>
      <c r="AA34">
        <f>G13</f>
        <v>0</v>
      </c>
      <c r="AB34">
        <f>G14</f>
        <v>0</v>
      </c>
      <c r="AC34">
        <f>G32</f>
        <v>0.92921657518387979</v>
      </c>
    </row>
    <row r="35" spans="1:29" x14ac:dyDescent="0.35">
      <c r="A35">
        <f ca="1"/>
        <v>1.7692307692307692</v>
      </c>
      <c r="B35">
        <f ca="1"/>
        <v>1.7956901088619311E-2</v>
      </c>
      <c r="C35">
        <f t="shared" ca="1" si="0"/>
        <v>-4.2572405749003597</v>
      </c>
      <c r="D35">
        <f ca="1"/>
        <v>0.70104329287290401</v>
      </c>
      <c r="I35">
        <f t="shared" ca="1" si="1"/>
        <v>3.4475815391495209E-3</v>
      </c>
      <c r="J35">
        <f t="shared" ca="1" si="2"/>
        <v>-1.3571658737663039E-2</v>
      </c>
      <c r="L35">
        <f t="shared" ca="1" si="3"/>
        <v>3.4475815391495209E-3</v>
      </c>
      <c r="M35">
        <f t="shared" ca="1" si="4"/>
        <v>-1.3571658737663039E-2</v>
      </c>
      <c r="O35">
        <f t="shared" ca="1" si="5"/>
        <v>-2.6076548179719081</v>
      </c>
      <c r="P35">
        <f t="shared" ca="1" si="6"/>
        <v>-0.4047188340693984</v>
      </c>
      <c r="R35">
        <f t="shared" ca="1" si="7"/>
        <v>-1.7190304934863927</v>
      </c>
      <c r="S35">
        <f t="shared" ca="1" si="8"/>
        <v>0.25948947610538298</v>
      </c>
    </row>
    <row r="36" spans="1:29" x14ac:dyDescent="0.35">
      <c r="A36">
        <f ca="1"/>
        <v>1.9230769230769234</v>
      </c>
      <c r="B36">
        <f ca="1"/>
        <v>2.1171446457157524E-2</v>
      </c>
      <c r="C36">
        <f t="shared" ca="1" si="0"/>
        <v>-4.3762251971491555</v>
      </c>
      <c r="D36">
        <f ca="1"/>
        <v>0.72406825465833302</v>
      </c>
      <c r="I36">
        <f t="shared" ca="1" si="1"/>
        <v>3.5374837040684287E-3</v>
      </c>
      <c r="J36">
        <f t="shared" ca="1" si="2"/>
        <v>-1.4009454180813461E-2</v>
      </c>
      <c r="L36">
        <f t="shared" ca="1" si="3"/>
        <v>3.5374837040684287E-3</v>
      </c>
      <c r="M36">
        <f t="shared" ca="1" si="4"/>
        <v>-1.4009454180813461E-2</v>
      </c>
      <c r="O36">
        <f t="shared" ca="1" si="5"/>
        <v>-2.5722736542943325</v>
      </c>
      <c r="P36">
        <f t="shared" ca="1" si="6"/>
        <v>-0.39876708650955428</v>
      </c>
      <c r="R36">
        <f t="shared" ca="1" si="7"/>
        <v>-1.7716803933508047</v>
      </c>
      <c r="S36">
        <f t="shared" ca="1" si="8"/>
        <v>0.26786010436684693</v>
      </c>
    </row>
    <row r="37" spans="1:29" x14ac:dyDescent="0.35">
      <c r="A37">
        <f ca="1"/>
        <v>2.0769230769230775</v>
      </c>
      <c r="B37">
        <f ca="1"/>
        <v>2.4252323296670767E-2</v>
      </c>
      <c r="C37">
        <f t="shared" ca="1" si="0"/>
        <v>-4.4728623619350163</v>
      </c>
      <c r="D37">
        <f ca="1"/>
        <v>0.74296026523397884</v>
      </c>
      <c r="I37">
        <f t="shared" ca="1" si="1"/>
        <v>3.6260539850626124E-3</v>
      </c>
      <c r="J37">
        <f t="shared" ca="1" si="2"/>
        <v>-1.4447249623963881E-2</v>
      </c>
      <c r="L37">
        <f t="shared" ca="1" si="3"/>
        <v>3.6260539850626124E-3</v>
      </c>
      <c r="M37">
        <f t="shared" ca="1" si="4"/>
        <v>-1.4447249623963881E-2</v>
      </c>
      <c r="O37">
        <f t="shared" ca="1" si="5"/>
        <v>-2.5368039323692164</v>
      </c>
      <c r="P37">
        <f t="shared" ca="1" si="6"/>
        <v>-0.39281533894971021</v>
      </c>
      <c r="R37">
        <f t="shared" ca="1" si="7"/>
        <v>-1.8241551246714887</v>
      </c>
      <c r="S37">
        <f t="shared" ca="1" si="8"/>
        <v>0.27623073262831094</v>
      </c>
    </row>
    <row r="38" spans="1:29" x14ac:dyDescent="0.35">
      <c r="A38">
        <f ca="1"/>
        <v>2.2307692307692308</v>
      </c>
      <c r="B38">
        <f ca="1"/>
        <v>2.7286932193483639E-2</v>
      </c>
      <c r="C38">
        <f t="shared" ca="1" si="0"/>
        <v>-4.5570075740470486</v>
      </c>
      <c r="D38">
        <f ca="1"/>
        <v>0.75955406545833382</v>
      </c>
      <c r="I38">
        <f t="shared" ca="1" si="1"/>
        <v>3.7132923821320699E-3</v>
      </c>
      <c r="J38">
        <f t="shared" ca="1" si="2"/>
        <v>-1.4885045067114301E-2</v>
      </c>
      <c r="L38">
        <f t="shared" ca="1" si="3"/>
        <v>3.7132923821320699E-3</v>
      </c>
      <c r="M38">
        <f t="shared" ca="1" si="4"/>
        <v>-1.4885045067114301E-2</v>
      </c>
      <c r="O38">
        <f t="shared" ca="1" si="5"/>
        <v>-2.5012456521965603</v>
      </c>
      <c r="P38">
        <f t="shared" ca="1" si="6"/>
        <v>-0.38686359138986615</v>
      </c>
      <c r="R38">
        <f t="shared" ca="1" si="7"/>
        <v>-1.8764546874484429</v>
      </c>
      <c r="S38">
        <f t="shared" ca="1" si="8"/>
        <v>0.28460136088977489</v>
      </c>
    </row>
    <row r="39" spans="1:29" x14ac:dyDescent="0.35">
      <c r="A39">
        <f ca="1"/>
        <v>2.384615384615385</v>
      </c>
      <c r="B39">
        <f ca="1"/>
        <v>3.0321477107374342E-2</v>
      </c>
      <c r="C39">
        <f t="shared" ca="1" si="0"/>
        <v>-4.6334196349077379</v>
      </c>
      <c r="D39">
        <f ca="1"/>
        <v>0.77474184081758102</v>
      </c>
      <c r="I39">
        <f t="shared" ca="1" si="1"/>
        <v>3.7991988952768042E-3</v>
      </c>
      <c r="J39">
        <f t="shared" ca="1" si="2"/>
        <v>-1.532284051026472E-2</v>
      </c>
      <c r="L39">
        <f t="shared" ca="1" si="3"/>
        <v>3.7991988952768042E-3</v>
      </c>
      <c r="M39">
        <f t="shared" ca="1" si="4"/>
        <v>-1.532284051026472E-2</v>
      </c>
      <c r="O39">
        <f t="shared" ca="1" si="5"/>
        <v>-2.4655988137763631</v>
      </c>
      <c r="P39">
        <f t="shared" ca="1" si="6"/>
        <v>-0.38091184383002197</v>
      </c>
      <c r="R39">
        <f t="shared" ca="1" si="7"/>
        <v>-1.9285790816816679</v>
      </c>
      <c r="S39">
        <f t="shared" ca="1" si="8"/>
        <v>0.29297198915123884</v>
      </c>
    </row>
    <row r="40" spans="1:29" x14ac:dyDescent="0.35">
      <c r="A40">
        <f ca="1"/>
        <v>2.5384615384615383</v>
      </c>
      <c r="B40">
        <f ca="1"/>
        <v>3.3376865509442653E-2</v>
      </c>
      <c r="C40">
        <f t="shared" ca="1" si="0"/>
        <v>-4.7048337911192135</v>
      </c>
      <c r="D40">
        <f ca="1"/>
        <v>0.78904098182580407</v>
      </c>
      <c r="I40">
        <f t="shared" ca="1" si="1"/>
        <v>3.8837735244968137E-3</v>
      </c>
      <c r="J40">
        <f t="shared" ca="1" si="2"/>
        <v>-1.5760635953415141E-2</v>
      </c>
      <c r="L40">
        <f t="shared" ca="1" si="3"/>
        <v>3.8837735244968137E-3</v>
      </c>
      <c r="M40">
        <f t="shared" ca="1" si="4"/>
        <v>-1.5760635953415141E-2</v>
      </c>
      <c r="O40">
        <f t="shared" ca="1" si="5"/>
        <v>-2.4298634171086264</v>
      </c>
      <c r="P40">
        <f t="shared" ca="1" si="6"/>
        <v>-0.3749600962701779</v>
      </c>
      <c r="R40">
        <f t="shared" ca="1" si="7"/>
        <v>-1.9805283073711639</v>
      </c>
      <c r="S40">
        <f t="shared" ca="1" si="8"/>
        <v>0.3013426174127028</v>
      </c>
    </row>
    <row r="41" spans="1:29" x14ac:dyDescent="0.35">
      <c r="A41">
        <f ca="1"/>
        <v>2.6923076923076925</v>
      </c>
      <c r="B41">
        <f ca="1"/>
        <v>3.6465741113041482E-2</v>
      </c>
      <c r="C41">
        <f t="shared" ca="1" si="0"/>
        <v>-4.7724423582325279</v>
      </c>
      <c r="D41">
        <f ca="1"/>
        <v>0.80267343866219987</v>
      </c>
      <c r="I41">
        <f t="shared" ca="1" si="1"/>
        <v>3.9670162697920987E-3</v>
      </c>
      <c r="J41">
        <f t="shared" ca="1" si="2"/>
        <v>-1.6198431396565564E-2</v>
      </c>
      <c r="L41">
        <f t="shared" ca="1" si="3"/>
        <v>3.9670162697920987E-3</v>
      </c>
      <c r="M41">
        <f t="shared" ca="1" si="4"/>
        <v>-1.6198431396565564E-2</v>
      </c>
      <c r="O41">
        <f t="shared" ca="1" si="5"/>
        <v>-2.3940394621933492</v>
      </c>
      <c r="P41">
        <f t="shared" ca="1" si="6"/>
        <v>-0.36900834871033383</v>
      </c>
      <c r="R41">
        <f t="shared" ca="1" si="7"/>
        <v>-2.0323023645169314</v>
      </c>
      <c r="S41">
        <f t="shared" ca="1" si="8"/>
        <v>0.3097132456741668</v>
      </c>
    </row>
    <row r="42" spans="1:29" x14ac:dyDescent="0.35">
      <c r="A42">
        <f ca="1"/>
        <v>2.8461538461538467</v>
      </c>
      <c r="B42">
        <f ca="1"/>
        <v>3.9597974905372917E-2</v>
      </c>
      <c r="C42">
        <f t="shared" ca="1" si="0"/>
        <v>-4.8373215770668256</v>
      </c>
      <c r="D42">
        <f ca="1"/>
        <v>0.81584453603978579</v>
      </c>
      <c r="I42">
        <f t="shared" ca="1" si="1"/>
        <v>4.0489271311626596E-3</v>
      </c>
      <c r="J42">
        <f t="shared" ca="1" si="2"/>
        <v>-1.6636226839715985E-2</v>
      </c>
      <c r="L42">
        <f t="shared" ca="1" si="3"/>
        <v>4.0489271311626596E-3</v>
      </c>
      <c r="M42">
        <f t="shared" ca="1" si="4"/>
        <v>-1.6636226839715985E-2</v>
      </c>
      <c r="O42">
        <f t="shared" ca="1" si="5"/>
        <v>-2.3581269490305314</v>
      </c>
      <c r="P42">
        <f t="shared" ca="1" si="6"/>
        <v>-0.36305660115048977</v>
      </c>
      <c r="R42">
        <f t="shared" ca="1" si="7"/>
        <v>-2.0839012531189698</v>
      </c>
      <c r="S42">
        <f t="shared" ca="1" si="8"/>
        <v>0.31808387393563076</v>
      </c>
    </row>
    <row r="43" spans="1:29" x14ac:dyDescent="0.35">
      <c r="A43">
        <f ca="1"/>
        <v>3</v>
      </c>
      <c r="B43">
        <f ca="1"/>
        <v>4.2779487482111266E-2</v>
      </c>
      <c r="C43">
        <f t="shared" ca="1" si="0"/>
        <v>-4.9001897416516638</v>
      </c>
      <c r="D43">
        <f ca="1"/>
        <v>0.82869219788493276</v>
      </c>
      <c r="I43">
        <f t="shared" ca="1" si="1"/>
        <v>4.1295061086084953E-3</v>
      </c>
      <c r="J43">
        <f t="shared" ca="1" si="2"/>
        <v>-1.7074022282866405E-2</v>
      </c>
      <c r="L43">
        <f t="shared" ca="1" si="3"/>
        <v>4.1295061086084953E-3</v>
      </c>
      <c r="M43">
        <f t="shared" ca="1" si="4"/>
        <v>-1.7074022282866405E-2</v>
      </c>
      <c r="O43">
        <f t="shared" ca="1" si="5"/>
        <v>-2.3221258776201741</v>
      </c>
      <c r="P43">
        <f t="shared" ca="1" si="6"/>
        <v>-0.3571048535906457</v>
      </c>
      <c r="R43">
        <f t="shared" ca="1" si="7"/>
        <v>-2.135324973177279</v>
      </c>
      <c r="S43">
        <f t="shared" ca="1" si="8"/>
        <v>0.32645450219709476</v>
      </c>
    </row>
    <row r="44" spans="1:29" x14ac:dyDescent="0.35">
      <c r="C44" t="str">
        <f t="shared" si="0"/>
        <v/>
      </c>
      <c r="I44">
        <f t="shared" ca="1" si="1"/>
        <v>4.2087532021296064E-3</v>
      </c>
      <c r="J44">
        <f t="shared" ca="1" si="2"/>
        <v>-1.7511817726016825E-2</v>
      </c>
      <c r="L44">
        <f t="shared" ca="1" si="3"/>
        <v>4.2087532021296064E-3</v>
      </c>
      <c r="M44">
        <f t="shared" ca="1" si="4"/>
        <v>-1.7511817726016825E-2</v>
      </c>
      <c r="O44">
        <f t="shared" ca="1" si="5"/>
        <v>-2.2860362479622749</v>
      </c>
      <c r="P44">
        <f t="shared" ca="1" si="6"/>
        <v>-0.35115310603080152</v>
      </c>
      <c r="R44">
        <f t="shared" ca="1" si="7"/>
        <v>-2.1865735246918585</v>
      </c>
      <c r="S44">
        <f t="shared" ca="1" si="8"/>
        <v>0.33482513045855872</v>
      </c>
    </row>
    <row r="45" spans="1:29" x14ac:dyDescent="0.35">
      <c r="C45" t="str">
        <f t="shared" si="0"/>
        <v/>
      </c>
      <c r="I45">
        <f t="shared" ca="1" si="1"/>
        <v>4.286668411725994E-3</v>
      </c>
      <c r="J45">
        <f t="shared" ca="1" si="2"/>
        <v>-1.7949613169167246E-2</v>
      </c>
      <c r="L45">
        <f t="shared" ca="1" si="3"/>
        <v>4.286668411725994E-3</v>
      </c>
      <c r="M45">
        <f t="shared" ca="1" si="4"/>
        <v>-1.7949613169167246E-2</v>
      </c>
      <c r="O45">
        <f t="shared" ca="1" si="5"/>
        <v>-2.249858060056837</v>
      </c>
      <c r="P45">
        <f t="shared" ca="1" si="6"/>
        <v>-0.34520135847095745</v>
      </c>
      <c r="R45">
        <f t="shared" ca="1" si="7"/>
        <v>-2.2376469076627101</v>
      </c>
      <c r="S45">
        <f t="shared" ca="1" si="8"/>
        <v>0.34319575872002267</v>
      </c>
    </row>
    <row r="46" spans="1:29" x14ac:dyDescent="0.35">
      <c r="C46" t="str">
        <f t="shared" si="0"/>
        <v/>
      </c>
      <c r="I46">
        <f t="shared" ca="1" si="1"/>
        <v>4.3632517373976554E-3</v>
      </c>
      <c r="J46">
        <f t="shared" ca="1" si="2"/>
        <v>-1.8387408612317666E-2</v>
      </c>
      <c r="L46">
        <f t="shared" ca="1" si="3"/>
        <v>4.3632517373976554E-3</v>
      </c>
      <c r="M46">
        <f t="shared" ca="1" si="4"/>
        <v>-1.8387408612317666E-2</v>
      </c>
      <c r="O46">
        <f t="shared" ca="1" si="5"/>
        <v>-2.2135913139038581</v>
      </c>
      <c r="P46">
        <f t="shared" ca="1" si="6"/>
        <v>-0.33924961091111339</v>
      </c>
      <c r="R46">
        <f t="shared" ca="1" si="7"/>
        <v>-2.2885451220898312</v>
      </c>
      <c r="S46">
        <f t="shared" ca="1" si="8"/>
        <v>0.35156638698148662</v>
      </c>
    </row>
    <row r="47" spans="1:29" x14ac:dyDescent="0.35">
      <c r="C47" t="str">
        <f t="shared" si="0"/>
        <v/>
      </c>
      <c r="I47">
        <f t="shared" ca="1" si="1"/>
        <v>4.4385031791445931E-3</v>
      </c>
      <c r="J47">
        <f t="shared" ca="1" si="2"/>
        <v>-1.8825204055468087E-2</v>
      </c>
      <c r="L47">
        <f t="shared" ca="1" si="3"/>
        <v>4.4385031791445931E-3</v>
      </c>
      <c r="M47">
        <f t="shared" ca="1" si="4"/>
        <v>-1.8825204055468087E-2</v>
      </c>
      <c r="O47">
        <f t="shared" ca="1" si="5"/>
        <v>-2.1772360095033392</v>
      </c>
      <c r="P47">
        <f t="shared" ca="1" si="6"/>
        <v>-0.33329786335126926</v>
      </c>
      <c r="R47">
        <f t="shared" ca="1" si="7"/>
        <v>-2.3392681679732239</v>
      </c>
      <c r="S47">
        <f t="shared" ca="1" si="8"/>
        <v>0.35993701524295058</v>
      </c>
    </row>
    <row r="48" spans="1:29" x14ac:dyDescent="0.35">
      <c r="C48" t="str">
        <f t="shared" si="0"/>
        <v/>
      </c>
      <c r="I48">
        <f t="shared" ca="1" si="1"/>
        <v>4.5124227369668056E-3</v>
      </c>
      <c r="J48">
        <f t="shared" ca="1" si="2"/>
        <v>-1.9262999498618507E-2</v>
      </c>
      <c r="L48">
        <f t="shared" ca="1" si="3"/>
        <v>4.5124227369668056E-3</v>
      </c>
      <c r="M48">
        <f t="shared" ca="1" si="4"/>
        <v>-1.9262999498618507E-2</v>
      </c>
      <c r="O48">
        <f t="shared" ca="1" si="5"/>
        <v>-2.1407921468552802</v>
      </c>
      <c r="P48">
        <f t="shared" ca="1" si="6"/>
        <v>-0.3273461157914252</v>
      </c>
      <c r="R48">
        <f t="shared" ca="1" si="7"/>
        <v>-2.3898160453128883</v>
      </c>
      <c r="S48">
        <f t="shared" ca="1" si="8"/>
        <v>0.36830764350441453</v>
      </c>
    </row>
    <row r="49" spans="3:19" x14ac:dyDescent="0.35">
      <c r="C49" t="str">
        <f t="shared" si="0"/>
        <v/>
      </c>
      <c r="I49">
        <f t="shared" ca="1" si="1"/>
        <v>4.5850104108642945E-3</v>
      </c>
      <c r="J49">
        <f t="shared" ca="1" si="2"/>
        <v>-1.9700794941768927E-2</v>
      </c>
      <c r="L49">
        <f t="shared" ca="1" si="3"/>
        <v>4.5850104108642945E-3</v>
      </c>
      <c r="M49">
        <f t="shared" ca="1" si="4"/>
        <v>-1.9700794941768927E-2</v>
      </c>
      <c r="O49">
        <f t="shared" ca="1" si="5"/>
        <v>-2.1042597259596807</v>
      </c>
      <c r="P49">
        <f t="shared" ca="1" si="6"/>
        <v>-0.32139436823158107</v>
      </c>
      <c r="R49">
        <f t="shared" ca="1" si="7"/>
        <v>-2.4401887541088234</v>
      </c>
      <c r="S49">
        <f t="shared" ca="1" si="8"/>
        <v>0.37667827176587854</v>
      </c>
    </row>
    <row r="50" spans="3:19" x14ac:dyDescent="0.35">
      <c r="C50" t="str">
        <f t="shared" si="0"/>
        <v/>
      </c>
      <c r="I50">
        <f t="shared" ca="1" si="1"/>
        <v>4.656266200837058E-3</v>
      </c>
      <c r="J50">
        <f t="shared" ca="1" si="2"/>
        <v>-2.0138590384919348E-2</v>
      </c>
      <c r="L50">
        <f t="shared" ca="1" si="3"/>
        <v>4.656266200837058E-3</v>
      </c>
      <c r="M50">
        <f t="shared" ca="1" si="4"/>
        <v>-2.0138590384919348E-2</v>
      </c>
      <c r="O50">
        <f t="shared" ca="1" si="5"/>
        <v>-2.0676387468165407</v>
      </c>
      <c r="P50">
        <f t="shared" ca="1" si="6"/>
        <v>-0.31544262067173695</v>
      </c>
      <c r="R50">
        <f t="shared" ca="1" si="7"/>
        <v>-2.4903862943610284</v>
      </c>
      <c r="S50">
        <f t="shared" ca="1" si="8"/>
        <v>0.38504890002734249</v>
      </c>
    </row>
    <row r="51" spans="3:19" x14ac:dyDescent="0.35">
      <c r="C51" t="str">
        <f t="shared" si="0"/>
        <v/>
      </c>
      <c r="I51">
        <f t="shared" ca="1" si="1"/>
        <v>4.7261901068850979E-3</v>
      </c>
      <c r="J51">
        <f t="shared" ca="1" si="2"/>
        <v>-2.0576385828069768E-2</v>
      </c>
      <c r="L51">
        <f t="shared" ca="1" si="3"/>
        <v>4.7261901068850979E-3</v>
      </c>
      <c r="M51">
        <f t="shared" ca="1" si="4"/>
        <v>-2.0576385828069768E-2</v>
      </c>
      <c r="O51">
        <f t="shared" ca="1" si="5"/>
        <v>-2.0309292094258611</v>
      </c>
      <c r="P51">
        <f t="shared" ca="1" si="6"/>
        <v>-0.30949087311189288</v>
      </c>
      <c r="R51">
        <f t="shared" ca="1" si="7"/>
        <v>-2.5404086660695055</v>
      </c>
      <c r="S51">
        <f t="shared" ca="1" si="8"/>
        <v>0.3934195282888065</v>
      </c>
    </row>
    <row r="52" spans="3:19" x14ac:dyDescent="0.35">
      <c r="C52" t="str">
        <f t="shared" si="0"/>
        <v/>
      </c>
      <c r="I52">
        <f t="shared" ca="1" si="1"/>
        <v>4.7947821290084125E-3</v>
      </c>
      <c r="J52">
        <f t="shared" ca="1" si="2"/>
        <v>-2.1014181271220192E-2</v>
      </c>
      <c r="L52">
        <f t="shared" ca="1" si="3"/>
        <v>4.7947821290084125E-3</v>
      </c>
      <c r="M52">
        <f t="shared" ca="1" si="4"/>
        <v>-2.1014181271220192E-2</v>
      </c>
      <c r="O52">
        <f t="shared" ca="1" si="5"/>
        <v>-1.9941311137876405</v>
      </c>
      <c r="P52">
        <f t="shared" ca="1" si="6"/>
        <v>-0.30353912555204882</v>
      </c>
      <c r="R52">
        <f t="shared" ca="1" si="7"/>
        <v>-2.5902558692342534</v>
      </c>
      <c r="S52">
        <f t="shared" ca="1" si="8"/>
        <v>0.40179015655027045</v>
      </c>
    </row>
    <row r="53" spans="3:19" x14ac:dyDescent="0.35">
      <c r="C53" t="str">
        <f t="shared" si="0"/>
        <v/>
      </c>
      <c r="I53">
        <f t="shared" ca="1" si="1"/>
        <v>4.8620422672070035E-3</v>
      </c>
      <c r="J53">
        <f t="shared" ca="1" si="2"/>
        <v>-2.1451976714370612E-2</v>
      </c>
      <c r="L53">
        <f t="shared" ca="1" si="3"/>
        <v>4.8620422672070035E-3</v>
      </c>
      <c r="M53">
        <f t="shared" ca="1" si="4"/>
        <v>-2.1451976714370612E-2</v>
      </c>
      <c r="O53">
        <f t="shared" ca="1" si="5"/>
        <v>-1.9572444599018799</v>
      </c>
      <c r="P53">
        <f t="shared" ca="1" si="6"/>
        <v>-0.29758737799220469</v>
      </c>
      <c r="R53">
        <f t="shared" ca="1" si="7"/>
        <v>-2.6399279038552712</v>
      </c>
      <c r="S53">
        <f t="shared" ca="1" si="8"/>
        <v>0.4101607848117344</v>
      </c>
    </row>
    <row r="54" spans="3:19" x14ac:dyDescent="0.35">
      <c r="C54" t="str">
        <f t="shared" si="0"/>
        <v/>
      </c>
      <c r="I54">
        <f t="shared" ca="1" si="1"/>
        <v>4.9279705214808683E-3</v>
      </c>
      <c r="J54">
        <f t="shared" ca="1" si="2"/>
        <v>-2.1889772157521029E-2</v>
      </c>
      <c r="L54">
        <f t="shared" ca="1" si="3"/>
        <v>4.9279705214808683E-3</v>
      </c>
      <c r="M54">
        <f t="shared" ca="1" si="4"/>
        <v>-2.1889772157521029E-2</v>
      </c>
      <c r="O54">
        <f t="shared" ca="1" si="5"/>
        <v>-1.9202692477685794</v>
      </c>
      <c r="P54">
        <f t="shared" ca="1" si="6"/>
        <v>-0.29163563043236063</v>
      </c>
      <c r="R54">
        <f t="shared" ca="1" si="7"/>
        <v>-2.6894247699325611</v>
      </c>
      <c r="S54">
        <f t="shared" ca="1" si="8"/>
        <v>0.41853141307319841</v>
      </c>
    </row>
    <row r="55" spans="3:19" x14ac:dyDescent="0.35">
      <c r="C55" t="str">
        <f t="shared" si="0"/>
        <v/>
      </c>
      <c r="I55">
        <f t="shared" ca="1" si="1"/>
        <v>4.9925668918300095E-3</v>
      </c>
      <c r="J55">
        <f t="shared" ca="1" si="2"/>
        <v>-2.2327567600671453E-2</v>
      </c>
      <c r="L55">
        <f t="shared" ca="1" si="3"/>
        <v>4.9925668918300095E-3</v>
      </c>
      <c r="M55">
        <f t="shared" ca="1" si="4"/>
        <v>-2.2327567600671453E-2</v>
      </c>
      <c r="O55">
        <f t="shared" ca="1" si="5"/>
        <v>-1.883205477387738</v>
      </c>
      <c r="P55">
        <f t="shared" ca="1" si="6"/>
        <v>-0.2856838828725165</v>
      </c>
      <c r="R55">
        <f t="shared" ca="1" si="7"/>
        <v>-2.7387464674661217</v>
      </c>
      <c r="S55">
        <f t="shared" ca="1" si="8"/>
        <v>0.42690204133466231</v>
      </c>
    </row>
    <row r="56" spans="3:19" x14ac:dyDescent="0.35">
      <c r="C56" t="str">
        <f t="shared" si="0"/>
        <v/>
      </c>
      <c r="I56">
        <f t="shared" ca="1" si="1"/>
        <v>5.0558313782544263E-3</v>
      </c>
      <c r="J56">
        <f t="shared" ca="1" si="2"/>
        <v>-2.2765363043821873E-2</v>
      </c>
      <c r="L56">
        <f t="shared" ca="1" si="3"/>
        <v>5.0558313782544263E-3</v>
      </c>
      <c r="M56">
        <f t="shared" ca="1" si="4"/>
        <v>-2.2765363043821873E-2</v>
      </c>
      <c r="O56">
        <f t="shared" ca="1" si="5"/>
        <v>-1.8460531487593568</v>
      </c>
      <c r="P56">
        <f t="shared" ca="1" si="6"/>
        <v>-0.27973213531267244</v>
      </c>
      <c r="R56">
        <f t="shared" ca="1" si="7"/>
        <v>-2.7878929964559536</v>
      </c>
      <c r="S56">
        <f t="shared" ca="1" si="8"/>
        <v>0.43527266959612626</v>
      </c>
    </row>
    <row r="57" spans="3:19" x14ac:dyDescent="0.35">
      <c r="C57" t="str">
        <f t="shared" si="0"/>
        <v/>
      </c>
      <c r="I57">
        <f t="shared" ca="1" si="1"/>
        <v>5.1177639807541177E-3</v>
      </c>
      <c r="J57">
        <f t="shared" ca="1" si="2"/>
        <v>-2.3203158486972294E-2</v>
      </c>
      <c r="L57">
        <f t="shared" ca="1" si="3"/>
        <v>5.1177639807541177E-3</v>
      </c>
      <c r="M57">
        <f t="shared" ca="1" si="4"/>
        <v>-2.3203158486972294E-2</v>
      </c>
      <c r="O57">
        <f t="shared" ca="1" si="5"/>
        <v>-1.808812261883435</v>
      </c>
      <c r="P57">
        <f t="shared" ca="1" si="6"/>
        <v>-0.27378038775282831</v>
      </c>
      <c r="R57">
        <f t="shared" ca="1" si="7"/>
        <v>-2.8368643569020557</v>
      </c>
      <c r="S57">
        <f t="shared" ca="1" si="8"/>
        <v>0.44364329785759027</v>
      </c>
    </row>
    <row r="58" spans="3:19" x14ac:dyDescent="0.35">
      <c r="C58" t="str">
        <f t="shared" si="0"/>
        <v/>
      </c>
      <c r="I58">
        <f t="shared" ca="1" si="1"/>
        <v>5.1783646993290855E-3</v>
      </c>
      <c r="J58">
        <f t="shared" ca="1" si="2"/>
        <v>-2.3640953930122714E-2</v>
      </c>
      <c r="L58">
        <f t="shared" ca="1" si="3"/>
        <v>5.1783646993290855E-3</v>
      </c>
      <c r="M58">
        <f t="shared" ca="1" si="4"/>
        <v>-2.3640953930122714E-2</v>
      </c>
      <c r="O58">
        <f t="shared" ca="1" si="5"/>
        <v>-1.7714828167599732</v>
      </c>
      <c r="P58">
        <f t="shared" ca="1" si="6"/>
        <v>-0.26782864019298425</v>
      </c>
      <c r="R58">
        <f t="shared" ca="1" si="7"/>
        <v>-2.8856605488044287</v>
      </c>
      <c r="S58">
        <f t="shared" ca="1" si="8"/>
        <v>0.45201392611905422</v>
      </c>
    </row>
    <row r="59" spans="3:19" x14ac:dyDescent="0.35">
      <c r="C59" t="str">
        <f t="shared" si="0"/>
        <v/>
      </c>
      <c r="I59">
        <f t="shared" ca="1" si="1"/>
        <v>5.237633533979328E-3</v>
      </c>
      <c r="J59">
        <f t="shared" ca="1" si="2"/>
        <v>-2.4078749373273131E-2</v>
      </c>
      <c r="L59">
        <f t="shared" ca="1" si="3"/>
        <v>5.237633533979328E-3</v>
      </c>
      <c r="M59">
        <f t="shared" ca="1" si="4"/>
        <v>-2.4078749373273131E-2</v>
      </c>
      <c r="O59">
        <f t="shared" ca="1" si="5"/>
        <v>-1.7340648133889707</v>
      </c>
      <c r="P59">
        <f t="shared" ca="1" si="6"/>
        <v>-0.26187689263314012</v>
      </c>
      <c r="R59">
        <f t="shared" ca="1" si="7"/>
        <v>-2.9342815721630733</v>
      </c>
      <c r="S59">
        <f t="shared" ca="1" si="8"/>
        <v>0.46038455438051817</v>
      </c>
    </row>
    <row r="60" spans="3:19" x14ac:dyDescent="0.35">
      <c r="C60" t="str">
        <f t="shared" si="0"/>
        <v/>
      </c>
      <c r="I60">
        <f t="shared" ca="1" si="1"/>
        <v>5.2955704847048469E-3</v>
      </c>
      <c r="J60">
        <f t="shared" ca="1" si="2"/>
        <v>-2.4516544816423555E-2</v>
      </c>
      <c r="L60">
        <f t="shared" ca="1" si="3"/>
        <v>5.2955704847048469E-3</v>
      </c>
      <c r="M60">
        <f t="shared" ca="1" si="4"/>
        <v>-2.4516544816423555E-2</v>
      </c>
      <c r="O60">
        <f t="shared" ca="1" si="5"/>
        <v>-1.6965582517704283</v>
      </c>
      <c r="P60">
        <f t="shared" ca="1" si="6"/>
        <v>-0.25592514507329606</v>
      </c>
      <c r="R60">
        <f t="shared" ca="1" si="7"/>
        <v>-2.9827274269779891</v>
      </c>
      <c r="S60">
        <f t="shared" ca="1" si="8"/>
        <v>0.46875518264198218</v>
      </c>
    </row>
    <row r="61" spans="3:19" x14ac:dyDescent="0.35">
      <c r="C61" t="str">
        <f t="shared" si="0"/>
        <v/>
      </c>
      <c r="I61">
        <f t="shared" ca="1" si="1"/>
        <v>5.3521755515056404E-3</v>
      </c>
      <c r="J61">
        <f t="shared" ca="1" si="2"/>
        <v>-2.4954340259573975E-2</v>
      </c>
      <c r="L61">
        <f t="shared" ca="1" si="3"/>
        <v>5.3521755515056404E-3</v>
      </c>
      <c r="M61">
        <f t="shared" ca="1" si="4"/>
        <v>-2.4954340259573975E-2</v>
      </c>
      <c r="O61">
        <f t="shared" ca="1" si="5"/>
        <v>-1.6589631319043454</v>
      </c>
      <c r="P61">
        <f t="shared" ca="1" si="6"/>
        <v>-0.24997339751345193</v>
      </c>
      <c r="R61">
        <f t="shared" ca="1" si="7"/>
        <v>-3.0309981132491748</v>
      </c>
      <c r="S61">
        <f t="shared" ca="1" si="8"/>
        <v>0.47712581090344613</v>
      </c>
    </row>
    <row r="62" spans="3:19" x14ac:dyDescent="0.35">
      <c r="C62" t="str">
        <f t="shared" si="0"/>
        <v/>
      </c>
      <c r="I62">
        <f t="shared" ca="1" si="1"/>
        <v>5.4074487343817104E-3</v>
      </c>
      <c r="J62">
        <f t="shared" ca="1" si="2"/>
        <v>-2.5392135702724399E-2</v>
      </c>
      <c r="L62">
        <f t="shared" ca="1" si="3"/>
        <v>5.4074487343817104E-3</v>
      </c>
      <c r="M62">
        <f t="shared" ca="1" si="4"/>
        <v>-2.5392135702724399E-2</v>
      </c>
      <c r="O62">
        <f t="shared" ca="1" si="5"/>
        <v>-1.6212794537907225</v>
      </c>
      <c r="P62">
        <f t="shared" ca="1" si="6"/>
        <v>-0.24402164995360787</v>
      </c>
      <c r="R62">
        <f t="shared" ca="1" si="7"/>
        <v>-3.0790936309766326</v>
      </c>
      <c r="S62">
        <f t="shared" ca="1" si="8"/>
        <v>0.48549643916491014</v>
      </c>
    </row>
    <row r="63" spans="3:19" x14ac:dyDescent="0.35">
      <c r="C63" t="str">
        <f t="shared" si="0"/>
        <v/>
      </c>
      <c r="I63">
        <f t="shared" ca="1" si="1"/>
        <v>5.4613900333330542E-3</v>
      </c>
      <c r="J63">
        <f t="shared" ca="1" si="2"/>
        <v>-2.5829931145874816E-2</v>
      </c>
      <c r="L63">
        <f t="shared" ca="1" si="3"/>
        <v>5.4613900333330542E-3</v>
      </c>
      <c r="M63">
        <f t="shared" ca="1" si="4"/>
        <v>-2.5829931145874816E-2</v>
      </c>
      <c r="O63">
        <f t="shared" ca="1" si="5"/>
        <v>-1.5835072174295592</v>
      </c>
      <c r="P63">
        <f t="shared" ca="1" si="6"/>
        <v>-0.23806990239376374</v>
      </c>
      <c r="R63">
        <f t="shared" ca="1" si="7"/>
        <v>-3.1270139801603603</v>
      </c>
      <c r="S63">
        <f t="shared" ca="1" si="8"/>
        <v>0.4938670674263741</v>
      </c>
    </row>
    <row r="64" spans="3:19" x14ac:dyDescent="0.35">
      <c r="C64" t="str">
        <f t="shared" si="0"/>
        <v/>
      </c>
      <c r="I64">
        <f t="shared" ca="1" si="1"/>
        <v>5.5139994483596744E-3</v>
      </c>
      <c r="J64">
        <f t="shared" ca="1" si="2"/>
        <v>-2.6267726589025236E-2</v>
      </c>
      <c r="L64">
        <f t="shared" ca="1" si="3"/>
        <v>5.5139994483596744E-3</v>
      </c>
      <c r="M64">
        <f t="shared" ca="1" si="4"/>
        <v>-2.6267726589025236E-2</v>
      </c>
      <c r="O64">
        <f t="shared" ca="1" si="5"/>
        <v>-1.5456464228208553</v>
      </c>
      <c r="P64">
        <f t="shared" ca="1" si="6"/>
        <v>-0.23211815483391962</v>
      </c>
      <c r="R64">
        <f t="shared" ca="1" si="7"/>
        <v>-3.1747591608003596</v>
      </c>
      <c r="S64">
        <f t="shared" ca="1" si="8"/>
        <v>0.50223769568783805</v>
      </c>
    </row>
    <row r="65" spans="3:19" x14ac:dyDescent="0.35">
      <c r="C65" t="str">
        <f t="shared" si="0"/>
        <v/>
      </c>
      <c r="I65">
        <f t="shared" ca="1" si="1"/>
        <v>5.5652769794615701E-3</v>
      </c>
      <c r="J65">
        <f t="shared" ca="1" si="2"/>
        <v>-2.670552203217566E-2</v>
      </c>
      <c r="L65">
        <f t="shared" ca="1" si="3"/>
        <v>5.5652769794615701E-3</v>
      </c>
      <c r="M65">
        <f t="shared" ca="1" si="4"/>
        <v>-2.670552203217566E-2</v>
      </c>
      <c r="O65">
        <f t="shared" ca="1" si="5"/>
        <v>-1.5076970699646117</v>
      </c>
      <c r="P65">
        <f t="shared" ca="1" si="6"/>
        <v>-0.22616640727407561</v>
      </c>
      <c r="R65">
        <f t="shared" ca="1" si="7"/>
        <v>-3.2223291728966292</v>
      </c>
      <c r="S65">
        <f t="shared" ca="1" si="8"/>
        <v>0.510608323949302</v>
      </c>
    </row>
    <row r="66" spans="3:19" x14ac:dyDescent="0.35">
      <c r="C66" t="str">
        <f t="shared" si="0"/>
        <v/>
      </c>
      <c r="I66">
        <f t="shared" ca="1" si="1"/>
        <v>5.6152226266387405E-3</v>
      </c>
      <c r="J66">
        <f t="shared" ca="1" si="2"/>
        <v>-2.7143317475326077E-2</v>
      </c>
      <c r="L66">
        <f t="shared" ca="1" si="3"/>
        <v>5.6152226266387405E-3</v>
      </c>
      <c r="M66">
        <f t="shared" ca="1" si="4"/>
        <v>-2.7143317475326077E-2</v>
      </c>
      <c r="O66">
        <f t="shared" ca="1" si="5"/>
        <v>-1.4696591588608274</v>
      </c>
      <c r="P66">
        <f t="shared" ca="1" si="6"/>
        <v>-0.22021465971423149</v>
      </c>
      <c r="R66">
        <f t="shared" ca="1" si="7"/>
        <v>-3.2697240164491705</v>
      </c>
      <c r="S66">
        <f t="shared" ca="1" si="8"/>
        <v>0.51897895221076595</v>
      </c>
    </row>
    <row r="67" spans="3:19" x14ac:dyDescent="0.35">
      <c r="C67" t="str">
        <f t="shared" si="0"/>
        <v/>
      </c>
      <c r="I67">
        <f t="shared" ca="1" si="1"/>
        <v>5.6638363898911873E-3</v>
      </c>
      <c r="J67">
        <f t="shared" ca="1" si="2"/>
        <v>-2.7581112918476501E-2</v>
      </c>
      <c r="L67">
        <f t="shared" ca="1" si="3"/>
        <v>5.6638363898911873E-3</v>
      </c>
      <c r="M67">
        <f t="shared" ca="1" si="4"/>
        <v>-2.7581112918476501E-2</v>
      </c>
      <c r="O67">
        <f t="shared" ca="1" si="5"/>
        <v>-1.4315326895095033</v>
      </c>
      <c r="P67">
        <f t="shared" ca="1" si="6"/>
        <v>-0.21426291215438742</v>
      </c>
      <c r="R67">
        <f t="shared" ca="1" si="7"/>
        <v>-3.3169436914579822</v>
      </c>
      <c r="S67">
        <f t="shared" ca="1" si="8"/>
        <v>0.52734958047222991</v>
      </c>
    </row>
    <row r="68" spans="3:19" x14ac:dyDescent="0.35">
      <c r="C68" t="str">
        <f t="shared" si="0"/>
        <v/>
      </c>
      <c r="I68">
        <f t="shared" ca="1" si="1"/>
        <v>5.7111182692189096E-3</v>
      </c>
      <c r="J68">
        <f t="shared" ca="1" si="2"/>
        <v>-2.8018908361626921E-2</v>
      </c>
      <c r="L68">
        <f t="shared" ca="1" si="3"/>
        <v>5.7111182692189096E-3</v>
      </c>
      <c r="M68">
        <f t="shared" ca="1" si="4"/>
        <v>-2.8018908361626921E-2</v>
      </c>
      <c r="O68">
        <f t="shared" ca="1" si="5"/>
        <v>-1.3933176619106384</v>
      </c>
      <c r="P68">
        <f t="shared" ca="1" si="6"/>
        <v>-0.2083111645945433</v>
      </c>
      <c r="R68">
        <f t="shared" ca="1" si="7"/>
        <v>-3.3639881979230646</v>
      </c>
      <c r="S68">
        <f t="shared" ca="1" si="8"/>
        <v>0.53572020873369386</v>
      </c>
    </row>
    <row r="69" spans="3:19" x14ac:dyDescent="0.35">
      <c r="C69" t="str">
        <f t="shared" ref="C69:C132" si="9">IF(ISBLANK(D69), "",
IF(D69 &lt; $G$9,
    $G$10 + $G$19 * ($G$23 * (D69 - $G$9))^2 + $G$21 * (1 - (D69 - $G$6)/($G$9 - $G$6)),
IF(D69 &gt; $G$13,
    $G$14 + $G$19 * ($G$23 * (D69 - $G$13))^2 - $G$22 * (1 - (D69 - $G$6)/($G$13 - $G$6)),
IF(D69 &lt; $G$6,
    $G$16 * (D69 - $G$6)^2 + $G$5,
    $G$17 * (D69 - $G$6)^2 + $G$5))))</f>
        <v/>
      </c>
      <c r="I69">
        <f t="shared" ref="I69:I103" ca="1" si="10">$G$16 * (J69 - $G$6)^2 + $G$5</f>
        <v>5.7570682646219066E-3</v>
      </c>
      <c r="J69">
        <f t="shared" ref="J69:J103" ca="1" si="11">$G$9 + ($G$6 - $G$9) * (ROW(B66)-1)/99</f>
        <v>-2.8456703804777338E-2</v>
      </c>
      <c r="L69">
        <f t="shared" ref="L69:L103" ca="1" si="12">$G$17 * (M69 - $G$6)^2 + $G$5</f>
        <v>5.7570682646219066E-3</v>
      </c>
      <c r="M69">
        <f t="shared" ref="M69:M103" ca="1" si="13">$G$13 + ($G$6 - $G$13) * (ROW(F66)-1)/99</f>
        <v>-2.8456703804777338E-2</v>
      </c>
      <c r="O69">
        <f t="shared" ref="O69:O103" ca="1" si="14">$G$10 + $G$19 * ($G$23 * (P69 - $G$9))^2 + $G$21 * (1 - (P69 - $G$6)/($G$9 - $G$6))</f>
        <v>-1.3550140760642329</v>
      </c>
      <c r="P69">
        <f t="shared" ref="P69:P103" ca="1" si="15">$G$26 + ($G$9 - $G$26) * (ROW(B66)-1)/99</f>
        <v>-0.20235941703469917</v>
      </c>
      <c r="R69">
        <f t="shared" ref="R69:R103" ca="1" si="16">$G$14 + $G$19 * ($G$23 * (S69 - $G$13))^2 - $G$22 * (1 - (S69 - $G$6)/($G$13 - $G$6))</f>
        <v>-3.4108575358444191</v>
      </c>
      <c r="S69">
        <f t="shared" ref="S69:S103" ca="1" si="17">$G$13 + ($G$25 - $G$13) * (ROW(B66)-1)/99</f>
        <v>0.54409083699515792</v>
      </c>
    </row>
    <row r="70" spans="3:19" x14ac:dyDescent="0.35">
      <c r="C70" t="str">
        <f t="shared" si="9"/>
        <v/>
      </c>
      <c r="I70">
        <f t="shared" ca="1" si="10"/>
        <v>5.8016863761001791E-3</v>
      </c>
      <c r="J70">
        <f t="shared" ca="1" si="11"/>
        <v>-2.8894499247927762E-2</v>
      </c>
      <c r="L70">
        <f t="shared" ca="1" si="12"/>
        <v>5.8016863761001791E-3</v>
      </c>
      <c r="M70">
        <f t="shared" ca="1" si="13"/>
        <v>-2.8894499247927762E-2</v>
      </c>
      <c r="O70">
        <f t="shared" ca="1" si="14"/>
        <v>-1.3166219319702881</v>
      </c>
      <c r="P70">
        <f t="shared" ca="1" si="15"/>
        <v>-0.19640766947485511</v>
      </c>
      <c r="R70">
        <f t="shared" ca="1" si="16"/>
        <v>-3.4575517052220439</v>
      </c>
      <c r="S70">
        <f t="shared" ca="1" si="17"/>
        <v>0.55246146525662188</v>
      </c>
    </row>
    <row r="71" spans="3:19" x14ac:dyDescent="0.35">
      <c r="C71" t="str">
        <f t="shared" si="9"/>
        <v/>
      </c>
      <c r="I71">
        <f t="shared" ca="1" si="10"/>
        <v>5.8449726036537272E-3</v>
      </c>
      <c r="J71">
        <f t="shared" ca="1" si="11"/>
        <v>-2.9332294691078179E-2</v>
      </c>
      <c r="L71">
        <f t="shared" ca="1" si="12"/>
        <v>5.8449726036537272E-3</v>
      </c>
      <c r="M71">
        <f t="shared" ca="1" si="13"/>
        <v>-2.9332294691078179E-2</v>
      </c>
      <c r="O71">
        <f t="shared" ca="1" si="14"/>
        <v>-1.2781412296288024</v>
      </c>
      <c r="P71">
        <f t="shared" ca="1" si="15"/>
        <v>-0.19045592191501098</v>
      </c>
      <c r="R71">
        <f t="shared" ca="1" si="16"/>
        <v>-3.5040707060559395</v>
      </c>
      <c r="S71">
        <f t="shared" ca="1" si="17"/>
        <v>0.56083209351808583</v>
      </c>
    </row>
    <row r="72" spans="3:19" x14ac:dyDescent="0.35">
      <c r="C72" t="str">
        <f t="shared" si="9"/>
        <v/>
      </c>
      <c r="I72">
        <f t="shared" ca="1" si="10"/>
        <v>5.8869269472825508E-3</v>
      </c>
      <c r="J72">
        <f t="shared" ca="1" si="11"/>
        <v>-2.9770090134228603E-2</v>
      </c>
      <c r="L72">
        <f t="shared" ca="1" si="12"/>
        <v>5.8869269472825508E-3</v>
      </c>
      <c r="M72">
        <f t="shared" ca="1" si="13"/>
        <v>-2.9770090134228603E-2</v>
      </c>
      <c r="O72">
        <f t="shared" ca="1" si="14"/>
        <v>-1.2395719690397773</v>
      </c>
      <c r="P72">
        <f t="shared" ca="1" si="15"/>
        <v>-0.18450417435516697</v>
      </c>
      <c r="R72">
        <f t="shared" ca="1" si="16"/>
        <v>-3.5504145383461059</v>
      </c>
      <c r="S72">
        <f t="shared" ca="1" si="17"/>
        <v>0.56920272177954978</v>
      </c>
    </row>
    <row r="73" spans="3:19" x14ac:dyDescent="0.35">
      <c r="C73" t="str">
        <f t="shared" si="9"/>
        <v/>
      </c>
      <c r="I73">
        <f t="shared" ca="1" si="10"/>
        <v>5.9275494069866499E-3</v>
      </c>
      <c r="J73">
        <f t="shared" ca="1" si="11"/>
        <v>-3.0207885577379023E-2</v>
      </c>
      <c r="L73">
        <f t="shared" ca="1" si="12"/>
        <v>5.9275494069866499E-3</v>
      </c>
      <c r="M73">
        <f t="shared" ca="1" si="13"/>
        <v>-3.0207885577379023E-2</v>
      </c>
      <c r="O73">
        <f t="shared" ca="1" si="14"/>
        <v>-1.2009141502032108</v>
      </c>
      <c r="P73">
        <f t="shared" ca="1" si="15"/>
        <v>-0.17855242679532285</v>
      </c>
      <c r="R73">
        <f t="shared" ca="1" si="16"/>
        <v>-3.5965832020925439</v>
      </c>
      <c r="S73">
        <f t="shared" ca="1" si="17"/>
        <v>0.57757335004101373</v>
      </c>
    </row>
    <row r="74" spans="3:19" x14ac:dyDescent="0.35">
      <c r="C74" t="str">
        <f t="shared" si="9"/>
        <v/>
      </c>
      <c r="I74">
        <f t="shared" ca="1" si="10"/>
        <v>5.9668399827660238E-3</v>
      </c>
      <c r="J74">
        <f t="shared" ca="1" si="11"/>
        <v>-3.064568102052944E-2</v>
      </c>
      <c r="L74">
        <f t="shared" ca="1" si="12"/>
        <v>5.9668399827660238E-3</v>
      </c>
      <c r="M74">
        <f t="shared" ca="1" si="13"/>
        <v>-3.064568102052944E-2</v>
      </c>
      <c r="O74">
        <f t="shared" ca="1" si="14"/>
        <v>-1.162167773119104</v>
      </c>
      <c r="P74">
        <f t="shared" ca="1" si="15"/>
        <v>-0.17260067923547867</v>
      </c>
      <c r="R74">
        <f t="shared" ca="1" si="16"/>
        <v>-3.6425766972952518</v>
      </c>
      <c r="S74">
        <f t="shared" ca="1" si="17"/>
        <v>0.58594397830247769</v>
      </c>
    </row>
    <row r="75" spans="3:19" x14ac:dyDescent="0.35">
      <c r="C75" t="str">
        <f t="shared" si="9"/>
        <v/>
      </c>
      <c r="I75">
        <f t="shared" ca="1" si="10"/>
        <v>6.004798674620674E-3</v>
      </c>
      <c r="J75">
        <f t="shared" ca="1" si="11"/>
        <v>-3.1083476463679864E-2</v>
      </c>
      <c r="L75">
        <f t="shared" ca="1" si="12"/>
        <v>6.004798674620674E-3</v>
      </c>
      <c r="M75">
        <f t="shared" ca="1" si="13"/>
        <v>-3.1083476463679864E-2</v>
      </c>
      <c r="O75">
        <f t="shared" ca="1" si="14"/>
        <v>-1.1233328377874576</v>
      </c>
      <c r="P75">
        <f t="shared" ca="1" si="15"/>
        <v>-0.16664893167563466</v>
      </c>
      <c r="R75">
        <f t="shared" ca="1" si="16"/>
        <v>-3.6883950239542318</v>
      </c>
      <c r="S75">
        <f t="shared" ca="1" si="17"/>
        <v>0.59431460656394164</v>
      </c>
    </row>
    <row r="76" spans="3:19" x14ac:dyDescent="0.35">
      <c r="C76" t="str">
        <f t="shared" si="9"/>
        <v/>
      </c>
      <c r="I76">
        <f t="shared" ca="1" si="10"/>
        <v>6.0414254825505997E-3</v>
      </c>
      <c r="J76">
        <f t="shared" ca="1" si="11"/>
        <v>-3.1521271906830281E-2</v>
      </c>
      <c r="L76">
        <f t="shared" ca="1" si="12"/>
        <v>6.0414254825505997E-3</v>
      </c>
      <c r="M76">
        <f t="shared" ca="1" si="13"/>
        <v>-3.1521271906830281E-2</v>
      </c>
      <c r="O76">
        <f t="shared" ca="1" si="14"/>
        <v>-1.0844093442082707</v>
      </c>
      <c r="P76">
        <f t="shared" ca="1" si="15"/>
        <v>-0.16069718411579054</v>
      </c>
      <c r="R76">
        <f t="shared" ca="1" si="16"/>
        <v>-3.7340381820694817</v>
      </c>
      <c r="S76">
        <f t="shared" ca="1" si="17"/>
        <v>0.60268523482540559</v>
      </c>
    </row>
    <row r="77" spans="3:19" x14ac:dyDescent="0.35">
      <c r="C77" t="str">
        <f t="shared" si="9"/>
        <v/>
      </c>
      <c r="I77">
        <f t="shared" ca="1" si="10"/>
        <v>6.0767204065558002E-3</v>
      </c>
      <c r="J77">
        <f t="shared" ca="1" si="11"/>
        <v>-3.1959067349980705E-2</v>
      </c>
      <c r="L77">
        <f t="shared" ca="1" si="12"/>
        <v>6.0767204065558002E-3</v>
      </c>
      <c r="M77">
        <f t="shared" ca="1" si="13"/>
        <v>-3.1959067349980705E-2</v>
      </c>
      <c r="O77">
        <f t="shared" ca="1" si="14"/>
        <v>-1.0453972923815438</v>
      </c>
      <c r="P77">
        <f t="shared" ca="1" si="15"/>
        <v>-0.15474543655594647</v>
      </c>
      <c r="R77">
        <f t="shared" ca="1" si="16"/>
        <v>-3.7795061716410041</v>
      </c>
      <c r="S77">
        <f t="shared" ca="1" si="17"/>
        <v>0.61105586308686966</v>
      </c>
    </row>
    <row r="78" spans="3:19" x14ac:dyDescent="0.35">
      <c r="C78" t="str">
        <f t="shared" si="9"/>
        <v/>
      </c>
      <c r="I78">
        <f t="shared" ca="1" si="10"/>
        <v>6.110683446636277E-3</v>
      </c>
      <c r="J78">
        <f t="shared" ca="1" si="11"/>
        <v>-3.2396862793131129E-2</v>
      </c>
      <c r="L78">
        <f t="shared" ca="1" si="12"/>
        <v>6.110683446636277E-3</v>
      </c>
      <c r="M78">
        <f t="shared" ca="1" si="13"/>
        <v>-3.2396862793131129E-2</v>
      </c>
      <c r="O78">
        <f t="shared" ca="1" si="14"/>
        <v>-1.0062966823072759</v>
      </c>
      <c r="P78">
        <f t="shared" ca="1" si="15"/>
        <v>-0.14879368899610235</v>
      </c>
      <c r="R78">
        <f t="shared" ca="1" si="16"/>
        <v>-3.824798992668796</v>
      </c>
      <c r="S78">
        <f t="shared" ca="1" si="17"/>
        <v>0.61942649134833361</v>
      </c>
    </row>
    <row r="79" spans="3:19" x14ac:dyDescent="0.35">
      <c r="C79" t="str">
        <f t="shared" si="9"/>
        <v/>
      </c>
      <c r="I79">
        <f t="shared" ca="1" si="10"/>
        <v>6.1433146027920285E-3</v>
      </c>
      <c r="J79">
        <f t="shared" ca="1" si="11"/>
        <v>-3.2834658236281546E-2</v>
      </c>
      <c r="L79">
        <f t="shared" ca="1" si="12"/>
        <v>6.1433146027920285E-3</v>
      </c>
      <c r="M79">
        <f t="shared" ca="1" si="13"/>
        <v>-3.2834658236281546E-2</v>
      </c>
      <c r="O79">
        <f t="shared" ca="1" si="14"/>
        <v>-0.96710751398546801</v>
      </c>
      <c r="P79">
        <f t="shared" ca="1" si="15"/>
        <v>-0.14284194143625822</v>
      </c>
      <c r="R79">
        <f t="shared" ca="1" si="16"/>
        <v>-3.8699166451528595</v>
      </c>
      <c r="S79">
        <f t="shared" ca="1" si="17"/>
        <v>0.62779711960979756</v>
      </c>
    </row>
    <row r="80" spans="3:19" x14ac:dyDescent="0.35">
      <c r="C80" t="str">
        <f t="shared" si="9"/>
        <v/>
      </c>
      <c r="I80">
        <f t="shared" ca="1" si="10"/>
        <v>6.1746138750230556E-3</v>
      </c>
      <c r="J80">
        <f t="shared" ca="1" si="11"/>
        <v>-3.3272453679431969E-2</v>
      </c>
      <c r="L80">
        <f t="shared" ca="1" si="12"/>
        <v>6.1746138750230556E-3</v>
      </c>
      <c r="M80">
        <f t="shared" ca="1" si="13"/>
        <v>-3.3272453679431969E-2</v>
      </c>
      <c r="O80">
        <f t="shared" ca="1" si="14"/>
        <v>-0.92782978741612032</v>
      </c>
      <c r="P80">
        <f t="shared" ca="1" si="15"/>
        <v>-0.13689019387641416</v>
      </c>
      <c r="R80">
        <f t="shared" ca="1" si="16"/>
        <v>-3.9148591290931942</v>
      </c>
      <c r="S80">
        <f t="shared" ca="1" si="17"/>
        <v>0.63616774787126151</v>
      </c>
    </row>
    <row r="81" spans="3:19" x14ac:dyDescent="0.35">
      <c r="C81" t="str">
        <f t="shared" si="9"/>
        <v/>
      </c>
      <c r="I81">
        <f t="shared" ca="1" si="10"/>
        <v>6.2045812633293581E-3</v>
      </c>
      <c r="J81">
        <f t="shared" ca="1" si="11"/>
        <v>-3.3710249122582386E-2</v>
      </c>
      <c r="L81">
        <f t="shared" ca="1" si="12"/>
        <v>6.2045812633293581E-3</v>
      </c>
      <c r="M81">
        <f t="shared" ca="1" si="13"/>
        <v>-3.3710249122582386E-2</v>
      </c>
      <c r="O81">
        <f t="shared" ca="1" si="14"/>
        <v>-0.88846350259923179</v>
      </c>
      <c r="P81">
        <f t="shared" ca="1" si="15"/>
        <v>-0.13093844631657003</v>
      </c>
      <c r="R81">
        <f t="shared" ca="1" si="16"/>
        <v>-3.9596264444897988</v>
      </c>
      <c r="S81">
        <f t="shared" ca="1" si="17"/>
        <v>0.64453837613272547</v>
      </c>
    </row>
    <row r="82" spans="3:19" x14ac:dyDescent="0.35">
      <c r="C82" t="str">
        <f t="shared" si="9"/>
        <v/>
      </c>
      <c r="I82">
        <f t="shared" ca="1" si="10"/>
        <v>6.2332167677109362E-3</v>
      </c>
      <c r="J82">
        <f t="shared" ca="1" si="11"/>
        <v>-3.414804456573281E-2</v>
      </c>
      <c r="L82">
        <f t="shared" ca="1" si="12"/>
        <v>6.2332167677109362E-3</v>
      </c>
      <c r="M82">
        <f t="shared" ca="1" si="13"/>
        <v>-3.414804456573281E-2</v>
      </c>
      <c r="O82">
        <f t="shared" ca="1" si="14"/>
        <v>-0.84900865953480387</v>
      </c>
      <c r="P82">
        <f t="shared" ca="1" si="15"/>
        <v>-0.12498669875672602</v>
      </c>
      <c r="R82">
        <f t="shared" ca="1" si="16"/>
        <v>-4.0042185913426751</v>
      </c>
      <c r="S82">
        <f t="shared" ca="1" si="17"/>
        <v>0.65290900439418953</v>
      </c>
    </row>
    <row r="83" spans="3:19" x14ac:dyDescent="0.35">
      <c r="C83" t="str">
        <f t="shared" si="9"/>
        <v/>
      </c>
      <c r="I83">
        <f t="shared" ca="1" si="10"/>
        <v>6.2605203881677899E-3</v>
      </c>
      <c r="J83">
        <f t="shared" ca="1" si="11"/>
        <v>-3.4585840008883227E-2</v>
      </c>
      <c r="L83">
        <f t="shared" ca="1" si="12"/>
        <v>6.2605203881677899E-3</v>
      </c>
      <c r="M83">
        <f t="shared" ca="1" si="13"/>
        <v>-3.4585840008883227E-2</v>
      </c>
      <c r="O83">
        <f t="shared" ca="1" si="14"/>
        <v>-0.80946525822283477</v>
      </c>
      <c r="P83">
        <f t="shared" ca="1" si="15"/>
        <v>-0.1190349511968819</v>
      </c>
      <c r="R83">
        <f t="shared" ca="1" si="16"/>
        <v>-4.0486355696518226</v>
      </c>
      <c r="S83">
        <f t="shared" ca="1" si="17"/>
        <v>0.66127963265565348</v>
      </c>
    </row>
    <row r="84" spans="3:19" x14ac:dyDescent="0.35">
      <c r="C84" t="str">
        <f t="shared" si="9"/>
        <v/>
      </c>
      <c r="I84">
        <f t="shared" ca="1" si="10"/>
        <v>6.2864921246999182E-3</v>
      </c>
      <c r="J84">
        <f t="shared" ca="1" si="11"/>
        <v>-3.5023635452033651E-2</v>
      </c>
      <c r="L84">
        <f t="shared" ca="1" si="12"/>
        <v>6.2864921246999182E-3</v>
      </c>
      <c r="M84">
        <f t="shared" ca="1" si="13"/>
        <v>-3.5023635452033651E-2</v>
      </c>
      <c r="O84">
        <f t="shared" ca="1" si="14"/>
        <v>-0.76983329866332539</v>
      </c>
      <c r="P84">
        <f t="shared" ca="1" si="15"/>
        <v>-0.11308320363703778</v>
      </c>
      <c r="R84">
        <f t="shared" ca="1" si="16"/>
        <v>-4.0928773794172413</v>
      </c>
      <c r="S84">
        <f t="shared" ca="1" si="17"/>
        <v>0.66965026091711743</v>
      </c>
    </row>
    <row r="85" spans="3:19" x14ac:dyDescent="0.35">
      <c r="C85" t="str">
        <f t="shared" si="9"/>
        <v/>
      </c>
      <c r="I85">
        <f t="shared" ca="1" si="10"/>
        <v>6.3111319773073229E-3</v>
      </c>
      <c r="J85">
        <f t="shared" ca="1" si="11"/>
        <v>-3.5461430895184068E-2</v>
      </c>
      <c r="L85">
        <f t="shared" ca="1" si="12"/>
        <v>6.3111319773073229E-3</v>
      </c>
      <c r="M85">
        <f t="shared" ca="1" si="13"/>
        <v>-3.5461430895184068E-2</v>
      </c>
      <c r="O85">
        <f t="shared" ca="1" si="14"/>
        <v>-0.73011278085627618</v>
      </c>
      <c r="P85">
        <f t="shared" ca="1" si="15"/>
        <v>-0.10713145607719371</v>
      </c>
      <c r="R85">
        <f t="shared" ca="1" si="16"/>
        <v>-4.1369440206389294</v>
      </c>
      <c r="S85">
        <f t="shared" ca="1" si="17"/>
        <v>0.67802088917858139</v>
      </c>
    </row>
    <row r="86" spans="3:19" x14ac:dyDescent="0.35">
      <c r="C86" t="str">
        <f t="shared" si="9"/>
        <v/>
      </c>
      <c r="I86">
        <f t="shared" ca="1" si="10"/>
        <v>6.3344399459900023E-3</v>
      </c>
      <c r="J86">
        <f t="shared" ca="1" si="11"/>
        <v>-3.5899226338334492E-2</v>
      </c>
      <c r="L86">
        <f t="shared" ca="1" si="12"/>
        <v>6.3344399459900023E-3</v>
      </c>
      <c r="M86">
        <f t="shared" ca="1" si="13"/>
        <v>-3.5899226338334492E-2</v>
      </c>
      <c r="O86">
        <f t="shared" ca="1" si="14"/>
        <v>-0.69030370480168624</v>
      </c>
      <c r="P86">
        <f t="shared" ca="1" si="15"/>
        <v>-0.10117970851734959</v>
      </c>
      <c r="R86">
        <f t="shared" ca="1" si="16"/>
        <v>-4.1808354933168896</v>
      </c>
      <c r="S86">
        <f t="shared" ca="1" si="17"/>
        <v>0.68639151744004534</v>
      </c>
    </row>
    <row r="87" spans="3:19" x14ac:dyDescent="0.35">
      <c r="C87" t="str">
        <f t="shared" si="9"/>
        <v/>
      </c>
      <c r="I87">
        <f t="shared" ca="1" si="10"/>
        <v>6.3564160307479581E-3</v>
      </c>
      <c r="J87">
        <f t="shared" ca="1" si="11"/>
        <v>-3.6337021781484916E-2</v>
      </c>
      <c r="L87">
        <f t="shared" ca="1" si="12"/>
        <v>6.3564160307479581E-3</v>
      </c>
      <c r="M87">
        <f t="shared" ca="1" si="13"/>
        <v>-3.6337021781484916E-2</v>
      </c>
      <c r="O87">
        <f t="shared" ca="1" si="14"/>
        <v>-0.65040607049955657</v>
      </c>
      <c r="P87">
        <f t="shared" ca="1" si="15"/>
        <v>-9.522796095750552E-2</v>
      </c>
      <c r="R87">
        <f t="shared" ca="1" si="16"/>
        <v>-4.2245517974511193</v>
      </c>
      <c r="S87">
        <f t="shared" ca="1" si="17"/>
        <v>0.69476214570150918</v>
      </c>
    </row>
    <row r="88" spans="3:19" x14ac:dyDescent="0.35">
      <c r="C88" t="str">
        <f t="shared" si="9"/>
        <v/>
      </c>
      <c r="I88">
        <f t="shared" ca="1" si="10"/>
        <v>6.3770602315811886E-3</v>
      </c>
      <c r="J88">
        <f t="shared" ca="1" si="11"/>
        <v>-3.6774817224635332E-2</v>
      </c>
      <c r="L88">
        <f t="shared" ca="1" si="12"/>
        <v>6.3770602315811886E-3</v>
      </c>
      <c r="M88">
        <f t="shared" ca="1" si="13"/>
        <v>-3.6774817224635332E-2</v>
      </c>
      <c r="O88">
        <f t="shared" ca="1" si="14"/>
        <v>-0.61041987794988606</v>
      </c>
      <c r="P88">
        <f t="shared" ca="1" si="15"/>
        <v>-8.9276213397661397E-2</v>
      </c>
      <c r="R88">
        <f t="shared" ca="1" si="16"/>
        <v>-4.268092933041622</v>
      </c>
      <c r="S88">
        <f t="shared" ca="1" si="17"/>
        <v>0.70313277396297325</v>
      </c>
    </row>
    <row r="89" spans="3:19" x14ac:dyDescent="0.35">
      <c r="C89" t="str">
        <f t="shared" si="9"/>
        <v/>
      </c>
      <c r="I89">
        <f t="shared" ca="1" si="10"/>
        <v>6.3963725484896946E-3</v>
      </c>
      <c r="J89">
        <f t="shared" ca="1" si="11"/>
        <v>-3.7212612667785756E-2</v>
      </c>
      <c r="L89">
        <f t="shared" ca="1" si="12"/>
        <v>6.3963725484896946E-3</v>
      </c>
      <c r="M89">
        <f t="shared" ca="1" si="13"/>
        <v>-3.7212612667785756E-2</v>
      </c>
      <c r="O89">
        <f t="shared" ca="1" si="14"/>
        <v>-0.57034512715267627</v>
      </c>
      <c r="P89">
        <f t="shared" ca="1" si="15"/>
        <v>-8.3324465837817385E-2</v>
      </c>
      <c r="R89">
        <f t="shared" ca="1" si="16"/>
        <v>-4.3114589000883949</v>
      </c>
      <c r="S89">
        <f t="shared" ca="1" si="17"/>
        <v>0.7115034022244372</v>
      </c>
    </row>
    <row r="90" spans="3:19" x14ac:dyDescent="0.35">
      <c r="C90" t="str">
        <f t="shared" si="9"/>
        <v/>
      </c>
      <c r="I90">
        <f t="shared" ca="1" si="10"/>
        <v>6.4143529814734762E-3</v>
      </c>
      <c r="J90">
        <f t="shared" ca="1" si="11"/>
        <v>-3.7650408110936173E-2</v>
      </c>
      <c r="L90">
        <f t="shared" ca="1" si="12"/>
        <v>6.4143529814734762E-3</v>
      </c>
      <c r="M90">
        <f t="shared" ca="1" si="13"/>
        <v>-3.7650408110936173E-2</v>
      </c>
      <c r="O90">
        <f t="shared" ca="1" si="14"/>
        <v>-0.53018181810792486</v>
      </c>
      <c r="P90">
        <f t="shared" ca="1" si="15"/>
        <v>-7.7372718277973207E-2</v>
      </c>
      <c r="R90">
        <f t="shared" ca="1" si="16"/>
        <v>-4.3546496985914391</v>
      </c>
      <c r="S90">
        <f t="shared" ca="1" si="17"/>
        <v>0.71987403048590115</v>
      </c>
    </row>
    <row r="91" spans="3:19" x14ac:dyDescent="0.35">
      <c r="C91" t="str">
        <f t="shared" si="9"/>
        <v/>
      </c>
      <c r="I91">
        <f t="shared" ca="1" si="10"/>
        <v>6.4310015305325333E-3</v>
      </c>
      <c r="J91">
        <f t="shared" ca="1" si="11"/>
        <v>-3.808820355408659E-2</v>
      </c>
      <c r="L91">
        <f t="shared" ca="1" si="12"/>
        <v>6.4310015305325333E-3</v>
      </c>
      <c r="M91">
        <f t="shared" ca="1" si="13"/>
        <v>-3.808820355408659E-2</v>
      </c>
      <c r="O91">
        <f t="shared" ca="1" si="14"/>
        <v>-0.48992995081563401</v>
      </c>
      <c r="P91">
        <f t="shared" ca="1" si="15"/>
        <v>-7.142097071812914E-2</v>
      </c>
      <c r="R91">
        <f t="shared" ca="1" si="16"/>
        <v>-4.3976653285507536</v>
      </c>
      <c r="S91">
        <f t="shared" ca="1" si="17"/>
        <v>0.7282446587473651</v>
      </c>
    </row>
    <row r="92" spans="3:19" x14ac:dyDescent="0.35">
      <c r="C92" t="str">
        <f t="shared" si="9"/>
        <v/>
      </c>
      <c r="I92">
        <f t="shared" ca="1" si="10"/>
        <v>6.4463181956668659E-3</v>
      </c>
      <c r="J92">
        <f t="shared" ca="1" si="11"/>
        <v>-3.8525998997237014E-2</v>
      </c>
      <c r="L92">
        <f t="shared" ca="1" si="12"/>
        <v>6.4463181956668659E-3</v>
      </c>
      <c r="M92">
        <f t="shared" ca="1" si="13"/>
        <v>-3.8525998997237014E-2</v>
      </c>
      <c r="O92">
        <f t="shared" ca="1" si="14"/>
        <v>-0.44958952527580293</v>
      </c>
      <c r="P92">
        <f t="shared" ca="1" si="15"/>
        <v>-6.5469223158285073E-2</v>
      </c>
      <c r="R92">
        <f t="shared" ca="1" si="16"/>
        <v>-4.4405057899663394</v>
      </c>
      <c r="S92">
        <f t="shared" ca="1" si="17"/>
        <v>0.73661528700882906</v>
      </c>
    </row>
    <row r="93" spans="3:19" x14ac:dyDescent="0.35">
      <c r="C93" t="str">
        <f t="shared" si="9"/>
        <v/>
      </c>
      <c r="I93">
        <f t="shared" ca="1" si="10"/>
        <v>6.460302976876474E-3</v>
      </c>
      <c r="J93">
        <f t="shared" ca="1" si="11"/>
        <v>-3.8963794440387438E-2</v>
      </c>
      <c r="L93">
        <f t="shared" ca="1" si="12"/>
        <v>6.460302976876474E-3</v>
      </c>
      <c r="M93">
        <f t="shared" ca="1" si="13"/>
        <v>-3.8963794440387438E-2</v>
      </c>
      <c r="O93">
        <f t="shared" ca="1" si="14"/>
        <v>-0.40916054148843078</v>
      </c>
      <c r="P93">
        <f t="shared" ca="1" si="15"/>
        <v>-5.9517475598440894E-2</v>
      </c>
      <c r="R93">
        <f t="shared" ca="1" si="16"/>
        <v>-4.4831710828381972</v>
      </c>
      <c r="S93">
        <f t="shared" ca="1" si="17"/>
        <v>0.74498591527029312</v>
      </c>
    </row>
    <row r="94" spans="3:19" x14ac:dyDescent="0.35">
      <c r="C94" t="str">
        <f t="shared" si="9"/>
        <v/>
      </c>
      <c r="I94">
        <f t="shared" ca="1" si="10"/>
        <v>6.4729558741613569E-3</v>
      </c>
      <c r="J94">
        <f t="shared" ca="1" si="11"/>
        <v>-3.9401589883537855E-2</v>
      </c>
      <c r="L94">
        <f t="shared" ca="1" si="12"/>
        <v>6.4729558741613569E-3</v>
      </c>
      <c r="M94">
        <f t="shared" ca="1" si="13"/>
        <v>-3.9401589883537855E-2</v>
      </c>
      <c r="O94">
        <f t="shared" ca="1" si="14"/>
        <v>-0.36864299945351903</v>
      </c>
      <c r="P94">
        <f t="shared" ca="1" si="15"/>
        <v>-5.3565728038596827E-2</v>
      </c>
      <c r="R94">
        <f t="shared" ca="1" si="16"/>
        <v>-4.5256612071663236</v>
      </c>
      <c r="S94">
        <f t="shared" ca="1" si="17"/>
        <v>0.75335654353175707</v>
      </c>
    </row>
    <row r="95" spans="3:19" x14ac:dyDescent="0.35">
      <c r="C95" t="str">
        <f t="shared" si="9"/>
        <v/>
      </c>
      <c r="I95">
        <f t="shared" ca="1" si="10"/>
        <v>6.4842768875215152E-3</v>
      </c>
      <c r="J95">
        <f t="shared" ca="1" si="11"/>
        <v>-3.9839385326688279E-2</v>
      </c>
      <c r="L95">
        <f t="shared" ca="1" si="12"/>
        <v>6.4842768875215152E-3</v>
      </c>
      <c r="M95">
        <f t="shared" ca="1" si="13"/>
        <v>-3.9839385326688279E-2</v>
      </c>
      <c r="O95">
        <f t="shared" ca="1" si="14"/>
        <v>-0.3280368991710671</v>
      </c>
      <c r="P95">
        <f t="shared" ca="1" si="15"/>
        <v>-4.761398047875276E-2</v>
      </c>
      <c r="R95">
        <f t="shared" ca="1" si="16"/>
        <v>-4.5679761629507221</v>
      </c>
      <c r="S95">
        <f t="shared" ca="1" si="17"/>
        <v>0.76172717179322103</v>
      </c>
    </row>
    <row r="96" spans="3:19" x14ac:dyDescent="0.35">
      <c r="C96" t="str">
        <f t="shared" si="9"/>
        <v/>
      </c>
      <c r="I96">
        <f t="shared" ca="1" si="10"/>
        <v>6.49426601695695E-3</v>
      </c>
      <c r="J96">
        <f t="shared" ca="1" si="11"/>
        <v>-4.0277180769838695E-2</v>
      </c>
      <c r="L96">
        <f t="shared" ca="1" si="12"/>
        <v>6.49426601695695E-3</v>
      </c>
      <c r="M96">
        <f t="shared" ca="1" si="13"/>
        <v>-4.0277180769838695E-2</v>
      </c>
      <c r="O96">
        <f t="shared" ca="1" si="14"/>
        <v>-0.28734224064107411</v>
      </c>
      <c r="P96">
        <f t="shared" ca="1" si="15"/>
        <v>-4.1662232918908582E-2</v>
      </c>
      <c r="R96">
        <f t="shared" ca="1" si="16"/>
        <v>-4.6101159501913918</v>
      </c>
      <c r="S96">
        <f t="shared" ca="1" si="17"/>
        <v>0.77009780005468498</v>
      </c>
    </row>
    <row r="97" spans="3:19" x14ac:dyDescent="0.35">
      <c r="C97" t="str">
        <f t="shared" si="9"/>
        <v/>
      </c>
      <c r="I97">
        <f t="shared" ca="1" si="10"/>
        <v>6.5029232624676594E-3</v>
      </c>
      <c r="J97">
        <f t="shared" ca="1" si="11"/>
        <v>-4.0714976212989119E-2</v>
      </c>
      <c r="L97">
        <f t="shared" ca="1" si="12"/>
        <v>6.5029232624676594E-3</v>
      </c>
      <c r="M97">
        <f t="shared" ca="1" si="13"/>
        <v>-4.0714976212989119E-2</v>
      </c>
      <c r="O97">
        <f t="shared" ca="1" si="14"/>
        <v>-0.24655902386354236</v>
      </c>
      <c r="P97">
        <f t="shared" ca="1" si="15"/>
        <v>-3.5710485359064625E-2</v>
      </c>
      <c r="R97">
        <f t="shared" ca="1" si="16"/>
        <v>-4.6520805688883327</v>
      </c>
      <c r="S97">
        <f t="shared" ca="1" si="17"/>
        <v>0.77846842831614893</v>
      </c>
    </row>
    <row r="98" spans="3:19" x14ac:dyDescent="0.35">
      <c r="C98" t="str">
        <f t="shared" si="9"/>
        <v/>
      </c>
      <c r="I98">
        <f t="shared" ca="1" si="10"/>
        <v>6.5102486240536444E-3</v>
      </c>
      <c r="J98">
        <f t="shared" ca="1" si="11"/>
        <v>-4.1152771656139536E-2</v>
      </c>
      <c r="L98">
        <f t="shared" ca="1" si="12"/>
        <v>6.5102486240536444E-3</v>
      </c>
      <c r="M98">
        <f t="shared" ca="1" si="13"/>
        <v>-4.1152771656139536E-2</v>
      </c>
      <c r="O98">
        <f t="shared" ca="1" si="14"/>
        <v>-0.20568724883846881</v>
      </c>
      <c r="P98">
        <f t="shared" ca="1" si="15"/>
        <v>-2.9758737799220447E-2</v>
      </c>
      <c r="R98">
        <f t="shared" ca="1" si="16"/>
        <v>-4.6938700190415439</v>
      </c>
      <c r="S98">
        <f t="shared" ca="1" si="17"/>
        <v>0.78683905657761299</v>
      </c>
    </row>
    <row r="99" spans="3:19" x14ac:dyDescent="0.35">
      <c r="C99" t="str">
        <f t="shared" si="9"/>
        <v/>
      </c>
      <c r="I99">
        <f t="shared" ca="1" si="10"/>
        <v>6.5162421017149049E-3</v>
      </c>
      <c r="J99">
        <f t="shared" ca="1" si="11"/>
        <v>-4.1590567099289953E-2</v>
      </c>
      <c r="L99">
        <f t="shared" ca="1" si="12"/>
        <v>6.5162421017149049E-3</v>
      </c>
      <c r="M99">
        <f t="shared" ca="1" si="13"/>
        <v>-4.1590567099289953E-2</v>
      </c>
      <c r="O99">
        <f t="shared" ca="1" si="14"/>
        <v>-0.16472691556585575</v>
      </c>
      <c r="P99">
        <f t="shared" ca="1" si="15"/>
        <v>-2.380699023937638E-2</v>
      </c>
      <c r="R99">
        <f t="shared" ca="1" si="16"/>
        <v>-4.7354843006510272</v>
      </c>
      <c r="S99">
        <f t="shared" ca="1" si="17"/>
        <v>0.79520968483907695</v>
      </c>
    </row>
    <row r="100" spans="3:19" x14ac:dyDescent="0.35">
      <c r="C100" t="str">
        <f t="shared" si="9"/>
        <v/>
      </c>
      <c r="I100">
        <f t="shared" ca="1" si="10"/>
        <v>6.520903695451441E-3</v>
      </c>
      <c r="J100">
        <f t="shared" ca="1" si="11"/>
        <v>-4.2028362542440384E-2</v>
      </c>
      <c r="L100">
        <f t="shared" ca="1" si="12"/>
        <v>6.520903695451441E-3</v>
      </c>
      <c r="M100">
        <f t="shared" ca="1" si="13"/>
        <v>-4.2028362542440384E-2</v>
      </c>
      <c r="O100">
        <f t="shared" ca="1" si="14"/>
        <v>-0.12367802404570241</v>
      </c>
      <c r="P100">
        <f t="shared" ca="1" si="15"/>
        <v>-1.7855242679532313E-2</v>
      </c>
      <c r="R100">
        <f t="shared" ca="1" si="16"/>
        <v>-4.77692341371678</v>
      </c>
      <c r="S100">
        <f t="shared" ca="1" si="17"/>
        <v>0.8035803131005409</v>
      </c>
    </row>
    <row r="101" spans="3:19" x14ac:dyDescent="0.35">
      <c r="C101" t="str">
        <f t="shared" si="9"/>
        <v/>
      </c>
      <c r="I101">
        <f t="shared" ca="1" si="10"/>
        <v>6.5242334052632526E-3</v>
      </c>
      <c r="J101">
        <f t="shared" ca="1" si="11"/>
        <v>-4.2466157985590801E-2</v>
      </c>
      <c r="L101">
        <f t="shared" ca="1" si="12"/>
        <v>6.5242334052632526E-3</v>
      </c>
      <c r="M101">
        <f t="shared" ca="1" si="13"/>
        <v>-4.2466157985590801E-2</v>
      </c>
      <c r="O101">
        <f t="shared" ca="1" si="14"/>
        <v>-8.2540574278008053E-2</v>
      </c>
      <c r="P101">
        <f t="shared" ca="1" si="15"/>
        <v>-1.1903495119688134E-2</v>
      </c>
      <c r="R101">
        <f t="shared" ca="1" si="16"/>
        <v>-4.818187358238804</v>
      </c>
      <c r="S101">
        <f t="shared" ca="1" si="17"/>
        <v>0.81195094136200485</v>
      </c>
    </row>
    <row r="102" spans="3:19" x14ac:dyDescent="0.35">
      <c r="C102" t="str">
        <f t="shared" si="9"/>
        <v/>
      </c>
      <c r="I102">
        <f t="shared" ca="1" si="10"/>
        <v>6.5262312311503388E-3</v>
      </c>
      <c r="J102">
        <f t="shared" ca="1" si="11"/>
        <v>-4.2903953428741225E-2</v>
      </c>
      <c r="L102">
        <f t="shared" ca="1" si="12"/>
        <v>6.5262312311503388E-3</v>
      </c>
      <c r="M102">
        <f t="shared" ca="1" si="13"/>
        <v>-4.2903953428741225E-2</v>
      </c>
      <c r="O102">
        <f t="shared" ca="1" si="14"/>
        <v>-4.1314566262774147E-2</v>
      </c>
      <c r="P102">
        <f t="shared" ca="1" si="15"/>
        <v>-5.9517475598440672E-3</v>
      </c>
      <c r="R102">
        <f t="shared" ca="1" si="16"/>
        <v>-4.8592761342171</v>
      </c>
      <c r="S102">
        <f t="shared" ca="1" si="17"/>
        <v>0.8203215696234688</v>
      </c>
    </row>
    <row r="103" spans="3:19" x14ac:dyDescent="0.35">
      <c r="C103" t="str">
        <f t="shared" si="9"/>
        <v/>
      </c>
      <c r="I103">
        <f t="shared" ca="1" si="10"/>
        <v>6.5268971731127015E-3</v>
      </c>
      <c r="J103">
        <f t="shared" ca="1" si="11"/>
        <v>-4.3341748871891642E-2</v>
      </c>
      <c r="L103">
        <f t="shared" ca="1" si="12"/>
        <v>6.5268971731127015E-3</v>
      </c>
      <c r="M103">
        <f t="shared" ca="1" si="13"/>
        <v>-4.3341748871891642E-2</v>
      </c>
      <c r="O103">
        <f t="shared" ca="1" si="14"/>
        <v>0</v>
      </c>
      <c r="P103">
        <f t="shared" ca="1" si="15"/>
        <v>0</v>
      </c>
      <c r="R103">
        <f t="shared" ca="1" si="16"/>
        <v>-4.9001897416516655</v>
      </c>
      <c r="S103">
        <f t="shared" ca="1" si="17"/>
        <v>0.82869219788493287</v>
      </c>
    </row>
    <row r="104" spans="3:19" x14ac:dyDescent="0.35">
      <c r="C104" t="str">
        <f t="shared" si="9"/>
        <v/>
      </c>
    </row>
    <row r="105" spans="3:19" x14ac:dyDescent="0.35">
      <c r="C105" t="str">
        <f t="shared" si="9"/>
        <v/>
      </c>
    </row>
    <row r="106" spans="3:19" x14ac:dyDescent="0.35">
      <c r="C106" t="str">
        <f t="shared" si="9"/>
        <v/>
      </c>
    </row>
    <row r="107" spans="3:19" x14ac:dyDescent="0.35">
      <c r="C107" t="str">
        <f t="shared" si="9"/>
        <v/>
      </c>
    </row>
    <row r="108" spans="3:19" x14ac:dyDescent="0.35">
      <c r="C108" t="str">
        <f t="shared" si="9"/>
        <v/>
      </c>
    </row>
    <row r="109" spans="3:19" x14ac:dyDescent="0.35">
      <c r="C109" t="str">
        <f t="shared" si="9"/>
        <v/>
      </c>
    </row>
    <row r="110" spans="3:19" x14ac:dyDescent="0.35">
      <c r="C110" t="str">
        <f t="shared" si="9"/>
        <v/>
      </c>
    </row>
    <row r="111" spans="3:19" x14ac:dyDescent="0.35">
      <c r="C111" t="str">
        <f t="shared" si="9"/>
        <v/>
      </c>
    </row>
    <row r="112" spans="3:19" x14ac:dyDescent="0.35">
      <c r="C112" t="str">
        <f t="shared" si="9"/>
        <v/>
      </c>
    </row>
    <row r="113" spans="3:3" x14ac:dyDescent="0.35">
      <c r="C113" t="str">
        <f t="shared" si="9"/>
        <v/>
      </c>
    </row>
    <row r="114" spans="3:3" x14ac:dyDescent="0.35">
      <c r="C114" t="str">
        <f t="shared" si="9"/>
        <v/>
      </c>
    </row>
    <row r="115" spans="3:3" x14ac:dyDescent="0.35">
      <c r="C115" t="str">
        <f t="shared" si="9"/>
        <v/>
      </c>
    </row>
    <row r="116" spans="3:3" x14ac:dyDescent="0.35">
      <c r="C116" t="str">
        <f t="shared" si="9"/>
        <v/>
      </c>
    </row>
    <row r="117" spans="3:3" x14ac:dyDescent="0.35">
      <c r="C117" t="str">
        <f t="shared" si="9"/>
        <v/>
      </c>
    </row>
    <row r="118" spans="3:3" x14ac:dyDescent="0.35">
      <c r="C118" t="str">
        <f t="shared" si="9"/>
        <v/>
      </c>
    </row>
    <row r="119" spans="3:3" x14ac:dyDescent="0.35">
      <c r="C119" t="str">
        <f t="shared" si="9"/>
        <v/>
      </c>
    </row>
    <row r="120" spans="3:3" x14ac:dyDescent="0.35">
      <c r="C120" t="str">
        <f t="shared" si="9"/>
        <v/>
      </c>
    </row>
    <row r="121" spans="3:3" x14ac:dyDescent="0.35">
      <c r="C121" t="str">
        <f t="shared" si="9"/>
        <v/>
      </c>
    </row>
    <row r="122" spans="3:3" x14ac:dyDescent="0.35">
      <c r="C122" t="str">
        <f t="shared" si="9"/>
        <v/>
      </c>
    </row>
    <row r="123" spans="3:3" x14ac:dyDescent="0.35">
      <c r="C123" t="str">
        <f t="shared" si="9"/>
        <v/>
      </c>
    </row>
    <row r="124" spans="3:3" x14ac:dyDescent="0.35">
      <c r="C124" t="str">
        <f t="shared" si="9"/>
        <v/>
      </c>
    </row>
    <row r="125" spans="3:3" x14ac:dyDescent="0.35">
      <c r="C125" t="str">
        <f t="shared" si="9"/>
        <v/>
      </c>
    </row>
    <row r="126" spans="3:3" x14ac:dyDescent="0.35">
      <c r="C126" t="str">
        <f t="shared" si="9"/>
        <v/>
      </c>
    </row>
    <row r="127" spans="3:3" x14ac:dyDescent="0.35">
      <c r="C127" t="str">
        <f t="shared" si="9"/>
        <v/>
      </c>
    </row>
    <row r="128" spans="3:3" x14ac:dyDescent="0.35">
      <c r="C128" t="str">
        <f t="shared" si="9"/>
        <v/>
      </c>
    </row>
    <row r="129" spans="3:3" x14ac:dyDescent="0.35">
      <c r="C129" t="str">
        <f t="shared" si="9"/>
        <v/>
      </c>
    </row>
    <row r="130" spans="3:3" x14ac:dyDescent="0.35">
      <c r="C130" t="str">
        <f t="shared" si="9"/>
        <v/>
      </c>
    </row>
    <row r="131" spans="3:3" x14ac:dyDescent="0.35">
      <c r="C131" t="str">
        <f t="shared" si="9"/>
        <v/>
      </c>
    </row>
    <row r="132" spans="3:3" x14ac:dyDescent="0.35">
      <c r="C132" t="str">
        <f t="shared" si="9"/>
        <v/>
      </c>
    </row>
    <row r="133" spans="3:3" x14ac:dyDescent="0.35">
      <c r="C133" t="str">
        <f t="shared" ref="C133:C196" si="18">IF(ISBLANK(D133), "",
IF(D133 &lt; $G$9,
    $G$10 + $G$19 * ($G$23 * (D133 - $G$9))^2 + $G$21 * (1 - (D133 - $G$6)/($G$9 - $G$6)),
IF(D133 &gt; $G$13,
    $G$14 + $G$19 * ($G$23 * (D133 - $G$13))^2 - $G$22 * (1 - (D133 - $G$6)/($G$13 - $G$6)),
IF(D133 &lt; $G$6,
    $G$16 * (D133 - $G$6)^2 + $G$5,
    $G$17 * (D133 - $G$6)^2 + $G$5))))</f>
        <v/>
      </c>
    </row>
    <row r="134" spans="3:3" x14ac:dyDescent="0.35">
      <c r="C134" t="str">
        <f t="shared" si="18"/>
        <v/>
      </c>
    </row>
    <row r="135" spans="3:3" x14ac:dyDescent="0.35">
      <c r="C135" t="str">
        <f t="shared" si="18"/>
        <v/>
      </c>
    </row>
    <row r="136" spans="3:3" x14ac:dyDescent="0.35">
      <c r="C136" t="str">
        <f t="shared" si="18"/>
        <v/>
      </c>
    </row>
    <row r="137" spans="3:3" x14ac:dyDescent="0.35">
      <c r="C137" t="str">
        <f t="shared" si="18"/>
        <v/>
      </c>
    </row>
    <row r="138" spans="3:3" x14ac:dyDescent="0.35">
      <c r="C138" t="str">
        <f t="shared" si="18"/>
        <v/>
      </c>
    </row>
    <row r="139" spans="3:3" x14ac:dyDescent="0.35">
      <c r="C139" t="str">
        <f t="shared" si="18"/>
        <v/>
      </c>
    </row>
    <row r="140" spans="3:3" x14ac:dyDescent="0.35">
      <c r="C140" t="str">
        <f t="shared" si="18"/>
        <v/>
      </c>
    </row>
    <row r="141" spans="3:3" x14ac:dyDescent="0.35">
      <c r="C141" t="str">
        <f t="shared" si="18"/>
        <v/>
      </c>
    </row>
    <row r="142" spans="3:3" x14ac:dyDescent="0.35">
      <c r="C142" t="str">
        <f t="shared" si="18"/>
        <v/>
      </c>
    </row>
    <row r="143" spans="3:3" x14ac:dyDescent="0.35">
      <c r="C143" t="str">
        <f t="shared" si="18"/>
        <v/>
      </c>
    </row>
    <row r="144" spans="3:3" x14ac:dyDescent="0.35">
      <c r="C144" t="str">
        <f t="shared" si="18"/>
        <v/>
      </c>
    </row>
    <row r="145" spans="3:3" x14ac:dyDescent="0.35">
      <c r="C145" t="str">
        <f t="shared" si="18"/>
        <v/>
      </c>
    </row>
    <row r="146" spans="3:3" x14ac:dyDescent="0.35">
      <c r="C146" t="str">
        <f t="shared" si="18"/>
        <v/>
      </c>
    </row>
    <row r="147" spans="3:3" x14ac:dyDescent="0.35">
      <c r="C147" t="str">
        <f t="shared" si="18"/>
        <v/>
      </c>
    </row>
    <row r="148" spans="3:3" x14ac:dyDescent="0.35">
      <c r="C148" t="str">
        <f t="shared" si="18"/>
        <v/>
      </c>
    </row>
    <row r="149" spans="3:3" x14ac:dyDescent="0.35">
      <c r="C149" t="str">
        <f t="shared" si="18"/>
        <v/>
      </c>
    </row>
    <row r="150" spans="3:3" x14ac:dyDescent="0.35">
      <c r="C150" t="str">
        <f t="shared" si="18"/>
        <v/>
      </c>
    </row>
    <row r="151" spans="3:3" x14ac:dyDescent="0.35">
      <c r="C151" t="str">
        <f t="shared" si="18"/>
        <v/>
      </c>
    </row>
    <row r="152" spans="3:3" x14ac:dyDescent="0.35">
      <c r="C152" t="str">
        <f t="shared" si="18"/>
        <v/>
      </c>
    </row>
    <row r="153" spans="3:3" x14ac:dyDescent="0.35">
      <c r="C153" t="str">
        <f t="shared" si="18"/>
        <v/>
      </c>
    </row>
    <row r="154" spans="3:3" x14ac:dyDescent="0.35">
      <c r="C154" t="str">
        <f t="shared" si="18"/>
        <v/>
      </c>
    </row>
    <row r="155" spans="3:3" x14ac:dyDescent="0.35">
      <c r="C155" t="str">
        <f t="shared" si="18"/>
        <v/>
      </c>
    </row>
    <row r="156" spans="3:3" x14ac:dyDescent="0.35">
      <c r="C156" t="str">
        <f t="shared" si="18"/>
        <v/>
      </c>
    </row>
    <row r="157" spans="3:3" x14ac:dyDescent="0.35">
      <c r="C157" t="str">
        <f t="shared" si="18"/>
        <v/>
      </c>
    </row>
    <row r="158" spans="3:3" x14ac:dyDescent="0.35">
      <c r="C158" t="str">
        <f t="shared" si="18"/>
        <v/>
      </c>
    </row>
    <row r="159" spans="3:3" x14ac:dyDescent="0.35">
      <c r="C159" t="str">
        <f t="shared" si="18"/>
        <v/>
      </c>
    </row>
    <row r="160" spans="3:3" x14ac:dyDescent="0.35">
      <c r="C160" t="str">
        <f t="shared" si="18"/>
        <v/>
      </c>
    </row>
    <row r="161" spans="3:3" x14ac:dyDescent="0.35">
      <c r="C161" t="str">
        <f t="shared" si="18"/>
        <v/>
      </c>
    </row>
    <row r="162" spans="3:3" x14ac:dyDescent="0.35">
      <c r="C162" t="str">
        <f t="shared" si="18"/>
        <v/>
      </c>
    </row>
    <row r="163" spans="3:3" x14ac:dyDescent="0.35">
      <c r="C163" t="str">
        <f t="shared" si="18"/>
        <v/>
      </c>
    </row>
    <row r="164" spans="3:3" x14ac:dyDescent="0.35">
      <c r="C164" t="str">
        <f t="shared" si="18"/>
        <v/>
      </c>
    </row>
    <row r="165" spans="3:3" x14ac:dyDescent="0.35">
      <c r="C165" t="str">
        <f t="shared" si="18"/>
        <v/>
      </c>
    </row>
    <row r="166" spans="3:3" x14ac:dyDescent="0.35">
      <c r="C166" t="str">
        <f t="shared" si="18"/>
        <v/>
      </c>
    </row>
    <row r="167" spans="3:3" x14ac:dyDescent="0.35">
      <c r="C167" t="str">
        <f t="shared" si="18"/>
        <v/>
      </c>
    </row>
    <row r="168" spans="3:3" x14ac:dyDescent="0.35">
      <c r="C168" t="str">
        <f t="shared" si="18"/>
        <v/>
      </c>
    </row>
    <row r="169" spans="3:3" x14ac:dyDescent="0.35">
      <c r="C169" t="str">
        <f t="shared" si="18"/>
        <v/>
      </c>
    </row>
    <row r="170" spans="3:3" x14ac:dyDescent="0.35">
      <c r="C170" t="str">
        <f t="shared" si="18"/>
        <v/>
      </c>
    </row>
    <row r="171" spans="3:3" x14ac:dyDescent="0.35">
      <c r="C171" t="str">
        <f t="shared" si="18"/>
        <v/>
      </c>
    </row>
    <row r="172" spans="3:3" x14ac:dyDescent="0.35">
      <c r="C172" t="str">
        <f t="shared" si="18"/>
        <v/>
      </c>
    </row>
    <row r="173" spans="3:3" x14ac:dyDescent="0.35">
      <c r="C173" t="str">
        <f t="shared" si="18"/>
        <v/>
      </c>
    </row>
    <row r="174" spans="3:3" x14ac:dyDescent="0.35">
      <c r="C174" t="str">
        <f t="shared" si="18"/>
        <v/>
      </c>
    </row>
    <row r="175" spans="3:3" x14ac:dyDescent="0.35">
      <c r="C175" t="str">
        <f t="shared" si="18"/>
        <v/>
      </c>
    </row>
    <row r="176" spans="3:3" x14ac:dyDescent="0.35">
      <c r="C176" t="str">
        <f t="shared" si="18"/>
        <v/>
      </c>
    </row>
    <row r="177" spans="3:3" x14ac:dyDescent="0.35">
      <c r="C177" t="str">
        <f t="shared" si="18"/>
        <v/>
      </c>
    </row>
    <row r="178" spans="3:3" x14ac:dyDescent="0.35">
      <c r="C178" t="str">
        <f t="shared" si="18"/>
        <v/>
      </c>
    </row>
    <row r="179" spans="3:3" x14ac:dyDescent="0.35">
      <c r="C179" t="str">
        <f t="shared" si="18"/>
        <v/>
      </c>
    </row>
    <row r="180" spans="3:3" x14ac:dyDescent="0.35">
      <c r="C180" t="str">
        <f t="shared" si="18"/>
        <v/>
      </c>
    </row>
    <row r="181" spans="3:3" x14ac:dyDescent="0.35">
      <c r="C181" t="str">
        <f t="shared" si="18"/>
        <v/>
      </c>
    </row>
    <row r="182" spans="3:3" x14ac:dyDescent="0.35">
      <c r="C182" t="str">
        <f t="shared" si="18"/>
        <v/>
      </c>
    </row>
    <row r="183" spans="3:3" x14ac:dyDescent="0.35">
      <c r="C183" t="str">
        <f t="shared" si="18"/>
        <v/>
      </c>
    </row>
    <row r="184" spans="3:3" x14ac:dyDescent="0.35">
      <c r="C184" t="str">
        <f t="shared" si="18"/>
        <v/>
      </c>
    </row>
    <row r="185" spans="3:3" x14ac:dyDescent="0.35">
      <c r="C185" t="str">
        <f t="shared" si="18"/>
        <v/>
      </c>
    </row>
    <row r="186" spans="3:3" x14ac:dyDescent="0.35">
      <c r="C186" t="str">
        <f t="shared" si="18"/>
        <v/>
      </c>
    </row>
    <row r="187" spans="3:3" x14ac:dyDescent="0.35">
      <c r="C187" t="str">
        <f t="shared" si="18"/>
        <v/>
      </c>
    </row>
    <row r="188" spans="3:3" x14ac:dyDescent="0.35">
      <c r="C188" t="str">
        <f t="shared" si="18"/>
        <v/>
      </c>
    </row>
    <row r="189" spans="3:3" x14ac:dyDescent="0.35">
      <c r="C189" t="str">
        <f t="shared" si="18"/>
        <v/>
      </c>
    </row>
    <row r="190" spans="3:3" x14ac:dyDescent="0.35">
      <c r="C190" t="str">
        <f t="shared" si="18"/>
        <v/>
      </c>
    </row>
    <row r="191" spans="3:3" x14ac:dyDescent="0.35">
      <c r="C191" t="str">
        <f t="shared" si="18"/>
        <v/>
      </c>
    </row>
    <row r="192" spans="3:3" x14ac:dyDescent="0.35">
      <c r="C192" t="str">
        <f t="shared" si="18"/>
        <v/>
      </c>
    </row>
    <row r="193" spans="3:3" x14ac:dyDescent="0.35">
      <c r="C193" t="str">
        <f t="shared" si="18"/>
        <v/>
      </c>
    </row>
    <row r="194" spans="3:3" x14ac:dyDescent="0.35">
      <c r="C194" t="str">
        <f t="shared" si="18"/>
        <v/>
      </c>
    </row>
    <row r="195" spans="3:3" x14ac:dyDescent="0.35">
      <c r="C195" t="str">
        <f t="shared" si="18"/>
        <v/>
      </c>
    </row>
    <row r="196" spans="3:3" x14ac:dyDescent="0.35">
      <c r="C196" t="str">
        <f t="shared" si="18"/>
        <v/>
      </c>
    </row>
    <row r="197" spans="3:3" x14ac:dyDescent="0.35">
      <c r="C197" t="str">
        <f t="shared" ref="C197:C260" si="19">IF(ISBLANK(D197), "",
IF(D197 &lt; $G$9,
    $G$10 + $G$19 * ($G$23 * (D197 - $G$9))^2 + $G$21 * (1 - (D197 - $G$6)/($G$9 - $G$6)),
IF(D197 &gt; $G$13,
    $G$14 + $G$19 * ($G$23 * (D197 - $G$13))^2 - $G$22 * (1 - (D197 - $G$6)/($G$13 - $G$6)),
IF(D197 &lt; $G$6,
    $G$16 * (D197 - $G$6)^2 + $G$5,
    $G$17 * (D197 - $G$6)^2 + $G$5))))</f>
        <v/>
      </c>
    </row>
    <row r="198" spans="3:3" x14ac:dyDescent="0.35">
      <c r="C198" t="str">
        <f t="shared" si="19"/>
        <v/>
      </c>
    </row>
    <row r="199" spans="3:3" x14ac:dyDescent="0.35">
      <c r="C199" t="str">
        <f t="shared" si="19"/>
        <v/>
      </c>
    </row>
    <row r="200" spans="3:3" x14ac:dyDescent="0.35">
      <c r="C200" t="str">
        <f t="shared" si="19"/>
        <v/>
      </c>
    </row>
    <row r="201" spans="3:3" x14ac:dyDescent="0.35">
      <c r="C201" t="str">
        <f t="shared" si="19"/>
        <v/>
      </c>
    </row>
    <row r="202" spans="3:3" x14ac:dyDescent="0.35">
      <c r="C202" t="str">
        <f t="shared" si="19"/>
        <v/>
      </c>
    </row>
    <row r="203" spans="3:3" x14ac:dyDescent="0.35">
      <c r="C203" t="str">
        <f t="shared" si="19"/>
        <v/>
      </c>
    </row>
    <row r="204" spans="3:3" x14ac:dyDescent="0.35">
      <c r="C204" t="str">
        <f t="shared" si="19"/>
        <v/>
      </c>
    </row>
    <row r="205" spans="3:3" x14ac:dyDescent="0.35">
      <c r="C205" t="str">
        <f t="shared" si="19"/>
        <v/>
      </c>
    </row>
    <row r="206" spans="3:3" x14ac:dyDescent="0.35">
      <c r="C206" t="str">
        <f t="shared" si="19"/>
        <v/>
      </c>
    </row>
    <row r="207" spans="3:3" x14ac:dyDescent="0.35">
      <c r="C207" t="str">
        <f t="shared" si="19"/>
        <v/>
      </c>
    </row>
    <row r="208" spans="3:3" x14ac:dyDescent="0.35">
      <c r="C208" t="str">
        <f t="shared" si="19"/>
        <v/>
      </c>
    </row>
    <row r="209" spans="3:3" x14ac:dyDescent="0.35">
      <c r="C209" t="str">
        <f t="shared" si="19"/>
        <v/>
      </c>
    </row>
    <row r="210" spans="3:3" x14ac:dyDescent="0.35">
      <c r="C210" t="str">
        <f t="shared" si="19"/>
        <v/>
      </c>
    </row>
    <row r="211" spans="3:3" x14ac:dyDescent="0.35">
      <c r="C211" t="str">
        <f t="shared" si="19"/>
        <v/>
      </c>
    </row>
    <row r="212" spans="3:3" x14ac:dyDescent="0.35">
      <c r="C212" t="str">
        <f t="shared" si="19"/>
        <v/>
      </c>
    </row>
    <row r="213" spans="3:3" x14ac:dyDescent="0.35">
      <c r="C213" t="str">
        <f t="shared" si="19"/>
        <v/>
      </c>
    </row>
    <row r="214" spans="3:3" x14ac:dyDescent="0.35">
      <c r="C214" t="str">
        <f t="shared" si="19"/>
        <v/>
      </c>
    </row>
    <row r="215" spans="3:3" x14ac:dyDescent="0.35">
      <c r="C215" t="str">
        <f t="shared" si="19"/>
        <v/>
      </c>
    </row>
    <row r="216" spans="3:3" x14ac:dyDescent="0.35">
      <c r="C216" t="str">
        <f t="shared" si="19"/>
        <v/>
      </c>
    </row>
    <row r="217" spans="3:3" x14ac:dyDescent="0.35">
      <c r="C217" t="str">
        <f t="shared" si="19"/>
        <v/>
      </c>
    </row>
    <row r="218" spans="3:3" x14ac:dyDescent="0.35">
      <c r="C218" t="str">
        <f t="shared" si="19"/>
        <v/>
      </c>
    </row>
    <row r="219" spans="3:3" x14ac:dyDescent="0.35">
      <c r="C219" t="str">
        <f t="shared" si="19"/>
        <v/>
      </c>
    </row>
    <row r="220" spans="3:3" x14ac:dyDescent="0.35">
      <c r="C220" t="str">
        <f t="shared" si="19"/>
        <v/>
      </c>
    </row>
    <row r="221" spans="3:3" x14ac:dyDescent="0.35">
      <c r="C221" t="str">
        <f t="shared" si="19"/>
        <v/>
      </c>
    </row>
    <row r="222" spans="3:3" x14ac:dyDescent="0.35">
      <c r="C222" t="str">
        <f t="shared" si="19"/>
        <v/>
      </c>
    </row>
    <row r="223" spans="3:3" x14ac:dyDescent="0.35">
      <c r="C223" t="str">
        <f t="shared" si="19"/>
        <v/>
      </c>
    </row>
    <row r="224" spans="3:3" x14ac:dyDescent="0.35">
      <c r="C224" t="str">
        <f t="shared" si="19"/>
        <v/>
      </c>
    </row>
    <row r="225" spans="3:3" x14ac:dyDescent="0.35">
      <c r="C225" t="str">
        <f t="shared" si="19"/>
        <v/>
      </c>
    </row>
    <row r="226" spans="3:3" x14ac:dyDescent="0.35">
      <c r="C226" t="str">
        <f t="shared" si="19"/>
        <v/>
      </c>
    </row>
    <row r="227" spans="3:3" x14ac:dyDescent="0.35">
      <c r="C227" t="str">
        <f t="shared" si="19"/>
        <v/>
      </c>
    </row>
    <row r="228" spans="3:3" x14ac:dyDescent="0.35">
      <c r="C228" t="str">
        <f t="shared" si="19"/>
        <v/>
      </c>
    </row>
    <row r="229" spans="3:3" x14ac:dyDescent="0.35">
      <c r="C229" t="str">
        <f t="shared" si="19"/>
        <v/>
      </c>
    </row>
    <row r="230" spans="3:3" x14ac:dyDescent="0.35">
      <c r="C230" t="str">
        <f t="shared" si="19"/>
        <v/>
      </c>
    </row>
    <row r="231" spans="3:3" x14ac:dyDescent="0.35">
      <c r="C231" t="str">
        <f t="shared" si="19"/>
        <v/>
      </c>
    </row>
    <row r="232" spans="3:3" x14ac:dyDescent="0.35">
      <c r="C232" t="str">
        <f t="shared" si="19"/>
        <v/>
      </c>
    </row>
    <row r="233" spans="3:3" x14ac:dyDescent="0.35">
      <c r="C233" t="str">
        <f t="shared" si="19"/>
        <v/>
      </c>
    </row>
    <row r="234" spans="3:3" x14ac:dyDescent="0.35">
      <c r="C234" t="str">
        <f t="shared" si="19"/>
        <v/>
      </c>
    </row>
    <row r="235" spans="3:3" x14ac:dyDescent="0.35">
      <c r="C235" t="str">
        <f t="shared" si="19"/>
        <v/>
      </c>
    </row>
    <row r="236" spans="3:3" x14ac:dyDescent="0.35">
      <c r="C236" t="str">
        <f t="shared" si="19"/>
        <v/>
      </c>
    </row>
    <row r="237" spans="3:3" x14ac:dyDescent="0.35">
      <c r="C237" t="str">
        <f t="shared" si="19"/>
        <v/>
      </c>
    </row>
    <row r="238" spans="3:3" x14ac:dyDescent="0.35">
      <c r="C238" t="str">
        <f t="shared" si="19"/>
        <v/>
      </c>
    </row>
    <row r="239" spans="3:3" x14ac:dyDescent="0.35">
      <c r="C239" t="str">
        <f t="shared" si="19"/>
        <v/>
      </c>
    </row>
    <row r="240" spans="3:3" x14ac:dyDescent="0.35">
      <c r="C240" t="str">
        <f t="shared" si="19"/>
        <v/>
      </c>
    </row>
    <row r="241" spans="3:3" x14ac:dyDescent="0.35">
      <c r="C241" t="str">
        <f t="shared" si="19"/>
        <v/>
      </c>
    </row>
    <row r="242" spans="3:3" x14ac:dyDescent="0.35">
      <c r="C242" t="str">
        <f t="shared" si="19"/>
        <v/>
      </c>
    </row>
    <row r="243" spans="3:3" x14ac:dyDescent="0.35">
      <c r="C243" t="str">
        <f t="shared" si="19"/>
        <v/>
      </c>
    </row>
    <row r="244" spans="3:3" x14ac:dyDescent="0.35">
      <c r="C244" t="str">
        <f t="shared" si="19"/>
        <v/>
      </c>
    </row>
    <row r="245" spans="3:3" x14ac:dyDescent="0.35">
      <c r="C245" t="str">
        <f t="shared" si="19"/>
        <v/>
      </c>
    </row>
    <row r="246" spans="3:3" x14ac:dyDescent="0.35">
      <c r="C246" t="str">
        <f t="shared" si="19"/>
        <v/>
      </c>
    </row>
    <row r="247" spans="3:3" x14ac:dyDescent="0.35">
      <c r="C247" t="str">
        <f t="shared" si="19"/>
        <v/>
      </c>
    </row>
    <row r="248" spans="3:3" x14ac:dyDescent="0.35">
      <c r="C248" t="str">
        <f t="shared" si="19"/>
        <v/>
      </c>
    </row>
    <row r="249" spans="3:3" x14ac:dyDescent="0.35">
      <c r="C249" t="str">
        <f t="shared" si="19"/>
        <v/>
      </c>
    </row>
    <row r="250" spans="3:3" x14ac:dyDescent="0.35">
      <c r="C250" t="str">
        <f t="shared" si="19"/>
        <v/>
      </c>
    </row>
    <row r="251" spans="3:3" x14ac:dyDescent="0.35">
      <c r="C251" t="str">
        <f t="shared" si="19"/>
        <v/>
      </c>
    </row>
    <row r="252" spans="3:3" x14ac:dyDescent="0.35">
      <c r="C252" t="str">
        <f t="shared" si="19"/>
        <v/>
      </c>
    </row>
    <row r="253" spans="3:3" x14ac:dyDescent="0.35">
      <c r="C253" t="str">
        <f t="shared" si="19"/>
        <v/>
      </c>
    </row>
    <row r="254" spans="3:3" x14ac:dyDescent="0.35">
      <c r="C254" t="str">
        <f t="shared" si="19"/>
        <v/>
      </c>
    </row>
    <row r="255" spans="3:3" x14ac:dyDescent="0.35">
      <c r="C255" t="str">
        <f t="shared" si="19"/>
        <v/>
      </c>
    </row>
    <row r="256" spans="3:3" x14ac:dyDescent="0.35">
      <c r="C256" t="str">
        <f t="shared" si="19"/>
        <v/>
      </c>
    </row>
    <row r="257" spans="3:3" x14ac:dyDescent="0.35">
      <c r="C257" t="str">
        <f t="shared" si="19"/>
        <v/>
      </c>
    </row>
    <row r="258" spans="3:3" x14ac:dyDescent="0.35">
      <c r="C258" t="str">
        <f t="shared" si="19"/>
        <v/>
      </c>
    </row>
    <row r="259" spans="3:3" x14ac:dyDescent="0.35">
      <c r="C259" t="str">
        <f t="shared" si="19"/>
        <v/>
      </c>
    </row>
    <row r="260" spans="3:3" x14ac:dyDescent="0.35">
      <c r="C260" t="str">
        <f t="shared" si="19"/>
        <v/>
      </c>
    </row>
    <row r="261" spans="3:3" x14ac:dyDescent="0.35">
      <c r="C261" t="str">
        <f t="shared" ref="C261:C324" si="20">IF(ISBLANK(D261), "",
IF(D261 &lt; $G$9,
    $G$10 + $G$19 * ($G$23 * (D261 - $G$9))^2 + $G$21 * (1 - (D261 - $G$6)/($G$9 - $G$6)),
IF(D261 &gt; $G$13,
    $G$14 + $G$19 * ($G$23 * (D261 - $G$13))^2 - $G$22 * (1 - (D261 - $G$6)/($G$13 - $G$6)),
IF(D261 &lt; $G$6,
    $G$16 * (D261 - $G$6)^2 + $G$5,
    $G$17 * (D261 - $G$6)^2 + $G$5))))</f>
        <v/>
      </c>
    </row>
    <row r="262" spans="3:3" x14ac:dyDescent="0.35">
      <c r="C262" t="str">
        <f t="shared" si="20"/>
        <v/>
      </c>
    </row>
    <row r="263" spans="3:3" x14ac:dyDescent="0.35">
      <c r="C263" t="str">
        <f t="shared" si="20"/>
        <v/>
      </c>
    </row>
    <row r="264" spans="3:3" x14ac:dyDescent="0.35">
      <c r="C264" t="str">
        <f t="shared" si="20"/>
        <v/>
      </c>
    </row>
    <row r="265" spans="3:3" x14ac:dyDescent="0.35">
      <c r="C265" t="str">
        <f t="shared" si="20"/>
        <v/>
      </c>
    </row>
    <row r="266" spans="3:3" x14ac:dyDescent="0.35">
      <c r="C266" t="str">
        <f t="shared" si="20"/>
        <v/>
      </c>
    </row>
    <row r="267" spans="3:3" x14ac:dyDescent="0.35">
      <c r="C267" t="str">
        <f t="shared" si="20"/>
        <v/>
      </c>
    </row>
    <row r="268" spans="3:3" x14ac:dyDescent="0.35">
      <c r="C268" t="str">
        <f t="shared" si="20"/>
        <v/>
      </c>
    </row>
    <row r="269" spans="3:3" x14ac:dyDescent="0.35">
      <c r="C269" t="str">
        <f t="shared" si="20"/>
        <v/>
      </c>
    </row>
    <row r="270" spans="3:3" x14ac:dyDescent="0.35">
      <c r="C270" t="str">
        <f t="shared" si="20"/>
        <v/>
      </c>
    </row>
    <row r="271" spans="3:3" x14ac:dyDescent="0.35">
      <c r="C271" t="str">
        <f t="shared" si="20"/>
        <v/>
      </c>
    </row>
    <row r="272" spans="3:3" x14ac:dyDescent="0.35">
      <c r="C272" t="str">
        <f t="shared" si="20"/>
        <v/>
      </c>
    </row>
    <row r="273" spans="3:3" x14ac:dyDescent="0.35">
      <c r="C273" t="str">
        <f t="shared" si="20"/>
        <v/>
      </c>
    </row>
    <row r="274" spans="3:3" x14ac:dyDescent="0.35">
      <c r="C274" t="str">
        <f t="shared" si="20"/>
        <v/>
      </c>
    </row>
    <row r="275" spans="3:3" x14ac:dyDescent="0.35">
      <c r="C275" t="str">
        <f t="shared" si="20"/>
        <v/>
      </c>
    </row>
    <row r="276" spans="3:3" x14ac:dyDescent="0.35">
      <c r="C276" t="str">
        <f t="shared" si="20"/>
        <v/>
      </c>
    </row>
    <row r="277" spans="3:3" x14ac:dyDescent="0.35">
      <c r="C277" t="str">
        <f t="shared" si="20"/>
        <v/>
      </c>
    </row>
    <row r="278" spans="3:3" x14ac:dyDescent="0.35">
      <c r="C278" t="str">
        <f t="shared" si="20"/>
        <v/>
      </c>
    </row>
    <row r="279" spans="3:3" x14ac:dyDescent="0.35">
      <c r="C279" t="str">
        <f t="shared" si="20"/>
        <v/>
      </c>
    </row>
    <row r="280" spans="3:3" x14ac:dyDescent="0.35">
      <c r="C280" t="str">
        <f t="shared" si="20"/>
        <v/>
      </c>
    </row>
    <row r="281" spans="3:3" x14ac:dyDescent="0.35">
      <c r="C281" t="str">
        <f t="shared" si="20"/>
        <v/>
      </c>
    </row>
    <row r="282" spans="3:3" x14ac:dyDescent="0.35">
      <c r="C282" t="str">
        <f t="shared" si="20"/>
        <v/>
      </c>
    </row>
    <row r="283" spans="3:3" x14ac:dyDescent="0.35">
      <c r="C283" t="str">
        <f t="shared" si="20"/>
        <v/>
      </c>
    </row>
    <row r="284" spans="3:3" x14ac:dyDescent="0.35">
      <c r="C284" t="str">
        <f t="shared" si="20"/>
        <v/>
      </c>
    </row>
    <row r="285" spans="3:3" x14ac:dyDescent="0.35">
      <c r="C285" t="str">
        <f t="shared" si="20"/>
        <v/>
      </c>
    </row>
    <row r="286" spans="3:3" x14ac:dyDescent="0.35">
      <c r="C286" t="str">
        <f t="shared" si="20"/>
        <v/>
      </c>
    </row>
    <row r="287" spans="3:3" x14ac:dyDescent="0.35">
      <c r="C287" t="str">
        <f t="shared" si="20"/>
        <v/>
      </c>
    </row>
    <row r="288" spans="3:3" x14ac:dyDescent="0.35">
      <c r="C288" t="str">
        <f t="shared" si="20"/>
        <v/>
      </c>
    </row>
    <row r="289" spans="3:3" x14ac:dyDescent="0.35">
      <c r="C289" t="str">
        <f t="shared" si="20"/>
        <v/>
      </c>
    </row>
    <row r="290" spans="3:3" x14ac:dyDescent="0.35">
      <c r="C290" t="str">
        <f t="shared" si="20"/>
        <v/>
      </c>
    </row>
    <row r="291" spans="3:3" x14ac:dyDescent="0.35">
      <c r="C291" t="str">
        <f t="shared" si="20"/>
        <v/>
      </c>
    </row>
    <row r="292" spans="3:3" x14ac:dyDescent="0.35">
      <c r="C292" t="str">
        <f t="shared" si="20"/>
        <v/>
      </c>
    </row>
    <row r="293" spans="3:3" x14ac:dyDescent="0.35">
      <c r="C293" t="str">
        <f t="shared" si="20"/>
        <v/>
      </c>
    </row>
    <row r="294" spans="3:3" x14ac:dyDescent="0.35">
      <c r="C294" t="str">
        <f t="shared" si="20"/>
        <v/>
      </c>
    </row>
    <row r="295" spans="3:3" x14ac:dyDescent="0.35">
      <c r="C295" t="str">
        <f t="shared" si="20"/>
        <v/>
      </c>
    </row>
    <row r="296" spans="3:3" x14ac:dyDescent="0.35">
      <c r="C296" t="str">
        <f t="shared" si="20"/>
        <v/>
      </c>
    </row>
    <row r="297" spans="3:3" x14ac:dyDescent="0.35">
      <c r="C297" t="str">
        <f t="shared" si="20"/>
        <v/>
      </c>
    </row>
    <row r="298" spans="3:3" x14ac:dyDescent="0.35">
      <c r="C298" t="str">
        <f t="shared" si="20"/>
        <v/>
      </c>
    </row>
    <row r="299" spans="3:3" x14ac:dyDescent="0.35">
      <c r="C299" t="str">
        <f t="shared" si="20"/>
        <v/>
      </c>
    </row>
    <row r="300" spans="3:3" x14ac:dyDescent="0.35">
      <c r="C300" t="str">
        <f t="shared" si="20"/>
        <v/>
      </c>
    </row>
    <row r="301" spans="3:3" x14ac:dyDescent="0.35">
      <c r="C301" t="str">
        <f t="shared" si="20"/>
        <v/>
      </c>
    </row>
    <row r="302" spans="3:3" x14ac:dyDescent="0.35">
      <c r="C302" t="str">
        <f t="shared" si="20"/>
        <v/>
      </c>
    </row>
    <row r="303" spans="3:3" x14ac:dyDescent="0.35">
      <c r="C303" t="str">
        <f t="shared" si="20"/>
        <v/>
      </c>
    </row>
    <row r="304" spans="3:3" x14ac:dyDescent="0.35">
      <c r="C304" t="str">
        <f t="shared" si="20"/>
        <v/>
      </c>
    </row>
    <row r="305" spans="3:3" x14ac:dyDescent="0.35">
      <c r="C305" t="str">
        <f t="shared" si="20"/>
        <v/>
      </c>
    </row>
    <row r="306" spans="3:3" x14ac:dyDescent="0.35">
      <c r="C306" t="str">
        <f t="shared" si="20"/>
        <v/>
      </c>
    </row>
    <row r="307" spans="3:3" x14ac:dyDescent="0.35">
      <c r="C307" t="str">
        <f t="shared" si="20"/>
        <v/>
      </c>
    </row>
    <row r="308" spans="3:3" x14ac:dyDescent="0.35">
      <c r="C308" t="str">
        <f t="shared" si="20"/>
        <v/>
      </c>
    </row>
    <row r="309" spans="3:3" x14ac:dyDescent="0.35">
      <c r="C309" t="str">
        <f t="shared" si="20"/>
        <v/>
      </c>
    </row>
    <row r="310" spans="3:3" x14ac:dyDescent="0.35">
      <c r="C310" t="str">
        <f t="shared" si="20"/>
        <v/>
      </c>
    </row>
    <row r="311" spans="3:3" x14ac:dyDescent="0.35">
      <c r="C311" t="str">
        <f t="shared" si="20"/>
        <v/>
      </c>
    </row>
    <row r="312" spans="3:3" x14ac:dyDescent="0.35">
      <c r="C312" t="str">
        <f t="shared" si="20"/>
        <v/>
      </c>
    </row>
    <row r="313" spans="3:3" x14ac:dyDescent="0.35">
      <c r="C313" t="str">
        <f t="shared" si="20"/>
        <v/>
      </c>
    </row>
    <row r="314" spans="3:3" x14ac:dyDescent="0.35">
      <c r="C314" t="str">
        <f t="shared" si="20"/>
        <v/>
      </c>
    </row>
    <row r="315" spans="3:3" x14ac:dyDescent="0.35">
      <c r="C315" t="str">
        <f t="shared" si="20"/>
        <v/>
      </c>
    </row>
    <row r="316" spans="3:3" x14ac:dyDescent="0.35">
      <c r="C316" t="str">
        <f t="shared" si="20"/>
        <v/>
      </c>
    </row>
    <row r="317" spans="3:3" x14ac:dyDescent="0.35">
      <c r="C317" t="str">
        <f t="shared" si="20"/>
        <v/>
      </c>
    </row>
    <row r="318" spans="3:3" x14ac:dyDescent="0.35">
      <c r="C318" t="str">
        <f t="shared" si="20"/>
        <v/>
      </c>
    </row>
    <row r="319" spans="3:3" x14ac:dyDescent="0.35">
      <c r="C319" t="str">
        <f t="shared" si="20"/>
        <v/>
      </c>
    </row>
    <row r="320" spans="3:3" x14ac:dyDescent="0.35">
      <c r="C320" t="str">
        <f t="shared" si="20"/>
        <v/>
      </c>
    </row>
    <row r="321" spans="3:3" x14ac:dyDescent="0.35">
      <c r="C321" t="str">
        <f t="shared" si="20"/>
        <v/>
      </c>
    </row>
    <row r="322" spans="3:3" x14ac:dyDescent="0.35">
      <c r="C322" t="str">
        <f t="shared" si="20"/>
        <v/>
      </c>
    </row>
    <row r="323" spans="3:3" x14ac:dyDescent="0.35">
      <c r="C323" t="str">
        <f t="shared" si="20"/>
        <v/>
      </c>
    </row>
    <row r="324" spans="3:3" x14ac:dyDescent="0.35">
      <c r="C324" t="str">
        <f t="shared" si="20"/>
        <v/>
      </c>
    </row>
    <row r="325" spans="3:3" x14ac:dyDescent="0.35">
      <c r="C325" t="str">
        <f t="shared" ref="C325:C388" si="21">IF(ISBLANK(D325), "",
IF(D325 &lt; $G$9,
    $G$10 + $G$19 * ($G$23 * (D325 - $G$9))^2 + $G$21 * (1 - (D325 - $G$6)/($G$9 - $G$6)),
IF(D325 &gt; $G$13,
    $G$14 + $G$19 * ($G$23 * (D325 - $G$13))^2 - $G$22 * (1 - (D325 - $G$6)/($G$13 - $G$6)),
IF(D325 &lt; $G$6,
    $G$16 * (D325 - $G$6)^2 + $G$5,
    $G$17 * (D325 - $G$6)^2 + $G$5))))</f>
        <v/>
      </c>
    </row>
    <row r="326" spans="3:3" x14ac:dyDescent="0.35">
      <c r="C326" t="str">
        <f t="shared" si="21"/>
        <v/>
      </c>
    </row>
    <row r="327" spans="3:3" x14ac:dyDescent="0.35">
      <c r="C327" t="str">
        <f t="shared" si="21"/>
        <v/>
      </c>
    </row>
    <row r="328" spans="3:3" x14ac:dyDescent="0.35">
      <c r="C328" t="str">
        <f t="shared" si="21"/>
        <v/>
      </c>
    </row>
    <row r="329" spans="3:3" x14ac:dyDescent="0.35">
      <c r="C329" t="str">
        <f t="shared" si="21"/>
        <v/>
      </c>
    </row>
    <row r="330" spans="3:3" x14ac:dyDescent="0.35">
      <c r="C330" t="str">
        <f t="shared" si="21"/>
        <v/>
      </c>
    </row>
    <row r="331" spans="3:3" x14ac:dyDescent="0.35">
      <c r="C331" t="str">
        <f t="shared" si="21"/>
        <v/>
      </c>
    </row>
    <row r="332" spans="3:3" x14ac:dyDescent="0.35">
      <c r="C332" t="str">
        <f t="shared" si="21"/>
        <v/>
      </c>
    </row>
    <row r="333" spans="3:3" x14ac:dyDescent="0.35">
      <c r="C333" t="str">
        <f t="shared" si="21"/>
        <v/>
      </c>
    </row>
    <row r="334" spans="3:3" x14ac:dyDescent="0.35">
      <c r="C334" t="str">
        <f t="shared" si="21"/>
        <v/>
      </c>
    </row>
    <row r="335" spans="3:3" x14ac:dyDescent="0.35">
      <c r="C335" t="str">
        <f t="shared" si="21"/>
        <v/>
      </c>
    </row>
    <row r="336" spans="3:3" x14ac:dyDescent="0.35">
      <c r="C336" t="str">
        <f t="shared" si="21"/>
        <v/>
      </c>
    </row>
    <row r="337" spans="3:3" x14ac:dyDescent="0.35">
      <c r="C337" t="str">
        <f t="shared" si="21"/>
        <v/>
      </c>
    </row>
    <row r="338" spans="3:3" x14ac:dyDescent="0.35">
      <c r="C338" t="str">
        <f t="shared" si="21"/>
        <v/>
      </c>
    </row>
    <row r="339" spans="3:3" x14ac:dyDescent="0.35">
      <c r="C339" t="str">
        <f t="shared" si="21"/>
        <v/>
      </c>
    </row>
    <row r="340" spans="3:3" x14ac:dyDescent="0.35">
      <c r="C340" t="str">
        <f t="shared" si="21"/>
        <v/>
      </c>
    </row>
    <row r="341" spans="3:3" x14ac:dyDescent="0.35">
      <c r="C341" t="str">
        <f t="shared" si="21"/>
        <v/>
      </c>
    </row>
    <row r="342" spans="3:3" x14ac:dyDescent="0.35">
      <c r="C342" t="str">
        <f t="shared" si="21"/>
        <v/>
      </c>
    </row>
    <row r="343" spans="3:3" x14ac:dyDescent="0.35">
      <c r="C343" t="str">
        <f t="shared" si="21"/>
        <v/>
      </c>
    </row>
    <row r="344" spans="3:3" x14ac:dyDescent="0.35">
      <c r="C344" t="str">
        <f t="shared" si="21"/>
        <v/>
      </c>
    </row>
    <row r="345" spans="3:3" x14ac:dyDescent="0.35">
      <c r="C345" t="str">
        <f t="shared" si="21"/>
        <v/>
      </c>
    </row>
    <row r="346" spans="3:3" x14ac:dyDescent="0.35">
      <c r="C346" t="str">
        <f t="shared" si="21"/>
        <v/>
      </c>
    </row>
    <row r="347" spans="3:3" x14ac:dyDescent="0.35">
      <c r="C347" t="str">
        <f t="shared" si="21"/>
        <v/>
      </c>
    </row>
    <row r="348" spans="3:3" x14ac:dyDescent="0.35">
      <c r="C348" t="str">
        <f t="shared" si="21"/>
        <v/>
      </c>
    </row>
    <row r="349" spans="3:3" x14ac:dyDescent="0.35">
      <c r="C349" t="str">
        <f t="shared" si="21"/>
        <v/>
      </c>
    </row>
    <row r="350" spans="3:3" x14ac:dyDescent="0.35">
      <c r="C350" t="str">
        <f t="shared" si="21"/>
        <v/>
      </c>
    </row>
    <row r="351" spans="3:3" x14ac:dyDescent="0.35">
      <c r="C351" t="str">
        <f t="shared" si="21"/>
        <v/>
      </c>
    </row>
    <row r="352" spans="3:3" x14ac:dyDescent="0.35">
      <c r="C352" t="str">
        <f t="shared" si="21"/>
        <v/>
      </c>
    </row>
    <row r="353" spans="3:3" x14ac:dyDescent="0.35">
      <c r="C353" t="str">
        <f t="shared" si="21"/>
        <v/>
      </c>
    </row>
    <row r="354" spans="3:3" x14ac:dyDescent="0.35">
      <c r="C354" t="str">
        <f t="shared" si="21"/>
        <v/>
      </c>
    </row>
    <row r="355" spans="3:3" x14ac:dyDescent="0.35">
      <c r="C355" t="str">
        <f t="shared" si="21"/>
        <v/>
      </c>
    </row>
    <row r="356" spans="3:3" x14ac:dyDescent="0.35">
      <c r="C356" t="str">
        <f t="shared" si="21"/>
        <v/>
      </c>
    </row>
    <row r="357" spans="3:3" x14ac:dyDescent="0.35">
      <c r="C357" t="str">
        <f t="shared" si="21"/>
        <v/>
      </c>
    </row>
    <row r="358" spans="3:3" x14ac:dyDescent="0.35">
      <c r="C358" t="str">
        <f t="shared" si="21"/>
        <v/>
      </c>
    </row>
    <row r="359" spans="3:3" x14ac:dyDescent="0.35">
      <c r="C359" t="str">
        <f t="shared" si="21"/>
        <v/>
      </c>
    </row>
    <row r="360" spans="3:3" x14ac:dyDescent="0.35">
      <c r="C360" t="str">
        <f t="shared" si="21"/>
        <v/>
      </c>
    </row>
    <row r="361" spans="3:3" x14ac:dyDescent="0.35">
      <c r="C361" t="str">
        <f t="shared" si="21"/>
        <v/>
      </c>
    </row>
    <row r="362" spans="3:3" x14ac:dyDescent="0.35">
      <c r="C362" t="str">
        <f t="shared" si="21"/>
        <v/>
      </c>
    </row>
    <row r="363" spans="3:3" x14ac:dyDescent="0.35">
      <c r="C363" t="str">
        <f t="shared" si="21"/>
        <v/>
      </c>
    </row>
    <row r="364" spans="3:3" x14ac:dyDescent="0.35">
      <c r="C364" t="str">
        <f t="shared" si="21"/>
        <v/>
      </c>
    </row>
    <row r="365" spans="3:3" x14ac:dyDescent="0.35">
      <c r="C365" t="str">
        <f t="shared" si="21"/>
        <v/>
      </c>
    </row>
    <row r="366" spans="3:3" x14ac:dyDescent="0.35">
      <c r="C366" t="str">
        <f t="shared" si="21"/>
        <v/>
      </c>
    </row>
    <row r="367" spans="3:3" x14ac:dyDescent="0.35">
      <c r="C367" t="str">
        <f t="shared" si="21"/>
        <v/>
      </c>
    </row>
    <row r="368" spans="3:3" x14ac:dyDescent="0.35">
      <c r="C368" t="str">
        <f t="shared" si="21"/>
        <v/>
      </c>
    </row>
    <row r="369" spans="3:3" x14ac:dyDescent="0.35">
      <c r="C369" t="str">
        <f t="shared" si="21"/>
        <v/>
      </c>
    </row>
    <row r="370" spans="3:3" x14ac:dyDescent="0.35">
      <c r="C370" t="str">
        <f t="shared" si="21"/>
        <v/>
      </c>
    </row>
    <row r="371" spans="3:3" x14ac:dyDescent="0.35">
      <c r="C371" t="str">
        <f t="shared" si="21"/>
        <v/>
      </c>
    </row>
    <row r="372" spans="3:3" x14ac:dyDescent="0.35">
      <c r="C372" t="str">
        <f t="shared" si="21"/>
        <v/>
      </c>
    </row>
    <row r="373" spans="3:3" x14ac:dyDescent="0.35">
      <c r="C373" t="str">
        <f t="shared" si="21"/>
        <v/>
      </c>
    </row>
    <row r="374" spans="3:3" x14ac:dyDescent="0.35">
      <c r="C374" t="str">
        <f t="shared" si="21"/>
        <v/>
      </c>
    </row>
    <row r="375" spans="3:3" x14ac:dyDescent="0.35">
      <c r="C375" t="str">
        <f t="shared" si="21"/>
        <v/>
      </c>
    </row>
    <row r="376" spans="3:3" x14ac:dyDescent="0.35">
      <c r="C376" t="str">
        <f t="shared" si="21"/>
        <v/>
      </c>
    </row>
    <row r="377" spans="3:3" x14ac:dyDescent="0.35">
      <c r="C377" t="str">
        <f t="shared" si="21"/>
        <v/>
      </c>
    </row>
    <row r="378" spans="3:3" x14ac:dyDescent="0.35">
      <c r="C378" t="str">
        <f t="shared" si="21"/>
        <v/>
      </c>
    </row>
    <row r="379" spans="3:3" x14ac:dyDescent="0.35">
      <c r="C379" t="str">
        <f t="shared" si="21"/>
        <v/>
      </c>
    </row>
    <row r="380" spans="3:3" x14ac:dyDescent="0.35">
      <c r="C380" t="str">
        <f t="shared" si="21"/>
        <v/>
      </c>
    </row>
    <row r="381" spans="3:3" x14ac:dyDescent="0.35">
      <c r="C381" t="str">
        <f t="shared" si="21"/>
        <v/>
      </c>
    </row>
    <row r="382" spans="3:3" x14ac:dyDescent="0.35">
      <c r="C382" t="str">
        <f t="shared" si="21"/>
        <v/>
      </c>
    </row>
    <row r="383" spans="3:3" x14ac:dyDescent="0.35">
      <c r="C383" t="str">
        <f t="shared" si="21"/>
        <v/>
      </c>
    </row>
    <row r="384" spans="3:3" x14ac:dyDescent="0.35">
      <c r="C384" t="str">
        <f t="shared" si="21"/>
        <v/>
      </c>
    </row>
    <row r="385" spans="3:3" x14ac:dyDescent="0.35">
      <c r="C385" t="str">
        <f t="shared" si="21"/>
        <v/>
      </c>
    </row>
    <row r="386" spans="3:3" x14ac:dyDescent="0.35">
      <c r="C386" t="str">
        <f t="shared" si="21"/>
        <v/>
      </c>
    </row>
    <row r="387" spans="3:3" x14ac:dyDescent="0.35">
      <c r="C387" t="str">
        <f t="shared" si="21"/>
        <v/>
      </c>
    </row>
    <row r="388" spans="3:3" x14ac:dyDescent="0.35">
      <c r="C388" t="str">
        <f t="shared" si="21"/>
        <v/>
      </c>
    </row>
    <row r="389" spans="3:3" x14ac:dyDescent="0.35">
      <c r="C389" t="str">
        <f t="shared" ref="C389:C452" si="22">IF(ISBLANK(D389), "",
IF(D389 &lt; $G$9,
    $G$10 + $G$19 * ($G$23 * (D389 - $G$9))^2 + $G$21 * (1 - (D389 - $G$6)/($G$9 - $G$6)),
IF(D389 &gt; $G$13,
    $G$14 + $G$19 * ($G$23 * (D389 - $G$13))^2 - $G$22 * (1 - (D389 - $G$6)/($G$13 - $G$6)),
IF(D389 &lt; $G$6,
    $G$16 * (D389 - $G$6)^2 + $G$5,
    $G$17 * (D389 - $G$6)^2 + $G$5))))</f>
        <v/>
      </c>
    </row>
    <row r="390" spans="3:3" x14ac:dyDescent="0.35">
      <c r="C390" t="str">
        <f t="shared" si="22"/>
        <v/>
      </c>
    </row>
    <row r="391" spans="3:3" x14ac:dyDescent="0.35">
      <c r="C391" t="str">
        <f t="shared" si="22"/>
        <v/>
      </c>
    </row>
    <row r="392" spans="3:3" x14ac:dyDescent="0.35">
      <c r="C392" t="str">
        <f t="shared" si="22"/>
        <v/>
      </c>
    </row>
    <row r="393" spans="3:3" x14ac:dyDescent="0.35">
      <c r="C393" t="str">
        <f t="shared" si="22"/>
        <v/>
      </c>
    </row>
    <row r="394" spans="3:3" x14ac:dyDescent="0.35">
      <c r="C394" t="str">
        <f t="shared" si="22"/>
        <v/>
      </c>
    </row>
    <row r="395" spans="3:3" x14ac:dyDescent="0.35">
      <c r="C395" t="str">
        <f t="shared" si="22"/>
        <v/>
      </c>
    </row>
    <row r="396" spans="3:3" x14ac:dyDescent="0.35">
      <c r="C396" t="str">
        <f t="shared" si="22"/>
        <v/>
      </c>
    </row>
    <row r="397" spans="3:3" x14ac:dyDescent="0.35">
      <c r="C397" t="str">
        <f t="shared" si="22"/>
        <v/>
      </c>
    </row>
    <row r="398" spans="3:3" x14ac:dyDescent="0.35">
      <c r="C398" t="str">
        <f t="shared" si="22"/>
        <v/>
      </c>
    </row>
    <row r="399" spans="3:3" x14ac:dyDescent="0.35">
      <c r="C399" t="str">
        <f t="shared" si="22"/>
        <v/>
      </c>
    </row>
    <row r="400" spans="3:3" x14ac:dyDescent="0.35">
      <c r="C400" t="str">
        <f t="shared" si="22"/>
        <v/>
      </c>
    </row>
    <row r="401" spans="3:3" x14ac:dyDescent="0.35">
      <c r="C401" t="str">
        <f t="shared" si="22"/>
        <v/>
      </c>
    </row>
    <row r="402" spans="3:3" x14ac:dyDescent="0.35">
      <c r="C402" t="str">
        <f t="shared" si="22"/>
        <v/>
      </c>
    </row>
    <row r="403" spans="3:3" x14ac:dyDescent="0.35">
      <c r="C403" t="str">
        <f t="shared" si="22"/>
        <v/>
      </c>
    </row>
    <row r="404" spans="3:3" x14ac:dyDescent="0.35">
      <c r="C404" t="str">
        <f t="shared" si="22"/>
        <v/>
      </c>
    </row>
    <row r="405" spans="3:3" x14ac:dyDescent="0.35">
      <c r="C405" t="str">
        <f t="shared" si="22"/>
        <v/>
      </c>
    </row>
    <row r="406" spans="3:3" x14ac:dyDescent="0.35">
      <c r="C406" t="str">
        <f t="shared" si="22"/>
        <v/>
      </c>
    </row>
    <row r="407" spans="3:3" x14ac:dyDescent="0.35">
      <c r="C407" t="str">
        <f t="shared" si="22"/>
        <v/>
      </c>
    </row>
    <row r="408" spans="3:3" x14ac:dyDescent="0.35">
      <c r="C408" t="str">
        <f t="shared" si="22"/>
        <v/>
      </c>
    </row>
    <row r="409" spans="3:3" x14ac:dyDescent="0.35">
      <c r="C409" t="str">
        <f t="shared" si="22"/>
        <v/>
      </c>
    </row>
    <row r="410" spans="3:3" x14ac:dyDescent="0.35">
      <c r="C410" t="str">
        <f t="shared" si="22"/>
        <v/>
      </c>
    </row>
    <row r="411" spans="3:3" x14ac:dyDescent="0.35">
      <c r="C411" t="str">
        <f t="shared" si="22"/>
        <v/>
      </c>
    </row>
    <row r="412" spans="3:3" x14ac:dyDescent="0.35">
      <c r="C412" t="str">
        <f t="shared" si="22"/>
        <v/>
      </c>
    </row>
    <row r="413" spans="3:3" x14ac:dyDescent="0.35">
      <c r="C413" t="str">
        <f t="shared" si="22"/>
        <v/>
      </c>
    </row>
    <row r="414" spans="3:3" x14ac:dyDescent="0.35">
      <c r="C414" t="str">
        <f t="shared" si="22"/>
        <v/>
      </c>
    </row>
    <row r="415" spans="3:3" x14ac:dyDescent="0.35">
      <c r="C415" t="str">
        <f t="shared" si="22"/>
        <v/>
      </c>
    </row>
    <row r="416" spans="3:3" x14ac:dyDescent="0.35">
      <c r="C416" t="str">
        <f t="shared" si="22"/>
        <v/>
      </c>
    </row>
    <row r="417" spans="3:3" x14ac:dyDescent="0.35">
      <c r="C417" t="str">
        <f t="shared" si="22"/>
        <v/>
      </c>
    </row>
    <row r="418" spans="3:3" x14ac:dyDescent="0.35">
      <c r="C418" t="str">
        <f t="shared" si="22"/>
        <v/>
      </c>
    </row>
    <row r="419" spans="3:3" x14ac:dyDescent="0.35">
      <c r="C419" t="str">
        <f t="shared" si="22"/>
        <v/>
      </c>
    </row>
    <row r="420" spans="3:3" x14ac:dyDescent="0.35">
      <c r="C420" t="str">
        <f t="shared" si="22"/>
        <v/>
      </c>
    </row>
    <row r="421" spans="3:3" x14ac:dyDescent="0.35">
      <c r="C421" t="str">
        <f t="shared" si="22"/>
        <v/>
      </c>
    </row>
    <row r="422" spans="3:3" x14ac:dyDescent="0.35">
      <c r="C422" t="str">
        <f t="shared" si="22"/>
        <v/>
      </c>
    </row>
    <row r="423" spans="3:3" x14ac:dyDescent="0.35">
      <c r="C423" t="str">
        <f t="shared" si="22"/>
        <v/>
      </c>
    </row>
    <row r="424" spans="3:3" x14ac:dyDescent="0.35">
      <c r="C424" t="str">
        <f t="shared" si="22"/>
        <v/>
      </c>
    </row>
    <row r="425" spans="3:3" x14ac:dyDescent="0.35">
      <c r="C425" t="str">
        <f t="shared" si="22"/>
        <v/>
      </c>
    </row>
    <row r="426" spans="3:3" x14ac:dyDescent="0.35">
      <c r="C426" t="str">
        <f t="shared" si="22"/>
        <v/>
      </c>
    </row>
    <row r="427" spans="3:3" x14ac:dyDescent="0.35">
      <c r="C427" t="str">
        <f t="shared" si="22"/>
        <v/>
      </c>
    </row>
    <row r="428" spans="3:3" x14ac:dyDescent="0.35">
      <c r="C428" t="str">
        <f t="shared" si="22"/>
        <v/>
      </c>
    </row>
    <row r="429" spans="3:3" x14ac:dyDescent="0.35">
      <c r="C429" t="str">
        <f t="shared" si="22"/>
        <v/>
      </c>
    </row>
    <row r="430" spans="3:3" x14ac:dyDescent="0.35">
      <c r="C430" t="str">
        <f t="shared" si="22"/>
        <v/>
      </c>
    </row>
    <row r="431" spans="3:3" x14ac:dyDescent="0.35">
      <c r="C431" t="str">
        <f t="shared" si="22"/>
        <v/>
      </c>
    </row>
    <row r="432" spans="3:3" x14ac:dyDescent="0.35">
      <c r="C432" t="str">
        <f t="shared" si="22"/>
        <v/>
      </c>
    </row>
    <row r="433" spans="3:3" x14ac:dyDescent="0.35">
      <c r="C433" t="str">
        <f t="shared" si="22"/>
        <v/>
      </c>
    </row>
    <row r="434" spans="3:3" x14ac:dyDescent="0.35">
      <c r="C434" t="str">
        <f t="shared" si="22"/>
        <v/>
      </c>
    </row>
    <row r="435" spans="3:3" x14ac:dyDescent="0.35">
      <c r="C435" t="str">
        <f t="shared" si="22"/>
        <v/>
      </c>
    </row>
    <row r="436" spans="3:3" x14ac:dyDescent="0.35">
      <c r="C436" t="str">
        <f t="shared" si="22"/>
        <v/>
      </c>
    </row>
    <row r="437" spans="3:3" x14ac:dyDescent="0.35">
      <c r="C437" t="str">
        <f t="shared" si="22"/>
        <v/>
      </c>
    </row>
    <row r="438" spans="3:3" x14ac:dyDescent="0.35">
      <c r="C438" t="str">
        <f t="shared" si="22"/>
        <v/>
      </c>
    </row>
    <row r="439" spans="3:3" x14ac:dyDescent="0.35">
      <c r="C439" t="str">
        <f t="shared" si="22"/>
        <v/>
      </c>
    </row>
    <row r="440" spans="3:3" x14ac:dyDescent="0.35">
      <c r="C440" t="str">
        <f t="shared" si="22"/>
        <v/>
      </c>
    </row>
    <row r="441" spans="3:3" x14ac:dyDescent="0.35">
      <c r="C441" t="str">
        <f t="shared" si="22"/>
        <v/>
      </c>
    </row>
    <row r="442" spans="3:3" x14ac:dyDescent="0.35">
      <c r="C442" t="str">
        <f t="shared" si="22"/>
        <v/>
      </c>
    </row>
    <row r="443" spans="3:3" x14ac:dyDescent="0.35">
      <c r="C443" t="str">
        <f t="shared" si="22"/>
        <v/>
      </c>
    </row>
    <row r="444" spans="3:3" x14ac:dyDescent="0.35">
      <c r="C444" t="str">
        <f t="shared" si="22"/>
        <v/>
      </c>
    </row>
    <row r="445" spans="3:3" x14ac:dyDescent="0.35">
      <c r="C445" t="str">
        <f t="shared" si="22"/>
        <v/>
      </c>
    </row>
    <row r="446" spans="3:3" x14ac:dyDescent="0.35">
      <c r="C446" t="str">
        <f t="shared" si="22"/>
        <v/>
      </c>
    </row>
    <row r="447" spans="3:3" x14ac:dyDescent="0.35">
      <c r="C447" t="str">
        <f t="shared" si="22"/>
        <v/>
      </c>
    </row>
    <row r="448" spans="3:3" x14ac:dyDescent="0.35">
      <c r="C448" t="str">
        <f t="shared" si="22"/>
        <v/>
      </c>
    </row>
    <row r="449" spans="3:3" x14ac:dyDescent="0.35">
      <c r="C449" t="str">
        <f t="shared" si="22"/>
        <v/>
      </c>
    </row>
    <row r="450" spans="3:3" x14ac:dyDescent="0.35">
      <c r="C450" t="str">
        <f t="shared" si="22"/>
        <v/>
      </c>
    </row>
    <row r="451" spans="3:3" x14ac:dyDescent="0.35">
      <c r="C451" t="str">
        <f t="shared" si="22"/>
        <v/>
      </c>
    </row>
    <row r="452" spans="3:3" x14ac:dyDescent="0.35">
      <c r="C452" t="str">
        <f t="shared" si="22"/>
        <v/>
      </c>
    </row>
    <row r="453" spans="3:3" x14ac:dyDescent="0.35">
      <c r="C453" t="str">
        <f t="shared" ref="C453:C516" si="23">IF(ISBLANK(D453), "",
IF(D453 &lt; $G$9,
    $G$10 + $G$19 * ($G$23 * (D453 - $G$9))^2 + $G$21 * (1 - (D453 - $G$6)/($G$9 - $G$6)),
IF(D453 &gt; $G$13,
    $G$14 + $G$19 * ($G$23 * (D453 - $G$13))^2 - $G$22 * (1 - (D453 - $G$6)/($G$13 - $G$6)),
IF(D453 &lt; $G$6,
    $G$16 * (D453 - $G$6)^2 + $G$5,
    $G$17 * (D453 - $G$6)^2 + $G$5))))</f>
        <v/>
      </c>
    </row>
    <row r="454" spans="3:3" x14ac:dyDescent="0.35">
      <c r="C454" t="str">
        <f t="shared" si="23"/>
        <v/>
      </c>
    </row>
    <row r="455" spans="3:3" x14ac:dyDescent="0.35">
      <c r="C455" t="str">
        <f t="shared" si="23"/>
        <v/>
      </c>
    </row>
    <row r="456" spans="3:3" x14ac:dyDescent="0.35">
      <c r="C456" t="str">
        <f t="shared" si="23"/>
        <v/>
      </c>
    </row>
    <row r="457" spans="3:3" x14ac:dyDescent="0.35">
      <c r="C457" t="str">
        <f t="shared" si="23"/>
        <v/>
      </c>
    </row>
    <row r="458" spans="3:3" x14ac:dyDescent="0.35">
      <c r="C458" t="str">
        <f t="shared" si="23"/>
        <v/>
      </c>
    </row>
    <row r="459" spans="3:3" x14ac:dyDescent="0.35">
      <c r="C459" t="str">
        <f t="shared" si="23"/>
        <v/>
      </c>
    </row>
    <row r="460" spans="3:3" x14ac:dyDescent="0.35">
      <c r="C460" t="str">
        <f t="shared" si="23"/>
        <v/>
      </c>
    </row>
    <row r="461" spans="3:3" x14ac:dyDescent="0.35">
      <c r="C461" t="str">
        <f t="shared" si="23"/>
        <v/>
      </c>
    </row>
    <row r="462" spans="3:3" x14ac:dyDescent="0.35">
      <c r="C462" t="str">
        <f t="shared" si="23"/>
        <v/>
      </c>
    </row>
    <row r="463" spans="3:3" x14ac:dyDescent="0.35">
      <c r="C463" t="str">
        <f t="shared" si="23"/>
        <v/>
      </c>
    </row>
    <row r="464" spans="3:3" x14ac:dyDescent="0.35">
      <c r="C464" t="str">
        <f t="shared" si="23"/>
        <v/>
      </c>
    </row>
    <row r="465" spans="3:3" x14ac:dyDescent="0.35">
      <c r="C465" t="str">
        <f t="shared" si="23"/>
        <v/>
      </c>
    </row>
    <row r="466" spans="3:3" x14ac:dyDescent="0.35">
      <c r="C466" t="str">
        <f t="shared" si="23"/>
        <v/>
      </c>
    </row>
    <row r="467" spans="3:3" x14ac:dyDescent="0.35">
      <c r="C467" t="str">
        <f t="shared" si="23"/>
        <v/>
      </c>
    </row>
    <row r="468" spans="3:3" x14ac:dyDescent="0.35">
      <c r="C468" t="str">
        <f t="shared" si="23"/>
        <v/>
      </c>
    </row>
    <row r="469" spans="3:3" x14ac:dyDescent="0.35">
      <c r="C469" t="str">
        <f t="shared" si="23"/>
        <v/>
      </c>
    </row>
    <row r="470" spans="3:3" x14ac:dyDescent="0.35">
      <c r="C470" t="str">
        <f t="shared" si="23"/>
        <v/>
      </c>
    </row>
    <row r="471" spans="3:3" x14ac:dyDescent="0.35">
      <c r="C471" t="str">
        <f t="shared" si="23"/>
        <v/>
      </c>
    </row>
    <row r="472" spans="3:3" x14ac:dyDescent="0.35">
      <c r="C472" t="str">
        <f t="shared" si="23"/>
        <v/>
      </c>
    </row>
    <row r="473" spans="3:3" x14ac:dyDescent="0.35">
      <c r="C473" t="str">
        <f t="shared" si="23"/>
        <v/>
      </c>
    </row>
    <row r="474" spans="3:3" x14ac:dyDescent="0.35">
      <c r="C474" t="str">
        <f t="shared" si="23"/>
        <v/>
      </c>
    </row>
    <row r="475" spans="3:3" x14ac:dyDescent="0.35">
      <c r="C475" t="str">
        <f t="shared" si="23"/>
        <v/>
      </c>
    </row>
    <row r="476" spans="3:3" x14ac:dyDescent="0.35">
      <c r="C476" t="str">
        <f t="shared" si="23"/>
        <v/>
      </c>
    </row>
    <row r="477" spans="3:3" x14ac:dyDescent="0.35">
      <c r="C477" t="str">
        <f t="shared" si="23"/>
        <v/>
      </c>
    </row>
    <row r="478" spans="3:3" x14ac:dyDescent="0.35">
      <c r="C478" t="str">
        <f t="shared" si="23"/>
        <v/>
      </c>
    </row>
    <row r="479" spans="3:3" x14ac:dyDescent="0.35">
      <c r="C479" t="str">
        <f t="shared" si="23"/>
        <v/>
      </c>
    </row>
    <row r="480" spans="3:3" x14ac:dyDescent="0.35">
      <c r="C480" t="str">
        <f t="shared" si="23"/>
        <v/>
      </c>
    </row>
    <row r="481" spans="3:3" x14ac:dyDescent="0.35">
      <c r="C481" t="str">
        <f t="shared" si="23"/>
        <v/>
      </c>
    </row>
    <row r="482" spans="3:3" x14ac:dyDescent="0.35">
      <c r="C482" t="str">
        <f t="shared" si="23"/>
        <v/>
      </c>
    </row>
    <row r="483" spans="3:3" x14ac:dyDescent="0.35">
      <c r="C483" t="str">
        <f t="shared" si="23"/>
        <v/>
      </c>
    </row>
    <row r="484" spans="3:3" x14ac:dyDescent="0.35">
      <c r="C484" t="str">
        <f t="shared" si="23"/>
        <v/>
      </c>
    </row>
    <row r="485" spans="3:3" x14ac:dyDescent="0.35">
      <c r="C485" t="str">
        <f t="shared" si="23"/>
        <v/>
      </c>
    </row>
    <row r="486" spans="3:3" x14ac:dyDescent="0.35">
      <c r="C486" t="str">
        <f t="shared" si="23"/>
        <v/>
      </c>
    </row>
    <row r="487" spans="3:3" x14ac:dyDescent="0.35">
      <c r="C487" t="str">
        <f t="shared" si="23"/>
        <v/>
      </c>
    </row>
    <row r="488" spans="3:3" x14ac:dyDescent="0.35">
      <c r="C488" t="str">
        <f t="shared" si="23"/>
        <v/>
      </c>
    </row>
    <row r="489" spans="3:3" x14ac:dyDescent="0.35">
      <c r="C489" t="str">
        <f t="shared" si="23"/>
        <v/>
      </c>
    </row>
    <row r="490" spans="3:3" x14ac:dyDescent="0.35">
      <c r="C490" t="str">
        <f t="shared" si="23"/>
        <v/>
      </c>
    </row>
    <row r="491" spans="3:3" x14ac:dyDescent="0.35">
      <c r="C491" t="str">
        <f t="shared" si="23"/>
        <v/>
      </c>
    </row>
    <row r="492" spans="3:3" x14ac:dyDescent="0.35">
      <c r="C492" t="str">
        <f t="shared" si="23"/>
        <v/>
      </c>
    </row>
    <row r="493" spans="3:3" x14ac:dyDescent="0.35">
      <c r="C493" t="str">
        <f t="shared" si="23"/>
        <v/>
      </c>
    </row>
    <row r="494" spans="3:3" x14ac:dyDescent="0.35">
      <c r="C494" t="str">
        <f t="shared" si="23"/>
        <v/>
      </c>
    </row>
    <row r="495" spans="3:3" x14ac:dyDescent="0.35">
      <c r="C495" t="str">
        <f t="shared" si="23"/>
        <v/>
      </c>
    </row>
    <row r="496" spans="3:3" x14ac:dyDescent="0.35">
      <c r="C496" t="str">
        <f t="shared" si="23"/>
        <v/>
      </c>
    </row>
    <row r="497" spans="3:3" x14ac:dyDescent="0.35">
      <c r="C497" t="str">
        <f t="shared" si="23"/>
        <v/>
      </c>
    </row>
    <row r="498" spans="3:3" x14ac:dyDescent="0.35">
      <c r="C498" t="str">
        <f t="shared" si="23"/>
        <v/>
      </c>
    </row>
    <row r="499" spans="3:3" x14ac:dyDescent="0.35">
      <c r="C499" t="str">
        <f t="shared" si="23"/>
        <v/>
      </c>
    </row>
    <row r="500" spans="3:3" x14ac:dyDescent="0.35">
      <c r="C500" t="str">
        <f t="shared" si="23"/>
        <v/>
      </c>
    </row>
    <row r="501" spans="3:3" x14ac:dyDescent="0.35">
      <c r="C501" t="str">
        <f t="shared" si="23"/>
        <v/>
      </c>
    </row>
    <row r="502" spans="3:3" x14ac:dyDescent="0.35">
      <c r="C502" t="str">
        <f t="shared" si="23"/>
        <v/>
      </c>
    </row>
    <row r="503" spans="3:3" x14ac:dyDescent="0.35">
      <c r="C503" t="str">
        <f t="shared" si="23"/>
        <v/>
      </c>
    </row>
    <row r="504" spans="3:3" x14ac:dyDescent="0.35">
      <c r="C504" t="str">
        <f t="shared" si="23"/>
        <v/>
      </c>
    </row>
    <row r="505" spans="3:3" x14ac:dyDescent="0.35">
      <c r="C505" t="str">
        <f t="shared" si="23"/>
        <v/>
      </c>
    </row>
    <row r="506" spans="3:3" x14ac:dyDescent="0.35">
      <c r="C506" t="str">
        <f t="shared" si="23"/>
        <v/>
      </c>
    </row>
    <row r="507" spans="3:3" x14ac:dyDescent="0.35">
      <c r="C507" t="str">
        <f t="shared" si="23"/>
        <v/>
      </c>
    </row>
    <row r="508" spans="3:3" x14ac:dyDescent="0.35">
      <c r="C508" t="str">
        <f t="shared" si="23"/>
        <v/>
      </c>
    </row>
    <row r="509" spans="3:3" x14ac:dyDescent="0.35">
      <c r="C509" t="str">
        <f t="shared" si="23"/>
        <v/>
      </c>
    </row>
    <row r="510" spans="3:3" x14ac:dyDescent="0.35">
      <c r="C510" t="str">
        <f t="shared" si="23"/>
        <v/>
      </c>
    </row>
    <row r="511" spans="3:3" x14ac:dyDescent="0.35">
      <c r="C511" t="str">
        <f t="shared" si="23"/>
        <v/>
      </c>
    </row>
    <row r="512" spans="3:3" x14ac:dyDescent="0.35">
      <c r="C512" t="str">
        <f t="shared" si="23"/>
        <v/>
      </c>
    </row>
    <row r="513" spans="3:3" x14ac:dyDescent="0.35">
      <c r="C513" t="str">
        <f t="shared" si="23"/>
        <v/>
      </c>
    </row>
    <row r="514" spans="3:3" x14ac:dyDescent="0.35">
      <c r="C514" t="str">
        <f t="shared" si="23"/>
        <v/>
      </c>
    </row>
    <row r="515" spans="3:3" x14ac:dyDescent="0.35">
      <c r="C515" t="str">
        <f t="shared" si="23"/>
        <v/>
      </c>
    </row>
    <row r="516" spans="3:3" x14ac:dyDescent="0.35">
      <c r="C516" t="str">
        <f t="shared" si="23"/>
        <v/>
      </c>
    </row>
    <row r="517" spans="3:3" x14ac:dyDescent="0.35">
      <c r="C517" t="str">
        <f t="shared" ref="C517:C580" si="24">IF(ISBLANK(D517), "",
IF(D517 &lt; $G$9,
    $G$10 + $G$19 * ($G$23 * (D517 - $G$9))^2 + $G$21 * (1 - (D517 - $G$6)/($G$9 - $G$6)),
IF(D517 &gt; $G$13,
    $G$14 + $G$19 * ($G$23 * (D517 - $G$13))^2 - $G$22 * (1 - (D517 - $G$6)/($G$13 - $G$6)),
IF(D517 &lt; $G$6,
    $G$16 * (D517 - $G$6)^2 + $G$5,
    $G$17 * (D517 - $G$6)^2 + $G$5))))</f>
        <v/>
      </c>
    </row>
    <row r="518" spans="3:3" x14ac:dyDescent="0.35">
      <c r="C518" t="str">
        <f t="shared" si="24"/>
        <v/>
      </c>
    </row>
    <row r="519" spans="3:3" x14ac:dyDescent="0.35">
      <c r="C519" t="str">
        <f t="shared" si="24"/>
        <v/>
      </c>
    </row>
    <row r="520" spans="3:3" x14ac:dyDescent="0.35">
      <c r="C520" t="str">
        <f t="shared" si="24"/>
        <v/>
      </c>
    </row>
    <row r="521" spans="3:3" x14ac:dyDescent="0.35">
      <c r="C521" t="str">
        <f t="shared" si="24"/>
        <v/>
      </c>
    </row>
    <row r="522" spans="3:3" x14ac:dyDescent="0.35">
      <c r="C522" t="str">
        <f t="shared" si="24"/>
        <v/>
      </c>
    </row>
    <row r="523" spans="3:3" x14ac:dyDescent="0.35">
      <c r="C523" t="str">
        <f t="shared" si="24"/>
        <v/>
      </c>
    </row>
    <row r="524" spans="3:3" x14ac:dyDescent="0.35">
      <c r="C524" t="str">
        <f t="shared" si="24"/>
        <v/>
      </c>
    </row>
    <row r="525" spans="3:3" x14ac:dyDescent="0.35">
      <c r="C525" t="str">
        <f t="shared" si="24"/>
        <v/>
      </c>
    </row>
    <row r="526" spans="3:3" x14ac:dyDescent="0.35">
      <c r="C526" t="str">
        <f t="shared" si="24"/>
        <v/>
      </c>
    </row>
    <row r="527" spans="3:3" x14ac:dyDescent="0.35">
      <c r="C527" t="str">
        <f t="shared" si="24"/>
        <v/>
      </c>
    </row>
    <row r="528" spans="3:3" x14ac:dyDescent="0.35">
      <c r="C528" t="str">
        <f t="shared" si="24"/>
        <v/>
      </c>
    </row>
    <row r="529" spans="3:3" x14ac:dyDescent="0.35">
      <c r="C529" t="str">
        <f t="shared" si="24"/>
        <v/>
      </c>
    </row>
    <row r="530" spans="3:3" x14ac:dyDescent="0.35">
      <c r="C530" t="str">
        <f t="shared" si="24"/>
        <v/>
      </c>
    </row>
    <row r="531" spans="3:3" x14ac:dyDescent="0.35">
      <c r="C531" t="str">
        <f t="shared" si="24"/>
        <v/>
      </c>
    </row>
    <row r="532" spans="3:3" x14ac:dyDescent="0.35">
      <c r="C532" t="str">
        <f t="shared" si="24"/>
        <v/>
      </c>
    </row>
    <row r="533" spans="3:3" x14ac:dyDescent="0.35">
      <c r="C533" t="str">
        <f t="shared" si="24"/>
        <v/>
      </c>
    </row>
    <row r="534" spans="3:3" x14ac:dyDescent="0.35">
      <c r="C534" t="str">
        <f t="shared" si="24"/>
        <v/>
      </c>
    </row>
    <row r="535" spans="3:3" x14ac:dyDescent="0.35">
      <c r="C535" t="str">
        <f t="shared" si="24"/>
        <v/>
      </c>
    </row>
    <row r="536" spans="3:3" x14ac:dyDescent="0.35">
      <c r="C536" t="str">
        <f t="shared" si="24"/>
        <v/>
      </c>
    </row>
    <row r="537" spans="3:3" x14ac:dyDescent="0.35">
      <c r="C537" t="str">
        <f t="shared" si="24"/>
        <v/>
      </c>
    </row>
    <row r="538" spans="3:3" x14ac:dyDescent="0.35">
      <c r="C538" t="str">
        <f t="shared" si="24"/>
        <v/>
      </c>
    </row>
    <row r="539" spans="3:3" x14ac:dyDescent="0.35">
      <c r="C539" t="str">
        <f t="shared" si="24"/>
        <v/>
      </c>
    </row>
    <row r="540" spans="3:3" x14ac:dyDescent="0.35">
      <c r="C540" t="str">
        <f t="shared" si="24"/>
        <v/>
      </c>
    </row>
    <row r="541" spans="3:3" x14ac:dyDescent="0.35">
      <c r="C541" t="str">
        <f t="shared" si="24"/>
        <v/>
      </c>
    </row>
    <row r="542" spans="3:3" x14ac:dyDescent="0.35">
      <c r="C542" t="str">
        <f t="shared" si="24"/>
        <v/>
      </c>
    </row>
    <row r="543" spans="3:3" x14ac:dyDescent="0.35">
      <c r="C543" t="str">
        <f t="shared" si="24"/>
        <v/>
      </c>
    </row>
    <row r="544" spans="3:3" x14ac:dyDescent="0.35">
      <c r="C544" t="str">
        <f t="shared" si="24"/>
        <v/>
      </c>
    </row>
    <row r="545" spans="3:3" x14ac:dyDescent="0.35">
      <c r="C545" t="str">
        <f t="shared" si="24"/>
        <v/>
      </c>
    </row>
    <row r="546" spans="3:3" x14ac:dyDescent="0.35">
      <c r="C546" t="str">
        <f t="shared" si="24"/>
        <v/>
      </c>
    </row>
    <row r="547" spans="3:3" x14ac:dyDescent="0.35">
      <c r="C547" t="str">
        <f t="shared" si="24"/>
        <v/>
      </c>
    </row>
    <row r="548" spans="3:3" x14ac:dyDescent="0.35">
      <c r="C548" t="str">
        <f t="shared" si="24"/>
        <v/>
      </c>
    </row>
    <row r="549" spans="3:3" x14ac:dyDescent="0.35">
      <c r="C549" t="str">
        <f t="shared" si="24"/>
        <v/>
      </c>
    </row>
    <row r="550" spans="3:3" x14ac:dyDescent="0.35">
      <c r="C550" t="str">
        <f t="shared" si="24"/>
        <v/>
      </c>
    </row>
    <row r="551" spans="3:3" x14ac:dyDescent="0.35">
      <c r="C551" t="str">
        <f t="shared" si="24"/>
        <v/>
      </c>
    </row>
    <row r="552" spans="3:3" x14ac:dyDescent="0.35">
      <c r="C552" t="str">
        <f t="shared" si="24"/>
        <v/>
      </c>
    </row>
    <row r="553" spans="3:3" x14ac:dyDescent="0.35">
      <c r="C553" t="str">
        <f t="shared" si="24"/>
        <v/>
      </c>
    </row>
    <row r="554" spans="3:3" x14ac:dyDescent="0.35">
      <c r="C554" t="str">
        <f t="shared" si="24"/>
        <v/>
      </c>
    </row>
    <row r="555" spans="3:3" x14ac:dyDescent="0.35">
      <c r="C555" t="str">
        <f t="shared" si="24"/>
        <v/>
      </c>
    </row>
    <row r="556" spans="3:3" x14ac:dyDescent="0.35">
      <c r="C556" t="str">
        <f t="shared" si="24"/>
        <v/>
      </c>
    </row>
    <row r="557" spans="3:3" x14ac:dyDescent="0.35">
      <c r="C557" t="str">
        <f t="shared" si="24"/>
        <v/>
      </c>
    </row>
    <row r="558" spans="3:3" x14ac:dyDescent="0.35">
      <c r="C558" t="str">
        <f t="shared" si="24"/>
        <v/>
      </c>
    </row>
    <row r="559" spans="3:3" x14ac:dyDescent="0.35">
      <c r="C559" t="str">
        <f t="shared" si="24"/>
        <v/>
      </c>
    </row>
    <row r="560" spans="3:3" x14ac:dyDescent="0.35">
      <c r="C560" t="str">
        <f t="shared" si="24"/>
        <v/>
      </c>
    </row>
    <row r="561" spans="3:3" x14ac:dyDescent="0.35">
      <c r="C561" t="str">
        <f t="shared" si="24"/>
        <v/>
      </c>
    </row>
    <row r="562" spans="3:3" x14ac:dyDescent="0.35">
      <c r="C562" t="str">
        <f t="shared" si="24"/>
        <v/>
      </c>
    </row>
    <row r="563" spans="3:3" x14ac:dyDescent="0.35">
      <c r="C563" t="str">
        <f t="shared" si="24"/>
        <v/>
      </c>
    </row>
    <row r="564" spans="3:3" x14ac:dyDescent="0.35">
      <c r="C564" t="str">
        <f t="shared" si="24"/>
        <v/>
      </c>
    </row>
    <row r="565" spans="3:3" x14ac:dyDescent="0.35">
      <c r="C565" t="str">
        <f t="shared" si="24"/>
        <v/>
      </c>
    </row>
    <row r="566" spans="3:3" x14ac:dyDescent="0.35">
      <c r="C566" t="str">
        <f t="shared" si="24"/>
        <v/>
      </c>
    </row>
    <row r="567" spans="3:3" x14ac:dyDescent="0.35">
      <c r="C567" t="str">
        <f t="shared" si="24"/>
        <v/>
      </c>
    </row>
    <row r="568" spans="3:3" x14ac:dyDescent="0.35">
      <c r="C568" t="str">
        <f t="shared" si="24"/>
        <v/>
      </c>
    </row>
    <row r="569" spans="3:3" x14ac:dyDescent="0.35">
      <c r="C569" t="str">
        <f t="shared" si="24"/>
        <v/>
      </c>
    </row>
    <row r="570" spans="3:3" x14ac:dyDescent="0.35">
      <c r="C570" t="str">
        <f t="shared" si="24"/>
        <v/>
      </c>
    </row>
    <row r="571" spans="3:3" x14ac:dyDescent="0.35">
      <c r="C571" t="str">
        <f t="shared" si="24"/>
        <v/>
      </c>
    </row>
    <row r="572" spans="3:3" x14ac:dyDescent="0.35">
      <c r="C572" t="str">
        <f t="shared" si="24"/>
        <v/>
      </c>
    </row>
    <row r="573" spans="3:3" x14ac:dyDescent="0.35">
      <c r="C573" t="str">
        <f t="shared" si="24"/>
        <v/>
      </c>
    </row>
    <row r="574" spans="3:3" x14ac:dyDescent="0.35">
      <c r="C574" t="str">
        <f t="shared" si="24"/>
        <v/>
      </c>
    </row>
    <row r="575" spans="3:3" x14ac:dyDescent="0.35">
      <c r="C575" t="str">
        <f t="shared" si="24"/>
        <v/>
      </c>
    </row>
    <row r="576" spans="3:3" x14ac:dyDescent="0.35">
      <c r="C576" t="str">
        <f t="shared" si="24"/>
        <v/>
      </c>
    </row>
    <row r="577" spans="3:3" x14ac:dyDescent="0.35">
      <c r="C577" t="str">
        <f t="shared" si="24"/>
        <v/>
      </c>
    </row>
    <row r="578" spans="3:3" x14ac:dyDescent="0.35">
      <c r="C578" t="str">
        <f t="shared" si="24"/>
        <v/>
      </c>
    </row>
    <row r="579" spans="3:3" x14ac:dyDescent="0.35">
      <c r="C579" t="str">
        <f t="shared" si="24"/>
        <v/>
      </c>
    </row>
    <row r="580" spans="3:3" x14ac:dyDescent="0.35">
      <c r="C580" t="str">
        <f t="shared" si="24"/>
        <v/>
      </c>
    </row>
    <row r="581" spans="3:3" x14ac:dyDescent="0.35">
      <c r="C581" t="str">
        <f t="shared" ref="C581:C644" si="25">IF(ISBLANK(D581), "",
IF(D581 &lt; $G$9,
    $G$10 + $G$19 * ($G$23 * (D581 - $G$9))^2 + $G$21 * (1 - (D581 - $G$6)/($G$9 - $G$6)),
IF(D581 &gt; $G$13,
    $G$14 + $G$19 * ($G$23 * (D581 - $G$13))^2 - $G$22 * (1 - (D581 - $G$6)/($G$13 - $G$6)),
IF(D581 &lt; $G$6,
    $G$16 * (D581 - $G$6)^2 + $G$5,
    $G$17 * (D581 - $G$6)^2 + $G$5))))</f>
        <v/>
      </c>
    </row>
    <row r="582" spans="3:3" x14ac:dyDescent="0.35">
      <c r="C582" t="str">
        <f t="shared" si="25"/>
        <v/>
      </c>
    </row>
    <row r="583" spans="3:3" x14ac:dyDescent="0.35">
      <c r="C583" t="str">
        <f t="shared" si="25"/>
        <v/>
      </c>
    </row>
    <row r="584" spans="3:3" x14ac:dyDescent="0.35">
      <c r="C584" t="str">
        <f t="shared" si="25"/>
        <v/>
      </c>
    </row>
    <row r="585" spans="3:3" x14ac:dyDescent="0.35">
      <c r="C585" t="str">
        <f t="shared" si="25"/>
        <v/>
      </c>
    </row>
    <row r="586" spans="3:3" x14ac:dyDescent="0.35">
      <c r="C586" t="str">
        <f t="shared" si="25"/>
        <v/>
      </c>
    </row>
    <row r="587" spans="3:3" x14ac:dyDescent="0.35">
      <c r="C587" t="str">
        <f t="shared" si="25"/>
        <v/>
      </c>
    </row>
    <row r="588" spans="3:3" x14ac:dyDescent="0.35">
      <c r="C588" t="str">
        <f t="shared" si="25"/>
        <v/>
      </c>
    </row>
    <row r="589" spans="3:3" x14ac:dyDescent="0.35">
      <c r="C589" t="str">
        <f t="shared" si="25"/>
        <v/>
      </c>
    </row>
    <row r="590" spans="3:3" x14ac:dyDescent="0.35">
      <c r="C590" t="str">
        <f t="shared" si="25"/>
        <v/>
      </c>
    </row>
    <row r="591" spans="3:3" x14ac:dyDescent="0.35">
      <c r="C591" t="str">
        <f t="shared" si="25"/>
        <v/>
      </c>
    </row>
    <row r="592" spans="3:3" x14ac:dyDescent="0.35">
      <c r="C592" t="str">
        <f t="shared" si="25"/>
        <v/>
      </c>
    </row>
    <row r="593" spans="3:3" x14ac:dyDescent="0.35">
      <c r="C593" t="str">
        <f t="shared" si="25"/>
        <v/>
      </c>
    </row>
    <row r="594" spans="3:3" x14ac:dyDescent="0.35">
      <c r="C594" t="str">
        <f t="shared" si="25"/>
        <v/>
      </c>
    </row>
    <row r="595" spans="3:3" x14ac:dyDescent="0.35">
      <c r="C595" t="str">
        <f t="shared" si="25"/>
        <v/>
      </c>
    </row>
    <row r="596" spans="3:3" x14ac:dyDescent="0.35">
      <c r="C596" t="str">
        <f t="shared" si="25"/>
        <v/>
      </c>
    </row>
    <row r="597" spans="3:3" x14ac:dyDescent="0.35">
      <c r="C597" t="str">
        <f t="shared" si="25"/>
        <v/>
      </c>
    </row>
    <row r="598" spans="3:3" x14ac:dyDescent="0.35">
      <c r="C598" t="str">
        <f t="shared" si="25"/>
        <v/>
      </c>
    </row>
    <row r="599" spans="3:3" x14ac:dyDescent="0.35">
      <c r="C599" t="str">
        <f t="shared" si="25"/>
        <v/>
      </c>
    </row>
    <row r="600" spans="3:3" x14ac:dyDescent="0.35">
      <c r="C600" t="str">
        <f t="shared" si="25"/>
        <v/>
      </c>
    </row>
    <row r="601" spans="3:3" x14ac:dyDescent="0.35">
      <c r="C601" t="str">
        <f t="shared" si="25"/>
        <v/>
      </c>
    </row>
    <row r="602" spans="3:3" x14ac:dyDescent="0.35">
      <c r="C602" t="str">
        <f t="shared" si="25"/>
        <v/>
      </c>
    </row>
    <row r="603" spans="3:3" x14ac:dyDescent="0.35">
      <c r="C603" t="str">
        <f t="shared" si="25"/>
        <v/>
      </c>
    </row>
    <row r="604" spans="3:3" x14ac:dyDescent="0.35">
      <c r="C604" t="str">
        <f t="shared" si="25"/>
        <v/>
      </c>
    </row>
    <row r="605" spans="3:3" x14ac:dyDescent="0.35">
      <c r="C605" t="str">
        <f t="shared" si="25"/>
        <v/>
      </c>
    </row>
    <row r="606" spans="3:3" x14ac:dyDescent="0.35">
      <c r="C606" t="str">
        <f t="shared" si="25"/>
        <v/>
      </c>
    </row>
    <row r="607" spans="3:3" x14ac:dyDescent="0.35">
      <c r="C607" t="str">
        <f t="shared" si="25"/>
        <v/>
      </c>
    </row>
    <row r="608" spans="3:3" x14ac:dyDescent="0.35">
      <c r="C608" t="str">
        <f t="shared" si="25"/>
        <v/>
      </c>
    </row>
    <row r="609" spans="3:3" x14ac:dyDescent="0.35">
      <c r="C609" t="str">
        <f t="shared" si="25"/>
        <v/>
      </c>
    </row>
    <row r="610" spans="3:3" x14ac:dyDescent="0.35">
      <c r="C610" t="str">
        <f t="shared" si="25"/>
        <v/>
      </c>
    </row>
    <row r="611" spans="3:3" x14ac:dyDescent="0.35">
      <c r="C611" t="str">
        <f t="shared" si="25"/>
        <v/>
      </c>
    </row>
    <row r="612" spans="3:3" x14ac:dyDescent="0.35">
      <c r="C612" t="str">
        <f t="shared" si="25"/>
        <v/>
      </c>
    </row>
    <row r="613" spans="3:3" x14ac:dyDescent="0.35">
      <c r="C613" t="str">
        <f t="shared" si="25"/>
        <v/>
      </c>
    </row>
    <row r="614" spans="3:3" x14ac:dyDescent="0.35">
      <c r="C614" t="str">
        <f t="shared" si="25"/>
        <v/>
      </c>
    </row>
    <row r="615" spans="3:3" x14ac:dyDescent="0.35">
      <c r="C615" t="str">
        <f t="shared" si="25"/>
        <v/>
      </c>
    </row>
    <row r="616" spans="3:3" x14ac:dyDescent="0.35">
      <c r="C616" t="str">
        <f t="shared" si="25"/>
        <v/>
      </c>
    </row>
    <row r="617" spans="3:3" x14ac:dyDescent="0.35">
      <c r="C617" t="str">
        <f t="shared" si="25"/>
        <v/>
      </c>
    </row>
    <row r="618" spans="3:3" x14ac:dyDescent="0.35">
      <c r="C618" t="str">
        <f t="shared" si="25"/>
        <v/>
      </c>
    </row>
    <row r="619" spans="3:3" x14ac:dyDescent="0.35">
      <c r="C619" t="str">
        <f t="shared" si="25"/>
        <v/>
      </c>
    </row>
    <row r="620" spans="3:3" x14ac:dyDescent="0.35">
      <c r="C620" t="str">
        <f t="shared" si="25"/>
        <v/>
      </c>
    </row>
    <row r="621" spans="3:3" x14ac:dyDescent="0.35">
      <c r="C621" t="str">
        <f t="shared" si="25"/>
        <v/>
      </c>
    </row>
    <row r="622" spans="3:3" x14ac:dyDescent="0.35">
      <c r="C622" t="str">
        <f t="shared" si="25"/>
        <v/>
      </c>
    </row>
    <row r="623" spans="3:3" x14ac:dyDescent="0.35">
      <c r="C623" t="str">
        <f t="shared" si="25"/>
        <v/>
      </c>
    </row>
    <row r="624" spans="3:3" x14ac:dyDescent="0.35">
      <c r="C624" t="str">
        <f t="shared" si="25"/>
        <v/>
      </c>
    </row>
    <row r="625" spans="3:3" x14ac:dyDescent="0.35">
      <c r="C625" t="str">
        <f t="shared" si="25"/>
        <v/>
      </c>
    </row>
    <row r="626" spans="3:3" x14ac:dyDescent="0.35">
      <c r="C626" t="str">
        <f t="shared" si="25"/>
        <v/>
      </c>
    </row>
    <row r="627" spans="3:3" x14ac:dyDescent="0.35">
      <c r="C627" t="str">
        <f t="shared" si="25"/>
        <v/>
      </c>
    </row>
    <row r="628" spans="3:3" x14ac:dyDescent="0.35">
      <c r="C628" t="str">
        <f t="shared" si="25"/>
        <v/>
      </c>
    </row>
    <row r="629" spans="3:3" x14ac:dyDescent="0.35">
      <c r="C629" t="str">
        <f t="shared" si="25"/>
        <v/>
      </c>
    </row>
    <row r="630" spans="3:3" x14ac:dyDescent="0.35">
      <c r="C630" t="str">
        <f t="shared" si="25"/>
        <v/>
      </c>
    </row>
    <row r="631" spans="3:3" x14ac:dyDescent="0.35">
      <c r="C631" t="str">
        <f t="shared" si="25"/>
        <v/>
      </c>
    </row>
    <row r="632" spans="3:3" x14ac:dyDescent="0.35">
      <c r="C632" t="str">
        <f t="shared" si="25"/>
        <v/>
      </c>
    </row>
    <row r="633" spans="3:3" x14ac:dyDescent="0.35">
      <c r="C633" t="str">
        <f t="shared" si="25"/>
        <v/>
      </c>
    </row>
    <row r="634" spans="3:3" x14ac:dyDescent="0.35">
      <c r="C634" t="str">
        <f t="shared" si="25"/>
        <v/>
      </c>
    </row>
    <row r="635" spans="3:3" x14ac:dyDescent="0.35">
      <c r="C635" t="str">
        <f t="shared" si="25"/>
        <v/>
      </c>
    </row>
    <row r="636" spans="3:3" x14ac:dyDescent="0.35">
      <c r="C636" t="str">
        <f t="shared" si="25"/>
        <v/>
      </c>
    </row>
    <row r="637" spans="3:3" x14ac:dyDescent="0.35">
      <c r="C637" t="str">
        <f t="shared" si="25"/>
        <v/>
      </c>
    </row>
    <row r="638" spans="3:3" x14ac:dyDescent="0.35">
      <c r="C638" t="str">
        <f t="shared" si="25"/>
        <v/>
      </c>
    </row>
    <row r="639" spans="3:3" x14ac:dyDescent="0.35">
      <c r="C639" t="str">
        <f t="shared" si="25"/>
        <v/>
      </c>
    </row>
    <row r="640" spans="3:3" x14ac:dyDescent="0.35">
      <c r="C640" t="str">
        <f t="shared" si="25"/>
        <v/>
      </c>
    </row>
    <row r="641" spans="3:3" x14ac:dyDescent="0.35">
      <c r="C641" t="str">
        <f t="shared" si="25"/>
        <v/>
      </c>
    </row>
    <row r="642" spans="3:3" x14ac:dyDescent="0.35">
      <c r="C642" t="str">
        <f t="shared" si="25"/>
        <v/>
      </c>
    </row>
    <row r="643" spans="3:3" x14ac:dyDescent="0.35">
      <c r="C643" t="str">
        <f t="shared" si="25"/>
        <v/>
      </c>
    </row>
    <row r="644" spans="3:3" x14ac:dyDescent="0.35">
      <c r="C644" t="str">
        <f t="shared" si="25"/>
        <v/>
      </c>
    </row>
    <row r="645" spans="3:3" x14ac:dyDescent="0.35">
      <c r="C645" t="str">
        <f t="shared" ref="C645:C708" si="26">IF(ISBLANK(D645), "",
IF(D645 &lt; $G$9,
    $G$10 + $G$19 * ($G$23 * (D645 - $G$9))^2 + $G$21 * (1 - (D645 - $G$6)/($G$9 - $G$6)),
IF(D645 &gt; $G$13,
    $G$14 + $G$19 * ($G$23 * (D645 - $G$13))^2 - $G$22 * (1 - (D645 - $G$6)/($G$13 - $G$6)),
IF(D645 &lt; $G$6,
    $G$16 * (D645 - $G$6)^2 + $G$5,
    $G$17 * (D645 - $G$6)^2 + $G$5))))</f>
        <v/>
      </c>
    </row>
    <row r="646" spans="3:3" x14ac:dyDescent="0.35">
      <c r="C646" t="str">
        <f t="shared" si="26"/>
        <v/>
      </c>
    </row>
    <row r="647" spans="3:3" x14ac:dyDescent="0.35">
      <c r="C647" t="str">
        <f t="shared" si="26"/>
        <v/>
      </c>
    </row>
    <row r="648" spans="3:3" x14ac:dyDescent="0.35">
      <c r="C648" t="str">
        <f t="shared" si="26"/>
        <v/>
      </c>
    </row>
    <row r="649" spans="3:3" x14ac:dyDescent="0.35">
      <c r="C649" t="str">
        <f t="shared" si="26"/>
        <v/>
      </c>
    </row>
    <row r="650" spans="3:3" x14ac:dyDescent="0.35">
      <c r="C650" t="str">
        <f t="shared" si="26"/>
        <v/>
      </c>
    </row>
    <row r="651" spans="3:3" x14ac:dyDescent="0.35">
      <c r="C651" t="str">
        <f t="shared" si="26"/>
        <v/>
      </c>
    </row>
    <row r="652" spans="3:3" x14ac:dyDescent="0.35">
      <c r="C652" t="str">
        <f t="shared" si="26"/>
        <v/>
      </c>
    </row>
    <row r="653" spans="3:3" x14ac:dyDescent="0.35">
      <c r="C653" t="str">
        <f t="shared" si="26"/>
        <v/>
      </c>
    </row>
    <row r="654" spans="3:3" x14ac:dyDescent="0.35">
      <c r="C654" t="str">
        <f t="shared" si="26"/>
        <v/>
      </c>
    </row>
    <row r="655" spans="3:3" x14ac:dyDescent="0.35">
      <c r="C655" t="str">
        <f t="shared" si="26"/>
        <v/>
      </c>
    </row>
    <row r="656" spans="3:3" x14ac:dyDescent="0.35">
      <c r="C656" t="str">
        <f t="shared" si="26"/>
        <v/>
      </c>
    </row>
    <row r="657" spans="3:3" x14ac:dyDescent="0.35">
      <c r="C657" t="str">
        <f t="shared" si="26"/>
        <v/>
      </c>
    </row>
    <row r="658" spans="3:3" x14ac:dyDescent="0.35">
      <c r="C658" t="str">
        <f t="shared" si="26"/>
        <v/>
      </c>
    </row>
    <row r="659" spans="3:3" x14ac:dyDescent="0.35">
      <c r="C659" t="str">
        <f t="shared" si="26"/>
        <v/>
      </c>
    </row>
    <row r="660" spans="3:3" x14ac:dyDescent="0.35">
      <c r="C660" t="str">
        <f t="shared" si="26"/>
        <v/>
      </c>
    </row>
    <row r="661" spans="3:3" x14ac:dyDescent="0.35">
      <c r="C661" t="str">
        <f t="shared" si="26"/>
        <v/>
      </c>
    </row>
    <row r="662" spans="3:3" x14ac:dyDescent="0.35">
      <c r="C662" t="str">
        <f t="shared" si="26"/>
        <v/>
      </c>
    </row>
    <row r="663" spans="3:3" x14ac:dyDescent="0.35">
      <c r="C663" t="str">
        <f t="shared" si="26"/>
        <v/>
      </c>
    </row>
    <row r="664" spans="3:3" x14ac:dyDescent="0.35">
      <c r="C664" t="str">
        <f t="shared" si="26"/>
        <v/>
      </c>
    </row>
    <row r="665" spans="3:3" x14ac:dyDescent="0.35">
      <c r="C665" t="str">
        <f t="shared" si="26"/>
        <v/>
      </c>
    </row>
    <row r="666" spans="3:3" x14ac:dyDescent="0.35">
      <c r="C666" t="str">
        <f t="shared" si="26"/>
        <v/>
      </c>
    </row>
    <row r="667" spans="3:3" x14ac:dyDescent="0.35">
      <c r="C667" t="str">
        <f t="shared" si="26"/>
        <v/>
      </c>
    </row>
    <row r="668" spans="3:3" x14ac:dyDescent="0.35">
      <c r="C668" t="str">
        <f t="shared" si="26"/>
        <v/>
      </c>
    </row>
    <row r="669" spans="3:3" x14ac:dyDescent="0.35">
      <c r="C669" t="str">
        <f t="shared" si="26"/>
        <v/>
      </c>
    </row>
    <row r="670" spans="3:3" x14ac:dyDescent="0.35">
      <c r="C670" t="str">
        <f t="shared" si="26"/>
        <v/>
      </c>
    </row>
    <row r="671" spans="3:3" x14ac:dyDescent="0.35">
      <c r="C671" t="str">
        <f t="shared" si="26"/>
        <v/>
      </c>
    </row>
    <row r="672" spans="3:3" x14ac:dyDescent="0.35">
      <c r="C672" t="str">
        <f t="shared" si="26"/>
        <v/>
      </c>
    </row>
    <row r="673" spans="3:3" x14ac:dyDescent="0.35">
      <c r="C673" t="str">
        <f t="shared" si="26"/>
        <v/>
      </c>
    </row>
    <row r="674" spans="3:3" x14ac:dyDescent="0.35">
      <c r="C674" t="str">
        <f t="shared" si="26"/>
        <v/>
      </c>
    </row>
    <row r="675" spans="3:3" x14ac:dyDescent="0.35">
      <c r="C675" t="str">
        <f t="shared" si="26"/>
        <v/>
      </c>
    </row>
    <row r="676" spans="3:3" x14ac:dyDescent="0.35">
      <c r="C676" t="str">
        <f t="shared" si="26"/>
        <v/>
      </c>
    </row>
    <row r="677" spans="3:3" x14ac:dyDescent="0.35">
      <c r="C677" t="str">
        <f t="shared" si="26"/>
        <v/>
      </c>
    </row>
    <row r="678" spans="3:3" x14ac:dyDescent="0.35">
      <c r="C678" t="str">
        <f t="shared" si="26"/>
        <v/>
      </c>
    </row>
    <row r="679" spans="3:3" x14ac:dyDescent="0.35">
      <c r="C679" t="str">
        <f t="shared" si="26"/>
        <v/>
      </c>
    </row>
    <row r="680" spans="3:3" x14ac:dyDescent="0.35">
      <c r="C680" t="str">
        <f t="shared" si="26"/>
        <v/>
      </c>
    </row>
    <row r="681" spans="3:3" x14ac:dyDescent="0.35">
      <c r="C681" t="str">
        <f t="shared" si="26"/>
        <v/>
      </c>
    </row>
    <row r="682" spans="3:3" x14ac:dyDescent="0.35">
      <c r="C682" t="str">
        <f t="shared" si="26"/>
        <v/>
      </c>
    </row>
    <row r="683" spans="3:3" x14ac:dyDescent="0.35">
      <c r="C683" t="str">
        <f t="shared" si="26"/>
        <v/>
      </c>
    </row>
    <row r="684" spans="3:3" x14ac:dyDescent="0.35">
      <c r="C684" t="str">
        <f t="shared" si="26"/>
        <v/>
      </c>
    </row>
    <row r="685" spans="3:3" x14ac:dyDescent="0.35">
      <c r="C685" t="str">
        <f t="shared" si="26"/>
        <v/>
      </c>
    </row>
    <row r="686" spans="3:3" x14ac:dyDescent="0.35">
      <c r="C686" t="str">
        <f t="shared" si="26"/>
        <v/>
      </c>
    </row>
    <row r="687" spans="3:3" x14ac:dyDescent="0.35">
      <c r="C687" t="str">
        <f t="shared" si="26"/>
        <v/>
      </c>
    </row>
    <row r="688" spans="3:3" x14ac:dyDescent="0.35">
      <c r="C688" t="str">
        <f t="shared" si="26"/>
        <v/>
      </c>
    </row>
    <row r="689" spans="3:3" x14ac:dyDescent="0.35">
      <c r="C689" t="str">
        <f t="shared" si="26"/>
        <v/>
      </c>
    </row>
    <row r="690" spans="3:3" x14ac:dyDescent="0.35">
      <c r="C690" t="str">
        <f t="shared" si="26"/>
        <v/>
      </c>
    </row>
    <row r="691" spans="3:3" x14ac:dyDescent="0.35">
      <c r="C691" t="str">
        <f t="shared" si="26"/>
        <v/>
      </c>
    </row>
    <row r="692" spans="3:3" x14ac:dyDescent="0.35">
      <c r="C692" t="str">
        <f t="shared" si="26"/>
        <v/>
      </c>
    </row>
    <row r="693" spans="3:3" x14ac:dyDescent="0.35">
      <c r="C693" t="str">
        <f t="shared" si="26"/>
        <v/>
      </c>
    </row>
    <row r="694" spans="3:3" x14ac:dyDescent="0.35">
      <c r="C694" t="str">
        <f t="shared" si="26"/>
        <v/>
      </c>
    </row>
    <row r="695" spans="3:3" x14ac:dyDescent="0.35">
      <c r="C695" t="str">
        <f t="shared" si="26"/>
        <v/>
      </c>
    </row>
    <row r="696" spans="3:3" x14ac:dyDescent="0.35">
      <c r="C696" t="str">
        <f t="shared" si="26"/>
        <v/>
      </c>
    </row>
    <row r="697" spans="3:3" x14ac:dyDescent="0.35">
      <c r="C697" t="str">
        <f t="shared" si="26"/>
        <v/>
      </c>
    </row>
    <row r="698" spans="3:3" x14ac:dyDescent="0.35">
      <c r="C698" t="str">
        <f t="shared" si="26"/>
        <v/>
      </c>
    </row>
    <row r="699" spans="3:3" x14ac:dyDescent="0.35">
      <c r="C699" t="str">
        <f t="shared" si="26"/>
        <v/>
      </c>
    </row>
    <row r="700" spans="3:3" x14ac:dyDescent="0.35">
      <c r="C700" t="str">
        <f t="shared" si="26"/>
        <v/>
      </c>
    </row>
    <row r="701" spans="3:3" x14ac:dyDescent="0.35">
      <c r="C701" t="str">
        <f t="shared" si="26"/>
        <v/>
      </c>
    </row>
    <row r="702" spans="3:3" x14ac:dyDescent="0.35">
      <c r="C702" t="str">
        <f t="shared" si="26"/>
        <v/>
      </c>
    </row>
    <row r="703" spans="3:3" x14ac:dyDescent="0.35">
      <c r="C703" t="str">
        <f t="shared" si="26"/>
        <v/>
      </c>
    </row>
    <row r="704" spans="3:3" x14ac:dyDescent="0.35">
      <c r="C704" t="str">
        <f t="shared" si="26"/>
        <v/>
      </c>
    </row>
    <row r="705" spans="3:3" x14ac:dyDescent="0.35">
      <c r="C705" t="str">
        <f t="shared" si="26"/>
        <v/>
      </c>
    </row>
    <row r="706" spans="3:3" x14ac:dyDescent="0.35">
      <c r="C706" t="str">
        <f t="shared" si="26"/>
        <v/>
      </c>
    </row>
    <row r="707" spans="3:3" x14ac:dyDescent="0.35">
      <c r="C707" t="str">
        <f t="shared" si="26"/>
        <v/>
      </c>
    </row>
    <row r="708" spans="3:3" x14ac:dyDescent="0.35">
      <c r="C708" t="str">
        <f t="shared" si="26"/>
        <v/>
      </c>
    </row>
    <row r="709" spans="3:3" x14ac:dyDescent="0.35">
      <c r="C709" t="str">
        <f t="shared" ref="C709:C772" si="27">IF(ISBLANK(D709), "",
IF(D709 &lt; $G$9,
    $G$10 + $G$19 * ($G$23 * (D709 - $G$9))^2 + $G$21 * (1 - (D709 - $G$6)/($G$9 - $G$6)),
IF(D709 &gt; $G$13,
    $G$14 + $G$19 * ($G$23 * (D709 - $G$13))^2 - $G$22 * (1 - (D709 - $G$6)/($G$13 - $G$6)),
IF(D709 &lt; $G$6,
    $G$16 * (D709 - $G$6)^2 + $G$5,
    $G$17 * (D709 - $G$6)^2 + $G$5))))</f>
        <v/>
      </c>
    </row>
    <row r="710" spans="3:3" x14ac:dyDescent="0.35">
      <c r="C710" t="str">
        <f t="shared" si="27"/>
        <v/>
      </c>
    </row>
    <row r="711" spans="3:3" x14ac:dyDescent="0.35">
      <c r="C711" t="str">
        <f t="shared" si="27"/>
        <v/>
      </c>
    </row>
    <row r="712" spans="3:3" x14ac:dyDescent="0.35">
      <c r="C712" t="str">
        <f t="shared" si="27"/>
        <v/>
      </c>
    </row>
    <row r="713" spans="3:3" x14ac:dyDescent="0.35">
      <c r="C713" t="str">
        <f t="shared" si="27"/>
        <v/>
      </c>
    </row>
    <row r="714" spans="3:3" x14ac:dyDescent="0.35">
      <c r="C714" t="str">
        <f t="shared" si="27"/>
        <v/>
      </c>
    </row>
    <row r="715" spans="3:3" x14ac:dyDescent="0.35">
      <c r="C715" t="str">
        <f t="shared" si="27"/>
        <v/>
      </c>
    </row>
    <row r="716" spans="3:3" x14ac:dyDescent="0.35">
      <c r="C716" t="str">
        <f t="shared" si="27"/>
        <v/>
      </c>
    </row>
    <row r="717" spans="3:3" x14ac:dyDescent="0.35">
      <c r="C717" t="str">
        <f t="shared" si="27"/>
        <v/>
      </c>
    </row>
    <row r="718" spans="3:3" x14ac:dyDescent="0.35">
      <c r="C718" t="str">
        <f t="shared" si="27"/>
        <v/>
      </c>
    </row>
    <row r="719" spans="3:3" x14ac:dyDescent="0.35">
      <c r="C719" t="str">
        <f t="shared" si="27"/>
        <v/>
      </c>
    </row>
    <row r="720" spans="3:3" x14ac:dyDescent="0.35">
      <c r="C720" t="str">
        <f t="shared" si="27"/>
        <v/>
      </c>
    </row>
    <row r="721" spans="3:3" x14ac:dyDescent="0.35">
      <c r="C721" t="str">
        <f t="shared" si="27"/>
        <v/>
      </c>
    </row>
    <row r="722" spans="3:3" x14ac:dyDescent="0.35">
      <c r="C722" t="str">
        <f t="shared" si="27"/>
        <v/>
      </c>
    </row>
    <row r="723" spans="3:3" x14ac:dyDescent="0.35">
      <c r="C723" t="str">
        <f t="shared" si="27"/>
        <v/>
      </c>
    </row>
    <row r="724" spans="3:3" x14ac:dyDescent="0.35">
      <c r="C724" t="str">
        <f t="shared" si="27"/>
        <v/>
      </c>
    </row>
    <row r="725" spans="3:3" x14ac:dyDescent="0.35">
      <c r="C725" t="str">
        <f t="shared" si="27"/>
        <v/>
      </c>
    </row>
    <row r="726" spans="3:3" x14ac:dyDescent="0.35">
      <c r="C726" t="str">
        <f t="shared" si="27"/>
        <v/>
      </c>
    </row>
    <row r="727" spans="3:3" x14ac:dyDescent="0.35">
      <c r="C727" t="str">
        <f t="shared" si="27"/>
        <v/>
      </c>
    </row>
    <row r="728" spans="3:3" x14ac:dyDescent="0.35">
      <c r="C728" t="str">
        <f t="shared" si="27"/>
        <v/>
      </c>
    </row>
    <row r="729" spans="3:3" x14ac:dyDescent="0.35">
      <c r="C729" t="str">
        <f t="shared" si="27"/>
        <v/>
      </c>
    </row>
    <row r="730" spans="3:3" x14ac:dyDescent="0.35">
      <c r="C730" t="str">
        <f t="shared" si="27"/>
        <v/>
      </c>
    </row>
    <row r="731" spans="3:3" x14ac:dyDescent="0.35">
      <c r="C731" t="str">
        <f t="shared" si="27"/>
        <v/>
      </c>
    </row>
    <row r="732" spans="3:3" x14ac:dyDescent="0.35">
      <c r="C732" t="str">
        <f t="shared" si="27"/>
        <v/>
      </c>
    </row>
    <row r="733" spans="3:3" x14ac:dyDescent="0.35">
      <c r="C733" t="str">
        <f t="shared" si="27"/>
        <v/>
      </c>
    </row>
    <row r="734" spans="3:3" x14ac:dyDescent="0.35">
      <c r="C734" t="str">
        <f t="shared" si="27"/>
        <v/>
      </c>
    </row>
    <row r="735" spans="3:3" x14ac:dyDescent="0.35">
      <c r="C735" t="str">
        <f t="shared" si="27"/>
        <v/>
      </c>
    </row>
    <row r="736" spans="3:3" x14ac:dyDescent="0.35">
      <c r="C736" t="str">
        <f t="shared" si="27"/>
        <v/>
      </c>
    </row>
    <row r="737" spans="3:3" x14ac:dyDescent="0.35">
      <c r="C737" t="str">
        <f t="shared" si="27"/>
        <v/>
      </c>
    </row>
    <row r="738" spans="3:3" x14ac:dyDescent="0.35">
      <c r="C738" t="str">
        <f t="shared" si="27"/>
        <v/>
      </c>
    </row>
    <row r="739" spans="3:3" x14ac:dyDescent="0.35">
      <c r="C739" t="str">
        <f t="shared" si="27"/>
        <v/>
      </c>
    </row>
    <row r="740" spans="3:3" x14ac:dyDescent="0.35">
      <c r="C740" t="str">
        <f t="shared" si="27"/>
        <v/>
      </c>
    </row>
    <row r="741" spans="3:3" x14ac:dyDescent="0.35">
      <c r="C741" t="str">
        <f t="shared" si="27"/>
        <v/>
      </c>
    </row>
    <row r="742" spans="3:3" x14ac:dyDescent="0.35">
      <c r="C742" t="str">
        <f t="shared" si="27"/>
        <v/>
      </c>
    </row>
    <row r="743" spans="3:3" x14ac:dyDescent="0.35">
      <c r="C743" t="str">
        <f t="shared" si="27"/>
        <v/>
      </c>
    </row>
    <row r="744" spans="3:3" x14ac:dyDescent="0.35">
      <c r="C744" t="str">
        <f t="shared" si="27"/>
        <v/>
      </c>
    </row>
    <row r="745" spans="3:3" x14ac:dyDescent="0.35">
      <c r="C745" t="str">
        <f t="shared" si="27"/>
        <v/>
      </c>
    </row>
    <row r="746" spans="3:3" x14ac:dyDescent="0.35">
      <c r="C746" t="str">
        <f t="shared" si="27"/>
        <v/>
      </c>
    </row>
    <row r="747" spans="3:3" x14ac:dyDescent="0.35">
      <c r="C747" t="str">
        <f t="shared" si="27"/>
        <v/>
      </c>
    </row>
    <row r="748" spans="3:3" x14ac:dyDescent="0.35">
      <c r="C748" t="str">
        <f t="shared" si="27"/>
        <v/>
      </c>
    </row>
    <row r="749" spans="3:3" x14ac:dyDescent="0.35">
      <c r="C749" t="str">
        <f t="shared" si="27"/>
        <v/>
      </c>
    </row>
    <row r="750" spans="3:3" x14ac:dyDescent="0.35">
      <c r="C750" t="str">
        <f t="shared" si="27"/>
        <v/>
      </c>
    </row>
    <row r="751" spans="3:3" x14ac:dyDescent="0.35">
      <c r="C751" t="str">
        <f t="shared" si="27"/>
        <v/>
      </c>
    </row>
    <row r="752" spans="3:3" x14ac:dyDescent="0.35">
      <c r="C752" t="str">
        <f t="shared" si="27"/>
        <v/>
      </c>
    </row>
    <row r="753" spans="3:3" x14ac:dyDescent="0.35">
      <c r="C753" t="str">
        <f t="shared" si="27"/>
        <v/>
      </c>
    </row>
    <row r="754" spans="3:3" x14ac:dyDescent="0.35">
      <c r="C754" t="str">
        <f t="shared" si="27"/>
        <v/>
      </c>
    </row>
    <row r="755" spans="3:3" x14ac:dyDescent="0.35">
      <c r="C755" t="str">
        <f t="shared" si="27"/>
        <v/>
      </c>
    </row>
    <row r="756" spans="3:3" x14ac:dyDescent="0.35">
      <c r="C756" t="str">
        <f t="shared" si="27"/>
        <v/>
      </c>
    </row>
    <row r="757" spans="3:3" x14ac:dyDescent="0.35">
      <c r="C757" t="str">
        <f t="shared" si="27"/>
        <v/>
      </c>
    </row>
    <row r="758" spans="3:3" x14ac:dyDescent="0.35">
      <c r="C758" t="str">
        <f t="shared" si="27"/>
        <v/>
      </c>
    </row>
    <row r="759" spans="3:3" x14ac:dyDescent="0.35">
      <c r="C759" t="str">
        <f t="shared" si="27"/>
        <v/>
      </c>
    </row>
    <row r="760" spans="3:3" x14ac:dyDescent="0.35">
      <c r="C760" t="str">
        <f t="shared" si="27"/>
        <v/>
      </c>
    </row>
    <row r="761" spans="3:3" x14ac:dyDescent="0.35">
      <c r="C761" t="str">
        <f t="shared" si="27"/>
        <v/>
      </c>
    </row>
    <row r="762" spans="3:3" x14ac:dyDescent="0.35">
      <c r="C762" t="str">
        <f t="shared" si="27"/>
        <v/>
      </c>
    </row>
    <row r="763" spans="3:3" x14ac:dyDescent="0.35">
      <c r="C763" t="str">
        <f t="shared" si="27"/>
        <v/>
      </c>
    </row>
    <row r="764" spans="3:3" x14ac:dyDescent="0.35">
      <c r="C764" t="str">
        <f t="shared" si="27"/>
        <v/>
      </c>
    </row>
    <row r="765" spans="3:3" x14ac:dyDescent="0.35">
      <c r="C765" t="str">
        <f t="shared" si="27"/>
        <v/>
      </c>
    </row>
    <row r="766" spans="3:3" x14ac:dyDescent="0.35">
      <c r="C766" t="str">
        <f t="shared" si="27"/>
        <v/>
      </c>
    </row>
    <row r="767" spans="3:3" x14ac:dyDescent="0.35">
      <c r="C767" t="str">
        <f t="shared" si="27"/>
        <v/>
      </c>
    </row>
    <row r="768" spans="3:3" x14ac:dyDescent="0.35">
      <c r="C768" t="str">
        <f t="shared" si="27"/>
        <v/>
      </c>
    </row>
    <row r="769" spans="3:3" x14ac:dyDescent="0.35">
      <c r="C769" t="str">
        <f t="shared" si="27"/>
        <v/>
      </c>
    </row>
    <row r="770" spans="3:3" x14ac:dyDescent="0.35">
      <c r="C770" t="str">
        <f t="shared" si="27"/>
        <v/>
      </c>
    </row>
    <row r="771" spans="3:3" x14ac:dyDescent="0.35">
      <c r="C771" t="str">
        <f t="shared" si="27"/>
        <v/>
      </c>
    </row>
    <row r="772" spans="3:3" x14ac:dyDescent="0.35">
      <c r="C772" t="str">
        <f t="shared" si="27"/>
        <v/>
      </c>
    </row>
    <row r="773" spans="3:3" x14ac:dyDescent="0.35">
      <c r="C773" t="str">
        <f t="shared" ref="C773:C836" si="28">IF(ISBLANK(D773), "",
IF(D773 &lt; $G$9,
    $G$10 + $G$19 * ($G$23 * (D773 - $G$9))^2 + $G$21 * (1 - (D773 - $G$6)/($G$9 - $G$6)),
IF(D773 &gt; $G$13,
    $G$14 + $G$19 * ($G$23 * (D773 - $G$13))^2 - $G$22 * (1 - (D773 - $G$6)/($G$13 - $G$6)),
IF(D773 &lt; $G$6,
    $G$16 * (D773 - $G$6)^2 + $G$5,
    $G$17 * (D773 - $G$6)^2 + $G$5))))</f>
        <v/>
      </c>
    </row>
    <row r="774" spans="3:3" x14ac:dyDescent="0.35">
      <c r="C774" t="str">
        <f t="shared" si="28"/>
        <v/>
      </c>
    </row>
    <row r="775" spans="3:3" x14ac:dyDescent="0.35">
      <c r="C775" t="str">
        <f t="shared" si="28"/>
        <v/>
      </c>
    </row>
    <row r="776" spans="3:3" x14ac:dyDescent="0.35">
      <c r="C776" t="str">
        <f t="shared" si="28"/>
        <v/>
      </c>
    </row>
    <row r="777" spans="3:3" x14ac:dyDescent="0.35">
      <c r="C777" t="str">
        <f t="shared" si="28"/>
        <v/>
      </c>
    </row>
    <row r="778" spans="3:3" x14ac:dyDescent="0.35">
      <c r="C778" t="str">
        <f t="shared" si="28"/>
        <v/>
      </c>
    </row>
    <row r="779" spans="3:3" x14ac:dyDescent="0.35">
      <c r="C779" t="str">
        <f t="shared" si="28"/>
        <v/>
      </c>
    </row>
    <row r="780" spans="3:3" x14ac:dyDescent="0.35">
      <c r="C780" t="str">
        <f t="shared" si="28"/>
        <v/>
      </c>
    </row>
    <row r="781" spans="3:3" x14ac:dyDescent="0.35">
      <c r="C781" t="str">
        <f t="shared" si="28"/>
        <v/>
      </c>
    </row>
    <row r="782" spans="3:3" x14ac:dyDescent="0.35">
      <c r="C782" t="str">
        <f t="shared" si="28"/>
        <v/>
      </c>
    </row>
    <row r="783" spans="3:3" x14ac:dyDescent="0.35">
      <c r="C783" t="str">
        <f t="shared" si="28"/>
        <v/>
      </c>
    </row>
    <row r="784" spans="3:3" x14ac:dyDescent="0.35">
      <c r="C784" t="str">
        <f t="shared" si="28"/>
        <v/>
      </c>
    </row>
    <row r="785" spans="3:3" x14ac:dyDescent="0.35">
      <c r="C785" t="str">
        <f t="shared" si="28"/>
        <v/>
      </c>
    </row>
    <row r="786" spans="3:3" x14ac:dyDescent="0.35">
      <c r="C786" t="str">
        <f t="shared" si="28"/>
        <v/>
      </c>
    </row>
    <row r="787" spans="3:3" x14ac:dyDescent="0.35">
      <c r="C787" t="str">
        <f t="shared" si="28"/>
        <v/>
      </c>
    </row>
    <row r="788" spans="3:3" x14ac:dyDescent="0.35">
      <c r="C788" t="str">
        <f t="shared" si="28"/>
        <v/>
      </c>
    </row>
    <row r="789" spans="3:3" x14ac:dyDescent="0.35">
      <c r="C789" t="str">
        <f t="shared" si="28"/>
        <v/>
      </c>
    </row>
    <row r="790" spans="3:3" x14ac:dyDescent="0.35">
      <c r="C790" t="str">
        <f t="shared" si="28"/>
        <v/>
      </c>
    </row>
    <row r="791" spans="3:3" x14ac:dyDescent="0.35">
      <c r="C791" t="str">
        <f t="shared" si="28"/>
        <v/>
      </c>
    </row>
    <row r="792" spans="3:3" x14ac:dyDescent="0.35">
      <c r="C792" t="str">
        <f t="shared" si="28"/>
        <v/>
      </c>
    </row>
    <row r="793" spans="3:3" x14ac:dyDescent="0.35">
      <c r="C793" t="str">
        <f t="shared" si="28"/>
        <v/>
      </c>
    </row>
    <row r="794" spans="3:3" x14ac:dyDescent="0.35">
      <c r="C794" t="str">
        <f t="shared" si="28"/>
        <v/>
      </c>
    </row>
    <row r="795" spans="3:3" x14ac:dyDescent="0.35">
      <c r="C795" t="str">
        <f t="shared" si="28"/>
        <v/>
      </c>
    </row>
    <row r="796" spans="3:3" x14ac:dyDescent="0.35">
      <c r="C796" t="str">
        <f t="shared" si="28"/>
        <v/>
      </c>
    </row>
    <row r="797" spans="3:3" x14ac:dyDescent="0.35">
      <c r="C797" t="str">
        <f t="shared" si="28"/>
        <v/>
      </c>
    </row>
    <row r="798" spans="3:3" x14ac:dyDescent="0.35">
      <c r="C798" t="str">
        <f t="shared" si="28"/>
        <v/>
      </c>
    </row>
    <row r="799" spans="3:3" x14ac:dyDescent="0.35">
      <c r="C799" t="str">
        <f t="shared" si="28"/>
        <v/>
      </c>
    </row>
    <row r="800" spans="3:3" x14ac:dyDescent="0.35">
      <c r="C800" t="str">
        <f t="shared" si="28"/>
        <v/>
      </c>
    </row>
    <row r="801" spans="3:3" x14ac:dyDescent="0.35">
      <c r="C801" t="str">
        <f t="shared" si="28"/>
        <v/>
      </c>
    </row>
    <row r="802" spans="3:3" x14ac:dyDescent="0.35">
      <c r="C802" t="str">
        <f t="shared" si="28"/>
        <v/>
      </c>
    </row>
    <row r="803" spans="3:3" x14ac:dyDescent="0.35">
      <c r="C803" t="str">
        <f t="shared" si="28"/>
        <v/>
      </c>
    </row>
    <row r="804" spans="3:3" x14ac:dyDescent="0.35">
      <c r="C804" t="str">
        <f t="shared" si="28"/>
        <v/>
      </c>
    </row>
    <row r="805" spans="3:3" x14ac:dyDescent="0.35">
      <c r="C805" t="str">
        <f t="shared" si="28"/>
        <v/>
      </c>
    </row>
    <row r="806" spans="3:3" x14ac:dyDescent="0.35">
      <c r="C806" t="str">
        <f t="shared" si="28"/>
        <v/>
      </c>
    </row>
    <row r="807" spans="3:3" x14ac:dyDescent="0.35">
      <c r="C807" t="str">
        <f t="shared" si="28"/>
        <v/>
      </c>
    </row>
    <row r="808" spans="3:3" x14ac:dyDescent="0.35">
      <c r="C808" t="str">
        <f t="shared" si="28"/>
        <v/>
      </c>
    </row>
    <row r="809" spans="3:3" x14ac:dyDescent="0.35">
      <c r="C809" t="str">
        <f t="shared" si="28"/>
        <v/>
      </c>
    </row>
    <row r="810" spans="3:3" x14ac:dyDescent="0.35">
      <c r="C810" t="str">
        <f t="shared" si="28"/>
        <v/>
      </c>
    </row>
    <row r="811" spans="3:3" x14ac:dyDescent="0.35">
      <c r="C811" t="str">
        <f t="shared" si="28"/>
        <v/>
      </c>
    </row>
    <row r="812" spans="3:3" x14ac:dyDescent="0.35">
      <c r="C812" t="str">
        <f t="shared" si="28"/>
        <v/>
      </c>
    </row>
    <row r="813" spans="3:3" x14ac:dyDescent="0.35">
      <c r="C813" t="str">
        <f t="shared" si="28"/>
        <v/>
      </c>
    </row>
    <row r="814" spans="3:3" x14ac:dyDescent="0.35">
      <c r="C814" t="str">
        <f t="shared" si="28"/>
        <v/>
      </c>
    </row>
    <row r="815" spans="3:3" x14ac:dyDescent="0.35">
      <c r="C815" t="str">
        <f t="shared" si="28"/>
        <v/>
      </c>
    </row>
    <row r="816" spans="3:3" x14ac:dyDescent="0.35">
      <c r="C816" t="str">
        <f t="shared" si="28"/>
        <v/>
      </c>
    </row>
    <row r="817" spans="3:3" x14ac:dyDescent="0.35">
      <c r="C817" t="str">
        <f t="shared" si="28"/>
        <v/>
      </c>
    </row>
    <row r="818" spans="3:3" x14ac:dyDescent="0.35">
      <c r="C818" t="str">
        <f t="shared" si="28"/>
        <v/>
      </c>
    </row>
    <row r="819" spans="3:3" x14ac:dyDescent="0.35">
      <c r="C819" t="str">
        <f t="shared" si="28"/>
        <v/>
      </c>
    </row>
    <row r="820" spans="3:3" x14ac:dyDescent="0.35">
      <c r="C820" t="str">
        <f t="shared" si="28"/>
        <v/>
      </c>
    </row>
    <row r="821" spans="3:3" x14ac:dyDescent="0.35">
      <c r="C821" t="str">
        <f t="shared" si="28"/>
        <v/>
      </c>
    </row>
    <row r="822" spans="3:3" x14ac:dyDescent="0.35">
      <c r="C822" t="str">
        <f t="shared" si="28"/>
        <v/>
      </c>
    </row>
    <row r="823" spans="3:3" x14ac:dyDescent="0.35">
      <c r="C823" t="str">
        <f t="shared" si="28"/>
        <v/>
      </c>
    </row>
    <row r="824" spans="3:3" x14ac:dyDescent="0.35">
      <c r="C824" t="str">
        <f t="shared" si="28"/>
        <v/>
      </c>
    </row>
    <row r="825" spans="3:3" x14ac:dyDescent="0.35">
      <c r="C825" t="str">
        <f t="shared" si="28"/>
        <v/>
      </c>
    </row>
    <row r="826" spans="3:3" x14ac:dyDescent="0.35">
      <c r="C826" t="str">
        <f t="shared" si="28"/>
        <v/>
      </c>
    </row>
    <row r="827" spans="3:3" x14ac:dyDescent="0.35">
      <c r="C827" t="str">
        <f t="shared" si="28"/>
        <v/>
      </c>
    </row>
    <row r="828" spans="3:3" x14ac:dyDescent="0.35">
      <c r="C828" t="str">
        <f t="shared" si="28"/>
        <v/>
      </c>
    </row>
    <row r="829" spans="3:3" x14ac:dyDescent="0.35">
      <c r="C829" t="str">
        <f t="shared" si="28"/>
        <v/>
      </c>
    </row>
    <row r="830" spans="3:3" x14ac:dyDescent="0.35">
      <c r="C830" t="str">
        <f t="shared" si="28"/>
        <v/>
      </c>
    </row>
    <row r="831" spans="3:3" x14ac:dyDescent="0.35">
      <c r="C831" t="str">
        <f t="shared" si="28"/>
        <v/>
      </c>
    </row>
    <row r="832" spans="3:3" x14ac:dyDescent="0.35">
      <c r="C832" t="str">
        <f t="shared" si="28"/>
        <v/>
      </c>
    </row>
    <row r="833" spans="3:3" x14ac:dyDescent="0.35">
      <c r="C833" t="str">
        <f t="shared" si="28"/>
        <v/>
      </c>
    </row>
    <row r="834" spans="3:3" x14ac:dyDescent="0.35">
      <c r="C834" t="str">
        <f t="shared" si="28"/>
        <v/>
      </c>
    </row>
    <row r="835" spans="3:3" x14ac:dyDescent="0.35">
      <c r="C835" t="str">
        <f t="shared" si="28"/>
        <v/>
      </c>
    </row>
    <row r="836" spans="3:3" x14ac:dyDescent="0.35">
      <c r="C836" t="str">
        <f t="shared" si="28"/>
        <v/>
      </c>
    </row>
    <row r="837" spans="3:3" x14ac:dyDescent="0.35">
      <c r="C837" t="str">
        <f t="shared" ref="C837:C900" si="29">IF(ISBLANK(D837), "",
IF(D837 &lt; $G$9,
    $G$10 + $G$19 * ($G$23 * (D837 - $G$9))^2 + $G$21 * (1 - (D837 - $G$6)/($G$9 - $G$6)),
IF(D837 &gt; $G$13,
    $G$14 + $G$19 * ($G$23 * (D837 - $G$13))^2 - $G$22 * (1 - (D837 - $G$6)/($G$13 - $G$6)),
IF(D837 &lt; $G$6,
    $G$16 * (D837 - $G$6)^2 + $G$5,
    $G$17 * (D837 - $G$6)^2 + $G$5))))</f>
        <v/>
      </c>
    </row>
    <row r="838" spans="3:3" x14ac:dyDescent="0.35">
      <c r="C838" t="str">
        <f t="shared" si="29"/>
        <v/>
      </c>
    </row>
    <row r="839" spans="3:3" x14ac:dyDescent="0.35">
      <c r="C839" t="str">
        <f t="shared" si="29"/>
        <v/>
      </c>
    </row>
    <row r="840" spans="3:3" x14ac:dyDescent="0.35">
      <c r="C840" t="str">
        <f t="shared" si="29"/>
        <v/>
      </c>
    </row>
    <row r="841" spans="3:3" x14ac:dyDescent="0.35">
      <c r="C841" t="str">
        <f t="shared" si="29"/>
        <v/>
      </c>
    </row>
    <row r="842" spans="3:3" x14ac:dyDescent="0.35">
      <c r="C842" t="str">
        <f t="shared" si="29"/>
        <v/>
      </c>
    </row>
    <row r="843" spans="3:3" x14ac:dyDescent="0.35">
      <c r="C843" t="str">
        <f t="shared" si="29"/>
        <v/>
      </c>
    </row>
    <row r="844" spans="3:3" x14ac:dyDescent="0.35">
      <c r="C844" t="str">
        <f t="shared" si="29"/>
        <v/>
      </c>
    </row>
    <row r="845" spans="3:3" x14ac:dyDescent="0.35">
      <c r="C845" t="str">
        <f t="shared" si="29"/>
        <v/>
      </c>
    </row>
    <row r="846" spans="3:3" x14ac:dyDescent="0.35">
      <c r="C846" t="str">
        <f t="shared" si="29"/>
        <v/>
      </c>
    </row>
    <row r="847" spans="3:3" x14ac:dyDescent="0.35">
      <c r="C847" t="str">
        <f t="shared" si="29"/>
        <v/>
      </c>
    </row>
    <row r="848" spans="3:3" x14ac:dyDescent="0.35">
      <c r="C848" t="str">
        <f t="shared" si="29"/>
        <v/>
      </c>
    </row>
    <row r="849" spans="3:3" x14ac:dyDescent="0.35">
      <c r="C849" t="str">
        <f t="shared" si="29"/>
        <v/>
      </c>
    </row>
    <row r="850" spans="3:3" x14ac:dyDescent="0.35">
      <c r="C850" t="str">
        <f t="shared" si="29"/>
        <v/>
      </c>
    </row>
    <row r="851" spans="3:3" x14ac:dyDescent="0.35">
      <c r="C851" t="str">
        <f t="shared" si="29"/>
        <v/>
      </c>
    </row>
    <row r="852" spans="3:3" x14ac:dyDescent="0.35">
      <c r="C852" t="str">
        <f t="shared" si="29"/>
        <v/>
      </c>
    </row>
    <row r="853" spans="3:3" x14ac:dyDescent="0.35">
      <c r="C853" t="str">
        <f t="shared" si="29"/>
        <v/>
      </c>
    </row>
    <row r="854" spans="3:3" x14ac:dyDescent="0.35">
      <c r="C854" t="str">
        <f t="shared" si="29"/>
        <v/>
      </c>
    </row>
    <row r="855" spans="3:3" x14ac:dyDescent="0.35">
      <c r="C855" t="str">
        <f t="shared" si="29"/>
        <v/>
      </c>
    </row>
    <row r="856" spans="3:3" x14ac:dyDescent="0.35">
      <c r="C856" t="str">
        <f t="shared" si="29"/>
        <v/>
      </c>
    </row>
    <row r="857" spans="3:3" x14ac:dyDescent="0.35">
      <c r="C857" t="str">
        <f t="shared" si="29"/>
        <v/>
      </c>
    </row>
    <row r="858" spans="3:3" x14ac:dyDescent="0.35">
      <c r="C858" t="str">
        <f t="shared" si="29"/>
        <v/>
      </c>
    </row>
    <row r="859" spans="3:3" x14ac:dyDescent="0.35">
      <c r="C859" t="str">
        <f t="shared" si="29"/>
        <v/>
      </c>
    </row>
    <row r="860" spans="3:3" x14ac:dyDescent="0.35">
      <c r="C860" t="str">
        <f t="shared" si="29"/>
        <v/>
      </c>
    </row>
    <row r="861" spans="3:3" x14ac:dyDescent="0.35">
      <c r="C861" t="str">
        <f t="shared" si="29"/>
        <v/>
      </c>
    </row>
    <row r="862" spans="3:3" x14ac:dyDescent="0.35">
      <c r="C862" t="str">
        <f t="shared" si="29"/>
        <v/>
      </c>
    </row>
    <row r="863" spans="3:3" x14ac:dyDescent="0.35">
      <c r="C863" t="str">
        <f t="shared" si="29"/>
        <v/>
      </c>
    </row>
    <row r="864" spans="3:3" x14ac:dyDescent="0.35">
      <c r="C864" t="str">
        <f t="shared" si="29"/>
        <v/>
      </c>
    </row>
    <row r="865" spans="3:3" x14ac:dyDescent="0.35">
      <c r="C865" t="str">
        <f t="shared" si="29"/>
        <v/>
      </c>
    </row>
    <row r="866" spans="3:3" x14ac:dyDescent="0.35">
      <c r="C866" t="str">
        <f t="shared" si="29"/>
        <v/>
      </c>
    </row>
    <row r="867" spans="3:3" x14ac:dyDescent="0.35">
      <c r="C867" t="str">
        <f t="shared" si="29"/>
        <v/>
      </c>
    </row>
    <row r="868" spans="3:3" x14ac:dyDescent="0.35">
      <c r="C868" t="str">
        <f t="shared" si="29"/>
        <v/>
      </c>
    </row>
    <row r="869" spans="3:3" x14ac:dyDescent="0.35">
      <c r="C869" t="str">
        <f t="shared" si="29"/>
        <v/>
      </c>
    </row>
    <row r="870" spans="3:3" x14ac:dyDescent="0.35">
      <c r="C870" t="str">
        <f t="shared" si="29"/>
        <v/>
      </c>
    </row>
    <row r="871" spans="3:3" x14ac:dyDescent="0.35">
      <c r="C871" t="str">
        <f t="shared" si="29"/>
        <v/>
      </c>
    </row>
    <row r="872" spans="3:3" x14ac:dyDescent="0.35">
      <c r="C872" t="str">
        <f t="shared" si="29"/>
        <v/>
      </c>
    </row>
    <row r="873" spans="3:3" x14ac:dyDescent="0.35">
      <c r="C873" t="str">
        <f t="shared" si="29"/>
        <v/>
      </c>
    </row>
    <row r="874" spans="3:3" x14ac:dyDescent="0.35">
      <c r="C874" t="str">
        <f t="shared" si="29"/>
        <v/>
      </c>
    </row>
    <row r="875" spans="3:3" x14ac:dyDescent="0.35">
      <c r="C875" t="str">
        <f t="shared" si="29"/>
        <v/>
      </c>
    </row>
    <row r="876" spans="3:3" x14ac:dyDescent="0.35">
      <c r="C876" t="str">
        <f t="shared" si="29"/>
        <v/>
      </c>
    </row>
    <row r="877" spans="3:3" x14ac:dyDescent="0.35">
      <c r="C877" t="str">
        <f t="shared" si="29"/>
        <v/>
      </c>
    </row>
    <row r="878" spans="3:3" x14ac:dyDescent="0.35">
      <c r="C878" t="str">
        <f t="shared" si="29"/>
        <v/>
      </c>
    </row>
    <row r="879" spans="3:3" x14ac:dyDescent="0.35">
      <c r="C879" t="str">
        <f t="shared" si="29"/>
        <v/>
      </c>
    </row>
    <row r="880" spans="3:3" x14ac:dyDescent="0.35">
      <c r="C880" t="str">
        <f t="shared" si="29"/>
        <v/>
      </c>
    </row>
    <row r="881" spans="3:3" x14ac:dyDescent="0.35">
      <c r="C881" t="str">
        <f t="shared" si="29"/>
        <v/>
      </c>
    </row>
    <row r="882" spans="3:3" x14ac:dyDescent="0.35">
      <c r="C882" t="str">
        <f t="shared" si="29"/>
        <v/>
      </c>
    </row>
    <row r="883" spans="3:3" x14ac:dyDescent="0.35">
      <c r="C883" t="str">
        <f t="shared" si="29"/>
        <v/>
      </c>
    </row>
    <row r="884" spans="3:3" x14ac:dyDescent="0.35">
      <c r="C884" t="str">
        <f t="shared" si="29"/>
        <v/>
      </c>
    </row>
    <row r="885" spans="3:3" x14ac:dyDescent="0.35">
      <c r="C885" t="str">
        <f t="shared" si="29"/>
        <v/>
      </c>
    </row>
    <row r="886" spans="3:3" x14ac:dyDescent="0.35">
      <c r="C886" t="str">
        <f t="shared" si="29"/>
        <v/>
      </c>
    </row>
    <row r="887" spans="3:3" x14ac:dyDescent="0.35">
      <c r="C887" t="str">
        <f t="shared" si="29"/>
        <v/>
      </c>
    </row>
    <row r="888" spans="3:3" x14ac:dyDescent="0.35">
      <c r="C888" t="str">
        <f t="shared" si="29"/>
        <v/>
      </c>
    </row>
    <row r="889" spans="3:3" x14ac:dyDescent="0.35">
      <c r="C889" t="str">
        <f t="shared" si="29"/>
        <v/>
      </c>
    </row>
    <row r="890" spans="3:3" x14ac:dyDescent="0.35">
      <c r="C890" t="str">
        <f t="shared" si="29"/>
        <v/>
      </c>
    </row>
    <row r="891" spans="3:3" x14ac:dyDescent="0.35">
      <c r="C891" t="str">
        <f t="shared" si="29"/>
        <v/>
      </c>
    </row>
    <row r="892" spans="3:3" x14ac:dyDescent="0.35">
      <c r="C892" t="str">
        <f t="shared" si="29"/>
        <v/>
      </c>
    </row>
    <row r="893" spans="3:3" x14ac:dyDescent="0.35">
      <c r="C893" t="str">
        <f t="shared" si="29"/>
        <v/>
      </c>
    </row>
    <row r="894" spans="3:3" x14ac:dyDescent="0.35">
      <c r="C894" t="str">
        <f t="shared" si="29"/>
        <v/>
      </c>
    </row>
    <row r="895" spans="3:3" x14ac:dyDescent="0.35">
      <c r="C895" t="str">
        <f t="shared" si="29"/>
        <v/>
      </c>
    </row>
    <row r="896" spans="3:3" x14ac:dyDescent="0.35">
      <c r="C896" t="str">
        <f t="shared" si="29"/>
        <v/>
      </c>
    </row>
    <row r="897" spans="3:3" x14ac:dyDescent="0.35">
      <c r="C897" t="str">
        <f t="shared" si="29"/>
        <v/>
      </c>
    </row>
    <row r="898" spans="3:3" x14ac:dyDescent="0.35">
      <c r="C898" t="str">
        <f t="shared" si="29"/>
        <v/>
      </c>
    </row>
    <row r="899" spans="3:3" x14ac:dyDescent="0.35">
      <c r="C899" t="str">
        <f t="shared" si="29"/>
        <v/>
      </c>
    </row>
    <row r="900" spans="3:3" x14ac:dyDescent="0.35">
      <c r="C900" t="str">
        <f t="shared" si="29"/>
        <v/>
      </c>
    </row>
    <row r="901" spans="3:3" x14ac:dyDescent="0.35">
      <c r="C901" t="str">
        <f t="shared" ref="C901:C964" si="30">IF(ISBLANK(D901), "",
IF(D901 &lt; $G$9,
    $G$10 + $G$19 * ($G$23 * (D901 - $G$9))^2 + $G$21 * (1 - (D901 - $G$6)/($G$9 - $G$6)),
IF(D901 &gt; $G$13,
    $G$14 + $G$19 * ($G$23 * (D901 - $G$13))^2 - $G$22 * (1 - (D901 - $G$6)/($G$13 - $G$6)),
IF(D901 &lt; $G$6,
    $G$16 * (D901 - $G$6)^2 + $G$5,
    $G$17 * (D901 - $G$6)^2 + $G$5))))</f>
        <v/>
      </c>
    </row>
    <row r="902" spans="3:3" x14ac:dyDescent="0.35">
      <c r="C902" t="str">
        <f t="shared" si="30"/>
        <v/>
      </c>
    </row>
    <row r="903" spans="3:3" x14ac:dyDescent="0.35">
      <c r="C903" t="str">
        <f t="shared" si="30"/>
        <v/>
      </c>
    </row>
    <row r="904" spans="3:3" x14ac:dyDescent="0.35">
      <c r="C904" t="str">
        <f t="shared" si="30"/>
        <v/>
      </c>
    </row>
    <row r="905" spans="3:3" x14ac:dyDescent="0.35">
      <c r="C905" t="str">
        <f t="shared" si="30"/>
        <v/>
      </c>
    </row>
    <row r="906" spans="3:3" x14ac:dyDescent="0.35">
      <c r="C906" t="str">
        <f t="shared" si="30"/>
        <v/>
      </c>
    </row>
    <row r="907" spans="3:3" x14ac:dyDescent="0.35">
      <c r="C907" t="str">
        <f t="shared" si="30"/>
        <v/>
      </c>
    </row>
    <row r="908" spans="3:3" x14ac:dyDescent="0.35">
      <c r="C908" t="str">
        <f t="shared" si="30"/>
        <v/>
      </c>
    </row>
    <row r="909" spans="3:3" x14ac:dyDescent="0.35">
      <c r="C909" t="str">
        <f t="shared" si="30"/>
        <v/>
      </c>
    </row>
    <row r="910" spans="3:3" x14ac:dyDescent="0.35">
      <c r="C910" t="str">
        <f t="shared" si="30"/>
        <v/>
      </c>
    </row>
    <row r="911" spans="3:3" x14ac:dyDescent="0.35">
      <c r="C911" t="str">
        <f t="shared" si="30"/>
        <v/>
      </c>
    </row>
    <row r="912" spans="3:3" x14ac:dyDescent="0.35">
      <c r="C912" t="str">
        <f t="shared" si="30"/>
        <v/>
      </c>
    </row>
    <row r="913" spans="3:3" x14ac:dyDescent="0.35">
      <c r="C913" t="str">
        <f t="shared" si="30"/>
        <v/>
      </c>
    </row>
    <row r="914" spans="3:3" x14ac:dyDescent="0.35">
      <c r="C914" t="str">
        <f t="shared" si="30"/>
        <v/>
      </c>
    </row>
    <row r="915" spans="3:3" x14ac:dyDescent="0.35">
      <c r="C915" t="str">
        <f t="shared" si="30"/>
        <v/>
      </c>
    </row>
    <row r="916" spans="3:3" x14ac:dyDescent="0.35">
      <c r="C916" t="str">
        <f t="shared" si="30"/>
        <v/>
      </c>
    </row>
    <row r="917" spans="3:3" x14ac:dyDescent="0.35">
      <c r="C917" t="str">
        <f t="shared" si="30"/>
        <v/>
      </c>
    </row>
    <row r="918" spans="3:3" x14ac:dyDescent="0.35">
      <c r="C918" t="str">
        <f t="shared" si="30"/>
        <v/>
      </c>
    </row>
    <row r="919" spans="3:3" x14ac:dyDescent="0.35">
      <c r="C919" t="str">
        <f t="shared" si="30"/>
        <v/>
      </c>
    </row>
    <row r="920" spans="3:3" x14ac:dyDescent="0.35">
      <c r="C920" t="str">
        <f t="shared" si="30"/>
        <v/>
      </c>
    </row>
    <row r="921" spans="3:3" x14ac:dyDescent="0.35">
      <c r="C921" t="str">
        <f t="shared" si="30"/>
        <v/>
      </c>
    </row>
    <row r="922" spans="3:3" x14ac:dyDescent="0.35">
      <c r="C922" t="str">
        <f t="shared" si="30"/>
        <v/>
      </c>
    </row>
    <row r="923" spans="3:3" x14ac:dyDescent="0.35">
      <c r="C923" t="str">
        <f t="shared" si="30"/>
        <v/>
      </c>
    </row>
    <row r="924" spans="3:3" x14ac:dyDescent="0.35">
      <c r="C924" t="str">
        <f t="shared" si="30"/>
        <v/>
      </c>
    </row>
    <row r="925" spans="3:3" x14ac:dyDescent="0.35">
      <c r="C925" t="str">
        <f t="shared" si="30"/>
        <v/>
      </c>
    </row>
    <row r="926" spans="3:3" x14ac:dyDescent="0.35">
      <c r="C926" t="str">
        <f t="shared" si="30"/>
        <v/>
      </c>
    </row>
    <row r="927" spans="3:3" x14ac:dyDescent="0.35">
      <c r="C927" t="str">
        <f t="shared" si="30"/>
        <v/>
      </c>
    </row>
    <row r="928" spans="3:3" x14ac:dyDescent="0.35">
      <c r="C928" t="str">
        <f t="shared" si="30"/>
        <v/>
      </c>
    </row>
    <row r="929" spans="3:3" x14ac:dyDescent="0.35">
      <c r="C929" t="str">
        <f t="shared" si="30"/>
        <v/>
      </c>
    </row>
    <row r="930" spans="3:3" x14ac:dyDescent="0.35">
      <c r="C930" t="str">
        <f t="shared" si="30"/>
        <v/>
      </c>
    </row>
    <row r="931" spans="3:3" x14ac:dyDescent="0.35">
      <c r="C931" t="str">
        <f t="shared" si="30"/>
        <v/>
      </c>
    </row>
    <row r="932" spans="3:3" x14ac:dyDescent="0.35">
      <c r="C932" t="str">
        <f t="shared" si="30"/>
        <v/>
      </c>
    </row>
    <row r="933" spans="3:3" x14ac:dyDescent="0.35">
      <c r="C933" t="str">
        <f t="shared" si="30"/>
        <v/>
      </c>
    </row>
    <row r="934" spans="3:3" x14ac:dyDescent="0.35">
      <c r="C934" t="str">
        <f t="shared" si="30"/>
        <v/>
      </c>
    </row>
    <row r="935" spans="3:3" x14ac:dyDescent="0.35">
      <c r="C935" t="str">
        <f t="shared" si="30"/>
        <v/>
      </c>
    </row>
    <row r="936" spans="3:3" x14ac:dyDescent="0.35">
      <c r="C936" t="str">
        <f t="shared" si="30"/>
        <v/>
      </c>
    </row>
    <row r="937" spans="3:3" x14ac:dyDescent="0.35">
      <c r="C937" t="str">
        <f t="shared" si="30"/>
        <v/>
      </c>
    </row>
    <row r="938" spans="3:3" x14ac:dyDescent="0.35">
      <c r="C938" t="str">
        <f t="shared" si="30"/>
        <v/>
      </c>
    </row>
    <row r="939" spans="3:3" x14ac:dyDescent="0.35">
      <c r="C939" t="str">
        <f t="shared" si="30"/>
        <v/>
      </c>
    </row>
    <row r="940" spans="3:3" x14ac:dyDescent="0.35">
      <c r="C940" t="str">
        <f t="shared" si="30"/>
        <v/>
      </c>
    </row>
    <row r="941" spans="3:3" x14ac:dyDescent="0.35">
      <c r="C941" t="str">
        <f t="shared" si="30"/>
        <v/>
      </c>
    </row>
    <row r="942" spans="3:3" x14ac:dyDescent="0.35">
      <c r="C942" t="str">
        <f t="shared" si="30"/>
        <v/>
      </c>
    </row>
    <row r="943" spans="3:3" x14ac:dyDescent="0.35">
      <c r="C943" t="str">
        <f t="shared" si="30"/>
        <v/>
      </c>
    </row>
    <row r="944" spans="3:3" x14ac:dyDescent="0.35">
      <c r="C944" t="str">
        <f t="shared" si="30"/>
        <v/>
      </c>
    </row>
    <row r="945" spans="3:3" x14ac:dyDescent="0.35">
      <c r="C945" t="str">
        <f t="shared" si="30"/>
        <v/>
      </c>
    </row>
    <row r="946" spans="3:3" x14ac:dyDescent="0.35">
      <c r="C946" t="str">
        <f t="shared" si="30"/>
        <v/>
      </c>
    </row>
    <row r="947" spans="3:3" x14ac:dyDescent="0.35">
      <c r="C947" t="str">
        <f t="shared" si="30"/>
        <v/>
      </c>
    </row>
    <row r="948" spans="3:3" x14ac:dyDescent="0.35">
      <c r="C948" t="str">
        <f t="shared" si="30"/>
        <v/>
      </c>
    </row>
    <row r="949" spans="3:3" x14ac:dyDescent="0.35">
      <c r="C949" t="str">
        <f t="shared" si="30"/>
        <v/>
      </c>
    </row>
    <row r="950" spans="3:3" x14ac:dyDescent="0.35">
      <c r="C950" t="str">
        <f t="shared" si="30"/>
        <v/>
      </c>
    </row>
    <row r="951" spans="3:3" x14ac:dyDescent="0.35">
      <c r="C951" t="str">
        <f t="shared" si="30"/>
        <v/>
      </c>
    </row>
    <row r="952" spans="3:3" x14ac:dyDescent="0.35">
      <c r="C952" t="str">
        <f t="shared" si="30"/>
        <v/>
      </c>
    </row>
    <row r="953" spans="3:3" x14ac:dyDescent="0.35">
      <c r="C953" t="str">
        <f t="shared" si="30"/>
        <v/>
      </c>
    </row>
    <row r="954" spans="3:3" x14ac:dyDescent="0.35">
      <c r="C954" t="str">
        <f t="shared" si="30"/>
        <v/>
      </c>
    </row>
    <row r="955" spans="3:3" x14ac:dyDescent="0.35">
      <c r="C955" t="str">
        <f t="shared" si="30"/>
        <v/>
      </c>
    </row>
    <row r="956" spans="3:3" x14ac:dyDescent="0.35">
      <c r="C956" t="str">
        <f t="shared" si="30"/>
        <v/>
      </c>
    </row>
    <row r="957" spans="3:3" x14ac:dyDescent="0.35">
      <c r="C957" t="str">
        <f t="shared" si="30"/>
        <v/>
      </c>
    </row>
    <row r="958" spans="3:3" x14ac:dyDescent="0.35">
      <c r="C958" t="str">
        <f t="shared" si="30"/>
        <v/>
      </c>
    </row>
    <row r="959" spans="3:3" x14ac:dyDescent="0.35">
      <c r="C959" t="str">
        <f t="shared" si="30"/>
        <v/>
      </c>
    </row>
    <row r="960" spans="3:3" x14ac:dyDescent="0.35">
      <c r="C960" t="str">
        <f t="shared" si="30"/>
        <v/>
      </c>
    </row>
    <row r="961" spans="3:3" x14ac:dyDescent="0.35">
      <c r="C961" t="str">
        <f t="shared" si="30"/>
        <v/>
      </c>
    </row>
    <row r="962" spans="3:3" x14ac:dyDescent="0.35">
      <c r="C962" t="str">
        <f t="shared" si="30"/>
        <v/>
      </c>
    </row>
    <row r="963" spans="3:3" x14ac:dyDescent="0.35">
      <c r="C963" t="str">
        <f t="shared" si="30"/>
        <v/>
      </c>
    </row>
    <row r="964" spans="3:3" x14ac:dyDescent="0.35">
      <c r="C964" t="str">
        <f t="shared" si="30"/>
        <v/>
      </c>
    </row>
    <row r="965" spans="3:3" x14ac:dyDescent="0.35">
      <c r="C965" t="str">
        <f t="shared" ref="C965:C1000" si="31">IF(ISBLANK(D965), "",
IF(D965 &lt; $G$9,
    $G$10 + $G$19 * ($G$23 * (D965 - $G$9))^2 + $G$21 * (1 - (D965 - $G$6)/($G$9 - $G$6)),
IF(D965 &gt; $G$13,
    $G$14 + $G$19 * ($G$23 * (D965 - $G$13))^2 - $G$22 * (1 - (D965 - $G$6)/($G$13 - $G$6)),
IF(D965 &lt; $G$6,
    $G$16 * (D965 - $G$6)^2 + $G$5,
    $G$17 * (D965 - $G$6)^2 + $G$5))))</f>
        <v/>
      </c>
    </row>
    <row r="966" spans="3:3" x14ac:dyDescent="0.35">
      <c r="C966" t="str">
        <f t="shared" si="31"/>
        <v/>
      </c>
    </row>
    <row r="967" spans="3:3" x14ac:dyDescent="0.35">
      <c r="C967" t="str">
        <f t="shared" si="31"/>
        <v/>
      </c>
    </row>
    <row r="968" spans="3:3" x14ac:dyDescent="0.35">
      <c r="C968" t="str">
        <f t="shared" si="31"/>
        <v/>
      </c>
    </row>
    <row r="969" spans="3:3" x14ac:dyDescent="0.35">
      <c r="C969" t="str">
        <f t="shared" si="31"/>
        <v/>
      </c>
    </row>
    <row r="970" spans="3:3" x14ac:dyDescent="0.35">
      <c r="C970" t="str">
        <f t="shared" si="31"/>
        <v/>
      </c>
    </row>
    <row r="971" spans="3:3" x14ac:dyDescent="0.35">
      <c r="C971" t="str">
        <f t="shared" si="31"/>
        <v/>
      </c>
    </row>
    <row r="972" spans="3:3" x14ac:dyDescent="0.35">
      <c r="C972" t="str">
        <f t="shared" si="31"/>
        <v/>
      </c>
    </row>
    <row r="973" spans="3:3" x14ac:dyDescent="0.35">
      <c r="C973" t="str">
        <f t="shared" si="31"/>
        <v/>
      </c>
    </row>
    <row r="974" spans="3:3" x14ac:dyDescent="0.35">
      <c r="C974" t="str">
        <f t="shared" si="31"/>
        <v/>
      </c>
    </row>
    <row r="975" spans="3:3" x14ac:dyDescent="0.35">
      <c r="C975" t="str">
        <f t="shared" si="31"/>
        <v/>
      </c>
    </row>
    <row r="976" spans="3:3" x14ac:dyDescent="0.35">
      <c r="C976" t="str">
        <f t="shared" si="31"/>
        <v/>
      </c>
    </row>
    <row r="977" spans="3:3" x14ac:dyDescent="0.35">
      <c r="C977" t="str">
        <f t="shared" si="31"/>
        <v/>
      </c>
    </row>
    <row r="978" spans="3:3" x14ac:dyDescent="0.35">
      <c r="C978" t="str">
        <f t="shared" si="31"/>
        <v/>
      </c>
    </row>
    <row r="979" spans="3:3" x14ac:dyDescent="0.35">
      <c r="C979" t="str">
        <f t="shared" si="31"/>
        <v/>
      </c>
    </row>
    <row r="980" spans="3:3" x14ac:dyDescent="0.35">
      <c r="C980" t="str">
        <f t="shared" si="31"/>
        <v/>
      </c>
    </row>
    <row r="981" spans="3:3" x14ac:dyDescent="0.35">
      <c r="C981" t="str">
        <f t="shared" si="31"/>
        <v/>
      </c>
    </row>
    <row r="982" spans="3:3" x14ac:dyDescent="0.35">
      <c r="C982" t="str">
        <f t="shared" si="31"/>
        <v/>
      </c>
    </row>
    <row r="983" spans="3:3" x14ac:dyDescent="0.35">
      <c r="C983" t="str">
        <f t="shared" si="31"/>
        <v/>
      </c>
    </row>
    <row r="984" spans="3:3" x14ac:dyDescent="0.35">
      <c r="C984" t="str">
        <f t="shared" si="31"/>
        <v/>
      </c>
    </row>
    <row r="985" spans="3:3" x14ac:dyDescent="0.35">
      <c r="C985" t="str">
        <f t="shared" si="31"/>
        <v/>
      </c>
    </row>
    <row r="986" spans="3:3" x14ac:dyDescent="0.35">
      <c r="C986" t="str">
        <f t="shared" si="31"/>
        <v/>
      </c>
    </row>
    <row r="987" spans="3:3" x14ac:dyDescent="0.35">
      <c r="C987" t="str">
        <f t="shared" si="31"/>
        <v/>
      </c>
    </row>
    <row r="988" spans="3:3" x14ac:dyDescent="0.35">
      <c r="C988" t="str">
        <f t="shared" si="31"/>
        <v/>
      </c>
    </row>
    <row r="989" spans="3:3" x14ac:dyDescent="0.35">
      <c r="C989" t="str">
        <f t="shared" si="31"/>
        <v/>
      </c>
    </row>
    <row r="990" spans="3:3" x14ac:dyDescent="0.35">
      <c r="C990" t="str">
        <f t="shared" si="31"/>
        <v/>
      </c>
    </row>
    <row r="991" spans="3:3" x14ac:dyDescent="0.35">
      <c r="C991" t="str">
        <f t="shared" si="31"/>
        <v/>
      </c>
    </row>
    <row r="992" spans="3:3" x14ac:dyDescent="0.35">
      <c r="C992" t="str">
        <f t="shared" si="31"/>
        <v/>
      </c>
    </row>
    <row r="993" spans="3:3" x14ac:dyDescent="0.35">
      <c r="C993" t="str">
        <f t="shared" si="31"/>
        <v/>
      </c>
    </row>
    <row r="994" spans="3:3" x14ac:dyDescent="0.35">
      <c r="C994" t="str">
        <f t="shared" si="31"/>
        <v/>
      </c>
    </row>
    <row r="995" spans="3:3" x14ac:dyDescent="0.35">
      <c r="C995" t="str">
        <f t="shared" si="31"/>
        <v/>
      </c>
    </row>
    <row r="996" spans="3:3" x14ac:dyDescent="0.35">
      <c r="C996" t="str">
        <f t="shared" si="31"/>
        <v/>
      </c>
    </row>
    <row r="997" spans="3:3" x14ac:dyDescent="0.35">
      <c r="C997" t="str">
        <f t="shared" si="31"/>
        <v/>
      </c>
    </row>
    <row r="998" spans="3:3" x14ac:dyDescent="0.35">
      <c r="C998" t="str">
        <f t="shared" si="31"/>
        <v/>
      </c>
    </row>
    <row r="999" spans="3:3" x14ac:dyDescent="0.35">
      <c r="C999" t="str">
        <f t="shared" si="31"/>
        <v/>
      </c>
    </row>
    <row r="1000" spans="3:3" x14ac:dyDescent="0.35">
      <c r="C1000" t="str">
        <f t="shared" si="31"/>
        <v/>
      </c>
    </row>
  </sheetData>
  <pageMargins left="0.7" right="0.7" top="0.75" bottom="0.75" header="0.3" footer="0.3"/>
  <drawing r:id="rId1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2CF3C-704F-4ECE-B457-60CEFD20809F}">
  <sheetPr codeName="Sheet17"/>
  <dimension ref="A1:G19"/>
  <sheetViews>
    <sheetView workbookViewId="0">
      <selection activeCell="A2" sqref="A2:A5"/>
    </sheetView>
  </sheetViews>
  <sheetFormatPr defaultRowHeight="14.5" x14ac:dyDescent="0.35"/>
  <sheetData>
    <row r="1" spans="1:3" x14ac:dyDescent="0.35">
      <c r="A1" t="s">
        <v>45</v>
      </c>
      <c r="B1" t="s">
        <v>36</v>
      </c>
      <c r="C1" t="s">
        <v>38</v>
      </c>
    </row>
    <row r="2" spans="1:3" x14ac:dyDescent="0.35">
      <c r="A2" s="18">
        <v>5218609.182</v>
      </c>
      <c r="B2">
        <v>7.9969469301212175E-3</v>
      </c>
      <c r="C2">
        <v>9.1960625648235799E-3</v>
      </c>
    </row>
    <row r="3" spans="1:3" x14ac:dyDescent="0.35">
      <c r="A3" s="18">
        <v>10437218.364</v>
      </c>
      <c r="B3">
        <v>1.152530806092353E-2</v>
      </c>
      <c r="C3">
        <v>8.4405247829155913E-3</v>
      </c>
    </row>
    <row r="4" spans="1:3" x14ac:dyDescent="0.35">
      <c r="A4" s="18">
        <v>20874436.728</v>
      </c>
      <c r="B4">
        <v>1.4662338217748101E-2</v>
      </c>
      <c r="C4">
        <v>7.7866809736125047E-3</v>
      </c>
    </row>
    <row r="5" spans="1:3" x14ac:dyDescent="0.35">
      <c r="A5" s="18">
        <v>41748873.456</v>
      </c>
      <c r="B5">
        <v>1.739892501101991E-2</v>
      </c>
      <c r="C5">
        <v>7.2182240680638199E-3</v>
      </c>
    </row>
    <row r="6" spans="1:3" x14ac:dyDescent="0.35">
      <c r="A6" s="18"/>
    </row>
    <row r="7" spans="1:3" x14ac:dyDescent="0.35">
      <c r="A7" s="18"/>
    </row>
    <row r="8" spans="1:3" x14ac:dyDescent="0.35">
      <c r="A8" s="18"/>
    </row>
    <row r="9" spans="1:3" x14ac:dyDescent="0.35">
      <c r="A9" s="18"/>
    </row>
    <row r="10" spans="1:3" x14ac:dyDescent="0.35">
      <c r="A10" s="18"/>
      <c r="B10" t="s">
        <v>271</v>
      </c>
      <c r="C10" s="18">
        <v>-5.0000000000000002E-11</v>
      </c>
    </row>
    <row r="11" spans="1:3" x14ac:dyDescent="0.35">
      <c r="A11" s="18"/>
      <c r="B11" t="s">
        <v>272</v>
      </c>
      <c r="C11">
        <v>9.1000000000000004E-3</v>
      </c>
    </row>
    <row r="12" spans="1:3" x14ac:dyDescent="0.35">
      <c r="A12" s="18"/>
    </row>
    <row r="18" spans="2:7" x14ac:dyDescent="0.35">
      <c r="B18" s="18"/>
      <c r="C18" s="18"/>
      <c r="D18" s="18"/>
      <c r="E18" s="18"/>
      <c r="F18" s="18"/>
      <c r="G18" s="18"/>
    </row>
    <row r="19" spans="2:7" x14ac:dyDescent="0.35">
      <c r="B19" s="18"/>
      <c r="C19" s="18"/>
      <c r="D19" s="18"/>
      <c r="E19" s="18"/>
      <c r="F19" s="18"/>
      <c r="G19" s="18"/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1759F-287E-4BC9-B23D-BA568A016244}">
  <sheetPr codeName="Sheet36"/>
  <dimension ref="A1:N22"/>
  <sheetViews>
    <sheetView workbookViewId="0">
      <selection activeCell="B24" sqref="B24"/>
    </sheetView>
  </sheetViews>
  <sheetFormatPr defaultRowHeight="14.5" x14ac:dyDescent="0.35"/>
  <cols>
    <col min="2" max="2" width="9.90625" bestFit="1" customWidth="1"/>
  </cols>
  <sheetData>
    <row r="1" spans="1:14" x14ac:dyDescent="0.35">
      <c r="A1" t="s">
        <v>236</v>
      </c>
      <c r="B1">
        <v>30</v>
      </c>
    </row>
    <row r="3" spans="1:14" x14ac:dyDescent="0.35">
      <c r="A3" t="s">
        <v>281</v>
      </c>
    </row>
    <row r="5" spans="1:14" x14ac:dyDescent="0.35">
      <c r="B5" t="s">
        <v>233</v>
      </c>
      <c r="C5" s="11">
        <v>0.05</v>
      </c>
      <c r="D5">
        <v>0.1</v>
      </c>
      <c r="E5">
        <v>0.15</v>
      </c>
      <c r="F5">
        <v>0.2</v>
      </c>
      <c r="G5">
        <v>0.25</v>
      </c>
      <c r="H5">
        <v>0.3</v>
      </c>
      <c r="I5">
        <v>0.35</v>
      </c>
      <c r="K5" t="s">
        <v>284</v>
      </c>
      <c r="L5" t="s">
        <v>236</v>
      </c>
      <c r="M5">
        <v>28</v>
      </c>
      <c r="N5" t="s">
        <v>286</v>
      </c>
    </row>
    <row r="6" spans="1:14" x14ac:dyDescent="0.35">
      <c r="B6" s="7" t="s">
        <v>263</v>
      </c>
      <c r="C6" s="8">
        <v>-3</v>
      </c>
      <c r="D6" s="8">
        <v>-3</v>
      </c>
      <c r="E6" s="8">
        <v>-3</v>
      </c>
      <c r="F6" s="8">
        <v>-3</v>
      </c>
      <c r="G6" s="8">
        <v>-3</v>
      </c>
      <c r="H6" s="8">
        <v>-3</v>
      </c>
      <c r="I6" s="8">
        <v>-3</v>
      </c>
      <c r="L6" t="s">
        <v>233</v>
      </c>
      <c r="M6">
        <v>0.24</v>
      </c>
      <c r="N6" t="s">
        <v>287</v>
      </c>
    </row>
    <row r="7" spans="1:14" x14ac:dyDescent="0.35">
      <c r="A7" s="32" t="s">
        <v>282</v>
      </c>
      <c r="B7" s="23" t="s">
        <v>139</v>
      </c>
      <c r="C7" s="22">
        <v>5.1990999999999999E-3</v>
      </c>
      <c r="D7" s="22">
        <v>5.1723000000000003E-3</v>
      </c>
      <c r="E7" s="22">
        <v>5.1536000000000004E-3</v>
      </c>
      <c r="F7" s="22">
        <v>5.1387000000000004E-3</v>
      </c>
      <c r="G7" s="22">
        <v>5.1269000000000002E-3</v>
      </c>
      <c r="H7" s="22">
        <v>5.1161000000000002E-3</v>
      </c>
      <c r="I7" s="22">
        <v>5.1057999999999997E-3</v>
      </c>
      <c r="L7" t="s">
        <v>263</v>
      </c>
      <c r="M7">
        <v>-3</v>
      </c>
      <c r="N7" t="s">
        <v>285</v>
      </c>
    </row>
    <row r="8" spans="1:14" ht="14.5" customHeight="1" x14ac:dyDescent="0.35">
      <c r="A8" s="33"/>
      <c r="B8" s="6" t="s">
        <v>136</v>
      </c>
      <c r="C8">
        <v>7.7200000000000003E-3</v>
      </c>
      <c r="D8">
        <v>7.77E-3</v>
      </c>
      <c r="E8">
        <v>7.8200000000000006E-3</v>
      </c>
      <c r="F8">
        <v>7.8600000000000007E-3</v>
      </c>
      <c r="G8">
        <v>7.9399999999999991E-3</v>
      </c>
      <c r="H8">
        <v>7.9100000000000004E-3</v>
      </c>
      <c r="I8">
        <v>7.9399999999999991E-3</v>
      </c>
    </row>
    <row r="9" spans="1:14" x14ac:dyDescent="0.35">
      <c r="A9" s="33"/>
      <c r="B9" s="6" t="s">
        <v>252</v>
      </c>
      <c r="C9">
        <v>0.01</v>
      </c>
      <c r="D9">
        <v>0.01</v>
      </c>
      <c r="E9">
        <v>0.01</v>
      </c>
      <c r="F9">
        <v>0.01</v>
      </c>
      <c r="G9">
        <v>0.01</v>
      </c>
      <c r="H9">
        <v>0.01</v>
      </c>
      <c r="I9">
        <v>0.01</v>
      </c>
    </row>
    <row r="10" spans="1:14" x14ac:dyDescent="0.35">
      <c r="A10" s="33"/>
      <c r="B10" s="6" t="s">
        <v>258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</row>
    <row r="11" spans="1:14" x14ac:dyDescent="0.35">
      <c r="A11" s="33"/>
      <c r="B11" s="6" t="s">
        <v>232</v>
      </c>
      <c r="C11">
        <v>2.2919099999999998E-2</v>
      </c>
      <c r="D11">
        <v>2.2942299999999999E-2</v>
      </c>
      <c r="E11">
        <v>2.2973600000000004E-2</v>
      </c>
      <c r="F11">
        <v>2.2998700000000004E-2</v>
      </c>
      <c r="G11">
        <v>2.3066900000000001E-2</v>
      </c>
      <c r="H11">
        <v>2.3026100000000001E-2</v>
      </c>
      <c r="I11">
        <v>2.3045799999999998E-2</v>
      </c>
    </row>
    <row r="12" spans="1:14" x14ac:dyDescent="0.35">
      <c r="A12" s="33"/>
      <c r="B12" s="6" t="s">
        <v>251</v>
      </c>
      <c r="C12">
        <v>11.095148959706846</v>
      </c>
      <c r="D12">
        <v>11.083929184188907</v>
      </c>
      <c r="E12">
        <v>11.068828068844983</v>
      </c>
      <c r="F12">
        <v>11.056747925857422</v>
      </c>
      <c r="G12">
        <v>11.024057351547764</v>
      </c>
      <c r="H12">
        <v>11.043590904339734</v>
      </c>
      <c r="I12">
        <v>11.034150627117182</v>
      </c>
    </row>
    <row r="13" spans="1:14" x14ac:dyDescent="0.35">
      <c r="A13" s="33"/>
      <c r="B13" s="6" t="s">
        <v>143</v>
      </c>
      <c r="C13">
        <v>0.96856431134489029</v>
      </c>
      <c r="D13">
        <v>0.97358287630516771</v>
      </c>
      <c r="E13">
        <v>0.97711555245133852</v>
      </c>
      <c r="F13">
        <v>0.97994876352252869</v>
      </c>
      <c r="G13">
        <v>0.98220419963588501</v>
      </c>
      <c r="H13">
        <v>0.98427761597959762</v>
      </c>
      <c r="I13">
        <v>0.98626321264311545</v>
      </c>
    </row>
    <row r="14" spans="1:14" x14ac:dyDescent="0.35">
      <c r="A14" s="34"/>
      <c r="B14" s="8" t="s">
        <v>33</v>
      </c>
      <c r="C14" s="20">
        <v>0.39579999999999999</v>
      </c>
      <c r="D14" s="8">
        <v>0.33300000000000002</v>
      </c>
      <c r="E14" s="8">
        <v>0.30649999999999999</v>
      </c>
      <c r="F14" s="8">
        <v>0.2928</v>
      </c>
      <c r="G14" s="8">
        <v>0.28549999999999998</v>
      </c>
      <c r="H14" s="8">
        <v>0.28139999999999998</v>
      </c>
      <c r="I14" s="8">
        <v>0.27979999999999999</v>
      </c>
    </row>
    <row r="15" spans="1:14" x14ac:dyDescent="0.35">
      <c r="A15" s="32" t="s">
        <v>283</v>
      </c>
      <c r="B15" s="22" t="s">
        <v>139</v>
      </c>
      <c r="C15" s="24">
        <v>0.41599580000000003</v>
      </c>
      <c r="D15" s="22">
        <v>0.41109269999999998</v>
      </c>
      <c r="E15" s="22">
        <v>0.4041034</v>
      </c>
      <c r="F15" s="22">
        <v>0.39999010000000002</v>
      </c>
      <c r="G15" s="22">
        <v>0.40505869999999999</v>
      </c>
      <c r="H15" s="22">
        <v>0.40558519999999998</v>
      </c>
      <c r="I15" s="22">
        <v>0.40212239999999999</v>
      </c>
    </row>
    <row r="16" spans="1:14" x14ac:dyDescent="0.35">
      <c r="A16" s="33"/>
      <c r="B16" t="s">
        <v>136</v>
      </c>
      <c r="C16" s="11">
        <v>3.33311</v>
      </c>
      <c r="D16">
        <v>3.09626</v>
      </c>
      <c r="E16">
        <v>2.9512299999999998</v>
      </c>
      <c r="F16">
        <v>2.8494600000000001</v>
      </c>
      <c r="G16">
        <v>2.7952900000000001</v>
      </c>
      <c r="H16">
        <v>2.73977</v>
      </c>
      <c r="I16">
        <v>2.7074699999999998</v>
      </c>
    </row>
    <row r="17" spans="1:9" x14ac:dyDescent="0.35">
      <c r="A17" s="33"/>
      <c r="B17" t="s">
        <v>252</v>
      </c>
      <c r="C17" s="11">
        <v>0.01</v>
      </c>
      <c r="D17">
        <v>0.01</v>
      </c>
      <c r="E17">
        <v>0.01</v>
      </c>
      <c r="F17">
        <v>0.01</v>
      </c>
      <c r="G17">
        <v>0.01</v>
      </c>
      <c r="H17">
        <v>0.01</v>
      </c>
      <c r="I17">
        <v>0.01</v>
      </c>
    </row>
    <row r="18" spans="1:9" x14ac:dyDescent="0.35">
      <c r="A18" s="33"/>
      <c r="B18" t="s">
        <v>258</v>
      </c>
      <c r="C18" s="11">
        <v>7.6483551982668069E-2</v>
      </c>
      <c r="D18">
        <v>7.6483551982668069E-2</v>
      </c>
      <c r="E18">
        <v>7.6483551982668069E-2</v>
      </c>
      <c r="F18">
        <v>7.6483551982668069E-2</v>
      </c>
      <c r="G18">
        <v>7.6483551982668069E-2</v>
      </c>
      <c r="H18">
        <v>7.6483551982668069E-2</v>
      </c>
      <c r="I18">
        <v>7.6483551982668069E-2</v>
      </c>
    </row>
    <row r="19" spans="1:9" x14ac:dyDescent="0.35">
      <c r="A19" s="33"/>
      <c r="B19" t="s">
        <v>232</v>
      </c>
      <c r="C19" s="11">
        <v>3.835589351982668</v>
      </c>
      <c r="D19">
        <v>3.5938362519826681</v>
      </c>
      <c r="E19">
        <v>3.4418169519826676</v>
      </c>
      <c r="F19">
        <v>3.3359336519826681</v>
      </c>
      <c r="G19">
        <v>3.286832251982668</v>
      </c>
      <c r="H19">
        <v>3.2318387519826679</v>
      </c>
      <c r="I19">
        <v>3.1960759519826678</v>
      </c>
    </row>
    <row r="20" spans="1:9" x14ac:dyDescent="0.35">
      <c r="A20" s="33"/>
      <c r="B20" t="s">
        <v>251</v>
      </c>
      <c r="C20" s="11">
        <v>0.52143225368121671</v>
      </c>
      <c r="D20">
        <v>0.55650838262222679</v>
      </c>
      <c r="E20">
        <v>0.58108842739236755</v>
      </c>
      <c r="F20">
        <v>0.59953230748798814</v>
      </c>
      <c r="G20">
        <v>0.60848861355597594</v>
      </c>
      <c r="H20">
        <v>0.61884275593051796</v>
      </c>
      <c r="I20">
        <v>0.62576735661094385</v>
      </c>
    </row>
    <row r="21" spans="1:9" x14ac:dyDescent="0.35">
      <c r="A21" s="33"/>
      <c r="B21" t="s">
        <v>143</v>
      </c>
      <c r="C21" s="11">
        <v>0.7488007748896981</v>
      </c>
      <c r="D21">
        <v>0.7577317169360096</v>
      </c>
      <c r="E21">
        <v>0.77083730894335434</v>
      </c>
      <c r="F21">
        <v>0.7787642178915426</v>
      </c>
      <c r="G21">
        <v>0.76901934803735816</v>
      </c>
      <c r="H21">
        <v>0.76802106534178238</v>
      </c>
      <c r="I21">
        <v>0.77463473159132623</v>
      </c>
    </row>
    <row r="22" spans="1:9" x14ac:dyDescent="0.35">
      <c r="A22" s="34"/>
      <c r="B22" s="8" t="s">
        <v>33</v>
      </c>
      <c r="C22" s="20">
        <v>4.8128000000000002</v>
      </c>
      <c r="D22" s="8">
        <v>3.6682000000000001</v>
      </c>
      <c r="E22" s="8">
        <v>3.1616</v>
      </c>
      <c r="F22" s="8">
        <v>2.8605999999999998</v>
      </c>
      <c r="G22" s="8">
        <v>2.7185000000000001</v>
      </c>
      <c r="H22" s="8">
        <v>2.5663</v>
      </c>
      <c r="I22" s="8">
        <v>2.5135999999999998</v>
      </c>
    </row>
  </sheetData>
  <mergeCells count="2">
    <mergeCell ref="A7:A14"/>
    <mergeCell ref="A15:A22"/>
  </mergeCells>
  <conditionalFormatting sqref="C12:K1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2:I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horizontalDpi="1200" verticalDpi="1200"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E76E9-7600-4514-ABDB-61B8DE542F00}">
  <sheetPr codeName="Sheet40"/>
  <dimension ref="A1:AC1000"/>
  <sheetViews>
    <sheetView zoomScale="63" workbookViewId="0">
      <selection activeCell="G9" sqref="G9"/>
    </sheetView>
  </sheetViews>
  <sheetFormatPr defaultRowHeight="14.5" x14ac:dyDescent="0.35"/>
  <sheetData>
    <row r="1" spans="1:19" x14ac:dyDescent="0.35">
      <c r="A1" t="s">
        <v>12</v>
      </c>
      <c r="B1" s="1" t="s">
        <v>324</v>
      </c>
    </row>
    <row r="2" spans="1:19" x14ac:dyDescent="0.35">
      <c r="I2" s="2" t="s">
        <v>24</v>
      </c>
      <c r="L2" s="2" t="s">
        <v>25</v>
      </c>
      <c r="M2" s="2"/>
      <c r="O2" s="2" t="s">
        <v>31</v>
      </c>
      <c r="R2" s="2" t="s">
        <v>32</v>
      </c>
    </row>
    <row r="3" spans="1:19" x14ac:dyDescent="0.35">
      <c r="A3" t="s">
        <v>0</v>
      </c>
      <c r="B3" t="s">
        <v>41</v>
      </c>
      <c r="C3" t="s">
        <v>40</v>
      </c>
      <c r="D3" t="s">
        <v>42</v>
      </c>
      <c r="F3" t="s">
        <v>23</v>
      </c>
      <c r="G3">
        <v>0.08</v>
      </c>
      <c r="I3" t="s">
        <v>2</v>
      </c>
      <c r="J3" t="s">
        <v>1</v>
      </c>
      <c r="L3" t="s">
        <v>2</v>
      </c>
      <c r="M3" t="s">
        <v>1</v>
      </c>
      <c r="O3" t="s">
        <v>2</v>
      </c>
      <c r="P3" t="s">
        <v>1</v>
      </c>
      <c r="R3" t="s">
        <v>2</v>
      </c>
      <c r="S3" t="s">
        <v>1</v>
      </c>
    </row>
    <row r="4" spans="1:19" x14ac:dyDescent="0.35">
      <c r="A4" cm="1">
        <f t="array" aca="1" ref="A4:A172" ca="1">_xlfn._xlws.FILTER(INDIRECT("'" &amp; B1 &amp; "'!A2:A1000"),(INDIRECT("'" &amp; B1 &amp; "'!C2:C1000")&lt;G3) * (INDIRECT("'" &amp; B1 &amp; "'!C2:C1000")&lt;&gt;""))</f>
        <v>-5</v>
      </c>
      <c r="B4" cm="1">
        <f t="array" aca="1" ref="B4:B172" ca="1">_xlfn._xlws.FILTER(INDIRECT("'" &amp; B1 &amp; "'!C2:C1000"),(INDIRECT("'" &amp; B1 &amp; "'!C2:C1000")&lt;G3) * (INDIRECT("'" &amp; B1 &amp; "'!C2:C1000")&lt;&gt;""))</f>
        <v>5.985E-2</v>
      </c>
      <c r="C4">
        <f ca="1">IF(ISBLANK(D4), "",
IF(D4 &lt; $G$9,
    $G$10 + $G$19 * ($G$23 * (D4 - $G$9))^2 + $G$21 * (1 - (D4 - $G$6)/($G$9 - $G$6)),
IF(D4 &gt; $G$13,
    $G$14 + $G$19 * ($G$23 * (D4 - $G$13))^2 - $G$22 * (1 - (D4 - $G$6)/($G$13 - $G$6)),
IF(D4 &lt; $G$6,
    $G$16 * (D4 - $G$6)^2 + $G$5,
    $G$17 * (D4 - $G$6)^2 + $G$5))))</f>
        <v>0.20576110533306388</v>
      </c>
      <c r="D4" cm="1">
        <f t="array" aca="1" ref="D4:D172" ca="1">_xlfn._xlws.FILTER(INDIRECT("'" &amp; B1 &amp; "'!B2:B1000"),(INDIRECT("'" &amp; B1 &amp; "'!C2:C1000")&lt;G3) * (INDIRECT("'" &amp; B1 &amp; "'!C2:C1000")&lt;&gt;""))</f>
        <v>-0.38109999999999999</v>
      </c>
      <c r="I4">
        <f ca="1">$G$16 * (J4 - $G$6)^2 + $G$5</f>
        <v>8.1099999999999992E-3</v>
      </c>
      <c r="J4">
        <f ca="1">$G$9 + ($G$6 - $G$9) * (ROW(A1)-1)/99</f>
        <v>8.3999999999999995E-3</v>
      </c>
      <c r="L4">
        <f ca="1">$G$17 * (M4 - $G$6)^2 + $G$5</f>
        <v>8.1700000000000002E-3</v>
      </c>
      <c r="M4">
        <f ca="1">$G$13 + ($G$6 - $G$13) * (ROW(F1)-1)/99</f>
        <v>0.60719999999999996</v>
      </c>
      <c r="O4">
        <f ca="1">$G$10 + $G$19 * ($G$23 * (P4 - $G$9))^2 + $G$21 * (1 - (P4 - $G$6)/($G$9 - $G$6))</f>
        <v>0.20576110533306388</v>
      </c>
      <c r="P4">
        <f ca="1">$G$26 + ($G$9 - $G$26) * (ROW(A1)-1)/99</f>
        <v>-0.38109999999999999</v>
      </c>
      <c r="R4">
        <f ca="1">$G$14 + $G$19 * ($G$23 * (S4 - $G$13))^2 - $G$22 * (1 - (S4 - $G$6)/($G$13 - $G$6))</f>
        <v>8.1700000000000002E-3</v>
      </c>
      <c r="S4">
        <f ca="1">$G$13 + ($G$25 - $G$13) * (ROW(A1)-1)/99</f>
        <v>0.60719999999999996</v>
      </c>
    </row>
    <row r="5" spans="1:19" x14ac:dyDescent="0.35">
      <c r="A5">
        <f ca="1"/>
        <v>-4.95</v>
      </c>
      <c r="B5">
        <f ca="1"/>
        <v>5.8990000000000001E-2</v>
      </c>
      <c r="C5">
        <f t="shared" ref="C5:C68" ca="1" si="0">IF(ISBLANK(D5), "",
IF(D5 &lt; $G$9,
    $G$10 + $G$19 * ($G$23 * (D5 - $G$9))^2 + $G$21 * (1 - (D5 - $G$6)/($G$9 - $G$6)),
IF(D5 &gt; $G$13,
    $G$14 + $G$19 * ($G$23 * (D5 - $G$13))^2 - $G$22 * (1 - (D5 - $G$6)/($G$13 - $G$6)),
IF(D5 &lt; $G$6,
    $G$16 * (D5 - $G$6)^2 + $G$5,
    $G$17 * (D5 - $G$6)^2 + $G$5))))</f>
        <v>0.20407436825587208</v>
      </c>
      <c r="D5">
        <f ca="1"/>
        <v>-0.37940000000000002</v>
      </c>
      <c r="F5" t="s">
        <v>13</v>
      </c>
      <c r="G5">
        <f ca="1">MIN(B4:B1000)</f>
        <v>7.45E-3</v>
      </c>
      <c r="I5">
        <f t="shared" ref="I5:I68" ca="1" si="1">$G$16 * (J5 - $G$6)^2 + $G$5</f>
        <v>8.096734006734007E-3</v>
      </c>
      <c r="J5">
        <f t="shared" ref="J5:J68" ca="1" si="2">$G$9 + ($G$6 - $G$9) * (ROW(B2)-1)/99</f>
        <v>1.0958585858585859E-2</v>
      </c>
      <c r="L5">
        <f t="shared" ref="L5:L68" ca="1" si="3">$G$17 * (M5 - $G$6)^2 + $G$5</f>
        <v>8.1555280073461883E-3</v>
      </c>
      <c r="M5">
        <f t="shared" ref="M5:M68" ca="1" si="4">$G$13 + ($G$6 - $G$13) * (ROW(F2)-1)/99</f>
        <v>0.60371010101010092</v>
      </c>
      <c r="O5">
        <f t="shared" ref="O5:O68" ca="1" si="5">$G$10 + $G$19 * ($G$23 * (P5 - $G$9))^2 + $G$21 * (1 - (P5 - $G$6)/($G$9 - $G$6))</f>
        <v>0.20186844488484704</v>
      </c>
      <c r="P5">
        <f t="shared" ref="P5:P68" ca="1" si="6">$G$26 + ($G$9 - $G$26) * (ROW(B2)-1)/99</f>
        <v>-0.37716565656565654</v>
      </c>
      <c r="R5">
        <f t="shared" ref="R5:R68" ca="1" si="7">$G$14 + $G$19 * ($G$23 * (S5 - $G$13))^2 - $G$22 * (1 - (S5 - $G$6)/($G$13 - $G$6))</f>
        <v>8.2171832453193164E-3</v>
      </c>
      <c r="S5">
        <f t="shared" ref="S5:S68" ca="1" si="8">$G$13 + ($G$25 - $G$13) * (ROW(B2)-1)/99</f>
        <v>0.61018686868686867</v>
      </c>
    </row>
    <row r="6" spans="1:19" x14ac:dyDescent="0.35">
      <c r="A6">
        <f ca="1"/>
        <v>-4.9000000000000004</v>
      </c>
      <c r="B6">
        <f ca="1"/>
        <v>5.8139999999999997E-2</v>
      </c>
      <c r="C6">
        <f t="shared" ca="1" si="0"/>
        <v>0.20249345100675042</v>
      </c>
      <c r="D6">
        <f ca="1"/>
        <v>-0.37780000000000002</v>
      </c>
      <c r="F6" t="s">
        <v>14</v>
      </c>
      <c r="G6">
        <f ca="1">INDEX(D4:D1000, MATCH(G5, B4:B1000, 0))</f>
        <v>0.26169999999999999</v>
      </c>
      <c r="I6">
        <f t="shared" ca="1" si="1"/>
        <v>8.0836026936026931E-3</v>
      </c>
      <c r="J6">
        <f t="shared" ca="1" si="2"/>
        <v>1.3517171717171716E-2</v>
      </c>
      <c r="L6">
        <f t="shared" ca="1" si="3"/>
        <v>8.1412029384756654E-3</v>
      </c>
      <c r="M6">
        <f t="shared" ca="1" si="4"/>
        <v>0.60022020202020199</v>
      </c>
      <c r="O6">
        <f t="shared" ca="1" si="5"/>
        <v>0.19801448208227862</v>
      </c>
      <c r="P6">
        <f t="shared" ca="1" si="6"/>
        <v>-0.37323131313131314</v>
      </c>
      <c r="R6">
        <f t="shared" ca="1" si="7"/>
        <v>8.2866699520201207E-3</v>
      </c>
      <c r="S6">
        <f t="shared" ca="1" si="8"/>
        <v>0.61317373737373737</v>
      </c>
    </row>
    <row r="7" spans="1:19" x14ac:dyDescent="0.35">
      <c r="A7">
        <f ca="1"/>
        <v>-4.8499999999999996</v>
      </c>
      <c r="B7">
        <f ca="1"/>
        <v>5.7290000000000001E-2</v>
      </c>
      <c r="C7">
        <f t="shared" ca="1" si="0"/>
        <v>0.20091893375762868</v>
      </c>
      <c r="D7">
        <f ca="1"/>
        <v>-0.37619999999999998</v>
      </c>
      <c r="I7">
        <f t="shared" ca="1" si="1"/>
        <v>8.0706060606060594E-3</v>
      </c>
      <c r="J7">
        <f t="shared" ca="1" si="2"/>
        <v>1.6075757575757573E-2</v>
      </c>
      <c r="L7">
        <f t="shared" ca="1" si="3"/>
        <v>8.1270247933884297E-3</v>
      </c>
      <c r="M7">
        <f t="shared" ca="1" si="4"/>
        <v>0.59673030303030294</v>
      </c>
      <c r="O7">
        <f t="shared" ca="1" si="5"/>
        <v>0.19419921692535852</v>
      </c>
      <c r="P7">
        <f t="shared" ca="1" si="6"/>
        <v>-0.36929696969696968</v>
      </c>
      <c r="R7">
        <f t="shared" ca="1" si="7"/>
        <v>8.3784601201024201E-3</v>
      </c>
      <c r="S7">
        <f t="shared" ca="1" si="8"/>
        <v>0.61616060606060608</v>
      </c>
    </row>
    <row r="8" spans="1:19" x14ac:dyDescent="0.35">
      <c r="A8">
        <f ca="1"/>
        <v>-4.8</v>
      </c>
      <c r="B8">
        <f ca="1"/>
        <v>5.6430000000000001E-2</v>
      </c>
      <c r="C8">
        <f t="shared" ca="1" si="0"/>
        <v>0.19944863633657708</v>
      </c>
      <c r="D8">
        <f ca="1"/>
        <v>-0.37469999999999998</v>
      </c>
      <c r="F8" t="s">
        <v>15</v>
      </c>
      <c r="G8" s="5">
        <v>75</v>
      </c>
      <c r="I8">
        <f t="shared" ca="1" si="1"/>
        <v>8.0577441077441074E-3</v>
      </c>
      <c r="J8">
        <f t="shared" ca="1" si="2"/>
        <v>1.8634343434343434E-2</v>
      </c>
      <c r="L8">
        <f t="shared" ca="1" si="3"/>
        <v>8.1129935720844811E-3</v>
      </c>
      <c r="M8">
        <f t="shared" ca="1" si="4"/>
        <v>0.59324040404040401</v>
      </c>
      <c r="O8">
        <f t="shared" ca="1" si="5"/>
        <v>0.19042264941408693</v>
      </c>
      <c r="P8">
        <f t="shared" ca="1" si="6"/>
        <v>-0.36536262626262628</v>
      </c>
      <c r="R8">
        <f t="shared" ca="1" si="7"/>
        <v>8.4925537495662076E-3</v>
      </c>
      <c r="S8">
        <f t="shared" ca="1" si="8"/>
        <v>0.61914747474747467</v>
      </c>
    </row>
    <row r="9" spans="1:19" x14ac:dyDescent="0.35">
      <c r="A9">
        <f ca="1"/>
        <v>-4.75</v>
      </c>
      <c r="B9">
        <f ca="1"/>
        <v>5.5579999999999997E-2</v>
      </c>
      <c r="C9">
        <f t="shared" ca="1" si="0"/>
        <v>0.19798396391552547</v>
      </c>
      <c r="D9">
        <f ca="1"/>
        <v>-0.37319999999999998</v>
      </c>
      <c r="F9" t="s">
        <v>17</v>
      </c>
      <c r="G9" cm="1">
        <f t="array" aca="1" ref="G9" ca="1">INDEX(D4:D1000, G8)</f>
        <v>8.3999999999999995E-3</v>
      </c>
      <c r="I9">
        <f t="shared" ca="1" si="1"/>
        <v>8.0450168350168338E-3</v>
      </c>
      <c r="J9">
        <f t="shared" ca="1" si="2"/>
        <v>2.1192929292929291E-2</v>
      </c>
      <c r="L9">
        <f t="shared" ca="1" si="3"/>
        <v>8.0991092745638198E-3</v>
      </c>
      <c r="M9">
        <f t="shared" ca="1" si="4"/>
        <v>0.58975050505050497</v>
      </c>
      <c r="O9">
        <f t="shared" ca="1" si="5"/>
        <v>0.18668477954846369</v>
      </c>
      <c r="P9">
        <f t="shared" ca="1" si="6"/>
        <v>-0.36142828282828282</v>
      </c>
      <c r="R9">
        <f t="shared" ca="1" si="7"/>
        <v>8.6289508404114885E-3</v>
      </c>
      <c r="S9">
        <f t="shared" ca="1" si="8"/>
        <v>0.62213434343434337</v>
      </c>
    </row>
    <row r="10" spans="1:19" x14ac:dyDescent="0.35">
      <c r="A10">
        <f ca="1"/>
        <v>-4.7</v>
      </c>
      <c r="B10">
        <f ca="1"/>
        <v>5.4719999999999998E-2</v>
      </c>
      <c r="C10">
        <f t="shared" ca="1" si="0"/>
        <v>0.1965249164944739</v>
      </c>
      <c r="D10">
        <f ca="1"/>
        <v>-0.37169999999999997</v>
      </c>
      <c r="F10" t="s">
        <v>18</v>
      </c>
      <c r="G10" cm="1">
        <f t="array" aca="1" ref="G10" ca="1">INDEX(B4:B1000, G8)</f>
        <v>8.1099999999999992E-3</v>
      </c>
      <c r="I10">
        <f t="shared" ca="1" si="1"/>
        <v>8.032424242424242E-3</v>
      </c>
      <c r="J10">
        <f t="shared" ca="1" si="2"/>
        <v>2.3751515151515148E-2</v>
      </c>
      <c r="L10">
        <f t="shared" ca="1" si="3"/>
        <v>8.0853719008264456E-3</v>
      </c>
      <c r="M10">
        <f t="shared" ca="1" si="4"/>
        <v>0.58626060606060604</v>
      </c>
      <c r="O10">
        <f t="shared" ca="1" si="5"/>
        <v>0.18298560732848884</v>
      </c>
      <c r="P10">
        <f t="shared" ca="1" si="6"/>
        <v>-0.35749393939393936</v>
      </c>
      <c r="R10">
        <f t="shared" ca="1" si="7"/>
        <v>8.7876513926382627E-3</v>
      </c>
      <c r="S10">
        <f t="shared" ca="1" si="8"/>
        <v>0.62512121212121208</v>
      </c>
    </row>
    <row r="11" spans="1:19" x14ac:dyDescent="0.35">
      <c r="A11">
        <f ca="1"/>
        <v>-4.6500000000000004</v>
      </c>
      <c r="B11">
        <f ca="1"/>
        <v>5.3859999999999998E-2</v>
      </c>
      <c r="C11">
        <f t="shared" ca="1" si="0"/>
        <v>0.19516821390149244</v>
      </c>
      <c r="D11">
        <f ca="1"/>
        <v>-0.37030000000000002</v>
      </c>
      <c r="I11">
        <f t="shared" ca="1" si="1"/>
        <v>8.0199663299663285E-3</v>
      </c>
      <c r="J11">
        <f t="shared" ca="1" si="2"/>
        <v>2.6310101010101006E-2</v>
      </c>
      <c r="L11">
        <f t="shared" ca="1" si="3"/>
        <v>8.0717814508723604E-3</v>
      </c>
      <c r="M11">
        <f t="shared" ca="1" si="4"/>
        <v>0.58277070707070699</v>
      </c>
      <c r="O11">
        <f t="shared" ca="1" si="5"/>
        <v>0.17932513275416245</v>
      </c>
      <c r="P11">
        <f t="shared" ca="1" si="6"/>
        <v>-0.35355959595959596</v>
      </c>
      <c r="R11">
        <f t="shared" ca="1" si="7"/>
        <v>8.9686554062465285E-3</v>
      </c>
      <c r="S11">
        <f t="shared" ca="1" si="8"/>
        <v>0.62810808080808078</v>
      </c>
    </row>
    <row r="12" spans="1:19" x14ac:dyDescent="0.35">
      <c r="A12">
        <f ca="1"/>
        <v>-4.5999999999999996</v>
      </c>
      <c r="B12">
        <f ca="1"/>
        <v>5.2999999999999999E-2</v>
      </c>
      <c r="C12">
        <f t="shared" ca="1" si="0"/>
        <v>0.19381641130851093</v>
      </c>
      <c r="D12">
        <f ca="1"/>
        <v>-0.36890000000000001</v>
      </c>
      <c r="F12" t="s">
        <v>16</v>
      </c>
      <c r="G12" s="5">
        <v>130</v>
      </c>
      <c r="I12">
        <f t="shared" ca="1" si="1"/>
        <v>8.0076430976430968E-3</v>
      </c>
      <c r="J12">
        <f t="shared" ca="1" si="2"/>
        <v>2.8868686868686863E-2</v>
      </c>
      <c r="L12">
        <f t="shared" ca="1" si="3"/>
        <v>8.0583379247015606E-3</v>
      </c>
      <c r="M12">
        <f t="shared" ca="1" si="4"/>
        <v>0.57928080808080806</v>
      </c>
      <c r="O12">
        <f t="shared" ca="1" si="5"/>
        <v>0.17570335582548438</v>
      </c>
      <c r="P12">
        <f t="shared" ca="1" si="6"/>
        <v>-0.34962525252525251</v>
      </c>
      <c r="R12">
        <f t="shared" ca="1" si="7"/>
        <v>9.1719628812362876E-3</v>
      </c>
      <c r="S12">
        <f t="shared" ca="1" si="8"/>
        <v>0.63109494949494949</v>
      </c>
    </row>
    <row r="13" spans="1:19" x14ac:dyDescent="0.35">
      <c r="A13">
        <f ca="1"/>
        <v>-4.55</v>
      </c>
      <c r="B13">
        <f ca="1"/>
        <v>5.2130000000000003E-2</v>
      </c>
      <c r="C13">
        <f t="shared" ca="1" si="0"/>
        <v>0.19246950871552948</v>
      </c>
      <c r="D13">
        <f ca="1"/>
        <v>-0.36749999999999999</v>
      </c>
      <c r="F13" t="s">
        <v>19</v>
      </c>
      <c r="G13" cm="1">
        <f t="array" aca="1" ref="G13" ca="1">INDEX(D4:D1000, G12)</f>
        <v>0.60719999999999996</v>
      </c>
      <c r="I13">
        <f t="shared" ca="1" si="1"/>
        <v>7.9954545454545452E-3</v>
      </c>
      <c r="J13">
        <f t="shared" ca="1" si="2"/>
        <v>3.142727272727272E-2</v>
      </c>
      <c r="L13">
        <f t="shared" ca="1" si="3"/>
        <v>8.0450413223140498E-3</v>
      </c>
      <c r="M13">
        <f t="shared" ca="1" si="4"/>
        <v>0.57579090909090902</v>
      </c>
      <c r="O13">
        <f t="shared" ca="1" si="5"/>
        <v>0.17212027654245479</v>
      </c>
      <c r="P13">
        <f t="shared" ca="1" si="6"/>
        <v>-0.3456909090909091</v>
      </c>
      <c r="R13">
        <f t="shared" ca="1" si="7"/>
        <v>9.3975738176075366E-3</v>
      </c>
      <c r="S13">
        <f t="shared" ca="1" si="8"/>
        <v>0.63408181818181819</v>
      </c>
    </row>
    <row r="14" spans="1:19" x14ac:dyDescent="0.35">
      <c r="A14">
        <f ca="1"/>
        <v>-4.5</v>
      </c>
      <c r="B14">
        <f ca="1"/>
        <v>5.126E-2</v>
      </c>
      <c r="C14">
        <f t="shared" ca="1" si="0"/>
        <v>0.1913189207786882</v>
      </c>
      <c r="D14">
        <f ca="1"/>
        <v>-0.36630000000000001</v>
      </c>
      <c r="F14" t="s">
        <v>20</v>
      </c>
      <c r="G14" cm="1">
        <f t="array" aca="1" ref="G14" ca="1">INDEX(B4:B1000, G12)</f>
        <v>8.1700000000000002E-3</v>
      </c>
      <c r="I14">
        <f t="shared" ca="1" si="1"/>
        <v>7.9834006734006736E-3</v>
      </c>
      <c r="J14">
        <f t="shared" ca="1" si="2"/>
        <v>3.3985858585858578E-2</v>
      </c>
      <c r="L14">
        <f t="shared" ca="1" si="3"/>
        <v>8.0318916437098261E-3</v>
      </c>
      <c r="M14">
        <f t="shared" ca="1" si="4"/>
        <v>0.57230101010101009</v>
      </c>
      <c r="O14">
        <f t="shared" ca="1" si="5"/>
        <v>0.16857589490507358</v>
      </c>
      <c r="P14">
        <f t="shared" ca="1" si="6"/>
        <v>-0.34175656565656565</v>
      </c>
      <c r="R14">
        <f t="shared" ca="1" si="7"/>
        <v>9.6454882153602668E-3</v>
      </c>
      <c r="S14">
        <f t="shared" ca="1" si="8"/>
        <v>0.63706868686868678</v>
      </c>
    </row>
    <row r="15" spans="1:19" x14ac:dyDescent="0.35">
      <c r="A15">
        <f ca="1"/>
        <v>-4.45</v>
      </c>
      <c r="B15">
        <f ca="1"/>
        <v>5.0389999999999997E-2</v>
      </c>
      <c r="C15">
        <f t="shared" ca="1" si="0"/>
        <v>0.19017193284184689</v>
      </c>
      <c r="D15">
        <f ca="1"/>
        <v>-0.36509999999999998</v>
      </c>
      <c r="I15">
        <f t="shared" ca="1" si="1"/>
        <v>7.9714814814814804E-3</v>
      </c>
      <c r="J15">
        <f t="shared" ca="1" si="2"/>
        <v>3.6544444444444442E-2</v>
      </c>
      <c r="L15">
        <f t="shared" ca="1" si="3"/>
        <v>8.0188888888888896E-3</v>
      </c>
      <c r="M15">
        <f t="shared" ca="1" si="4"/>
        <v>0.56881111111111105</v>
      </c>
      <c r="O15">
        <f t="shared" ca="1" si="5"/>
        <v>0.1650702109133407</v>
      </c>
      <c r="P15">
        <f t="shared" ca="1" si="6"/>
        <v>-0.33782222222222219</v>
      </c>
      <c r="R15">
        <f t="shared" ca="1" si="7"/>
        <v>9.9157060744945007E-3</v>
      </c>
      <c r="S15">
        <f t="shared" ca="1" si="8"/>
        <v>0.64005555555555549</v>
      </c>
    </row>
    <row r="16" spans="1:19" x14ac:dyDescent="0.35">
      <c r="A16">
        <f ca="1"/>
        <v>-4.4000000000000004</v>
      </c>
      <c r="B16">
        <f ca="1"/>
        <v>4.9509999999999998E-2</v>
      </c>
      <c r="C16">
        <f t="shared" ca="1" si="0"/>
        <v>0.18921885956114584</v>
      </c>
      <c r="D16">
        <f ca="1"/>
        <v>-0.36409999999999998</v>
      </c>
      <c r="F16" t="s">
        <v>21</v>
      </c>
      <c r="G16">
        <f ca="1">(G10 - G5) / (G9 - G6)^2</f>
        <v>1.0286640350531286E-2</v>
      </c>
      <c r="I16">
        <f t="shared" ca="1" si="1"/>
        <v>7.959696969696969E-3</v>
      </c>
      <c r="J16">
        <f t="shared" ca="1" si="2"/>
        <v>3.9103030303030299E-2</v>
      </c>
      <c r="L16">
        <f t="shared" ca="1" si="3"/>
        <v>8.0060330578512404E-3</v>
      </c>
      <c r="M16">
        <f t="shared" ca="1" si="4"/>
        <v>0.56532121212121211</v>
      </c>
      <c r="O16">
        <f t="shared" ca="1" si="5"/>
        <v>0.16160322456725634</v>
      </c>
      <c r="P16">
        <f t="shared" ca="1" si="6"/>
        <v>-0.33388787878787879</v>
      </c>
      <c r="R16">
        <f t="shared" ca="1" si="7"/>
        <v>1.0208227395010226E-2</v>
      </c>
      <c r="S16">
        <f t="shared" ca="1" si="8"/>
        <v>0.64304242424242419</v>
      </c>
    </row>
    <row r="17" spans="1:19" x14ac:dyDescent="0.35">
      <c r="A17">
        <f ca="1"/>
        <v>-4.3499999999999996</v>
      </c>
      <c r="B17">
        <f ca="1"/>
        <v>4.8640000000000003E-2</v>
      </c>
      <c r="C17">
        <f t="shared" ca="1" si="0"/>
        <v>0.18836323110851488</v>
      </c>
      <c r="D17">
        <f ca="1"/>
        <v>-0.36320000000000002</v>
      </c>
      <c r="F17" t="s">
        <v>22</v>
      </c>
      <c r="G17">
        <f ca="1">(G14 - G5) / (G13 - G6)^2</f>
        <v>6.0316536155365363E-3</v>
      </c>
      <c r="I17">
        <f t="shared" ca="1" si="1"/>
        <v>7.9480471380471377E-3</v>
      </c>
      <c r="J17">
        <f t="shared" ca="1" si="2"/>
        <v>4.1661616161616156E-2</v>
      </c>
      <c r="L17">
        <f t="shared" ca="1" si="3"/>
        <v>7.9933241505968783E-3</v>
      </c>
      <c r="M17">
        <f t="shared" ca="1" si="4"/>
        <v>0.56183131313131307</v>
      </c>
      <c r="O17">
        <f t="shared" ca="1" si="5"/>
        <v>0.15817493586682035</v>
      </c>
      <c r="P17">
        <f t="shared" ca="1" si="6"/>
        <v>-0.32995353535353533</v>
      </c>
      <c r="R17">
        <f t="shared" ca="1" si="7"/>
        <v>1.0523052176907443E-2</v>
      </c>
      <c r="S17">
        <f t="shared" ca="1" si="8"/>
        <v>0.6460292929292929</v>
      </c>
    </row>
    <row r="18" spans="1:19" x14ac:dyDescent="0.35">
      <c r="A18">
        <f ca="1"/>
        <v>-4.3</v>
      </c>
      <c r="B18">
        <f ca="1"/>
        <v>4.7780000000000003E-2</v>
      </c>
      <c r="C18">
        <f t="shared" ca="1" si="0"/>
        <v>0.18798360179623447</v>
      </c>
      <c r="D18">
        <f ca="1"/>
        <v>-0.36280000000000001</v>
      </c>
      <c r="I18">
        <f t="shared" ca="1" si="1"/>
        <v>7.9365319865319865E-3</v>
      </c>
      <c r="J18">
        <f t="shared" ca="1" si="2"/>
        <v>4.4220202020202014E-2</v>
      </c>
      <c r="L18">
        <f t="shared" ca="1" si="3"/>
        <v>7.9807621671258034E-3</v>
      </c>
      <c r="M18">
        <f t="shared" ca="1" si="4"/>
        <v>0.55834141414141414</v>
      </c>
      <c r="O18">
        <f t="shared" ca="1" si="5"/>
        <v>0.15478534481203274</v>
      </c>
      <c r="P18">
        <f t="shared" ca="1" si="6"/>
        <v>-0.32601919191919193</v>
      </c>
      <c r="R18">
        <f t="shared" ca="1" si="7"/>
        <v>1.086018042018615E-2</v>
      </c>
      <c r="S18">
        <f t="shared" ca="1" si="8"/>
        <v>0.6490161616161616</v>
      </c>
    </row>
    <row r="19" spans="1:19" x14ac:dyDescent="0.35">
      <c r="A19">
        <f ca="1"/>
        <v>-4.25</v>
      </c>
      <c r="B19">
        <f ca="1"/>
        <v>4.6949999999999999E-2</v>
      </c>
      <c r="C19">
        <f t="shared" ca="1" si="0"/>
        <v>0.18807847162430455</v>
      </c>
      <c r="D19">
        <f ca="1"/>
        <v>-0.3629</v>
      </c>
      <c r="F19" t="s">
        <v>26</v>
      </c>
      <c r="G19" s="3">
        <v>0.05</v>
      </c>
      <c r="I19">
        <f t="shared" ca="1" si="1"/>
        <v>7.9251515151515153E-3</v>
      </c>
      <c r="J19">
        <f t="shared" ca="1" si="2"/>
        <v>4.6778787878787871E-2</v>
      </c>
      <c r="L19">
        <f t="shared" ca="1" si="3"/>
        <v>7.9683471074380174E-3</v>
      </c>
      <c r="M19">
        <f t="shared" ca="1" si="4"/>
        <v>0.5548515151515151</v>
      </c>
      <c r="O19">
        <f t="shared" ca="1" si="5"/>
        <v>0.15143445140289349</v>
      </c>
      <c r="P19">
        <f t="shared" ca="1" si="6"/>
        <v>-0.32208484848484847</v>
      </c>
      <c r="R19">
        <f t="shared" ca="1" si="7"/>
        <v>1.1219612124846352E-2</v>
      </c>
      <c r="S19">
        <f t="shared" ca="1" si="8"/>
        <v>0.65200303030303031</v>
      </c>
    </row>
    <row r="20" spans="1:19" x14ac:dyDescent="0.35">
      <c r="A20">
        <f ca="1"/>
        <v>-4.2</v>
      </c>
      <c r="B20">
        <f ca="1"/>
        <v>4.6059999999999997E-2</v>
      </c>
      <c r="C20">
        <f t="shared" ca="1" si="0"/>
        <v>0.18788875696816434</v>
      </c>
      <c r="D20">
        <f ca="1"/>
        <v>-0.36270000000000002</v>
      </c>
      <c r="F20" t="s">
        <v>27</v>
      </c>
      <c r="G20" s="3">
        <v>0.2</v>
      </c>
      <c r="I20">
        <f t="shared" ca="1" si="1"/>
        <v>7.9139057239057242E-3</v>
      </c>
      <c r="J20">
        <f t="shared" ca="1" si="2"/>
        <v>4.9337373737373728E-2</v>
      </c>
      <c r="L20">
        <f t="shared" ca="1" si="3"/>
        <v>7.9560789715335169E-3</v>
      </c>
      <c r="M20">
        <f t="shared" ca="1" si="4"/>
        <v>0.55136161616161616</v>
      </c>
      <c r="O20">
        <f t="shared" ca="1" si="5"/>
        <v>0.14812225563940271</v>
      </c>
      <c r="P20">
        <f t="shared" ca="1" si="6"/>
        <v>-0.31815050505050502</v>
      </c>
      <c r="R20">
        <f t="shared" ca="1" si="7"/>
        <v>1.1601347290888043E-2</v>
      </c>
      <c r="S20">
        <f t="shared" ca="1" si="8"/>
        <v>0.65498989898989901</v>
      </c>
    </row>
    <row r="21" spans="1:19" x14ac:dyDescent="0.35">
      <c r="A21">
        <f ca="1"/>
        <v>-4.1500000000000004</v>
      </c>
      <c r="B21">
        <f ca="1"/>
        <v>4.5060000000000003E-2</v>
      </c>
      <c r="C21">
        <f t="shared" ca="1" si="0"/>
        <v>0.18646908454711281</v>
      </c>
      <c r="D21">
        <f ca="1"/>
        <v>-0.36120000000000002</v>
      </c>
      <c r="F21" t="s">
        <v>28</v>
      </c>
      <c r="G21">
        <f ca="1">2 * (G10 - G5) * (G9 - G6) / (G9 - G6)^2</f>
        <v>-5.2112120015791489E-3</v>
      </c>
      <c r="I21">
        <f t="shared" ca="1" si="1"/>
        <v>7.9027946127946114E-3</v>
      </c>
      <c r="J21">
        <f t="shared" ca="1" si="2"/>
        <v>5.1895959595959593E-2</v>
      </c>
      <c r="L21">
        <f t="shared" ca="1" si="3"/>
        <v>7.9439577594123054E-3</v>
      </c>
      <c r="M21">
        <f t="shared" ca="1" si="4"/>
        <v>0.54787171717171712</v>
      </c>
      <c r="O21">
        <f t="shared" ca="1" si="5"/>
        <v>0.14484875752156032</v>
      </c>
      <c r="P21">
        <f t="shared" ca="1" si="6"/>
        <v>-0.31421616161616162</v>
      </c>
      <c r="R21">
        <f t="shared" ca="1" si="7"/>
        <v>1.2005385918311212E-2</v>
      </c>
      <c r="S21">
        <f t="shared" ca="1" si="8"/>
        <v>0.6579767676767676</v>
      </c>
    </row>
    <row r="22" spans="1:19" x14ac:dyDescent="0.35">
      <c r="A22">
        <f ca="1"/>
        <v>-4.0999999999999996</v>
      </c>
      <c r="B22">
        <f ca="1"/>
        <v>4.4130000000000003E-2</v>
      </c>
      <c r="C22">
        <f t="shared" ca="1" si="0"/>
        <v>0.18496096729799102</v>
      </c>
      <c r="D22">
        <f ca="1"/>
        <v>-0.35959999999999998</v>
      </c>
      <c r="F22" t="s">
        <v>29</v>
      </c>
      <c r="G22">
        <f ca="1">2 * (G14 - G5) * (G13 - G6) / (G13 - G6)^2</f>
        <v>4.1678726483357466E-3</v>
      </c>
      <c r="I22">
        <f t="shared" ca="1" si="1"/>
        <v>7.8918181818181821E-3</v>
      </c>
      <c r="J22">
        <f t="shared" ca="1" si="2"/>
        <v>5.4454545454545443E-2</v>
      </c>
      <c r="L22">
        <f t="shared" ca="1" si="3"/>
        <v>7.931983471074381E-3</v>
      </c>
      <c r="M22">
        <f t="shared" ca="1" si="4"/>
        <v>0.54438181818181819</v>
      </c>
      <c r="O22">
        <f t="shared" ca="1" si="5"/>
        <v>0.1416139570493663</v>
      </c>
      <c r="P22">
        <f t="shared" ca="1" si="6"/>
        <v>-0.31028181818181816</v>
      </c>
      <c r="R22">
        <f t="shared" ca="1" si="7"/>
        <v>1.2431728007115889E-2</v>
      </c>
      <c r="S22">
        <f t="shared" ca="1" si="8"/>
        <v>0.66096363636363631</v>
      </c>
    </row>
    <row r="23" spans="1:19" x14ac:dyDescent="0.35">
      <c r="A23">
        <f ca="1"/>
        <v>-4.05</v>
      </c>
      <c r="B23">
        <f ca="1"/>
        <v>4.3240000000000001E-2</v>
      </c>
      <c r="C23">
        <f t="shared" ca="1" si="0"/>
        <v>0.18336560522079925</v>
      </c>
      <c r="D23">
        <f ca="1"/>
        <v>-0.3579</v>
      </c>
      <c r="F23" t="s">
        <v>30</v>
      </c>
      <c r="G23">
        <f>1/G20</f>
        <v>5</v>
      </c>
      <c r="I23">
        <f t="shared" ca="1" si="1"/>
        <v>7.8809764309764312E-3</v>
      </c>
      <c r="J23">
        <f t="shared" ca="1" si="2"/>
        <v>5.7013131313131307E-2</v>
      </c>
      <c r="L23">
        <f t="shared" ca="1" si="3"/>
        <v>7.9201561065197438E-3</v>
      </c>
      <c r="M23">
        <f t="shared" ca="1" si="4"/>
        <v>0.54089191919191915</v>
      </c>
      <c r="O23">
        <f t="shared" ca="1" si="5"/>
        <v>0.13841785422282074</v>
      </c>
      <c r="P23">
        <f t="shared" ca="1" si="6"/>
        <v>-0.30634747474747476</v>
      </c>
      <c r="R23">
        <f t="shared" ca="1" si="7"/>
        <v>1.2880373557302056E-2</v>
      </c>
      <c r="S23">
        <f t="shared" ca="1" si="8"/>
        <v>0.66395050505050501</v>
      </c>
    </row>
    <row r="24" spans="1:19" x14ac:dyDescent="0.35">
      <c r="A24">
        <f ca="1"/>
        <v>-4</v>
      </c>
      <c r="B24">
        <f ca="1"/>
        <v>4.2349999999999999E-2</v>
      </c>
      <c r="C24">
        <f t="shared" ca="1" si="0"/>
        <v>0.18168427331553738</v>
      </c>
      <c r="D24">
        <f ca="1"/>
        <v>-0.35610000000000003</v>
      </c>
      <c r="I24">
        <f t="shared" ca="1" si="1"/>
        <v>7.8702693602693604E-3</v>
      </c>
      <c r="J24">
        <f t="shared" ca="1" si="2"/>
        <v>5.9571717171717158E-2</v>
      </c>
      <c r="L24">
        <f t="shared" ca="1" si="3"/>
        <v>7.9084756657483938E-3</v>
      </c>
      <c r="M24">
        <f t="shared" ca="1" si="4"/>
        <v>0.53740202020202021</v>
      </c>
      <c r="O24">
        <f t="shared" ca="1" si="5"/>
        <v>0.13526044904192355</v>
      </c>
      <c r="P24">
        <f t="shared" ca="1" si="6"/>
        <v>-0.3024131313131313</v>
      </c>
      <c r="R24">
        <f t="shared" ca="1" si="7"/>
        <v>1.3351322568869716E-2</v>
      </c>
      <c r="S24">
        <f t="shared" ca="1" si="8"/>
        <v>0.66693737373737372</v>
      </c>
    </row>
    <row r="25" spans="1:19" x14ac:dyDescent="0.35">
      <c r="A25">
        <f ca="1"/>
        <v>-3.95</v>
      </c>
      <c r="B25">
        <f ca="1"/>
        <v>4.1480000000000003E-2</v>
      </c>
      <c r="C25">
        <f t="shared" ca="1" si="0"/>
        <v>0.18001104141027544</v>
      </c>
      <c r="D25">
        <f ca="1"/>
        <v>-0.3543</v>
      </c>
      <c r="F25" t="s">
        <v>33</v>
      </c>
      <c r="G25">
        <f ca="1">MAX(D4:D1000)</f>
        <v>0.90290000000000004</v>
      </c>
      <c r="I25">
        <f t="shared" ca="1" si="1"/>
        <v>7.8596969696969696E-3</v>
      </c>
      <c r="J25">
        <f t="shared" ca="1" si="2"/>
        <v>6.2130303030303022E-2</v>
      </c>
      <c r="L25">
        <f t="shared" ca="1" si="3"/>
        <v>7.896942148760331E-3</v>
      </c>
      <c r="M25">
        <f t="shared" ca="1" si="4"/>
        <v>0.53391212121212117</v>
      </c>
      <c r="O25">
        <f t="shared" ca="1" si="5"/>
        <v>0.13214174150667474</v>
      </c>
      <c r="P25">
        <f t="shared" ca="1" si="6"/>
        <v>-0.29847878787878784</v>
      </c>
      <c r="R25">
        <f t="shared" ca="1" si="7"/>
        <v>1.3844575041818867E-2</v>
      </c>
      <c r="S25">
        <f t="shared" ca="1" si="8"/>
        <v>0.66992424242424242</v>
      </c>
    </row>
    <row r="26" spans="1:19" x14ac:dyDescent="0.35">
      <c r="A26">
        <f ca="1"/>
        <v>-3.9</v>
      </c>
      <c r="B26">
        <f ca="1"/>
        <v>4.061E-2</v>
      </c>
      <c r="C26">
        <f t="shared" ca="1" si="0"/>
        <v>0.17825363967694338</v>
      </c>
      <c r="D26">
        <f ca="1"/>
        <v>-0.35239999999999999</v>
      </c>
      <c r="F26" t="s">
        <v>14</v>
      </c>
      <c r="G26">
        <f ca="1">MIN(D4:D1000)</f>
        <v>-0.38109999999999999</v>
      </c>
      <c r="I26">
        <f t="shared" ca="1" si="1"/>
        <v>7.849259259259259E-3</v>
      </c>
      <c r="J26">
        <f t="shared" ca="1" si="2"/>
        <v>6.4688888888888879E-2</v>
      </c>
      <c r="L26">
        <f t="shared" ca="1" si="3"/>
        <v>7.8855555555555554E-3</v>
      </c>
      <c r="M26">
        <f t="shared" ca="1" si="4"/>
        <v>0.53042222222222224</v>
      </c>
      <c r="O26">
        <f t="shared" ca="1" si="5"/>
        <v>0.12906173161707438</v>
      </c>
      <c r="P26">
        <f t="shared" ca="1" si="6"/>
        <v>-0.29454444444444444</v>
      </c>
      <c r="R26">
        <f t="shared" ca="1" si="7"/>
        <v>1.4360130976149512E-2</v>
      </c>
      <c r="S26">
        <f t="shared" ca="1" si="8"/>
        <v>0.67291111111111113</v>
      </c>
    </row>
    <row r="27" spans="1:19" x14ac:dyDescent="0.35">
      <c r="A27">
        <f ca="1"/>
        <v>-3.85</v>
      </c>
      <c r="B27">
        <f ca="1"/>
        <v>3.9739999999999998E-2</v>
      </c>
      <c r="C27">
        <f t="shared" ca="1" si="0"/>
        <v>0.17650526294361138</v>
      </c>
      <c r="D27">
        <f ca="1"/>
        <v>-0.35049999999999998</v>
      </c>
      <c r="I27">
        <f t="shared" ca="1" si="1"/>
        <v>7.8389562289562283E-3</v>
      </c>
      <c r="J27">
        <f t="shared" ca="1" si="2"/>
        <v>6.7247474747474736E-2</v>
      </c>
      <c r="L27">
        <f t="shared" ca="1" si="3"/>
        <v>7.8743158861340687E-3</v>
      </c>
      <c r="M27">
        <f t="shared" ca="1" si="4"/>
        <v>0.5269323232323232</v>
      </c>
      <c r="O27">
        <f t="shared" ca="1" si="5"/>
        <v>0.12602041937312239</v>
      </c>
      <c r="P27">
        <f t="shared" ca="1" si="6"/>
        <v>-0.29061010101010099</v>
      </c>
      <c r="R27">
        <f t="shared" ca="1" si="7"/>
        <v>1.4897990371861645E-2</v>
      </c>
      <c r="S27">
        <f t="shared" ca="1" si="8"/>
        <v>0.67589797979797983</v>
      </c>
    </row>
    <row r="28" spans="1:19" x14ac:dyDescent="0.35">
      <c r="A28">
        <f ca="1"/>
        <v>-3.8</v>
      </c>
      <c r="B28">
        <f ca="1"/>
        <v>3.8879999999999998E-2</v>
      </c>
      <c r="C28">
        <f t="shared" ca="1" si="0"/>
        <v>0.17458334655413915</v>
      </c>
      <c r="D28">
        <f ca="1"/>
        <v>-0.34839999999999999</v>
      </c>
      <c r="F28" t="s">
        <v>44</v>
      </c>
      <c r="G28">
        <f ca="1">COUNTIF(B4:B1000, "&lt;&gt;")</f>
        <v>169</v>
      </c>
      <c r="I28">
        <f t="shared" ca="1" si="1"/>
        <v>7.8287878787878778E-3</v>
      </c>
      <c r="J28">
        <f t="shared" ca="1" si="2"/>
        <v>6.9806060606060594E-2</v>
      </c>
      <c r="L28">
        <f t="shared" ca="1" si="3"/>
        <v>7.8632231404958675E-3</v>
      </c>
      <c r="M28">
        <f t="shared" ca="1" si="4"/>
        <v>0.52344242424242426</v>
      </c>
      <c r="O28">
        <f t="shared" ca="1" si="5"/>
        <v>0.12301780477481883</v>
      </c>
      <c r="P28">
        <f t="shared" ca="1" si="6"/>
        <v>-0.28667575757575758</v>
      </c>
      <c r="R28">
        <f t="shared" ca="1" si="7"/>
        <v>1.5458153228955251E-2</v>
      </c>
      <c r="S28">
        <f t="shared" ca="1" si="8"/>
        <v>0.67888484848484842</v>
      </c>
    </row>
    <row r="29" spans="1:19" x14ac:dyDescent="0.35">
      <c r="A29">
        <f ca="1"/>
        <v>-3.75</v>
      </c>
      <c r="B29">
        <f ca="1"/>
        <v>3.8030000000000001E-2</v>
      </c>
      <c r="C29">
        <f t="shared" ca="1" si="0"/>
        <v>0.17276319999273701</v>
      </c>
      <c r="D29">
        <f ca="1"/>
        <v>-0.34639999999999999</v>
      </c>
      <c r="I29">
        <f t="shared" ca="1" si="1"/>
        <v>7.818754208754209E-3</v>
      </c>
      <c r="J29">
        <f t="shared" ca="1" si="2"/>
        <v>7.2364646464646465E-2</v>
      </c>
      <c r="L29">
        <f t="shared" ca="1" si="3"/>
        <v>7.8522773186409552E-3</v>
      </c>
      <c r="M29">
        <f t="shared" ca="1" si="4"/>
        <v>0.51995252525252522</v>
      </c>
      <c r="O29">
        <f t="shared" ca="1" si="5"/>
        <v>0.12005388782216364</v>
      </c>
      <c r="P29">
        <f t="shared" ca="1" si="6"/>
        <v>-0.28274141414141413</v>
      </c>
      <c r="R29">
        <f t="shared" ca="1" si="7"/>
        <v>1.6040619547430371E-2</v>
      </c>
      <c r="S29">
        <f t="shared" ca="1" si="8"/>
        <v>0.68187171717171713</v>
      </c>
    </row>
    <row r="30" spans="1:19" x14ac:dyDescent="0.35">
      <c r="A30">
        <f ca="1"/>
        <v>-3.7</v>
      </c>
      <c r="B30">
        <f ca="1"/>
        <v>3.7179999999999998E-2</v>
      </c>
      <c r="C30">
        <f t="shared" ca="1" si="0"/>
        <v>0.17077258877519469</v>
      </c>
      <c r="D30">
        <f ca="1"/>
        <v>-0.34420000000000001</v>
      </c>
      <c r="F30" t="s">
        <v>234</v>
      </c>
      <c r="G30" s="3">
        <f ca="1">(D30-D24)/(A30-A24)</f>
        <v>3.966666666666676E-2</v>
      </c>
      <c r="I30">
        <f t="shared" ca="1" si="1"/>
        <v>7.8088552188552186E-3</v>
      </c>
      <c r="J30">
        <f t="shared" ca="1" si="2"/>
        <v>7.4923232323232322E-2</v>
      </c>
      <c r="L30">
        <f t="shared" ca="1" si="3"/>
        <v>7.84147842056933E-3</v>
      </c>
      <c r="M30">
        <f t="shared" ca="1" si="4"/>
        <v>0.51646262626262618</v>
      </c>
      <c r="O30">
        <f t="shared" ca="1" si="5"/>
        <v>0.11712866851515687</v>
      </c>
      <c r="P30">
        <f t="shared" ca="1" si="6"/>
        <v>-0.27880707070707067</v>
      </c>
      <c r="R30">
        <f t="shared" ca="1" si="7"/>
        <v>1.6645389327286979E-2</v>
      </c>
      <c r="S30">
        <f t="shared" ca="1" si="8"/>
        <v>0.68485858585858583</v>
      </c>
    </row>
    <row r="31" spans="1:19" x14ac:dyDescent="0.35">
      <c r="A31">
        <f ca="1"/>
        <v>-3.65</v>
      </c>
      <c r="B31">
        <f ca="1"/>
        <v>3.6339999999999997E-2</v>
      </c>
      <c r="C31">
        <f t="shared" ca="1" si="0"/>
        <v>0.16870443272958224</v>
      </c>
      <c r="D31">
        <f ca="1"/>
        <v>-0.34189999999999998</v>
      </c>
      <c r="F31" t="s">
        <v>235</v>
      </c>
      <c r="G31">
        <f ca="1">G30*180/PI()</f>
        <v>2.2727325873522708</v>
      </c>
      <c r="I31">
        <f t="shared" ca="1" si="1"/>
        <v>7.7990909090909083E-3</v>
      </c>
      <c r="J31">
        <f t="shared" ca="1" si="2"/>
        <v>7.7481818181818179E-2</v>
      </c>
      <c r="L31">
        <f t="shared" ca="1" si="3"/>
        <v>7.8308264462809921E-3</v>
      </c>
      <c r="M31">
        <f t="shared" ca="1" si="4"/>
        <v>0.51297272727272725</v>
      </c>
      <c r="O31">
        <f t="shared" ca="1" si="5"/>
        <v>0.11424214685379853</v>
      </c>
      <c r="P31">
        <f t="shared" ca="1" si="6"/>
        <v>-0.27487272727272727</v>
      </c>
      <c r="R31">
        <f t="shared" ca="1" si="7"/>
        <v>1.7272462568525083E-2</v>
      </c>
      <c r="S31">
        <f t="shared" ca="1" si="8"/>
        <v>0.68784545454545454</v>
      </c>
    </row>
    <row r="32" spans="1:19" x14ac:dyDescent="0.35">
      <c r="A32">
        <f ca="1"/>
        <v>-3.6</v>
      </c>
      <c r="B32">
        <f ca="1"/>
        <v>3.5499999999999997E-2</v>
      </c>
      <c r="C32">
        <f t="shared" ca="1" si="0"/>
        <v>0.16656045685589971</v>
      </c>
      <c r="D32">
        <f ca="1"/>
        <v>-0.33950000000000002</v>
      </c>
      <c r="F32" t="s">
        <v>46</v>
      </c>
      <c r="G32">
        <f ca="1">G31/(2*PI())</f>
        <v>0.36171662560314671</v>
      </c>
      <c r="I32">
        <f t="shared" ca="1" si="1"/>
        <v>7.7894612794612789E-3</v>
      </c>
      <c r="J32">
        <f t="shared" ca="1" si="2"/>
        <v>8.0040404040404037E-2</v>
      </c>
      <c r="L32">
        <f t="shared" ca="1" si="3"/>
        <v>7.8203213957759414E-3</v>
      </c>
      <c r="M32">
        <f t="shared" ca="1" si="4"/>
        <v>0.5094828282828282</v>
      </c>
      <c r="O32">
        <f t="shared" ca="1" si="5"/>
        <v>0.11139432283808855</v>
      </c>
      <c r="P32">
        <f t="shared" ca="1" si="6"/>
        <v>-0.27093838383838381</v>
      </c>
      <c r="R32">
        <f t="shared" ca="1" si="7"/>
        <v>1.7921839271144678E-2</v>
      </c>
      <c r="S32">
        <f t="shared" ca="1" si="8"/>
        <v>0.69083232323232324</v>
      </c>
    </row>
    <row r="33" spans="1:29" x14ac:dyDescent="0.35">
      <c r="A33">
        <f ca="1"/>
        <v>-3.55</v>
      </c>
      <c r="B33">
        <f ca="1"/>
        <v>3.4669999999999999E-2</v>
      </c>
      <c r="C33">
        <f t="shared" ca="1" si="0"/>
        <v>0.16434246115414708</v>
      </c>
      <c r="D33">
        <f ca="1"/>
        <v>-0.33700000000000002</v>
      </c>
      <c r="I33">
        <f t="shared" ca="1" si="1"/>
        <v>7.7799663299663296E-3</v>
      </c>
      <c r="J33">
        <f t="shared" ca="1" si="2"/>
        <v>8.2598989898989894E-2</v>
      </c>
      <c r="L33">
        <f t="shared" ca="1" si="3"/>
        <v>7.8099632690541779E-3</v>
      </c>
      <c r="M33">
        <f t="shared" ca="1" si="4"/>
        <v>0.50599292929292927</v>
      </c>
      <c r="O33">
        <f t="shared" ca="1" si="5"/>
        <v>0.10858519646802703</v>
      </c>
      <c r="P33">
        <f t="shared" ca="1" si="6"/>
        <v>-0.26700404040404041</v>
      </c>
      <c r="R33">
        <f t="shared" ca="1" si="7"/>
        <v>1.8593519435145762E-2</v>
      </c>
      <c r="S33">
        <f t="shared" ca="1" si="8"/>
        <v>0.69381919191919195</v>
      </c>
      <c r="U33" t="s">
        <v>43</v>
      </c>
      <c r="W33" t="s">
        <v>34</v>
      </c>
      <c r="X33" t="s">
        <v>35</v>
      </c>
      <c r="Y33" t="s">
        <v>36</v>
      </c>
      <c r="Z33" t="s">
        <v>38</v>
      </c>
      <c r="AA33" t="s">
        <v>37</v>
      </c>
      <c r="AB33" t="s">
        <v>39</v>
      </c>
      <c r="AC33" t="s">
        <v>46</v>
      </c>
    </row>
    <row r="34" spans="1:29" x14ac:dyDescent="0.35">
      <c r="A34">
        <f ca="1"/>
        <v>-3.5</v>
      </c>
      <c r="B34">
        <f ca="1"/>
        <v>3.3840000000000002E-2</v>
      </c>
      <c r="C34">
        <f t="shared" ca="1" si="0"/>
        <v>0.16196457579625415</v>
      </c>
      <c r="D34">
        <f ca="1"/>
        <v>-0.33429999999999999</v>
      </c>
      <c r="I34">
        <f t="shared" ca="1" si="1"/>
        <v>7.7706060606060603E-3</v>
      </c>
      <c r="J34">
        <f t="shared" ca="1" si="2"/>
        <v>8.5157575757575751E-2</v>
      </c>
      <c r="L34">
        <f t="shared" ca="1" si="3"/>
        <v>7.7997520661157024E-3</v>
      </c>
      <c r="M34">
        <f t="shared" ca="1" si="4"/>
        <v>0.50250303030303023</v>
      </c>
      <c r="O34">
        <f t="shared" ca="1" si="5"/>
        <v>0.10581476774361387</v>
      </c>
      <c r="P34">
        <f t="shared" ca="1" si="6"/>
        <v>-0.26306969696969695</v>
      </c>
      <c r="R34">
        <f t="shared" ca="1" si="7"/>
        <v>1.9287503060528344E-2</v>
      </c>
      <c r="S34">
        <f t="shared" ca="1" si="8"/>
        <v>0.69680606060606065</v>
      </c>
      <c r="U34" s="4">
        <f ca="1">1 - SUMXMY2(B4:B1000, C4:C1000) / DEVSQ(_xlfn.ANCHORARRAY(B4))</f>
        <v>-24.819632982022274</v>
      </c>
      <c r="W34">
        <f ca="1">G9</f>
        <v>8.3999999999999995E-3</v>
      </c>
      <c r="X34">
        <f ca="1">G10</f>
        <v>8.1099999999999992E-3</v>
      </c>
      <c r="Y34">
        <f ca="1">G6</f>
        <v>0.26169999999999999</v>
      </c>
      <c r="Z34">
        <f ca="1">G5</f>
        <v>7.45E-3</v>
      </c>
      <c r="AA34">
        <f ca="1">G13</f>
        <v>0.60719999999999996</v>
      </c>
      <c r="AB34">
        <f ca="1">G14</f>
        <v>8.1700000000000002E-3</v>
      </c>
      <c r="AC34">
        <f ca="1">G32</f>
        <v>0.36171662560314671</v>
      </c>
    </row>
    <row r="35" spans="1:29" x14ac:dyDescent="0.35">
      <c r="A35">
        <f ca="1"/>
        <v>-3.45</v>
      </c>
      <c r="B35">
        <f ca="1"/>
        <v>3.3020000000000001E-2</v>
      </c>
      <c r="C35">
        <f t="shared" ca="1" si="0"/>
        <v>0.15951787061029121</v>
      </c>
      <c r="D35">
        <f ca="1"/>
        <v>-0.33150000000000002</v>
      </c>
      <c r="I35">
        <f t="shared" ca="1" si="1"/>
        <v>7.7613804713804711E-3</v>
      </c>
      <c r="J35">
        <f t="shared" ca="1" si="2"/>
        <v>8.7716161616161609E-2</v>
      </c>
      <c r="L35">
        <f t="shared" ca="1" si="3"/>
        <v>7.7896877869605141E-3</v>
      </c>
      <c r="M35">
        <f t="shared" ca="1" si="4"/>
        <v>0.4990131313131313</v>
      </c>
      <c r="O35">
        <f t="shared" ca="1" si="5"/>
        <v>0.10308303666484911</v>
      </c>
      <c r="P35">
        <f t="shared" ca="1" si="6"/>
        <v>-0.25913535353535355</v>
      </c>
      <c r="R35">
        <f t="shared" ca="1" si="7"/>
        <v>2.0003790147292387E-2</v>
      </c>
      <c r="S35">
        <f t="shared" ca="1" si="8"/>
        <v>0.69979292929292924</v>
      </c>
    </row>
    <row r="36" spans="1:29" x14ac:dyDescent="0.35">
      <c r="A36">
        <f ca="1"/>
        <v>-3.4</v>
      </c>
      <c r="B36">
        <f ca="1"/>
        <v>3.2199999999999999E-2</v>
      </c>
      <c r="C36">
        <f t="shared" ca="1" si="0"/>
        <v>0.15683188094011791</v>
      </c>
      <c r="D36">
        <f ca="1"/>
        <v>-0.32840000000000003</v>
      </c>
      <c r="I36">
        <f t="shared" ca="1" si="1"/>
        <v>7.752289562289562E-3</v>
      </c>
      <c r="J36">
        <f t="shared" ca="1" si="2"/>
        <v>9.0274747474747466E-2</v>
      </c>
      <c r="L36">
        <f t="shared" ca="1" si="3"/>
        <v>7.7797704315886139E-3</v>
      </c>
      <c r="M36">
        <f t="shared" ca="1" si="4"/>
        <v>0.49552323232323231</v>
      </c>
      <c r="O36">
        <f t="shared" ca="1" si="5"/>
        <v>0.10039000323173278</v>
      </c>
      <c r="P36">
        <f t="shared" ca="1" si="6"/>
        <v>-0.2552010101010101</v>
      </c>
      <c r="R36">
        <f t="shared" ca="1" si="7"/>
        <v>2.0742380695437945E-2</v>
      </c>
      <c r="S36">
        <f t="shared" ca="1" si="8"/>
        <v>0.70277979797979795</v>
      </c>
    </row>
    <row r="37" spans="1:29" x14ac:dyDescent="0.35">
      <c r="A37">
        <f ca="1"/>
        <v>-3.35</v>
      </c>
      <c r="B37">
        <f ca="1"/>
        <v>3.1379999999999998E-2</v>
      </c>
      <c r="C37">
        <f t="shared" ca="1" si="0"/>
        <v>0.15408444644187452</v>
      </c>
      <c r="D37">
        <f ca="1"/>
        <v>-0.32519999999999999</v>
      </c>
      <c r="I37">
        <f t="shared" ca="1" si="1"/>
        <v>7.743333333333333E-3</v>
      </c>
      <c r="J37">
        <f t="shared" ca="1" si="2"/>
        <v>9.2833333333333323E-2</v>
      </c>
      <c r="L37">
        <f t="shared" ca="1" si="3"/>
        <v>7.77E-3</v>
      </c>
      <c r="M37">
        <f t="shared" ca="1" si="4"/>
        <v>0.49203333333333332</v>
      </c>
      <c r="O37">
        <f t="shared" ca="1" si="5"/>
        <v>9.773566744426479E-2</v>
      </c>
      <c r="P37">
        <f t="shared" ca="1" si="6"/>
        <v>-0.25126666666666664</v>
      </c>
      <c r="R37">
        <f t="shared" ca="1" si="7"/>
        <v>2.1503274704964999E-2</v>
      </c>
      <c r="S37">
        <f t="shared" ca="1" si="8"/>
        <v>0.70576666666666665</v>
      </c>
    </row>
    <row r="38" spans="1:29" x14ac:dyDescent="0.35">
      <c r="A38">
        <f ca="1"/>
        <v>-3.3</v>
      </c>
      <c r="B38">
        <f ca="1"/>
        <v>3.057E-2</v>
      </c>
      <c r="C38">
        <f t="shared" ca="1" si="0"/>
        <v>0.15127796711556102</v>
      </c>
      <c r="D38">
        <f ca="1"/>
        <v>-0.32190000000000002</v>
      </c>
      <c r="I38">
        <f t="shared" ca="1" si="1"/>
        <v>7.734511784511784E-3</v>
      </c>
      <c r="J38">
        <f t="shared" ca="1" si="2"/>
        <v>9.5391919191919194E-2</v>
      </c>
      <c r="L38">
        <f t="shared" ca="1" si="3"/>
        <v>7.7603764921946742E-3</v>
      </c>
      <c r="M38">
        <f t="shared" ca="1" si="4"/>
        <v>0.48854343434343428</v>
      </c>
      <c r="O38">
        <f t="shared" ca="1" si="5"/>
        <v>9.5120029302445272E-2</v>
      </c>
      <c r="P38">
        <f t="shared" ca="1" si="6"/>
        <v>-0.24733232323232324</v>
      </c>
      <c r="R38">
        <f t="shared" ca="1" si="7"/>
        <v>2.2286472175873547E-2</v>
      </c>
      <c r="S38">
        <f t="shared" ca="1" si="8"/>
        <v>0.70875353535353536</v>
      </c>
    </row>
    <row r="39" spans="1:29" x14ac:dyDescent="0.35">
      <c r="A39">
        <f ca="1"/>
        <v>-3.25</v>
      </c>
      <c r="B39">
        <f ca="1"/>
        <v>2.9770000000000001E-2</v>
      </c>
      <c r="C39">
        <f t="shared" ca="1" si="0"/>
        <v>0.14816368347696704</v>
      </c>
      <c r="D39">
        <f ca="1"/>
        <v>-0.31819999999999998</v>
      </c>
      <c r="I39">
        <f t="shared" ca="1" si="1"/>
        <v>7.7258249158249151E-3</v>
      </c>
      <c r="J39">
        <f t="shared" ca="1" si="2"/>
        <v>9.7950505050505052E-2</v>
      </c>
      <c r="L39">
        <f t="shared" ca="1" si="3"/>
        <v>7.7508999081726355E-3</v>
      </c>
      <c r="M39">
        <f t="shared" ca="1" si="4"/>
        <v>0.48505353535353535</v>
      </c>
      <c r="O39">
        <f t="shared" ca="1" si="5"/>
        <v>9.254308880627414E-2</v>
      </c>
      <c r="P39">
        <f t="shared" ca="1" si="6"/>
        <v>-0.24339797979797978</v>
      </c>
      <c r="R39">
        <f t="shared" ca="1" si="7"/>
        <v>2.3091973108163581E-2</v>
      </c>
      <c r="S39">
        <f t="shared" ca="1" si="8"/>
        <v>0.71174040404040406</v>
      </c>
    </row>
    <row r="40" spans="1:29" x14ac:dyDescent="0.35">
      <c r="A40">
        <f ca="1"/>
        <v>-3.2</v>
      </c>
      <c r="B40">
        <f ca="1"/>
        <v>2.8969999999999999E-2</v>
      </c>
      <c r="C40">
        <f t="shared" ca="1" si="0"/>
        <v>0.14500085501030302</v>
      </c>
      <c r="D40">
        <f ca="1"/>
        <v>-0.31440000000000001</v>
      </c>
      <c r="I40">
        <f t="shared" ca="1" si="1"/>
        <v>7.7172727272727271E-3</v>
      </c>
      <c r="J40">
        <f t="shared" ca="1" si="2"/>
        <v>0.1005090909090909</v>
      </c>
      <c r="L40">
        <f t="shared" ca="1" si="3"/>
        <v>7.7415702479338841E-3</v>
      </c>
      <c r="M40">
        <f t="shared" ca="1" si="4"/>
        <v>0.4815636363636363</v>
      </c>
      <c r="O40">
        <f t="shared" ca="1" si="5"/>
        <v>9.0004845955751395E-2</v>
      </c>
      <c r="P40">
        <f t="shared" ca="1" si="6"/>
        <v>-0.23946363636363635</v>
      </c>
      <c r="R40">
        <f t="shared" ca="1" si="7"/>
        <v>2.391977750183508E-2</v>
      </c>
      <c r="S40">
        <f t="shared" ca="1" si="8"/>
        <v>0.71472727272727266</v>
      </c>
    </row>
    <row r="41" spans="1:29" x14ac:dyDescent="0.35">
      <c r="A41">
        <f ca="1"/>
        <v>-3.15</v>
      </c>
      <c r="B41">
        <f ca="1"/>
        <v>2.8170000000000001E-2</v>
      </c>
      <c r="C41">
        <f t="shared" ca="1" si="0"/>
        <v>0.14171056188749875</v>
      </c>
      <c r="D41">
        <f ca="1"/>
        <v>-0.31040000000000001</v>
      </c>
      <c r="I41">
        <f t="shared" ca="1" si="1"/>
        <v>7.7088552188552184E-3</v>
      </c>
      <c r="J41">
        <f t="shared" ca="1" si="2"/>
        <v>0.10306767676767677</v>
      </c>
      <c r="L41">
        <f t="shared" ca="1" si="3"/>
        <v>7.7323875114784207E-3</v>
      </c>
      <c r="M41">
        <f t="shared" ca="1" si="4"/>
        <v>0.47807373737373737</v>
      </c>
      <c r="O41">
        <f t="shared" ca="1" si="5"/>
        <v>8.7505300750877063E-2</v>
      </c>
      <c r="P41">
        <f t="shared" ca="1" si="6"/>
        <v>-0.23552929292929292</v>
      </c>
      <c r="R41">
        <f t="shared" ca="1" si="7"/>
        <v>2.4769885356888097E-2</v>
      </c>
      <c r="S41">
        <f t="shared" ca="1" si="8"/>
        <v>0.71771414141414136</v>
      </c>
    </row>
    <row r="42" spans="1:29" x14ac:dyDescent="0.35">
      <c r="A42">
        <f ca="1"/>
        <v>-3.1</v>
      </c>
      <c r="B42">
        <f ca="1"/>
        <v>2.7380000000000002E-2</v>
      </c>
      <c r="C42">
        <f t="shared" ca="1" si="0"/>
        <v>0.1382181092804842</v>
      </c>
      <c r="D42">
        <f ca="1"/>
        <v>-0.30609999999999998</v>
      </c>
      <c r="I42">
        <f t="shared" ca="1" si="1"/>
        <v>7.7005723905723905E-3</v>
      </c>
      <c r="J42">
        <f t="shared" ca="1" si="2"/>
        <v>0.10562626262626262</v>
      </c>
      <c r="L42">
        <f t="shared" ca="1" si="3"/>
        <v>7.7233516988062445E-3</v>
      </c>
      <c r="M42">
        <f t="shared" ca="1" si="4"/>
        <v>0.47458383838383833</v>
      </c>
      <c r="O42">
        <f t="shared" ca="1" si="5"/>
        <v>8.5044453191651131E-2</v>
      </c>
      <c r="P42">
        <f t="shared" ca="1" si="6"/>
        <v>-0.23159494949494949</v>
      </c>
      <c r="R42">
        <f t="shared" ca="1" si="7"/>
        <v>2.5642296673322611E-2</v>
      </c>
      <c r="S42">
        <f t="shared" ca="1" si="8"/>
        <v>0.72070101010101006</v>
      </c>
    </row>
    <row r="43" spans="1:29" x14ac:dyDescent="0.35">
      <c r="A43">
        <f ca="1"/>
        <v>-3.05</v>
      </c>
      <c r="B43">
        <f ca="1"/>
        <v>2.6589999999999999E-2</v>
      </c>
      <c r="C43">
        <f t="shared" ca="1" si="0"/>
        <v>0.13453317218925931</v>
      </c>
      <c r="D43">
        <f ca="1"/>
        <v>-0.30149999999999999</v>
      </c>
      <c r="I43">
        <f t="shared" ca="1" si="1"/>
        <v>7.6924242424242419E-3</v>
      </c>
      <c r="J43">
        <f t="shared" ca="1" si="2"/>
        <v>0.10818484848484848</v>
      </c>
      <c r="L43">
        <f t="shared" ca="1" si="3"/>
        <v>7.7144628099173555E-3</v>
      </c>
      <c r="M43">
        <f t="shared" ca="1" si="4"/>
        <v>0.4710939393939394</v>
      </c>
      <c r="O43">
        <f t="shared" ca="1" si="5"/>
        <v>8.26223032780736E-2</v>
      </c>
      <c r="P43">
        <f t="shared" ca="1" si="6"/>
        <v>-0.22766060606060606</v>
      </c>
      <c r="R43">
        <f t="shared" ca="1" si="7"/>
        <v>2.6537011451138615E-2</v>
      </c>
      <c r="S43">
        <f t="shared" ca="1" si="8"/>
        <v>0.72368787878787877</v>
      </c>
    </row>
    <row r="44" spans="1:29" x14ac:dyDescent="0.35">
      <c r="A44">
        <f ca="1"/>
        <v>-3</v>
      </c>
      <c r="B44">
        <f ca="1"/>
        <v>2.58E-2</v>
      </c>
      <c r="C44">
        <f t="shared" ca="1" si="0"/>
        <v>0.13074442044189422</v>
      </c>
      <c r="D44">
        <f ca="1"/>
        <v>-0.29670000000000002</v>
      </c>
      <c r="I44">
        <f t="shared" ca="1" si="1"/>
        <v>7.6844107744107742E-3</v>
      </c>
      <c r="J44">
        <f t="shared" ca="1" si="2"/>
        <v>0.11074343434343432</v>
      </c>
      <c r="L44">
        <f t="shared" ca="1" si="3"/>
        <v>7.7057208448117536E-3</v>
      </c>
      <c r="M44">
        <f t="shared" ca="1" si="4"/>
        <v>0.46760404040404036</v>
      </c>
      <c r="O44">
        <f t="shared" ca="1" si="5"/>
        <v>8.0238851010144469E-2</v>
      </c>
      <c r="P44">
        <f t="shared" ca="1" si="6"/>
        <v>-0.22372626262626261</v>
      </c>
      <c r="R44">
        <f t="shared" ca="1" si="7"/>
        <v>2.7454029690336109E-2</v>
      </c>
      <c r="S44">
        <f t="shared" ca="1" si="8"/>
        <v>0.72667474747474747</v>
      </c>
    </row>
    <row r="45" spans="1:29" x14ac:dyDescent="0.35">
      <c r="A45">
        <f ca="1"/>
        <v>-2.95</v>
      </c>
      <c r="B45">
        <f ca="1"/>
        <v>2.5020000000000001E-2</v>
      </c>
      <c r="C45">
        <f t="shared" ca="1" si="0"/>
        <v>0.1268590540383889</v>
      </c>
      <c r="D45">
        <f ca="1"/>
        <v>-0.29170000000000001</v>
      </c>
      <c r="I45">
        <f t="shared" ca="1" si="1"/>
        <v>7.6765319865319866E-3</v>
      </c>
      <c r="J45">
        <f t="shared" ca="1" si="2"/>
        <v>0.1133020202020202</v>
      </c>
      <c r="L45">
        <f t="shared" ca="1" si="3"/>
        <v>7.6971258034894399E-3</v>
      </c>
      <c r="M45">
        <f t="shared" ca="1" si="4"/>
        <v>0.46411414141414137</v>
      </c>
      <c r="O45">
        <f t="shared" ca="1" si="5"/>
        <v>7.7894096387863779E-2</v>
      </c>
      <c r="P45">
        <f t="shared" ca="1" si="6"/>
        <v>-0.21979191919191918</v>
      </c>
      <c r="R45">
        <f t="shared" ca="1" si="7"/>
        <v>2.83933513909151E-2</v>
      </c>
      <c r="S45">
        <f t="shared" ca="1" si="8"/>
        <v>0.72966161616161618</v>
      </c>
    </row>
    <row r="46" spans="1:29" x14ac:dyDescent="0.35">
      <c r="A46">
        <f ca="1"/>
        <v>-2.9</v>
      </c>
      <c r="B46">
        <f ca="1"/>
        <v>2.4240000000000001E-2</v>
      </c>
      <c r="C46">
        <f t="shared" ca="1" si="0"/>
        <v>0.12273305832260314</v>
      </c>
      <c r="D46">
        <f ca="1"/>
        <v>-0.2863</v>
      </c>
      <c r="I46">
        <f t="shared" ca="1" si="1"/>
        <v>7.6687878787878782E-3</v>
      </c>
      <c r="J46">
        <f t="shared" ca="1" si="2"/>
        <v>0.11586060606060605</v>
      </c>
      <c r="L46">
        <f t="shared" ca="1" si="3"/>
        <v>7.6886776859504133E-3</v>
      </c>
      <c r="M46">
        <f t="shared" ca="1" si="4"/>
        <v>0.46062424242424238</v>
      </c>
      <c r="O46">
        <f t="shared" ca="1" si="5"/>
        <v>7.558803941123142E-2</v>
      </c>
      <c r="P46">
        <f t="shared" ca="1" si="6"/>
        <v>-0.21585757575757572</v>
      </c>
      <c r="R46">
        <f t="shared" ca="1" si="7"/>
        <v>2.935497655287558E-2</v>
      </c>
      <c r="S46">
        <f t="shared" ca="1" si="8"/>
        <v>0.73264848484848488</v>
      </c>
    </row>
    <row r="47" spans="1:29" x14ac:dyDescent="0.35">
      <c r="A47">
        <f ca="1"/>
        <v>-2.85</v>
      </c>
      <c r="B47">
        <f ca="1"/>
        <v>2.3480000000000001E-2</v>
      </c>
      <c r="C47">
        <f t="shared" ca="1" si="0"/>
        <v>0.1185312479506772</v>
      </c>
      <c r="D47">
        <f ca="1"/>
        <v>-0.28070000000000001</v>
      </c>
      <c r="I47">
        <f t="shared" ca="1" si="1"/>
        <v>7.6611784511784508E-3</v>
      </c>
      <c r="J47">
        <f t="shared" ca="1" si="2"/>
        <v>0.1184191919191919</v>
      </c>
      <c r="L47">
        <f t="shared" ca="1" si="3"/>
        <v>7.6803764921946739E-3</v>
      </c>
      <c r="M47">
        <f t="shared" ca="1" si="4"/>
        <v>0.45713434343434345</v>
      </c>
      <c r="O47">
        <f t="shared" ca="1" si="5"/>
        <v>7.3320680080247516E-2</v>
      </c>
      <c r="P47">
        <f t="shared" ca="1" si="6"/>
        <v>-0.21192323232323232</v>
      </c>
      <c r="R47">
        <f t="shared" ca="1" si="7"/>
        <v>3.0338905176217516E-2</v>
      </c>
      <c r="S47">
        <f t="shared" ca="1" si="8"/>
        <v>0.73563535353535348</v>
      </c>
    </row>
    <row r="48" spans="1:29" x14ac:dyDescent="0.35">
      <c r="A48">
        <f ca="1"/>
        <v>-2.8</v>
      </c>
      <c r="B48">
        <f ca="1"/>
        <v>2.2710000000000001E-2</v>
      </c>
      <c r="C48">
        <f t="shared" ca="1" si="0"/>
        <v>0.1141891530945409</v>
      </c>
      <c r="D48">
        <f ca="1"/>
        <v>-0.27479999999999999</v>
      </c>
      <c r="I48">
        <f t="shared" ca="1" si="1"/>
        <v>7.6537037037037034E-3</v>
      </c>
      <c r="J48">
        <f t="shared" ca="1" si="2"/>
        <v>0.12097777777777777</v>
      </c>
      <c r="L48">
        <f t="shared" ca="1" si="3"/>
        <v>7.6722222222222226E-3</v>
      </c>
      <c r="M48">
        <f t="shared" ca="1" si="4"/>
        <v>0.45364444444444441</v>
      </c>
      <c r="O48">
        <f t="shared" ca="1" si="5"/>
        <v>7.1092018394912027E-2</v>
      </c>
      <c r="P48">
        <f t="shared" ca="1" si="6"/>
        <v>-0.20798888888888886</v>
      </c>
      <c r="R48">
        <f t="shared" ca="1" si="7"/>
        <v>3.1345137260940979E-2</v>
      </c>
      <c r="S48">
        <f t="shared" ca="1" si="8"/>
        <v>0.73862222222222218</v>
      </c>
    </row>
    <row r="49" spans="1:19" x14ac:dyDescent="0.35">
      <c r="A49">
        <f ca="1"/>
        <v>-2.75</v>
      </c>
      <c r="B49">
        <f ca="1"/>
        <v>2.196E-2</v>
      </c>
      <c r="C49">
        <f t="shared" ca="1" si="0"/>
        <v>0.10964875392612425</v>
      </c>
      <c r="D49">
        <f ca="1"/>
        <v>-0.26850000000000002</v>
      </c>
      <c r="I49">
        <f t="shared" ca="1" si="1"/>
        <v>7.646363636363636E-3</v>
      </c>
      <c r="J49">
        <f t="shared" ca="1" si="2"/>
        <v>0.12353636363636362</v>
      </c>
      <c r="L49">
        <f t="shared" ca="1" si="3"/>
        <v>7.6642148760330576E-3</v>
      </c>
      <c r="M49">
        <f t="shared" ca="1" si="4"/>
        <v>0.45015454545454542</v>
      </c>
      <c r="O49">
        <f t="shared" ca="1" si="5"/>
        <v>6.8902054355224923E-2</v>
      </c>
      <c r="P49">
        <f t="shared" ca="1" si="6"/>
        <v>-0.20405454545454546</v>
      </c>
      <c r="R49">
        <f t="shared" ca="1" si="7"/>
        <v>3.2373672807045929E-2</v>
      </c>
      <c r="S49">
        <f t="shared" ca="1" si="8"/>
        <v>0.74160909090909088</v>
      </c>
    </row>
    <row r="50" spans="1:19" x14ac:dyDescent="0.35">
      <c r="A50">
        <f ca="1"/>
        <v>-2.7</v>
      </c>
      <c r="B50">
        <f ca="1"/>
        <v>2.1229999999999999E-2</v>
      </c>
      <c r="C50">
        <f t="shared" ca="1" si="0"/>
        <v>0.10506821510156734</v>
      </c>
      <c r="D50">
        <f ca="1"/>
        <v>-0.26200000000000001</v>
      </c>
      <c r="I50">
        <f t="shared" ca="1" si="1"/>
        <v>7.6391582491582488E-3</v>
      </c>
      <c r="J50">
        <f t="shared" ca="1" si="2"/>
        <v>0.12609494949494948</v>
      </c>
      <c r="L50">
        <f t="shared" ca="1" si="3"/>
        <v>7.6563544536271807E-3</v>
      </c>
      <c r="M50">
        <f t="shared" ca="1" si="4"/>
        <v>0.44666464646464643</v>
      </c>
      <c r="O50">
        <f t="shared" ca="1" si="5"/>
        <v>6.6750787961186206E-2</v>
      </c>
      <c r="P50">
        <f t="shared" ca="1" si="6"/>
        <v>-0.200120202020202</v>
      </c>
      <c r="R50">
        <f t="shared" ca="1" si="7"/>
        <v>3.3424511814532376E-2</v>
      </c>
      <c r="S50">
        <f t="shared" ca="1" si="8"/>
        <v>0.74459595959595959</v>
      </c>
    </row>
    <row r="51" spans="1:19" x14ac:dyDescent="0.35">
      <c r="A51">
        <f ca="1"/>
        <v>-2.65</v>
      </c>
      <c r="B51">
        <f ca="1"/>
        <v>2.0500000000000001E-2</v>
      </c>
      <c r="C51">
        <f t="shared" ca="1" si="0"/>
        <v>0.10032137196473001</v>
      </c>
      <c r="D51">
        <f ca="1"/>
        <v>-0.25509999999999999</v>
      </c>
      <c r="I51">
        <f t="shared" ca="1" si="1"/>
        <v>7.6320875420875416E-3</v>
      </c>
      <c r="J51">
        <f t="shared" ca="1" si="2"/>
        <v>0.12865353535353535</v>
      </c>
      <c r="L51">
        <f t="shared" ca="1" si="3"/>
        <v>7.648640955004591E-3</v>
      </c>
      <c r="M51">
        <f t="shared" ca="1" si="4"/>
        <v>0.44317474747474744</v>
      </c>
      <c r="O51">
        <f t="shared" ca="1" si="5"/>
        <v>6.4638219212795903E-2</v>
      </c>
      <c r="P51">
        <f t="shared" ca="1" si="6"/>
        <v>-0.19618585858585857</v>
      </c>
      <c r="R51">
        <f t="shared" ca="1" si="7"/>
        <v>3.449765428340032E-2</v>
      </c>
      <c r="S51">
        <f t="shared" ca="1" si="8"/>
        <v>0.74758282828282829</v>
      </c>
    </row>
    <row r="52" spans="1:19" x14ac:dyDescent="0.35">
      <c r="A52">
        <f ca="1"/>
        <v>-2.6</v>
      </c>
      <c r="B52">
        <f ca="1"/>
        <v>1.9789999999999999E-2</v>
      </c>
      <c r="C52">
        <f t="shared" ca="1" si="0"/>
        <v>9.5495044343682348E-2</v>
      </c>
      <c r="D52">
        <f ca="1"/>
        <v>-0.24790000000000001</v>
      </c>
      <c r="I52">
        <f t="shared" ca="1" si="1"/>
        <v>7.6251515151515153E-3</v>
      </c>
      <c r="J52">
        <f t="shared" ca="1" si="2"/>
        <v>0.1312121212121212</v>
      </c>
      <c r="L52">
        <f t="shared" ca="1" si="3"/>
        <v>7.6410743801652893E-3</v>
      </c>
      <c r="M52">
        <f t="shared" ca="1" si="4"/>
        <v>0.43968484848484846</v>
      </c>
      <c r="O52">
        <f t="shared" ca="1" si="5"/>
        <v>6.2564348110053999E-2</v>
      </c>
      <c r="P52">
        <f t="shared" ca="1" si="6"/>
        <v>-0.19225151515151512</v>
      </c>
      <c r="R52">
        <f t="shared" ca="1" si="7"/>
        <v>3.5593100213649746E-2</v>
      </c>
      <c r="S52">
        <f t="shared" ca="1" si="8"/>
        <v>0.750569696969697</v>
      </c>
    </row>
    <row r="53" spans="1:19" x14ac:dyDescent="0.35">
      <c r="A53">
        <f ca="1"/>
        <v>-2.5499999999999998</v>
      </c>
      <c r="B53">
        <f ca="1"/>
        <v>1.9099999999999999E-2</v>
      </c>
      <c r="C53">
        <f t="shared" ca="1" si="0"/>
        <v>9.0605432238424377E-2</v>
      </c>
      <c r="D53">
        <f ca="1"/>
        <v>-0.2404</v>
      </c>
      <c r="I53">
        <f t="shared" ca="1" si="1"/>
        <v>7.6183501683501683E-3</v>
      </c>
      <c r="J53">
        <f t="shared" ca="1" si="2"/>
        <v>0.13377070707070704</v>
      </c>
      <c r="L53">
        <f t="shared" ca="1" si="3"/>
        <v>7.6336547291092748E-3</v>
      </c>
      <c r="M53">
        <f t="shared" ca="1" si="4"/>
        <v>0.43619494949494952</v>
      </c>
      <c r="O53">
        <f t="shared" ca="1" si="5"/>
        <v>6.0529174652960531E-2</v>
      </c>
      <c r="P53">
        <f t="shared" ca="1" si="6"/>
        <v>-0.18831717171717172</v>
      </c>
      <c r="R53">
        <f t="shared" ca="1" si="7"/>
        <v>3.671084960528067E-2</v>
      </c>
      <c r="S53">
        <f t="shared" ca="1" si="8"/>
        <v>0.7535565656565657</v>
      </c>
    </row>
    <row r="54" spans="1:19" x14ac:dyDescent="0.35">
      <c r="A54">
        <f ca="1"/>
        <v>-2.5</v>
      </c>
      <c r="B54">
        <f ca="1"/>
        <v>1.8419999999999999E-2</v>
      </c>
      <c r="C54">
        <f t="shared" ca="1" si="0"/>
        <v>8.5669410648956099E-2</v>
      </c>
      <c r="D54">
        <f ca="1"/>
        <v>-0.2326</v>
      </c>
      <c r="I54">
        <f t="shared" ca="1" si="1"/>
        <v>7.6116835016835013E-3</v>
      </c>
      <c r="J54">
        <f t="shared" ca="1" si="2"/>
        <v>0.13632929292929291</v>
      </c>
      <c r="L54">
        <f t="shared" ca="1" si="3"/>
        <v>7.6263820018365475E-3</v>
      </c>
      <c r="M54">
        <f t="shared" ca="1" si="4"/>
        <v>0.43270505050505048</v>
      </c>
      <c r="O54">
        <f t="shared" ca="1" si="5"/>
        <v>5.8532698841515421E-2</v>
      </c>
      <c r="P54">
        <f t="shared" ca="1" si="6"/>
        <v>-0.18438282828282826</v>
      </c>
      <c r="R54">
        <f t="shared" ca="1" si="7"/>
        <v>3.7850902458293041E-2</v>
      </c>
      <c r="S54">
        <f t="shared" ca="1" si="8"/>
        <v>0.7565434343434343</v>
      </c>
    </row>
    <row r="55" spans="1:19" x14ac:dyDescent="0.35">
      <c r="A55">
        <f ca="1"/>
        <v>-2.4500000000000002</v>
      </c>
      <c r="B55">
        <f ca="1"/>
        <v>1.7760000000000001E-2</v>
      </c>
      <c r="C55">
        <f t="shared" ca="1" si="0"/>
        <v>8.0704529575277462E-2</v>
      </c>
      <c r="D55">
        <f ca="1"/>
        <v>-0.22450000000000001</v>
      </c>
      <c r="I55">
        <f t="shared" ca="1" si="1"/>
        <v>7.6051515151515153E-3</v>
      </c>
      <c r="J55">
        <f t="shared" ca="1" si="2"/>
        <v>0.13888787878787875</v>
      </c>
      <c r="L55">
        <f t="shared" ca="1" si="3"/>
        <v>7.6192561983471074E-3</v>
      </c>
      <c r="M55">
        <f t="shared" ca="1" si="4"/>
        <v>0.42921515151515144</v>
      </c>
      <c r="O55">
        <f t="shared" ca="1" si="5"/>
        <v>5.6574920675718753E-2</v>
      </c>
      <c r="P55">
        <f t="shared" ca="1" si="6"/>
        <v>-0.18044848484848486</v>
      </c>
      <c r="R55">
        <f t="shared" ca="1" si="7"/>
        <v>3.9013258772686944E-2</v>
      </c>
      <c r="S55">
        <f t="shared" ca="1" si="8"/>
        <v>0.759530303030303</v>
      </c>
    </row>
    <row r="56" spans="1:19" x14ac:dyDescent="0.35">
      <c r="A56">
        <f ca="1"/>
        <v>-2.4</v>
      </c>
      <c r="B56">
        <f ca="1"/>
        <v>1.712E-2</v>
      </c>
      <c r="C56">
        <f t="shared" ca="1" si="0"/>
        <v>7.5787208845458642E-2</v>
      </c>
      <c r="D56">
        <f ca="1"/>
        <v>-0.2162</v>
      </c>
      <c r="I56">
        <f t="shared" ca="1" si="1"/>
        <v>7.5987542087542085E-3</v>
      </c>
      <c r="J56">
        <f t="shared" ca="1" si="2"/>
        <v>0.14144646464646463</v>
      </c>
      <c r="L56">
        <f t="shared" ca="1" si="3"/>
        <v>7.6122773186409554E-3</v>
      </c>
      <c r="M56">
        <f t="shared" ca="1" si="4"/>
        <v>0.42572525252525251</v>
      </c>
      <c r="O56">
        <f t="shared" ca="1" si="5"/>
        <v>5.4655840155570463E-2</v>
      </c>
      <c r="P56">
        <f t="shared" ca="1" si="6"/>
        <v>-0.1765141414141414</v>
      </c>
      <c r="R56">
        <f t="shared" ca="1" si="7"/>
        <v>4.0197918548462337E-2</v>
      </c>
      <c r="S56">
        <f t="shared" ca="1" si="8"/>
        <v>0.7625171717171717</v>
      </c>
    </row>
    <row r="57" spans="1:19" x14ac:dyDescent="0.35">
      <c r="A57">
        <f ca="1"/>
        <v>-2.35</v>
      </c>
      <c r="B57">
        <f ca="1"/>
        <v>1.6490000000000001E-2</v>
      </c>
      <c r="C57">
        <f t="shared" ca="1" si="0"/>
        <v>7.0817783803359402E-2</v>
      </c>
      <c r="D57">
        <f ca="1"/>
        <v>-0.20749999999999999</v>
      </c>
      <c r="I57">
        <f t="shared" ca="1" si="1"/>
        <v>7.5924915824915826E-3</v>
      </c>
      <c r="J57">
        <f t="shared" ca="1" si="2"/>
        <v>0.1440050505050505</v>
      </c>
      <c r="L57">
        <f t="shared" ca="1" si="3"/>
        <v>7.6054453627180897E-3</v>
      </c>
      <c r="M57">
        <f t="shared" ca="1" si="4"/>
        <v>0.42223535353535352</v>
      </c>
      <c r="O57">
        <f t="shared" ca="1" si="5"/>
        <v>5.2775457281070595E-2</v>
      </c>
      <c r="P57">
        <f t="shared" ca="1" si="6"/>
        <v>-0.17257979797979797</v>
      </c>
      <c r="R57">
        <f t="shared" ca="1" si="7"/>
        <v>4.1404881785619241E-2</v>
      </c>
      <c r="S57">
        <f t="shared" ca="1" si="8"/>
        <v>0.76550404040404041</v>
      </c>
    </row>
    <row r="58" spans="1:19" x14ac:dyDescent="0.35">
      <c r="A58">
        <f ca="1"/>
        <v>-2.2999999999999998</v>
      </c>
      <c r="B58">
        <f ca="1"/>
        <v>1.5890000000000001E-2</v>
      </c>
      <c r="C58">
        <f t="shared" ca="1" si="0"/>
        <v>6.5929919105119944E-2</v>
      </c>
      <c r="D58">
        <f ca="1"/>
        <v>-0.1986</v>
      </c>
      <c r="I58">
        <f t="shared" ca="1" si="1"/>
        <v>7.5863636363636359E-3</v>
      </c>
      <c r="J58">
        <f t="shared" ca="1" si="2"/>
        <v>0.14656363636363634</v>
      </c>
      <c r="L58">
        <f t="shared" ca="1" si="3"/>
        <v>7.5987603305785129E-3</v>
      </c>
      <c r="M58">
        <f t="shared" ca="1" si="4"/>
        <v>0.41874545454545453</v>
      </c>
      <c r="O58">
        <f t="shared" ca="1" si="5"/>
        <v>5.0933772052219099E-2</v>
      </c>
      <c r="P58">
        <f t="shared" ca="1" si="6"/>
        <v>-0.16864545454545452</v>
      </c>
      <c r="R58">
        <f t="shared" ca="1" si="7"/>
        <v>4.2634148484157627E-2</v>
      </c>
      <c r="S58">
        <f t="shared" ca="1" si="8"/>
        <v>0.76849090909090911</v>
      </c>
    </row>
    <row r="59" spans="1:19" x14ac:dyDescent="0.35">
      <c r="A59">
        <f ca="1"/>
        <v>-2.25</v>
      </c>
      <c r="B59">
        <f ca="1"/>
        <v>1.5299999999999999E-2</v>
      </c>
      <c r="C59">
        <f t="shared" ca="1" si="0"/>
        <v>6.1085444922670179E-2</v>
      </c>
      <c r="D59">
        <f ca="1"/>
        <v>-0.18940000000000001</v>
      </c>
      <c r="I59">
        <f t="shared" ca="1" si="1"/>
        <v>7.5803703703703701E-3</v>
      </c>
      <c r="J59">
        <f t="shared" ca="1" si="2"/>
        <v>0.14912222222222218</v>
      </c>
      <c r="L59">
        <f t="shared" ca="1" si="3"/>
        <v>7.5922222222222224E-3</v>
      </c>
      <c r="M59">
        <f t="shared" ca="1" si="4"/>
        <v>0.41525555555555554</v>
      </c>
      <c r="O59">
        <f t="shared" ca="1" si="5"/>
        <v>4.9130784469016038E-2</v>
      </c>
      <c r="P59">
        <f t="shared" ca="1" si="6"/>
        <v>-0.16471111111111111</v>
      </c>
      <c r="R59">
        <f t="shared" ca="1" si="7"/>
        <v>4.388571864407749E-2</v>
      </c>
      <c r="S59">
        <f t="shared" ca="1" si="8"/>
        <v>0.77147777777777782</v>
      </c>
    </row>
    <row r="60" spans="1:19" x14ac:dyDescent="0.35">
      <c r="A60">
        <f ca="1"/>
        <v>-2.2000000000000002</v>
      </c>
      <c r="B60">
        <f ca="1"/>
        <v>1.473E-2</v>
      </c>
      <c r="C60">
        <f t="shared" ca="1" si="0"/>
        <v>5.6354206084080184E-2</v>
      </c>
      <c r="D60">
        <f ca="1"/>
        <v>-0.18</v>
      </c>
      <c r="I60">
        <f t="shared" ca="1" si="1"/>
        <v>7.5745117845117844E-3</v>
      </c>
      <c r="J60">
        <f t="shared" ca="1" si="2"/>
        <v>0.15168080808080805</v>
      </c>
      <c r="L60">
        <f t="shared" ca="1" si="3"/>
        <v>7.5858310376492192E-3</v>
      </c>
      <c r="M60">
        <f t="shared" ca="1" si="4"/>
        <v>0.41176565656565656</v>
      </c>
      <c r="O60">
        <f t="shared" ca="1" si="5"/>
        <v>4.736649453146137E-2</v>
      </c>
      <c r="P60">
        <f t="shared" ca="1" si="6"/>
        <v>-0.16077676767676766</v>
      </c>
      <c r="R60">
        <f t="shared" ca="1" si="7"/>
        <v>4.5159592265378856E-2</v>
      </c>
      <c r="S60">
        <f t="shared" ca="1" si="8"/>
        <v>0.77446464646464652</v>
      </c>
    </row>
    <row r="61" spans="1:19" x14ac:dyDescent="0.35">
      <c r="A61">
        <f ca="1"/>
        <v>-2.15</v>
      </c>
      <c r="B61">
        <f ca="1"/>
        <v>1.417E-2</v>
      </c>
      <c r="C61">
        <f t="shared" ca="1" si="0"/>
        <v>5.1703557761279877E-2</v>
      </c>
      <c r="D61">
        <f ca="1"/>
        <v>-0.17030000000000001</v>
      </c>
      <c r="I61">
        <f t="shared" ca="1" si="1"/>
        <v>7.5687878787878788E-3</v>
      </c>
      <c r="J61">
        <f t="shared" ca="1" si="2"/>
        <v>0.15423939393939393</v>
      </c>
      <c r="L61">
        <f t="shared" ca="1" si="3"/>
        <v>7.5795867768595039E-3</v>
      </c>
      <c r="M61">
        <f t="shared" ca="1" si="4"/>
        <v>0.40827575757575751</v>
      </c>
      <c r="O61">
        <f t="shared" ca="1" si="5"/>
        <v>4.5640902239555102E-2</v>
      </c>
      <c r="P61">
        <f t="shared" ca="1" si="6"/>
        <v>-0.15684242424242426</v>
      </c>
      <c r="R61">
        <f t="shared" ca="1" si="7"/>
        <v>4.6455769348061671E-2</v>
      </c>
      <c r="S61">
        <f t="shared" ca="1" si="8"/>
        <v>0.77745151515151512</v>
      </c>
    </row>
    <row r="62" spans="1:19" x14ac:dyDescent="0.35">
      <c r="A62">
        <f ca="1"/>
        <v>-2.1</v>
      </c>
      <c r="B62">
        <f ca="1"/>
        <v>1.363E-2</v>
      </c>
      <c r="C62">
        <f t="shared" ca="1" si="0"/>
        <v>4.7243839610409469E-2</v>
      </c>
      <c r="D62">
        <f ca="1"/>
        <v>-0.1605</v>
      </c>
      <c r="I62">
        <f t="shared" ca="1" si="1"/>
        <v>7.5631986531986533E-3</v>
      </c>
      <c r="J62">
        <f t="shared" ca="1" si="2"/>
        <v>0.15679797979797977</v>
      </c>
      <c r="L62">
        <f t="shared" ca="1" si="3"/>
        <v>7.5734894398530759E-3</v>
      </c>
      <c r="M62">
        <f t="shared" ca="1" si="4"/>
        <v>0.40478585858585858</v>
      </c>
      <c r="O62">
        <f t="shared" ca="1" si="5"/>
        <v>4.3954007593297234E-2</v>
      </c>
      <c r="P62">
        <f t="shared" ca="1" si="6"/>
        <v>-0.1529080808080808</v>
      </c>
      <c r="R62">
        <f t="shared" ca="1" si="7"/>
        <v>4.7774249892126017E-2</v>
      </c>
      <c r="S62">
        <f t="shared" ca="1" si="8"/>
        <v>0.78043838383838382</v>
      </c>
    </row>
    <row r="63" spans="1:19" x14ac:dyDescent="0.35">
      <c r="A63">
        <f ca="1"/>
        <v>-2.0499999999999998</v>
      </c>
      <c r="B63">
        <f ca="1"/>
        <v>1.312E-2</v>
      </c>
      <c r="C63">
        <f t="shared" ca="1" si="0"/>
        <v>4.2857092147258621E-2</v>
      </c>
      <c r="D63">
        <f ca="1"/>
        <v>-0.15029999999999999</v>
      </c>
      <c r="I63">
        <f t="shared" ca="1" si="1"/>
        <v>7.5577441077441078E-3</v>
      </c>
      <c r="J63">
        <f t="shared" ca="1" si="2"/>
        <v>0.15935656565656561</v>
      </c>
      <c r="L63">
        <f t="shared" ca="1" si="3"/>
        <v>7.567539026629936E-3</v>
      </c>
      <c r="M63">
        <f t="shared" ca="1" si="4"/>
        <v>0.40129595959595954</v>
      </c>
      <c r="O63">
        <f t="shared" ca="1" si="5"/>
        <v>4.230581059268778E-2</v>
      </c>
      <c r="P63">
        <f t="shared" ca="1" si="6"/>
        <v>-0.14897373737373737</v>
      </c>
      <c r="R63">
        <f t="shared" ca="1" si="7"/>
        <v>4.9115033897571853E-2</v>
      </c>
      <c r="S63">
        <f t="shared" ca="1" si="8"/>
        <v>0.78342525252525252</v>
      </c>
    </row>
    <row r="64" spans="1:19" x14ac:dyDescent="0.35">
      <c r="A64">
        <f ca="1"/>
        <v>-2</v>
      </c>
      <c r="B64">
        <f ca="1"/>
        <v>1.2619999999999999E-2</v>
      </c>
      <c r="C64">
        <f t="shared" ca="1" si="0"/>
        <v>3.8730444684107787E-2</v>
      </c>
      <c r="D64">
        <f ca="1"/>
        <v>-0.1401</v>
      </c>
      <c r="I64">
        <f t="shared" ca="1" si="1"/>
        <v>7.5524242424242424E-3</v>
      </c>
      <c r="J64">
        <f t="shared" ca="1" si="2"/>
        <v>0.16191515151515148</v>
      </c>
      <c r="L64">
        <f t="shared" ca="1" si="3"/>
        <v>7.5617355371900823E-3</v>
      </c>
      <c r="M64">
        <f t="shared" ca="1" si="4"/>
        <v>0.39780606060606061</v>
      </c>
      <c r="O64">
        <f t="shared" ca="1" si="5"/>
        <v>4.0696311237726712E-2</v>
      </c>
      <c r="P64">
        <f t="shared" ca="1" si="6"/>
        <v>-0.14503939393939391</v>
      </c>
      <c r="R64">
        <f t="shared" ca="1" si="7"/>
        <v>5.0478121364399185E-2</v>
      </c>
      <c r="S64">
        <f t="shared" ca="1" si="8"/>
        <v>0.78641212121212123</v>
      </c>
    </row>
    <row r="65" spans="1:19" x14ac:dyDescent="0.35">
      <c r="A65">
        <f ca="1"/>
        <v>-1.95</v>
      </c>
      <c r="B65">
        <f ca="1"/>
        <v>1.2149999999999999E-2</v>
      </c>
      <c r="C65">
        <f t="shared" ca="1" si="0"/>
        <v>3.4754112736746633E-2</v>
      </c>
      <c r="D65">
        <f ca="1"/>
        <v>-0.12959999999999999</v>
      </c>
      <c r="I65">
        <f t="shared" ca="1" si="1"/>
        <v>7.5472390572390571E-3</v>
      </c>
      <c r="J65">
        <f t="shared" ca="1" si="2"/>
        <v>0.16447373737373736</v>
      </c>
      <c r="L65">
        <f t="shared" ca="1" si="3"/>
        <v>7.5560789715335168E-3</v>
      </c>
      <c r="M65">
        <f t="shared" ca="1" si="4"/>
        <v>0.39431616161616156</v>
      </c>
      <c r="O65">
        <f t="shared" ca="1" si="5"/>
        <v>3.9125509528414065E-2</v>
      </c>
      <c r="P65">
        <f t="shared" ca="1" si="6"/>
        <v>-0.14110505050505051</v>
      </c>
      <c r="R65">
        <f t="shared" ca="1" si="7"/>
        <v>5.1863512292608015E-2</v>
      </c>
      <c r="S65">
        <f t="shared" ca="1" si="8"/>
        <v>0.78939898989898993</v>
      </c>
    </row>
    <row r="66" spans="1:19" x14ac:dyDescent="0.35">
      <c r="A66">
        <f ca="1"/>
        <v>-1.9</v>
      </c>
      <c r="B66">
        <f ca="1"/>
        <v>1.1679999999999999E-2</v>
      </c>
      <c r="C66">
        <f t="shared" ca="1" si="0"/>
        <v>3.1053405789385476E-2</v>
      </c>
      <c r="D66">
        <f ca="1"/>
        <v>-0.1191</v>
      </c>
      <c r="I66">
        <f t="shared" ca="1" si="1"/>
        <v>7.5421885521885518E-3</v>
      </c>
      <c r="J66">
        <f t="shared" ca="1" si="2"/>
        <v>0.1670323232323232</v>
      </c>
      <c r="L66">
        <f t="shared" ca="1" si="3"/>
        <v>7.5505693296602392E-3</v>
      </c>
      <c r="M66">
        <f t="shared" ca="1" si="4"/>
        <v>0.39082626262626263</v>
      </c>
      <c r="O66">
        <f t="shared" ca="1" si="5"/>
        <v>3.7593405464749804E-2</v>
      </c>
      <c r="P66">
        <f t="shared" ca="1" si="6"/>
        <v>-0.13717070707070705</v>
      </c>
      <c r="R66">
        <f t="shared" ca="1" si="7"/>
        <v>5.3271206682198272E-2</v>
      </c>
      <c r="S66">
        <f t="shared" ca="1" si="8"/>
        <v>0.79238585858585853</v>
      </c>
    </row>
    <row r="67" spans="1:19" x14ac:dyDescent="0.35">
      <c r="A67">
        <f ca="1"/>
        <v>-1.85</v>
      </c>
      <c r="B67">
        <f ca="1"/>
        <v>1.124E-2</v>
      </c>
      <c r="C67">
        <f t="shared" ca="1" si="0"/>
        <v>2.7628323842024325E-2</v>
      </c>
      <c r="D67">
        <f ca="1"/>
        <v>-0.1086</v>
      </c>
      <c r="I67">
        <f t="shared" ca="1" si="1"/>
        <v>7.5372727272727275E-3</v>
      </c>
      <c r="J67">
        <f t="shared" ca="1" si="2"/>
        <v>0.16959090909090907</v>
      </c>
      <c r="L67">
        <f t="shared" ca="1" si="3"/>
        <v>7.5452066115702481E-3</v>
      </c>
      <c r="M67">
        <f t="shared" ca="1" si="4"/>
        <v>0.38733636363636359</v>
      </c>
      <c r="O67">
        <f t="shared" ca="1" si="5"/>
        <v>3.6099999046733972E-2</v>
      </c>
      <c r="P67">
        <f t="shared" ca="1" si="6"/>
        <v>-0.13323636363636365</v>
      </c>
      <c r="R67">
        <f t="shared" ca="1" si="7"/>
        <v>5.4701204533170129E-2</v>
      </c>
      <c r="S67">
        <f t="shared" ca="1" si="8"/>
        <v>0.79537272727272734</v>
      </c>
    </row>
    <row r="68" spans="1:19" x14ac:dyDescent="0.35">
      <c r="A68">
        <f ca="1"/>
        <v>-1.8</v>
      </c>
      <c r="B68">
        <f ca="1"/>
        <v>1.081E-2</v>
      </c>
      <c r="C68">
        <f t="shared" ca="1" si="0"/>
        <v>2.4450197066593061E-2</v>
      </c>
      <c r="D68">
        <f ca="1"/>
        <v>-9.8000000000000004E-2</v>
      </c>
      <c r="I68">
        <f t="shared" ca="1" si="1"/>
        <v>7.5324915824915824E-3</v>
      </c>
      <c r="J68">
        <f t="shared" ca="1" si="2"/>
        <v>0.17214949494949491</v>
      </c>
      <c r="L68">
        <f t="shared" ca="1" si="3"/>
        <v>7.5399908172635449E-3</v>
      </c>
      <c r="M68">
        <f t="shared" ca="1" si="4"/>
        <v>0.38384646464646466</v>
      </c>
      <c r="O68">
        <f t="shared" ca="1" si="5"/>
        <v>3.4645290274366525E-2</v>
      </c>
      <c r="P68">
        <f t="shared" ca="1" si="6"/>
        <v>-0.1293020202020202</v>
      </c>
      <c r="R68">
        <f t="shared" ca="1" si="7"/>
        <v>5.6153505845523387E-2</v>
      </c>
      <c r="S68">
        <f t="shared" ca="1" si="8"/>
        <v>0.79835959595959594</v>
      </c>
    </row>
    <row r="69" spans="1:19" x14ac:dyDescent="0.35">
      <c r="A69">
        <f ca="1"/>
        <v>-1.75</v>
      </c>
      <c r="B69">
        <f ca="1"/>
        <v>1.0410000000000001E-2</v>
      </c>
      <c r="C69">
        <f t="shared" ref="C69:C132" ca="1" si="9">IF(ISBLANK(D69), "",
IF(D69 &lt; $G$9,
    $G$10 + $G$19 * ($G$23 * (D69 - $G$9))^2 + $G$21 * (1 - (D69 - $G$6)/($G$9 - $G$6)),
IF(D69 &gt; $G$13,
    $G$14 + $G$19 * ($G$23 * (D69 - $G$13))^2 - $G$22 * (1 - (D69 - $G$6)/($G$13 - $G$6)),
IF(D69 &lt; $G$6,
    $G$16 * (D69 - $G$6)^2 + $G$5,
    $G$17 * (D69 - $G$6)^2 + $G$5))))</f>
        <v>2.1578990119231901E-2</v>
      </c>
      <c r="D69">
        <f ca="1"/>
        <v>-8.7499999999999994E-2</v>
      </c>
      <c r="I69">
        <f t="shared" ref="I69:I103" ca="1" si="10">$G$16 * (J69 - $G$6)^2 + $G$5</f>
        <v>7.5278451178451174E-3</v>
      </c>
      <c r="J69">
        <f t="shared" ref="J69:J103" ca="1" si="11">$G$9 + ($G$6 - $G$9) * (ROW(B66)-1)/99</f>
        <v>0.17470808080808078</v>
      </c>
      <c r="L69">
        <f t="shared" ref="L69:L103" ca="1" si="12">$G$17 * (M69 - $G$6)^2 + $G$5</f>
        <v>7.534921946740129E-3</v>
      </c>
      <c r="M69">
        <f t="shared" ref="M69:M103" ca="1" si="13">$G$13 + ($G$6 - $G$13) * (ROW(F66)-1)/99</f>
        <v>0.38035656565656562</v>
      </c>
      <c r="O69">
        <f t="shared" ref="O69:O103" ca="1" si="14">$G$10 + $G$19 * ($G$23 * (P69 - $G$9))^2 + $G$21 * (1 - (P69 - $G$6)/($G$9 - $G$6))</f>
        <v>3.3229279147647471E-2</v>
      </c>
      <c r="P69">
        <f t="shared" ref="P69:P103" ca="1" si="15">$G$26 + ($G$9 - $G$26) * (ROW(B66)-1)/99</f>
        <v>-0.12536767676767674</v>
      </c>
      <c r="R69">
        <f t="shared" ref="R69:R103" ca="1" si="16">$G$14 + $G$19 * ($G$23 * (S69 - $G$13))^2 - $G$22 * (1 - (S69 - $G$6)/($G$13 - $G$6))</f>
        <v>5.7628110619258176E-2</v>
      </c>
      <c r="S69">
        <f t="shared" ref="S69:S103" ca="1" si="17">$G$13 + ($G$25 - $G$13) * (ROW(B66)-1)/99</f>
        <v>0.80134646464646464</v>
      </c>
    </row>
    <row r="70" spans="1:19" x14ac:dyDescent="0.35">
      <c r="A70">
        <f ca="1"/>
        <v>-1.7</v>
      </c>
      <c r="B70">
        <f ca="1"/>
        <v>1.0019999999999999E-2</v>
      </c>
      <c r="C70">
        <f t="shared" ca="1" si="9"/>
        <v>1.9006827999940849E-2</v>
      </c>
      <c r="D70">
        <f ca="1"/>
        <v>-7.7100000000000002E-2</v>
      </c>
      <c r="I70">
        <f t="shared" ca="1" si="10"/>
        <v>7.5233333333333333E-3</v>
      </c>
      <c r="J70">
        <f t="shared" ca="1" si="11"/>
        <v>0.17726666666666663</v>
      </c>
      <c r="L70">
        <f t="shared" ca="1" si="12"/>
        <v>7.5300000000000002E-3</v>
      </c>
      <c r="M70">
        <f t="shared" ca="1" si="13"/>
        <v>0.37686666666666668</v>
      </c>
      <c r="O70">
        <f t="shared" ca="1" si="14"/>
        <v>3.1851965666576845E-2</v>
      </c>
      <c r="P70">
        <f t="shared" ca="1" si="15"/>
        <v>-0.12143333333333334</v>
      </c>
      <c r="R70">
        <f t="shared" ca="1" si="16"/>
        <v>5.9125018854374455E-2</v>
      </c>
      <c r="S70">
        <f t="shared" ca="1" si="17"/>
        <v>0.80433333333333334</v>
      </c>
    </row>
    <row r="71" spans="1:19" x14ac:dyDescent="0.35">
      <c r="A71">
        <f ca="1"/>
        <v>-1.65</v>
      </c>
      <c r="B71">
        <f ca="1"/>
        <v>9.6600000000000002E-3</v>
      </c>
      <c r="C71">
        <f t="shared" ca="1" si="9"/>
        <v>1.6705065880649798E-2</v>
      </c>
      <c r="D71">
        <f ca="1"/>
        <v>-6.6699999999999995E-2</v>
      </c>
      <c r="I71">
        <f t="shared" ca="1" si="10"/>
        <v>7.5189562289562292E-3</v>
      </c>
      <c r="J71">
        <f t="shared" ca="1" si="11"/>
        <v>0.17982525252525247</v>
      </c>
      <c r="L71">
        <f t="shared" ca="1" si="12"/>
        <v>7.5252249770431587E-3</v>
      </c>
      <c r="M71">
        <f t="shared" ca="1" si="13"/>
        <v>0.37337676767676764</v>
      </c>
      <c r="O71">
        <f t="shared" ca="1" si="14"/>
        <v>3.0513349831154599E-2</v>
      </c>
      <c r="P71">
        <f t="shared" ca="1" si="15"/>
        <v>-0.11749898989898988</v>
      </c>
      <c r="R71">
        <f t="shared" ca="1" si="16"/>
        <v>6.064423055087223E-2</v>
      </c>
      <c r="S71">
        <f t="shared" ca="1" si="17"/>
        <v>0.80732020202020205</v>
      </c>
    </row>
    <row r="72" spans="1:19" x14ac:dyDescent="0.35">
      <c r="A72">
        <f ca="1"/>
        <v>-1.6</v>
      </c>
      <c r="B72">
        <f ca="1"/>
        <v>9.3299999999999998E-3</v>
      </c>
      <c r="C72">
        <f t="shared" ca="1" si="9"/>
        <v>1.4691948589428853E-2</v>
      </c>
      <c r="D72">
        <f ca="1"/>
        <v>-5.6399999999999999E-2</v>
      </c>
      <c r="I72">
        <f t="shared" ca="1" si="10"/>
        <v>7.5147138047138044E-3</v>
      </c>
      <c r="J72">
        <f t="shared" ca="1" si="11"/>
        <v>0.18238383838383837</v>
      </c>
      <c r="L72">
        <f t="shared" ca="1" si="12"/>
        <v>7.5205968778696052E-3</v>
      </c>
      <c r="M72">
        <f t="shared" ca="1" si="13"/>
        <v>0.36988686868686865</v>
      </c>
      <c r="O72">
        <f t="shared" ca="1" si="14"/>
        <v>2.9213431641380783E-2</v>
      </c>
      <c r="P72">
        <f t="shared" ca="1" si="15"/>
        <v>-0.11356464646464648</v>
      </c>
      <c r="R72">
        <f t="shared" ca="1" si="16"/>
        <v>6.2185745708751503E-2</v>
      </c>
      <c r="S72">
        <f t="shared" ca="1" si="17"/>
        <v>0.81030707070707075</v>
      </c>
    </row>
    <row r="73" spans="1:19" x14ac:dyDescent="0.35">
      <c r="A73">
        <f ca="1"/>
        <v>-1.55</v>
      </c>
      <c r="B73">
        <f ca="1"/>
        <v>9.0299999999999998E-3</v>
      </c>
      <c r="C73">
        <f t="shared" ca="1" si="9"/>
        <v>1.294405629820791E-2</v>
      </c>
      <c r="D73">
        <f ca="1"/>
        <v>-4.6100000000000002E-2</v>
      </c>
      <c r="I73">
        <f t="shared" ca="1" si="10"/>
        <v>7.5106060606060605E-3</v>
      </c>
      <c r="J73">
        <f t="shared" ca="1" si="11"/>
        <v>0.18494242424242421</v>
      </c>
      <c r="L73">
        <f t="shared" ca="1" si="12"/>
        <v>7.5161157024793389E-3</v>
      </c>
      <c r="M73">
        <f t="shared" ca="1" si="13"/>
        <v>0.36639696969696967</v>
      </c>
      <c r="O73">
        <f t="shared" ca="1" si="14"/>
        <v>2.7952211097255347E-2</v>
      </c>
      <c r="P73">
        <f t="shared" ca="1" si="15"/>
        <v>-0.10963030303030302</v>
      </c>
      <c r="R73">
        <f t="shared" ca="1" si="16"/>
        <v>6.3749564328012195E-2</v>
      </c>
      <c r="S73">
        <f t="shared" ca="1" si="17"/>
        <v>0.81329393939393935</v>
      </c>
    </row>
    <row r="74" spans="1:19" x14ac:dyDescent="0.35">
      <c r="A74">
        <f ca="1"/>
        <v>-1.5</v>
      </c>
      <c r="B74">
        <f ca="1"/>
        <v>8.77E-3</v>
      </c>
      <c r="C74">
        <f t="shared" ca="1" si="9"/>
        <v>1.1435224350846753E-2</v>
      </c>
      <c r="D74">
        <f ca="1"/>
        <v>-3.56E-2</v>
      </c>
      <c r="I74">
        <f t="shared" ca="1" si="10"/>
        <v>7.5066329966329967E-3</v>
      </c>
      <c r="J74">
        <f t="shared" ca="1" si="11"/>
        <v>0.18750101010101008</v>
      </c>
      <c r="L74">
        <f t="shared" ca="1" si="12"/>
        <v>7.5117814508723598E-3</v>
      </c>
      <c r="M74">
        <f t="shared" ca="1" si="13"/>
        <v>0.36290707070707068</v>
      </c>
      <c r="O74">
        <f t="shared" ca="1" si="14"/>
        <v>2.6729688198778318E-2</v>
      </c>
      <c r="P74">
        <f t="shared" ca="1" si="15"/>
        <v>-0.10569595959595957</v>
      </c>
      <c r="R74">
        <f t="shared" ca="1" si="16"/>
        <v>6.5335686408654503E-2</v>
      </c>
      <c r="S74">
        <f t="shared" ca="1" si="17"/>
        <v>0.81628080808080816</v>
      </c>
    </row>
    <row r="75" spans="1:19" x14ac:dyDescent="0.35">
      <c r="A75">
        <f ca="1"/>
        <v>-1.45</v>
      </c>
      <c r="B75">
        <f ca="1"/>
        <v>8.5500000000000003E-3</v>
      </c>
      <c r="C75">
        <f t="shared" ca="1" si="9"/>
        <v>1.0181202747345384E-2</v>
      </c>
      <c r="D75">
        <f ca="1"/>
        <v>-2.4899999999999999E-2</v>
      </c>
      <c r="I75">
        <f t="shared" ca="1" si="10"/>
        <v>7.5027946127946129E-3</v>
      </c>
      <c r="J75">
        <f t="shared" ca="1" si="11"/>
        <v>0.19005959595959593</v>
      </c>
      <c r="L75">
        <f t="shared" ca="1" si="12"/>
        <v>7.5075941230486687E-3</v>
      </c>
      <c r="M75">
        <f t="shared" ca="1" si="13"/>
        <v>0.35941717171717169</v>
      </c>
      <c r="O75">
        <f t="shared" ca="1" si="14"/>
        <v>2.5545862945949686E-2</v>
      </c>
      <c r="P75">
        <f t="shared" ca="1" si="15"/>
        <v>-0.10176161616161611</v>
      </c>
      <c r="R75">
        <f t="shared" ca="1" si="16"/>
        <v>6.694411195067819E-2</v>
      </c>
      <c r="S75">
        <f t="shared" ca="1" si="17"/>
        <v>0.81926767676767676</v>
      </c>
    </row>
    <row r="76" spans="1:19" x14ac:dyDescent="0.35">
      <c r="A76">
        <f ca="1"/>
        <v>-1.4</v>
      </c>
      <c r="B76">
        <f ca="1"/>
        <v>8.3700000000000007E-3</v>
      </c>
      <c r="C76">
        <f t="shared" ca="1" si="9"/>
        <v>9.1980414877038015E-3</v>
      </c>
      <c r="D76">
        <f ca="1"/>
        <v>-1.4E-2</v>
      </c>
      <c r="I76">
        <f t="shared" ca="1" si="10"/>
        <v>7.4990909090909092E-3</v>
      </c>
      <c r="J76">
        <f t="shared" ca="1" si="11"/>
        <v>0.19261818181818177</v>
      </c>
      <c r="L76">
        <f t="shared" ca="1" si="12"/>
        <v>7.5035537190082649E-3</v>
      </c>
      <c r="M76">
        <f t="shared" ca="1" si="13"/>
        <v>0.3559272727272727</v>
      </c>
      <c r="O76">
        <f t="shared" ca="1" si="14"/>
        <v>2.4400735338769474E-2</v>
      </c>
      <c r="P76">
        <f t="shared" ca="1" si="15"/>
        <v>-9.7827272727272707E-2</v>
      </c>
      <c r="R76">
        <f t="shared" ca="1" si="16"/>
        <v>6.8574840954083408E-2</v>
      </c>
      <c r="S76">
        <f t="shared" ca="1" si="17"/>
        <v>0.82225454545454546</v>
      </c>
    </row>
    <row r="77" spans="1:19" x14ac:dyDescent="0.35">
      <c r="A77">
        <f ca="1"/>
        <v>-1.35</v>
      </c>
      <c r="B77">
        <f ca="1"/>
        <v>8.2299999999999995E-3</v>
      </c>
      <c r="C77">
        <f t="shared" ca="1" si="9"/>
        <v>8.4972207438519E-3</v>
      </c>
      <c r="D77">
        <f ca="1"/>
        <v>-2.8E-3</v>
      </c>
      <c r="I77">
        <f t="shared" ca="1" si="10"/>
        <v>7.4955218855218856E-3</v>
      </c>
      <c r="J77">
        <f t="shared" ca="1" si="11"/>
        <v>0.19517676767676764</v>
      </c>
      <c r="L77">
        <f t="shared" ca="1" si="12"/>
        <v>7.4996602387511482E-3</v>
      </c>
      <c r="M77">
        <f t="shared" ca="1" si="13"/>
        <v>0.35243737373737372</v>
      </c>
      <c r="O77">
        <f t="shared" ca="1" si="14"/>
        <v>2.3294305377237659E-2</v>
      </c>
      <c r="P77">
        <f t="shared" ca="1" si="15"/>
        <v>-9.389292929292925E-2</v>
      </c>
      <c r="R77">
        <f t="shared" ca="1" si="16"/>
        <v>7.0227873418870143E-2</v>
      </c>
      <c r="S77">
        <f t="shared" ca="1" si="17"/>
        <v>0.82524141414141416</v>
      </c>
    </row>
    <row r="78" spans="1:19" x14ac:dyDescent="0.35">
      <c r="A78">
        <f ca="1"/>
        <v>-1.3</v>
      </c>
      <c r="B78">
        <f ca="1"/>
        <v>8.1099999999999992E-3</v>
      </c>
      <c r="C78">
        <f t="shared" ca="1" si="9"/>
        <v>8.1099999999999992E-3</v>
      </c>
      <c r="D78">
        <f ca="1"/>
        <v>8.3999999999999995E-3</v>
      </c>
      <c r="I78">
        <f t="shared" ca="1" si="10"/>
        <v>7.4920875420875421E-3</v>
      </c>
      <c r="J78">
        <f t="shared" ca="1" si="11"/>
        <v>0.19773535353535351</v>
      </c>
      <c r="L78">
        <f t="shared" ca="1" si="12"/>
        <v>7.4959136822773187E-3</v>
      </c>
      <c r="M78">
        <f t="shared" ca="1" si="13"/>
        <v>0.34894747474747473</v>
      </c>
      <c r="O78">
        <f t="shared" ca="1" si="14"/>
        <v>2.2226573061354258E-2</v>
      </c>
      <c r="P78">
        <f t="shared" ca="1" si="15"/>
        <v>-8.9958585858585849E-2</v>
      </c>
      <c r="R78">
        <f t="shared" ca="1" si="16"/>
        <v>7.1903209345038382E-2</v>
      </c>
      <c r="S78">
        <f t="shared" ca="1" si="17"/>
        <v>0.82822828282828287</v>
      </c>
    </row>
    <row r="79" spans="1:19" x14ac:dyDescent="0.35">
      <c r="A79">
        <f ca="1"/>
        <v>-1.25</v>
      </c>
      <c r="B79">
        <f ca="1"/>
        <v>8.0199999999999994E-3</v>
      </c>
      <c r="C79">
        <f t="shared" ca="1" si="9"/>
        <v>8.0524268054885141E-3</v>
      </c>
      <c r="D79">
        <f ca="1"/>
        <v>1.9699999999999999E-2</v>
      </c>
      <c r="I79">
        <f t="shared" ca="1" si="10"/>
        <v>7.4887878787878786E-3</v>
      </c>
      <c r="J79">
        <f t="shared" ca="1" si="11"/>
        <v>0.20029393939393939</v>
      </c>
      <c r="L79">
        <f t="shared" ca="1" si="12"/>
        <v>7.4923140495867773E-3</v>
      </c>
      <c r="M79">
        <f t="shared" ca="1" si="13"/>
        <v>0.34545757575757574</v>
      </c>
      <c r="O79">
        <f t="shared" ca="1" si="14"/>
        <v>2.1197538391119247E-2</v>
      </c>
      <c r="P79">
        <f t="shared" ca="1" si="15"/>
        <v>-8.6024242424242392E-2</v>
      </c>
      <c r="R79">
        <f t="shared" ca="1" si="16"/>
        <v>7.360084873258807E-2</v>
      </c>
      <c r="S79">
        <f t="shared" ca="1" si="17"/>
        <v>0.83121515151515157</v>
      </c>
    </row>
    <row r="80" spans="1:19" x14ac:dyDescent="0.35">
      <c r="A80">
        <f ca="1"/>
        <v>-1.2</v>
      </c>
      <c r="B80">
        <f ca="1"/>
        <v>7.92E-3</v>
      </c>
      <c r="C80">
        <f t="shared" ca="1" si="9"/>
        <v>7.998430275826909E-3</v>
      </c>
      <c r="D80">
        <f ca="1"/>
        <v>3.0800000000000001E-2</v>
      </c>
      <c r="I80">
        <f t="shared" ca="1" si="10"/>
        <v>7.4856228956228952E-3</v>
      </c>
      <c r="J80">
        <f t="shared" ca="1" si="11"/>
        <v>0.20285252525252523</v>
      </c>
      <c r="L80">
        <f t="shared" ca="1" si="12"/>
        <v>7.4888613406795222E-3</v>
      </c>
      <c r="M80">
        <f t="shared" ca="1" si="13"/>
        <v>0.34196767676767675</v>
      </c>
      <c r="O80">
        <f t="shared" ca="1" si="14"/>
        <v>2.0207201366532646E-2</v>
      </c>
      <c r="P80">
        <f t="shared" ca="1" si="15"/>
        <v>-8.2089898989898991E-2</v>
      </c>
      <c r="R80">
        <f t="shared" ca="1" si="16"/>
        <v>7.5320791581519206E-2</v>
      </c>
      <c r="S80">
        <f t="shared" ca="1" si="17"/>
        <v>0.83420202020202017</v>
      </c>
    </row>
    <row r="81" spans="1:19" x14ac:dyDescent="0.35">
      <c r="A81">
        <f ca="1"/>
        <v>-1.1499999999999999</v>
      </c>
      <c r="B81">
        <f ca="1"/>
        <v>7.8300000000000002E-3</v>
      </c>
      <c r="C81">
        <f t="shared" ca="1" si="9"/>
        <v>7.9460645901264764E-3</v>
      </c>
      <c r="D81">
        <f ca="1"/>
        <v>4.2099999999999999E-2</v>
      </c>
      <c r="I81">
        <f t="shared" ca="1" si="10"/>
        <v>7.4825925925925928E-3</v>
      </c>
      <c r="J81">
        <f t="shared" ca="1" si="11"/>
        <v>0.20541111111111107</v>
      </c>
      <c r="L81">
        <f t="shared" ca="1" si="12"/>
        <v>7.4855555555555552E-3</v>
      </c>
      <c r="M81">
        <f t="shared" ca="1" si="13"/>
        <v>0.33847777777777777</v>
      </c>
      <c r="O81">
        <f t="shared" ca="1" si="14"/>
        <v>1.9255561987594438E-2</v>
      </c>
      <c r="P81">
        <f t="shared" ca="1" si="15"/>
        <v>-7.8155555555555534E-2</v>
      </c>
      <c r="R81">
        <f t="shared" ca="1" si="16"/>
        <v>7.7063037891831887E-2</v>
      </c>
      <c r="S81">
        <f t="shared" ca="1" si="17"/>
        <v>0.83718888888888887</v>
      </c>
    </row>
    <row r="82" spans="1:19" x14ac:dyDescent="0.35">
      <c r="A82">
        <f ca="1"/>
        <v>-1.1000000000000001</v>
      </c>
      <c r="B82">
        <f ca="1"/>
        <v>7.7600000000000004E-3</v>
      </c>
      <c r="C82">
        <f t="shared" ca="1" si="9"/>
        <v>7.8967545509421692E-3</v>
      </c>
      <c r="D82">
        <f ca="1"/>
        <v>5.33E-2</v>
      </c>
      <c r="I82">
        <f t="shared" ca="1" si="10"/>
        <v>7.4796969696969695E-3</v>
      </c>
      <c r="J82">
        <f t="shared" ca="1" si="11"/>
        <v>0.20796969696969694</v>
      </c>
      <c r="L82">
        <f t="shared" ca="1" si="12"/>
        <v>7.4823966942148762E-3</v>
      </c>
      <c r="M82">
        <f t="shared" ca="1" si="13"/>
        <v>0.33498787878787878</v>
      </c>
      <c r="O82">
        <f t="shared" ca="1" si="14"/>
        <v>1.8342620254304644E-2</v>
      </c>
      <c r="P82">
        <f t="shared" ca="1" si="15"/>
        <v>-7.4221212121212132E-2</v>
      </c>
      <c r="R82">
        <f t="shared" ca="1" si="16"/>
        <v>7.8827587663526086E-2</v>
      </c>
      <c r="S82">
        <f t="shared" ca="1" si="17"/>
        <v>0.84017575757575758</v>
      </c>
    </row>
    <row r="83" spans="1:19" x14ac:dyDescent="0.35">
      <c r="A83">
        <f ca="1"/>
        <v>-1.05</v>
      </c>
      <c r="B83">
        <f ca="1"/>
        <v>7.7000000000000002E-3</v>
      </c>
      <c r="C83">
        <f t="shared" ca="1" si="9"/>
        <v>7.8500252240890044E-3</v>
      </c>
      <c r="D83">
        <f ca="1"/>
        <v>6.4500000000000002E-2</v>
      </c>
      <c r="I83">
        <f t="shared" ca="1" si="10"/>
        <v>7.4769360269360272E-3</v>
      </c>
      <c r="J83">
        <f t="shared" ca="1" si="11"/>
        <v>0.21052828282828279</v>
      </c>
      <c r="L83">
        <f t="shared" ca="1" si="12"/>
        <v>7.4793847566574836E-3</v>
      </c>
      <c r="M83">
        <f t="shared" ca="1" si="13"/>
        <v>0.33149797979797979</v>
      </c>
      <c r="O83">
        <f t="shared" ca="1" si="14"/>
        <v>1.7468376166663243E-2</v>
      </c>
      <c r="P83">
        <f t="shared" ca="1" si="15"/>
        <v>-7.0286868686868675E-2</v>
      </c>
      <c r="R83">
        <f t="shared" ca="1" si="16"/>
        <v>8.0614440896601788E-2</v>
      </c>
      <c r="S83">
        <f t="shared" ca="1" si="17"/>
        <v>0.84316262626262628</v>
      </c>
    </row>
    <row r="84" spans="1:19" x14ac:dyDescent="0.35">
      <c r="A84">
        <f ca="1"/>
        <v>-1</v>
      </c>
      <c r="B84">
        <f ca="1"/>
        <v>7.6499999999999997E-3</v>
      </c>
      <c r="C84">
        <f t="shared" ca="1" si="9"/>
        <v>7.80587660956698E-3</v>
      </c>
      <c r="D84">
        <f ca="1"/>
        <v>7.5700000000000003E-2</v>
      </c>
      <c r="I84">
        <f t="shared" ca="1" si="10"/>
        <v>7.4743097643097641E-3</v>
      </c>
      <c r="J84">
        <f t="shared" ca="1" si="11"/>
        <v>0.21308686868686863</v>
      </c>
      <c r="L84">
        <f t="shared" ca="1" si="12"/>
        <v>7.476519742883379E-3</v>
      </c>
      <c r="M84">
        <f t="shared" ca="1" si="13"/>
        <v>0.3280080808080808</v>
      </c>
      <c r="O84">
        <f t="shared" ca="1" si="14"/>
        <v>1.6632829724670246E-2</v>
      </c>
      <c r="P84">
        <f t="shared" ca="1" si="15"/>
        <v>-6.6352525252525218E-2</v>
      </c>
      <c r="R84">
        <f t="shared" ca="1" si="16"/>
        <v>8.2423597591058939E-2</v>
      </c>
      <c r="S84">
        <f t="shared" ca="1" si="17"/>
        <v>0.84614949494949498</v>
      </c>
    </row>
    <row r="85" spans="1:19" x14ac:dyDescent="0.35">
      <c r="A85">
        <f ca="1"/>
        <v>-0.95</v>
      </c>
      <c r="B85">
        <f ca="1"/>
        <v>7.62E-3</v>
      </c>
      <c r="C85">
        <f t="shared" ca="1" si="9"/>
        <v>7.7643087073760971E-3</v>
      </c>
      <c r="D85">
        <f ca="1"/>
        <v>8.6900000000000005E-2</v>
      </c>
      <c r="I85">
        <f t="shared" ca="1" si="10"/>
        <v>7.4718181818181819E-3</v>
      </c>
      <c r="J85">
        <f t="shared" ca="1" si="11"/>
        <v>0.21564545454545453</v>
      </c>
      <c r="L85">
        <f t="shared" ca="1" si="12"/>
        <v>7.4738016528925616E-3</v>
      </c>
      <c r="M85">
        <f t="shared" ca="1" si="13"/>
        <v>0.32451818181818182</v>
      </c>
      <c r="O85">
        <f t="shared" ca="1" si="14"/>
        <v>1.5835980928325662E-2</v>
      </c>
      <c r="P85">
        <f t="shared" ca="1" si="15"/>
        <v>-6.2418181818181817E-2</v>
      </c>
      <c r="R85">
        <f t="shared" ca="1" si="16"/>
        <v>8.425505774689758E-2</v>
      </c>
      <c r="S85">
        <f t="shared" ca="1" si="17"/>
        <v>0.84913636363636369</v>
      </c>
    </row>
    <row r="86" spans="1:19" x14ac:dyDescent="0.35">
      <c r="A86">
        <f ca="1"/>
        <v>-0.9</v>
      </c>
      <c r="B86">
        <f ca="1"/>
        <v>7.5799999999999999E-3</v>
      </c>
      <c r="C86">
        <f t="shared" ca="1" si="9"/>
        <v>7.7253215175163556E-3</v>
      </c>
      <c r="D86">
        <f ca="1"/>
        <v>9.8100000000000007E-2</v>
      </c>
      <c r="I86">
        <f t="shared" ca="1" si="10"/>
        <v>7.4694612794612798E-3</v>
      </c>
      <c r="J86">
        <f t="shared" ca="1" si="11"/>
        <v>0.21820404040404037</v>
      </c>
      <c r="L86">
        <f t="shared" ca="1" si="12"/>
        <v>7.4712304866850323E-3</v>
      </c>
      <c r="M86">
        <f t="shared" ca="1" si="13"/>
        <v>0.32102828282828277</v>
      </c>
      <c r="O86">
        <f t="shared" ca="1" si="14"/>
        <v>1.5077829777629472E-2</v>
      </c>
      <c r="P86">
        <f t="shared" ca="1" si="15"/>
        <v>-5.848383838383836E-2</v>
      </c>
      <c r="R86">
        <f t="shared" ca="1" si="16"/>
        <v>8.6108821364117752E-2</v>
      </c>
      <c r="S86">
        <f t="shared" ca="1" si="17"/>
        <v>0.85212323232323239</v>
      </c>
    </row>
    <row r="87" spans="1:19" x14ac:dyDescent="0.35">
      <c r="A87">
        <f ca="1"/>
        <v>-0.85</v>
      </c>
      <c r="B87">
        <f ca="1"/>
        <v>7.5500000000000003E-3</v>
      </c>
      <c r="C87">
        <f t="shared" ca="1" si="9"/>
        <v>7.6892286796520432E-3</v>
      </c>
      <c r="D87">
        <f ca="1"/>
        <v>0.10920000000000001</v>
      </c>
      <c r="I87">
        <f t="shared" ca="1" si="10"/>
        <v>7.4672390572390569E-3</v>
      </c>
      <c r="J87">
        <f t="shared" ca="1" si="11"/>
        <v>0.22076262626262622</v>
      </c>
      <c r="L87">
        <f t="shared" ca="1" si="12"/>
        <v>7.4688062442607901E-3</v>
      </c>
      <c r="M87">
        <f t="shared" ca="1" si="13"/>
        <v>0.31753838383838384</v>
      </c>
      <c r="O87">
        <f t="shared" ca="1" si="14"/>
        <v>1.4358376272581696E-2</v>
      </c>
      <c r="P87">
        <f t="shared" ca="1" si="15"/>
        <v>-5.4549494949494959E-2</v>
      </c>
      <c r="R87">
        <f t="shared" ca="1" si="16"/>
        <v>8.7984888442719331E-2</v>
      </c>
      <c r="S87">
        <f t="shared" ca="1" si="17"/>
        <v>0.85511010101010099</v>
      </c>
    </row>
    <row r="88" spans="1:19" x14ac:dyDescent="0.35">
      <c r="A88">
        <f ca="1"/>
        <v>-0.8</v>
      </c>
      <c r="B88">
        <f ca="1"/>
        <v>7.5300000000000002E-3</v>
      </c>
      <c r="C88">
        <f t="shared" ca="1" si="9"/>
        <v>7.6556706757029084E-3</v>
      </c>
      <c r="D88">
        <f ca="1"/>
        <v>0.1203</v>
      </c>
      <c r="I88">
        <f t="shared" ca="1" si="10"/>
        <v>7.4651515151515149E-3</v>
      </c>
      <c r="J88">
        <f t="shared" ca="1" si="11"/>
        <v>0.22332121212121209</v>
      </c>
      <c r="L88">
        <f t="shared" ca="1" si="12"/>
        <v>7.4665289256198343E-3</v>
      </c>
      <c r="M88">
        <f t="shared" ca="1" si="13"/>
        <v>0.3140484848484848</v>
      </c>
      <c r="O88">
        <f t="shared" ca="1" si="14"/>
        <v>1.3677620413182302E-2</v>
      </c>
      <c r="P88">
        <f t="shared" ca="1" si="15"/>
        <v>-5.0615151515151446E-2</v>
      </c>
      <c r="R88">
        <f t="shared" ca="1" si="16"/>
        <v>8.9883258982702538E-2</v>
      </c>
      <c r="S88">
        <f t="shared" ca="1" si="17"/>
        <v>0.8580969696969698</v>
      </c>
    </row>
    <row r="89" spans="1:19" x14ac:dyDescent="0.35">
      <c r="A89">
        <f ca="1"/>
        <v>-0.75</v>
      </c>
      <c r="B89">
        <f ca="1"/>
        <v>7.5199999999999998E-3</v>
      </c>
      <c r="C89">
        <f t="shared" ca="1" si="9"/>
        <v>7.6249156783828901E-3</v>
      </c>
      <c r="D89">
        <f ca="1"/>
        <v>0.1313</v>
      </c>
      <c r="I89">
        <f t="shared" ca="1" si="10"/>
        <v>7.463198653198653E-3</v>
      </c>
      <c r="J89">
        <f t="shared" ca="1" si="11"/>
        <v>0.22587979797979793</v>
      </c>
      <c r="L89">
        <f t="shared" ca="1" si="12"/>
        <v>7.4643985307621674E-3</v>
      </c>
      <c r="M89">
        <f t="shared" ca="1" si="13"/>
        <v>0.31055858585858587</v>
      </c>
      <c r="O89">
        <f t="shared" ca="1" si="14"/>
        <v>1.303556219943133E-2</v>
      </c>
      <c r="P89">
        <f t="shared" ca="1" si="15"/>
        <v>-4.6680808080808045E-2</v>
      </c>
      <c r="R89">
        <f t="shared" ca="1" si="16"/>
        <v>9.1803932984067096E-2</v>
      </c>
      <c r="S89">
        <f t="shared" ca="1" si="17"/>
        <v>0.8610838383838384</v>
      </c>
    </row>
    <row r="90" spans="1:19" x14ac:dyDescent="0.35">
      <c r="A90">
        <f ca="1"/>
        <v>-0.7</v>
      </c>
      <c r="B90">
        <f ca="1"/>
        <v>7.5100000000000002E-3</v>
      </c>
      <c r="C90">
        <f t="shared" ca="1" si="9"/>
        <v>7.5966500480276998E-3</v>
      </c>
      <c r="D90">
        <f ca="1"/>
        <v>0.14230000000000001</v>
      </c>
      <c r="I90">
        <f t="shared" ca="1" si="10"/>
        <v>7.4613804713804712E-3</v>
      </c>
      <c r="J90">
        <f t="shared" ca="1" si="11"/>
        <v>0.22843838383838377</v>
      </c>
      <c r="L90">
        <f t="shared" ca="1" si="12"/>
        <v>7.4624150596877869E-3</v>
      </c>
      <c r="M90">
        <f t="shared" ca="1" si="13"/>
        <v>0.30706868686868688</v>
      </c>
      <c r="O90">
        <f t="shared" ca="1" si="14"/>
        <v>1.2432201631328762E-2</v>
      </c>
      <c r="P90">
        <f t="shared" ca="1" si="15"/>
        <v>-4.2746464646464644E-2</v>
      </c>
      <c r="R90">
        <f t="shared" ca="1" si="16"/>
        <v>9.37469104468132E-2</v>
      </c>
      <c r="S90">
        <f t="shared" ca="1" si="17"/>
        <v>0.8640707070707071</v>
      </c>
    </row>
    <row r="91" spans="1:19" x14ac:dyDescent="0.35">
      <c r="A91">
        <f ca="1"/>
        <v>-0.65</v>
      </c>
      <c r="B91">
        <f ca="1"/>
        <v>7.4999999999999997E-3</v>
      </c>
      <c r="C91">
        <f t="shared" ca="1" si="9"/>
        <v>7.5708737846373391E-3</v>
      </c>
      <c r="D91">
        <f ca="1"/>
        <v>0.15329999999999999</v>
      </c>
      <c r="I91">
        <f t="shared" ca="1" si="10"/>
        <v>7.4596969696969695E-3</v>
      </c>
      <c r="J91">
        <f t="shared" ca="1" si="11"/>
        <v>0.23099696969696967</v>
      </c>
      <c r="L91">
        <f t="shared" ca="1" si="12"/>
        <v>7.4605785123966943E-3</v>
      </c>
      <c r="M91">
        <f t="shared" ca="1" si="13"/>
        <v>0.30357878787878784</v>
      </c>
      <c r="O91">
        <f t="shared" ca="1" si="14"/>
        <v>1.1867538708874595E-2</v>
      </c>
      <c r="P91">
        <f t="shared" ca="1" si="15"/>
        <v>-3.8812121212121242E-2</v>
      </c>
      <c r="R91">
        <f t="shared" ca="1" si="16"/>
        <v>9.5712191370940822E-2</v>
      </c>
      <c r="S91">
        <f t="shared" ca="1" si="17"/>
        <v>0.8670575757575758</v>
      </c>
    </row>
    <row r="92" spans="1:19" x14ac:dyDescent="0.35">
      <c r="A92">
        <f ca="1"/>
        <v>-0.6</v>
      </c>
      <c r="B92">
        <f ca="1"/>
        <v>7.4900000000000001E-3</v>
      </c>
      <c r="C92">
        <f t="shared" ca="1" si="9"/>
        <v>7.5477873748322384E-3</v>
      </c>
      <c r="D92">
        <f ca="1"/>
        <v>0.16420000000000001</v>
      </c>
      <c r="I92">
        <f t="shared" ca="1" si="10"/>
        <v>7.4581481481481478E-3</v>
      </c>
      <c r="J92">
        <f t="shared" ca="1" si="11"/>
        <v>0.23355555555555552</v>
      </c>
      <c r="L92">
        <f t="shared" ca="1" si="12"/>
        <v>7.458888888888889E-3</v>
      </c>
      <c r="M92">
        <f t="shared" ca="1" si="13"/>
        <v>0.30008888888888891</v>
      </c>
      <c r="O92">
        <f t="shared" ca="1" si="14"/>
        <v>1.1341573432068817E-2</v>
      </c>
      <c r="P92">
        <f t="shared" ca="1" si="15"/>
        <v>-3.487777777777773E-2</v>
      </c>
      <c r="R92">
        <f t="shared" ca="1" si="16"/>
        <v>9.769977575644985E-2</v>
      </c>
      <c r="S92">
        <f t="shared" ca="1" si="17"/>
        <v>0.8700444444444444</v>
      </c>
    </row>
    <row r="93" spans="1:19" x14ac:dyDescent="0.35">
      <c r="A93">
        <f ca="1"/>
        <v>-0.55000000000000004</v>
      </c>
      <c r="B93">
        <f ca="1"/>
        <v>7.4799999999999997E-3</v>
      </c>
      <c r="C93">
        <f t="shared" ca="1" si="9"/>
        <v>7.526967214762763E-3</v>
      </c>
      <c r="D93">
        <f ca="1"/>
        <v>0.17519999999999999</v>
      </c>
      <c r="I93">
        <f t="shared" ca="1" si="10"/>
        <v>7.456734006734007E-3</v>
      </c>
      <c r="J93">
        <f t="shared" ca="1" si="11"/>
        <v>0.23611414141414139</v>
      </c>
      <c r="L93">
        <f t="shared" ca="1" si="12"/>
        <v>7.4573461891643709E-3</v>
      </c>
      <c r="M93">
        <f t="shared" ca="1" si="13"/>
        <v>0.29659898989898986</v>
      </c>
      <c r="O93">
        <f t="shared" ca="1" si="14"/>
        <v>1.0854305800911459E-2</v>
      </c>
      <c r="P93">
        <f t="shared" ca="1" si="15"/>
        <v>-3.0943434343434328E-2</v>
      </c>
      <c r="R93">
        <f t="shared" ca="1" si="16"/>
        <v>9.970966360334052E-2</v>
      </c>
      <c r="S93">
        <f t="shared" ca="1" si="17"/>
        <v>0.87303131313131321</v>
      </c>
    </row>
    <row r="94" spans="1:19" x14ac:dyDescent="0.35">
      <c r="A94">
        <f ca="1"/>
        <v>-0.5</v>
      </c>
      <c r="B94">
        <f ca="1"/>
        <v>7.4799999999999997E-3</v>
      </c>
      <c r="C94">
        <f t="shared" ca="1" si="9"/>
        <v>7.5089474896623161E-3</v>
      </c>
      <c r="D94">
        <f ca="1"/>
        <v>0.186</v>
      </c>
      <c r="I94">
        <f t="shared" ca="1" si="10"/>
        <v>7.4554545454545455E-3</v>
      </c>
      <c r="J94">
        <f t="shared" ca="1" si="11"/>
        <v>0.23867272727272723</v>
      </c>
      <c r="L94">
        <f t="shared" ca="1" si="12"/>
        <v>7.4559504132231409E-3</v>
      </c>
      <c r="M94">
        <f t="shared" ca="1" si="13"/>
        <v>0.29310909090909087</v>
      </c>
      <c r="O94">
        <f t="shared" ca="1" si="14"/>
        <v>1.0405735815402503E-2</v>
      </c>
      <c r="P94">
        <f t="shared" ca="1" si="15"/>
        <v>-2.7009090909090927E-2</v>
      </c>
      <c r="R94">
        <f t="shared" ca="1" si="16"/>
        <v>0.10174185491161253</v>
      </c>
      <c r="S94">
        <f t="shared" ca="1" si="17"/>
        <v>0.87601818181818181</v>
      </c>
    </row>
    <row r="95" spans="1:19" x14ac:dyDescent="0.35">
      <c r="A95">
        <f ca="1"/>
        <v>-0.45</v>
      </c>
      <c r="B95">
        <f ca="1"/>
        <v>7.4700000000000001E-3</v>
      </c>
      <c r="C95">
        <f t="shared" ca="1" si="9"/>
        <v>7.4931940142974945E-3</v>
      </c>
      <c r="D95">
        <f ca="1"/>
        <v>0.19689999999999999</v>
      </c>
      <c r="I95">
        <f t="shared" ca="1" si="10"/>
        <v>7.454309764309764E-3</v>
      </c>
      <c r="J95">
        <f t="shared" ca="1" si="11"/>
        <v>0.24123131313131307</v>
      </c>
      <c r="L95">
        <f t="shared" ca="1" si="12"/>
        <v>7.4547015610651971E-3</v>
      </c>
      <c r="M95">
        <f t="shared" ca="1" si="13"/>
        <v>0.28961919191919194</v>
      </c>
      <c r="O95">
        <f t="shared" ca="1" si="14"/>
        <v>9.9958634755419416E-3</v>
      </c>
      <c r="P95">
        <f t="shared" ca="1" si="15"/>
        <v>-2.307474747474747E-2</v>
      </c>
      <c r="R95">
        <f t="shared" ca="1" si="16"/>
        <v>0.1037963496812661</v>
      </c>
      <c r="S95">
        <f t="shared" ca="1" si="17"/>
        <v>0.87900505050505051</v>
      </c>
    </row>
    <row r="96" spans="1:19" x14ac:dyDescent="0.35">
      <c r="A96">
        <f ca="1"/>
        <v>-0.4</v>
      </c>
      <c r="B96">
        <f ca="1"/>
        <v>7.4700000000000001E-3</v>
      </c>
      <c r="C96">
        <f t="shared" ca="1" si="9"/>
        <v>7.479995843262149E-3</v>
      </c>
      <c r="D96">
        <f ca="1"/>
        <v>0.2077</v>
      </c>
      <c r="I96">
        <f t="shared" ca="1" si="10"/>
        <v>7.4532996632996635E-3</v>
      </c>
      <c r="J96">
        <f t="shared" ca="1" si="11"/>
        <v>0.24378989898989895</v>
      </c>
      <c r="L96">
        <f t="shared" ca="1" si="12"/>
        <v>7.4535996326905414E-3</v>
      </c>
      <c r="M96">
        <f t="shared" ca="1" si="13"/>
        <v>0.2861292929292929</v>
      </c>
      <c r="O96">
        <f t="shared" ca="1" si="14"/>
        <v>9.6246887813297866E-3</v>
      </c>
      <c r="P96">
        <f t="shared" ca="1" si="15"/>
        <v>-1.9140404040404013E-2</v>
      </c>
      <c r="R96">
        <f t="shared" ca="1" si="16"/>
        <v>0.10587314791230118</v>
      </c>
      <c r="S96">
        <f t="shared" ca="1" si="17"/>
        <v>0.88199191919191922</v>
      </c>
    </row>
    <row r="97" spans="1:19" x14ac:dyDescent="0.35">
      <c r="A97">
        <f ca="1"/>
        <v>-0.35</v>
      </c>
      <c r="B97">
        <f ca="1"/>
        <v>7.4700000000000001E-3</v>
      </c>
      <c r="C97">
        <f t="shared" ca="1" si="9"/>
        <v>7.4691973396877756E-3</v>
      </c>
      <c r="D97">
        <f ca="1"/>
        <v>0.2185</v>
      </c>
      <c r="I97">
        <f t="shared" ca="1" si="10"/>
        <v>7.4524242424242422E-3</v>
      </c>
      <c r="J97">
        <f t="shared" ca="1" si="11"/>
        <v>0.24634848484848482</v>
      </c>
      <c r="L97">
        <f t="shared" ca="1" si="12"/>
        <v>7.4526446280991738E-3</v>
      </c>
      <c r="M97">
        <f t="shared" ca="1" si="13"/>
        <v>0.28263939393939397</v>
      </c>
      <c r="O97">
        <f t="shared" ca="1" si="14"/>
        <v>9.2922117327660387E-3</v>
      </c>
      <c r="P97">
        <f t="shared" ca="1" si="15"/>
        <v>-1.5206060606060612E-2</v>
      </c>
      <c r="R97">
        <f t="shared" ca="1" si="16"/>
        <v>0.10797224960471777</v>
      </c>
      <c r="S97">
        <f t="shared" ca="1" si="17"/>
        <v>0.88497878787878792</v>
      </c>
    </row>
    <row r="98" spans="1:19" x14ac:dyDescent="0.35">
      <c r="A98">
        <f ca="1"/>
        <v>-0.3</v>
      </c>
      <c r="B98">
        <f ca="1"/>
        <v>7.4700000000000001E-3</v>
      </c>
      <c r="C98">
        <f t="shared" ca="1" si="9"/>
        <v>7.4607985035743734E-3</v>
      </c>
      <c r="D98">
        <f ca="1"/>
        <v>0.2293</v>
      </c>
      <c r="I98">
        <f t="shared" ca="1" si="10"/>
        <v>7.4516835016835018E-3</v>
      </c>
      <c r="J98">
        <f t="shared" ca="1" si="11"/>
        <v>0.24890707070707069</v>
      </c>
      <c r="L98">
        <f t="shared" ca="1" si="12"/>
        <v>7.4518365472910925E-3</v>
      </c>
      <c r="M98">
        <f t="shared" ca="1" si="13"/>
        <v>0.27914949494949493</v>
      </c>
      <c r="O98">
        <f t="shared" ca="1" si="14"/>
        <v>8.9984323298506891E-3</v>
      </c>
      <c r="P98">
        <f t="shared" ca="1" si="15"/>
        <v>-1.1271717171717155E-2</v>
      </c>
      <c r="R98">
        <f t="shared" ca="1" si="16"/>
        <v>0.1100936547585158</v>
      </c>
      <c r="S98">
        <f t="shared" ca="1" si="17"/>
        <v>0.88796565656565662</v>
      </c>
    </row>
    <row r="99" spans="1:19" x14ac:dyDescent="0.35">
      <c r="A99">
        <f ca="1"/>
        <v>-0.25</v>
      </c>
      <c r="B99">
        <f ca="1"/>
        <v>7.4599999999999996E-3</v>
      </c>
      <c r="C99">
        <f t="shared" ca="1" si="9"/>
        <v>7.4547993349219441E-3</v>
      </c>
      <c r="D99">
        <f ca="1"/>
        <v>0.24010000000000001</v>
      </c>
      <c r="I99">
        <f t="shared" ca="1" si="10"/>
        <v>7.4510774410774415E-3</v>
      </c>
      <c r="J99">
        <f t="shared" ca="1" si="11"/>
        <v>0.25146565656565656</v>
      </c>
      <c r="L99">
        <f t="shared" ca="1" si="12"/>
        <v>7.4511753902662993E-3</v>
      </c>
      <c r="M99">
        <f t="shared" ca="1" si="13"/>
        <v>0.27565959595959594</v>
      </c>
      <c r="O99">
        <f t="shared" ca="1" si="14"/>
        <v>8.7433505725837465E-3</v>
      </c>
      <c r="P99">
        <f t="shared" ca="1" si="15"/>
        <v>-7.3373737373737535E-3</v>
      </c>
      <c r="R99">
        <f t="shared" ca="1" si="16"/>
        <v>0.11223736337369528</v>
      </c>
      <c r="S99">
        <f t="shared" ca="1" si="17"/>
        <v>0.89095252525252522</v>
      </c>
    </row>
    <row r="100" spans="1:19" x14ac:dyDescent="0.35">
      <c r="A100">
        <f ca="1"/>
        <v>-0.2</v>
      </c>
      <c r="B100">
        <f ca="1"/>
        <v>7.4599999999999996E-3</v>
      </c>
      <c r="C100">
        <f t="shared" ca="1" si="9"/>
        <v>7.4511998337304861E-3</v>
      </c>
      <c r="D100">
        <f ca="1"/>
        <v>0.25090000000000001</v>
      </c>
      <c r="I100">
        <f t="shared" ca="1" si="10"/>
        <v>7.4506060606060603E-3</v>
      </c>
      <c r="J100">
        <f t="shared" ca="1" si="11"/>
        <v>0.25402424242424237</v>
      </c>
      <c r="L100">
        <f t="shared" ca="1" si="12"/>
        <v>7.4506611570247933E-3</v>
      </c>
      <c r="M100">
        <f t="shared" ca="1" si="13"/>
        <v>0.27216969696969695</v>
      </c>
      <c r="O100">
        <f t="shared" ca="1" si="14"/>
        <v>8.5269664609652004E-3</v>
      </c>
      <c r="P100">
        <f t="shared" ca="1" si="15"/>
        <v>-3.4030303030302411E-3</v>
      </c>
      <c r="R100">
        <f t="shared" ca="1" si="16"/>
        <v>0.11440337545025639</v>
      </c>
      <c r="S100">
        <f t="shared" ca="1" si="17"/>
        <v>0.89393939393939403</v>
      </c>
    </row>
    <row r="101" spans="1:19" x14ac:dyDescent="0.35">
      <c r="A101">
        <f ca="1"/>
        <v>-0.15</v>
      </c>
      <c r="B101">
        <f ca="1"/>
        <v>7.45E-3</v>
      </c>
      <c r="C101">
        <f t="shared" ca="1" si="9"/>
        <v>7.45E-3</v>
      </c>
      <c r="D101">
        <f ca="1"/>
        <v>0.26169999999999999</v>
      </c>
      <c r="I101">
        <f t="shared" ca="1" si="10"/>
        <v>7.4502693602693602E-3</v>
      </c>
      <c r="J101">
        <f t="shared" ca="1" si="11"/>
        <v>0.25658282828282825</v>
      </c>
      <c r="L101">
        <f t="shared" ca="1" si="12"/>
        <v>7.4502938475665753E-3</v>
      </c>
      <c r="M101">
        <f t="shared" ca="1" si="13"/>
        <v>0.26867979797979796</v>
      </c>
      <c r="O101">
        <f t="shared" ca="1" si="14"/>
        <v>8.3492799949950649E-3</v>
      </c>
      <c r="P101">
        <f t="shared" ca="1" si="15"/>
        <v>5.3131313131316027E-4</v>
      </c>
      <c r="R101">
        <f t="shared" ca="1" si="16"/>
        <v>0.11659169098819884</v>
      </c>
      <c r="S101">
        <f t="shared" ca="1" si="17"/>
        <v>0.89692626262626263</v>
      </c>
    </row>
    <row r="102" spans="1:19" x14ac:dyDescent="0.35">
      <c r="A102">
        <f ca="1"/>
        <v>-0.1</v>
      </c>
      <c r="B102">
        <f ca="1"/>
        <v>7.4599999999999996E-3</v>
      </c>
      <c r="C102">
        <f t="shared" ca="1" si="9"/>
        <v>7.4506905640224427E-3</v>
      </c>
      <c r="D102">
        <f ca="1"/>
        <v>0.27239999999999998</v>
      </c>
      <c r="I102">
        <f t="shared" ca="1" si="10"/>
        <v>7.4500673400673401E-3</v>
      </c>
      <c r="J102">
        <f t="shared" ca="1" si="11"/>
        <v>0.25914141414141412</v>
      </c>
      <c r="L102">
        <f t="shared" ca="1" si="12"/>
        <v>7.4500734618916436E-3</v>
      </c>
      <c r="M102">
        <f t="shared" ca="1" si="13"/>
        <v>0.26518989898989903</v>
      </c>
      <c r="O102">
        <f t="shared" ca="1" si="14"/>
        <v>8.2102911746733311E-3</v>
      </c>
      <c r="P102">
        <f t="shared" ca="1" si="15"/>
        <v>4.4656565656565617E-3</v>
      </c>
      <c r="R102">
        <f t="shared" ca="1" si="16"/>
        <v>0.11880230998752286</v>
      </c>
      <c r="S102">
        <f t="shared" ca="1" si="17"/>
        <v>0.89991313131313133</v>
      </c>
    </row>
    <row r="103" spans="1:19" x14ac:dyDescent="0.35">
      <c r="A103">
        <f ca="1"/>
        <v>-0.05</v>
      </c>
      <c r="B103">
        <f ca="1"/>
        <v>7.4599999999999996E-3</v>
      </c>
      <c r="C103">
        <f t="shared" ca="1" si="9"/>
        <v>7.4527881318837818E-3</v>
      </c>
      <c r="D103">
        <f ca="1"/>
        <v>0.28320000000000001</v>
      </c>
      <c r="I103">
        <f t="shared" ca="1" si="10"/>
        <v>7.45E-3</v>
      </c>
      <c r="J103">
        <f t="shared" ca="1" si="11"/>
        <v>0.26169999999999999</v>
      </c>
      <c r="L103">
        <f t="shared" ca="1" si="12"/>
        <v>7.45E-3</v>
      </c>
      <c r="M103">
        <f t="shared" ca="1" si="13"/>
        <v>0.26169999999999999</v>
      </c>
      <c r="O103">
        <f t="shared" ca="1" si="14"/>
        <v>8.1099999999999974E-3</v>
      </c>
      <c r="P103">
        <f t="shared" ca="1" si="15"/>
        <v>8.4000000000000741E-3</v>
      </c>
      <c r="R103">
        <f t="shared" ca="1" si="16"/>
        <v>0.12103523244822836</v>
      </c>
      <c r="S103">
        <f t="shared" ca="1" si="17"/>
        <v>0.90290000000000004</v>
      </c>
    </row>
    <row r="104" spans="1:19" x14ac:dyDescent="0.35">
      <c r="A104">
        <f ca="1"/>
        <v>0</v>
      </c>
      <c r="B104">
        <f ca="1"/>
        <v>7.4599999999999996E-3</v>
      </c>
      <c r="C104">
        <f t="shared" ca="1" si="9"/>
        <v>7.4562538597347326E-3</v>
      </c>
      <c r="D104">
        <f ca="1"/>
        <v>0.29389999999999999</v>
      </c>
    </row>
    <row r="105" spans="1:19" x14ac:dyDescent="0.35">
      <c r="A105">
        <f ca="1"/>
        <v>0.05</v>
      </c>
      <c r="B105">
        <f ca="1"/>
        <v>7.4599999999999996E-3</v>
      </c>
      <c r="C105">
        <f t="shared" ca="1" si="9"/>
        <v>7.4611525275351271E-3</v>
      </c>
      <c r="D105">
        <f ca="1"/>
        <v>0.30470000000000003</v>
      </c>
    </row>
    <row r="106" spans="1:19" x14ac:dyDescent="0.35">
      <c r="A106">
        <f ca="1"/>
        <v>0.1</v>
      </c>
      <c r="B106">
        <f ca="1"/>
        <v>7.4599999999999996E-3</v>
      </c>
      <c r="C106">
        <f t="shared" ca="1" si="9"/>
        <v>7.4674582594909536E-3</v>
      </c>
      <c r="D106">
        <f ca="1"/>
        <v>0.3155</v>
      </c>
    </row>
    <row r="107" spans="1:19" x14ac:dyDescent="0.35">
      <c r="A107">
        <f ca="1"/>
        <v>0.15</v>
      </c>
      <c r="B107">
        <f ca="1"/>
        <v>7.45E-3</v>
      </c>
      <c r="C107">
        <f t="shared" ca="1" si="9"/>
        <v>7.4750931869540359E-3</v>
      </c>
      <c r="D107">
        <f ca="1"/>
        <v>0.32619999999999999</v>
      </c>
    </row>
    <row r="108" spans="1:19" x14ac:dyDescent="0.35">
      <c r="A108">
        <f ca="1"/>
        <v>0.2</v>
      </c>
      <c r="B108">
        <f ca="1"/>
        <v>7.4599999999999996E-3</v>
      </c>
      <c r="C108">
        <f t="shared" ca="1" si="9"/>
        <v>7.484200018848918E-3</v>
      </c>
      <c r="D108">
        <f ca="1"/>
        <v>0.33700000000000002</v>
      </c>
    </row>
    <row r="109" spans="1:19" x14ac:dyDescent="0.35">
      <c r="A109">
        <f ca="1"/>
        <v>0.25</v>
      </c>
      <c r="B109">
        <f ca="1"/>
        <v>7.4700000000000001E-3</v>
      </c>
      <c r="C109">
        <f t="shared" ca="1" si="9"/>
        <v>7.4946101101405083E-3</v>
      </c>
      <c r="D109">
        <f ca="1"/>
        <v>0.34770000000000001</v>
      </c>
    </row>
    <row r="110" spans="1:19" x14ac:dyDescent="0.35">
      <c r="A110">
        <f ca="1"/>
        <v>0.3</v>
      </c>
      <c r="B110">
        <f ca="1"/>
        <v>7.4799999999999997E-3</v>
      </c>
      <c r="C110">
        <f t="shared" ca="1" si="9"/>
        <v>7.506518041974445E-3</v>
      </c>
      <c r="D110">
        <f ca="1"/>
        <v>0.35849999999999999</v>
      </c>
    </row>
    <row r="111" spans="1:19" x14ac:dyDescent="0.35">
      <c r="A111">
        <f ca="1"/>
        <v>0.35</v>
      </c>
      <c r="B111">
        <f ca="1"/>
        <v>7.4900000000000001E-3</v>
      </c>
      <c r="C111">
        <f t="shared" ca="1" si="9"/>
        <v>7.5198330379638145E-3</v>
      </c>
      <c r="D111">
        <f ca="1"/>
        <v>0.36930000000000002</v>
      </c>
    </row>
    <row r="112" spans="1:19" x14ac:dyDescent="0.35">
      <c r="A112">
        <f ca="1"/>
        <v>0.4</v>
      </c>
      <c r="B112">
        <f ca="1"/>
        <v>7.4999999999999997E-3</v>
      </c>
      <c r="C112">
        <f t="shared" ca="1" si="9"/>
        <v>7.5345550981086159E-3</v>
      </c>
      <c r="D112">
        <f ca="1"/>
        <v>0.38009999999999999</v>
      </c>
    </row>
    <row r="113" spans="1:4" x14ac:dyDescent="0.35">
      <c r="A113">
        <f ca="1"/>
        <v>0.45</v>
      </c>
      <c r="B113">
        <f ca="1"/>
        <v>7.5100000000000002E-3</v>
      </c>
      <c r="C113">
        <f t="shared" ca="1" si="9"/>
        <v>7.5506842224088502E-3</v>
      </c>
      <c r="D113">
        <f ca="1"/>
        <v>0.39090000000000003</v>
      </c>
    </row>
    <row r="114" spans="1:4" x14ac:dyDescent="0.35">
      <c r="A114">
        <f ca="1"/>
        <v>0.5</v>
      </c>
      <c r="B114">
        <f ca="1"/>
        <v>7.5199999999999998E-3</v>
      </c>
      <c r="C114">
        <f t="shared" ca="1" si="9"/>
        <v>7.5682204108645165E-3</v>
      </c>
      <c r="D114">
        <f ca="1"/>
        <v>0.4017</v>
      </c>
    </row>
    <row r="115" spans="1:4" x14ac:dyDescent="0.35">
      <c r="A115">
        <f ca="1"/>
        <v>0.55000000000000004</v>
      </c>
      <c r="B115">
        <f ca="1"/>
        <v>7.5399999999999998E-3</v>
      </c>
      <c r="C115">
        <f t="shared" ca="1" si="9"/>
        <v>7.5871636634756148E-3</v>
      </c>
      <c r="D115">
        <f ca="1"/>
        <v>0.41249999999999998</v>
      </c>
    </row>
    <row r="116" spans="1:4" x14ac:dyDescent="0.35">
      <c r="A116">
        <f ca="1"/>
        <v>0.6</v>
      </c>
      <c r="B116">
        <f ca="1"/>
        <v>7.5700000000000003E-3</v>
      </c>
      <c r="C116">
        <f t="shared" ca="1" si="9"/>
        <v>7.6067351731273075E-3</v>
      </c>
      <c r="D116">
        <f ca="1"/>
        <v>0.4229</v>
      </c>
    </row>
    <row r="117" spans="1:4" x14ac:dyDescent="0.35">
      <c r="A117">
        <f ca="1"/>
        <v>0.65</v>
      </c>
      <c r="B117">
        <f ca="1"/>
        <v>7.62E-3</v>
      </c>
      <c r="C117">
        <f t="shared" ca="1" si="9"/>
        <v>7.6274045040535645E-3</v>
      </c>
      <c r="D117">
        <f ca="1"/>
        <v>0.43319999999999997</v>
      </c>
    </row>
    <row r="118" spans="1:4" x14ac:dyDescent="0.35">
      <c r="A118">
        <f ca="1"/>
        <v>0.7</v>
      </c>
      <c r="B118">
        <f ca="1"/>
        <v>7.6499999999999997E-3</v>
      </c>
      <c r="C118">
        <f t="shared" ca="1" si="9"/>
        <v>7.650231840010388E-3</v>
      </c>
      <c r="D118">
        <f ca="1"/>
        <v>0.44390000000000002</v>
      </c>
    </row>
    <row r="119" spans="1:4" x14ac:dyDescent="0.35">
      <c r="A119">
        <f ca="1"/>
        <v>0.75</v>
      </c>
      <c r="B119">
        <f ca="1"/>
        <v>7.6800000000000002E-3</v>
      </c>
      <c r="C119">
        <f t="shared" ca="1" si="9"/>
        <v>7.674440304012097E-3</v>
      </c>
      <c r="D119">
        <f ca="1"/>
        <v>0.4546</v>
      </c>
    </row>
    <row r="120" spans="1:4" x14ac:dyDescent="0.35">
      <c r="A120">
        <f ca="1"/>
        <v>0.8</v>
      </c>
      <c r="B120">
        <f ca="1"/>
        <v>7.7099999999999998E-3</v>
      </c>
      <c r="C120">
        <f t="shared" ca="1" si="9"/>
        <v>7.7000298960586914E-3</v>
      </c>
      <c r="D120">
        <f ca="1"/>
        <v>0.46529999999999999</v>
      </c>
    </row>
    <row r="121" spans="1:4" x14ac:dyDescent="0.35">
      <c r="A121">
        <f ca="1"/>
        <v>0.85</v>
      </c>
      <c r="B121">
        <f ca="1"/>
        <v>7.7299999999999999E-3</v>
      </c>
      <c r="C121">
        <f t="shared" ca="1" si="9"/>
        <v>7.7270006161501712E-3</v>
      </c>
      <c r="D121">
        <f ca="1"/>
        <v>0.47599999999999998</v>
      </c>
    </row>
    <row r="122" spans="1:4" x14ac:dyDescent="0.35">
      <c r="A122">
        <f ca="1"/>
        <v>0.9</v>
      </c>
      <c r="B122">
        <f ca="1"/>
        <v>7.7600000000000004E-3</v>
      </c>
      <c r="C122">
        <f t="shared" ca="1" si="9"/>
        <v>7.7558955543780804E-3</v>
      </c>
      <c r="D122">
        <f ca="1"/>
        <v>0.4869</v>
      </c>
    </row>
    <row r="123" spans="1:4" x14ac:dyDescent="0.35">
      <c r="A123">
        <f ca="1"/>
        <v>0.95</v>
      </c>
      <c r="B123">
        <f ca="1"/>
        <v>7.7799999999999996E-3</v>
      </c>
      <c r="C123">
        <f t="shared" ca="1" si="9"/>
        <v>7.7862237341381124E-3</v>
      </c>
      <c r="D123">
        <f ca="1"/>
        <v>0.49780000000000002</v>
      </c>
    </row>
    <row r="124" spans="1:4" x14ac:dyDescent="0.35">
      <c r="A124">
        <f ca="1"/>
        <v>1</v>
      </c>
      <c r="B124">
        <f ca="1"/>
        <v>7.8100000000000001E-3</v>
      </c>
      <c r="C124">
        <f t="shared" ca="1" si="9"/>
        <v>7.8179851554302689E-3</v>
      </c>
      <c r="D124">
        <f ca="1"/>
        <v>0.50870000000000004</v>
      </c>
    </row>
    <row r="125" spans="1:4" x14ac:dyDescent="0.35">
      <c r="A125">
        <f ca="1"/>
        <v>1.05</v>
      </c>
      <c r="B125">
        <f ca="1"/>
        <v>7.8399999999999997E-3</v>
      </c>
      <c r="C125">
        <f t="shared" ca="1" si="9"/>
        <v>7.851179818254549E-3</v>
      </c>
      <c r="D125">
        <f ca="1"/>
        <v>0.51959999999999995</v>
      </c>
    </row>
    <row r="126" spans="1:4" x14ac:dyDescent="0.35">
      <c r="A126">
        <f ca="1"/>
        <v>1.1000000000000001</v>
      </c>
      <c r="B126">
        <f ca="1"/>
        <v>7.8700000000000003E-3</v>
      </c>
      <c r="C126">
        <f t="shared" ca="1" si="9"/>
        <v>7.8858077226109519E-3</v>
      </c>
      <c r="D126">
        <f ca="1"/>
        <v>0.53049999999999997</v>
      </c>
    </row>
    <row r="127" spans="1:4" x14ac:dyDescent="0.35">
      <c r="A127">
        <f ca="1"/>
        <v>1.1499999999999999</v>
      </c>
      <c r="B127">
        <f ca="1"/>
        <v>7.9100000000000004E-3</v>
      </c>
      <c r="C127">
        <f t="shared" ca="1" si="9"/>
        <v>7.9215315181127635E-3</v>
      </c>
      <c r="D127">
        <f ca="1"/>
        <v>0.5413</v>
      </c>
    </row>
    <row r="128" spans="1:4" x14ac:dyDescent="0.35">
      <c r="A128">
        <f ca="1"/>
        <v>1.2</v>
      </c>
      <c r="B128">
        <f ca="1"/>
        <v>7.9500000000000005E-3</v>
      </c>
      <c r="C128">
        <f t="shared" ca="1" si="9"/>
        <v>7.9590127565285322E-3</v>
      </c>
      <c r="D128">
        <f ca="1"/>
        <v>0.55220000000000002</v>
      </c>
    </row>
    <row r="129" spans="1:4" x14ac:dyDescent="0.35">
      <c r="A129">
        <f ca="1"/>
        <v>1.25</v>
      </c>
      <c r="B129">
        <f ca="1"/>
        <v>7.9900000000000006E-3</v>
      </c>
      <c r="C129">
        <f t="shared" ca="1" si="9"/>
        <v>7.9982908848729058E-3</v>
      </c>
      <c r="D129">
        <f ca="1"/>
        <v>0.56320000000000003</v>
      </c>
    </row>
    <row r="130" spans="1:4" x14ac:dyDescent="0.35">
      <c r="A130">
        <f ca="1"/>
        <v>1.3</v>
      </c>
      <c r="B130">
        <f ca="1"/>
        <v>8.0300000000000007E-3</v>
      </c>
      <c r="C130">
        <f t="shared" ca="1" si="9"/>
        <v>8.0390286733922397E-3</v>
      </c>
      <c r="D130">
        <f ca="1"/>
        <v>0.57420000000000004</v>
      </c>
    </row>
    <row r="131" spans="1:4" x14ac:dyDescent="0.35">
      <c r="A131">
        <f ca="1"/>
        <v>1.35</v>
      </c>
      <c r="B131">
        <f ca="1"/>
        <v>8.0700000000000008E-3</v>
      </c>
      <c r="C131">
        <f t="shared" ca="1" si="9"/>
        <v>8.081226122086534E-3</v>
      </c>
      <c r="D131">
        <f ca="1"/>
        <v>0.58520000000000005</v>
      </c>
    </row>
    <row r="132" spans="1:4" x14ac:dyDescent="0.35">
      <c r="A132">
        <f ca="1"/>
        <v>1.4</v>
      </c>
      <c r="B132">
        <f ca="1"/>
        <v>8.1200000000000005E-3</v>
      </c>
      <c r="C132">
        <f t="shared" ca="1" si="9"/>
        <v>8.1248832309557869E-3</v>
      </c>
      <c r="D132">
        <f ca="1"/>
        <v>0.59619999999999995</v>
      </c>
    </row>
    <row r="133" spans="1:4" x14ac:dyDescent="0.35">
      <c r="A133">
        <f ca="1"/>
        <v>1.45</v>
      </c>
      <c r="B133">
        <f ca="1"/>
        <v>8.1700000000000002E-3</v>
      </c>
      <c r="C133">
        <f t="shared" ref="C133:C196" ca="1" si="18">IF(ISBLANK(D133), "",
IF(D133 &lt; $G$9,
    $G$10 + $G$19 * ($G$23 * (D133 - $G$9))^2 + $G$21 * (1 - (D133 - $G$6)/($G$9 - $G$6)),
IF(D133 &gt; $G$13,
    $G$14 + $G$19 * ($G$23 * (D133 - $G$13))^2 - $G$22 * (1 - (D133 - $G$6)/($G$13 - $G$6)),
IF(D133 &lt; $G$6,
    $G$16 * (D133 - $G$6)^2 + $G$5,
    $G$17 * (D133 - $G$6)^2 + $G$5))))</f>
        <v>8.1700000000000002E-3</v>
      </c>
      <c r="D133">
        <f ca="1"/>
        <v>0.60719999999999996</v>
      </c>
    </row>
    <row r="134" spans="1:4" x14ac:dyDescent="0.35">
      <c r="A134">
        <f ca="1"/>
        <v>1.5</v>
      </c>
      <c r="B134">
        <f ca="1"/>
        <v>8.2299999999999995E-3</v>
      </c>
      <c r="C134">
        <f t="shared" ca="1" si="18"/>
        <v>8.4500025488186987E-3</v>
      </c>
      <c r="D134">
        <f ca="1"/>
        <v>0.61809999999999998</v>
      </c>
    </row>
    <row r="135" spans="1:4" x14ac:dyDescent="0.35">
      <c r="A135">
        <f ca="1"/>
        <v>1.55</v>
      </c>
      <c r="B135">
        <f ca="1"/>
        <v>8.3099999999999997E-3</v>
      </c>
      <c r="C135">
        <f t="shared" ca="1" si="18"/>
        <v>9.0270300976373966E-3</v>
      </c>
      <c r="D135">
        <f ca="1"/>
        <v>0.629</v>
      </c>
    </row>
    <row r="136" spans="1:4" x14ac:dyDescent="0.35">
      <c r="A136">
        <f ca="1"/>
        <v>1.6</v>
      </c>
      <c r="B136">
        <f ca="1"/>
        <v>8.3899999999999999E-3</v>
      </c>
      <c r="C136">
        <f t="shared" ca="1" si="18"/>
        <v>9.8730511542867664E-3</v>
      </c>
      <c r="D136">
        <f ca="1"/>
        <v>0.63959999999999995</v>
      </c>
    </row>
    <row r="137" spans="1:4" x14ac:dyDescent="0.35">
      <c r="A137">
        <f ca="1"/>
        <v>1.65</v>
      </c>
      <c r="B137">
        <f ca="1"/>
        <v>8.4899999999999993E-3</v>
      </c>
      <c r="C137">
        <f t="shared" ca="1" si="18"/>
        <v>1.0988028380213042E-2</v>
      </c>
      <c r="D137">
        <f ca="1"/>
        <v>0.65010000000000001</v>
      </c>
    </row>
    <row r="138" spans="1:4" x14ac:dyDescent="0.35">
      <c r="A138">
        <f ca="1"/>
        <v>1.7</v>
      </c>
      <c r="B138">
        <f ca="1"/>
        <v>8.6099999999999996E-3</v>
      </c>
      <c r="C138">
        <f t="shared" ca="1" si="18"/>
        <v>1.2335074113969986E-2</v>
      </c>
      <c r="D138">
        <f ca="1"/>
        <v>0.6603</v>
      </c>
    </row>
    <row r="139" spans="1:4" x14ac:dyDescent="0.35">
      <c r="A139">
        <f ca="1"/>
        <v>1.75</v>
      </c>
      <c r="B139">
        <f ca="1"/>
        <v>8.7500000000000008E-3</v>
      </c>
      <c r="C139">
        <f t="shared" ca="1" si="18"/>
        <v>1.3908207186280717E-2</v>
      </c>
      <c r="D139">
        <f ca="1"/>
        <v>0.67030000000000001</v>
      </c>
    </row>
    <row r="140" spans="1:4" x14ac:dyDescent="0.35">
      <c r="A140">
        <f ca="1"/>
        <v>1.8</v>
      </c>
      <c r="B140">
        <f ca="1"/>
        <v>8.9099999999999995E-3</v>
      </c>
      <c r="C140">
        <f t="shared" ca="1" si="18"/>
        <v>1.5634246104975904E-2</v>
      </c>
      <c r="D140">
        <f ca="1"/>
        <v>0.67979999999999996</v>
      </c>
    </row>
    <row r="141" spans="1:4" x14ac:dyDescent="0.35">
      <c r="A141">
        <f ca="1"/>
        <v>1.85</v>
      </c>
      <c r="B141">
        <f ca="1"/>
        <v>9.0900000000000009E-3</v>
      </c>
      <c r="C141">
        <f t="shared" ca="1" si="18"/>
        <v>1.7520828531501772E-2</v>
      </c>
      <c r="D141">
        <f ca="1"/>
        <v>0.68899999999999995</v>
      </c>
    </row>
    <row r="142" spans="1:4" x14ac:dyDescent="0.35">
      <c r="A142">
        <f ca="1"/>
        <v>1.9</v>
      </c>
      <c r="B142">
        <f ca="1"/>
        <v>9.2999999999999992E-3</v>
      </c>
      <c r="C142">
        <f t="shared" ca="1" si="18"/>
        <v>1.9523385635135226E-2</v>
      </c>
      <c r="D142">
        <f ca="1"/>
        <v>0.69779999999999998</v>
      </c>
    </row>
    <row r="143" spans="1:4" x14ac:dyDescent="0.35">
      <c r="A143">
        <f ca="1"/>
        <v>1.95</v>
      </c>
      <c r="B143">
        <f ca="1"/>
        <v>9.5200000000000007E-3</v>
      </c>
      <c r="C143">
        <f t="shared" ca="1" si="18"/>
        <v>2.1615517415876258E-2</v>
      </c>
      <c r="D143">
        <f ca="1"/>
        <v>0.70620000000000005</v>
      </c>
    </row>
    <row r="144" spans="1:4" x14ac:dyDescent="0.35">
      <c r="A144">
        <f ca="1"/>
        <v>2</v>
      </c>
      <c r="B144">
        <f ca="1"/>
        <v>9.7599999999999996E-3</v>
      </c>
      <c r="C144">
        <f t="shared" ca="1" si="18"/>
        <v>2.3827986535171056E-2</v>
      </c>
      <c r="D144">
        <f ca="1"/>
        <v>0.71440000000000003</v>
      </c>
    </row>
    <row r="145" spans="1:4" x14ac:dyDescent="0.35">
      <c r="A145">
        <f ca="1"/>
        <v>2.0499999999999998</v>
      </c>
      <c r="B145">
        <f ca="1"/>
        <v>1.0019999999999999E-2</v>
      </c>
      <c r="C145">
        <f t="shared" ca="1" si="18"/>
        <v>2.6178511823742746E-2</v>
      </c>
      <c r="D145">
        <f ca="1"/>
        <v>0.72250000000000003</v>
      </c>
    </row>
    <row r="146" spans="1:4" x14ac:dyDescent="0.35">
      <c r="A146">
        <f ca="1"/>
        <v>2.1</v>
      </c>
      <c r="B146">
        <f ca="1"/>
        <v>1.0290000000000001E-2</v>
      </c>
      <c r="C146">
        <f t="shared" ca="1" si="18"/>
        <v>2.8693062112314441E-2</v>
      </c>
      <c r="D146">
        <f ca="1"/>
        <v>0.73060000000000003</v>
      </c>
    </row>
    <row r="147" spans="1:4" x14ac:dyDescent="0.35">
      <c r="A147">
        <f ca="1"/>
        <v>2.15</v>
      </c>
      <c r="B147">
        <f ca="1"/>
        <v>1.0580000000000001E-2</v>
      </c>
      <c r="C147">
        <f t="shared" ca="1" si="18"/>
        <v>3.1439850062332339E-2</v>
      </c>
      <c r="D147">
        <f ca="1"/>
        <v>0.7389</v>
      </c>
    </row>
    <row r="148" spans="1:4" x14ac:dyDescent="0.35">
      <c r="A148">
        <f ca="1"/>
        <v>2.2000000000000002</v>
      </c>
      <c r="B148">
        <f ca="1"/>
        <v>1.0880000000000001E-2</v>
      </c>
      <c r="C148">
        <f t="shared" ca="1" si="18"/>
        <v>3.446759450451959E-2</v>
      </c>
      <c r="D148">
        <f ca="1"/>
        <v>0.74750000000000005</v>
      </c>
    </row>
    <row r="149" spans="1:4" x14ac:dyDescent="0.35">
      <c r="A149">
        <f ca="1"/>
        <v>2.25</v>
      </c>
      <c r="B149">
        <f ca="1"/>
        <v>1.12E-2</v>
      </c>
      <c r="C149">
        <f t="shared" ca="1" si="18"/>
        <v>3.7834164269599208E-2</v>
      </c>
      <c r="D149">
        <f ca="1"/>
        <v>0.75649999999999995</v>
      </c>
    </row>
    <row r="150" spans="1:4" x14ac:dyDescent="0.35">
      <c r="A150">
        <f ca="1"/>
        <v>2.2999999999999998</v>
      </c>
      <c r="B150">
        <f ca="1"/>
        <v>1.154E-2</v>
      </c>
      <c r="C150">
        <f t="shared" ca="1" si="18"/>
        <v>4.156655935757133E-2</v>
      </c>
      <c r="D150">
        <f ca="1"/>
        <v>0.76590000000000003</v>
      </c>
    </row>
    <row r="151" spans="1:4" x14ac:dyDescent="0.35">
      <c r="A151">
        <f ca="1"/>
        <v>2.35</v>
      </c>
      <c r="B151">
        <f ca="1"/>
        <v>1.1900000000000001E-2</v>
      </c>
      <c r="C151">
        <f t="shared" ca="1" si="18"/>
        <v>4.5692979768435803E-2</v>
      </c>
      <c r="D151">
        <f ca="1"/>
        <v>0.77569999999999995</v>
      </c>
    </row>
    <row r="152" spans="1:4" x14ac:dyDescent="0.35">
      <c r="A152">
        <f ca="1"/>
        <v>2.4</v>
      </c>
      <c r="B152">
        <f ca="1"/>
        <v>1.2290000000000001E-2</v>
      </c>
      <c r="C152">
        <f t="shared" ca="1" si="18"/>
        <v>5.0196956671469693E-2</v>
      </c>
      <c r="D152">
        <f ca="1"/>
        <v>0.78580000000000005</v>
      </c>
    </row>
    <row r="153" spans="1:4" x14ac:dyDescent="0.35">
      <c r="A153">
        <f ca="1"/>
        <v>2.4500000000000002</v>
      </c>
      <c r="B153">
        <f ca="1"/>
        <v>1.269E-2</v>
      </c>
      <c r="C153">
        <f t="shared" ca="1" si="18"/>
        <v>5.5052771235949739E-2</v>
      </c>
      <c r="D153">
        <f ca="1"/>
        <v>0.79610000000000003</v>
      </c>
    </row>
    <row r="154" spans="1:4" x14ac:dyDescent="0.35">
      <c r="A154">
        <f ca="1"/>
        <v>2.5</v>
      </c>
      <c r="B154">
        <f ca="1"/>
        <v>1.312E-2</v>
      </c>
      <c r="C154">
        <f t="shared" ca="1" si="18"/>
        <v>6.0224829631152887E-2</v>
      </c>
      <c r="D154">
        <f ca="1"/>
        <v>0.80649999999999999</v>
      </c>
    </row>
    <row r="155" spans="1:4" x14ac:dyDescent="0.35">
      <c r="A155">
        <f ca="1"/>
        <v>2.5499999999999998</v>
      </c>
      <c r="B155">
        <f ca="1"/>
        <v>1.358E-2</v>
      </c>
      <c r="C155">
        <f t="shared" ca="1" si="18"/>
        <v>6.5560075364909834E-2</v>
      </c>
      <c r="D155">
        <f ca="1"/>
        <v>0.81669999999999998</v>
      </c>
    </row>
    <row r="156" spans="1:4" x14ac:dyDescent="0.35">
      <c r="A156">
        <f ca="1"/>
        <v>2.6</v>
      </c>
      <c r="B156">
        <f ca="1"/>
        <v>1.4069999999999999E-2</v>
      </c>
      <c r="C156">
        <f t="shared" ca="1" si="18"/>
        <v>7.0987139606497454E-2</v>
      </c>
      <c r="D156">
        <f ca="1"/>
        <v>0.8266</v>
      </c>
    </row>
    <row r="157" spans="1:4" x14ac:dyDescent="0.35">
      <c r="A157">
        <f ca="1"/>
        <v>2.65</v>
      </c>
      <c r="B157">
        <f ca="1"/>
        <v>1.4579999999999999E-2</v>
      </c>
      <c r="C157">
        <f t="shared" ca="1" si="18"/>
        <v>7.6366884694469533E-2</v>
      </c>
      <c r="D157">
        <f ca="1"/>
        <v>0.83599999999999997</v>
      </c>
    </row>
    <row r="158" spans="1:4" x14ac:dyDescent="0.35">
      <c r="A158">
        <f ca="1"/>
        <v>2.7</v>
      </c>
      <c r="B158">
        <f ca="1"/>
        <v>1.511E-2</v>
      </c>
      <c r="C158">
        <f t="shared" ca="1" si="18"/>
        <v>8.1664060628826071E-2</v>
      </c>
      <c r="D158">
        <f ca="1"/>
        <v>0.84489999999999998</v>
      </c>
    </row>
    <row r="159" spans="1:4" x14ac:dyDescent="0.35">
      <c r="A159">
        <f ca="1"/>
        <v>2.75</v>
      </c>
      <c r="B159">
        <f ca="1"/>
        <v>1.567E-2</v>
      </c>
      <c r="C159">
        <f t="shared" ca="1" si="18"/>
        <v>8.6719879748120871E-2</v>
      </c>
      <c r="D159">
        <f ca="1"/>
        <v>0.85309999999999997</v>
      </c>
    </row>
    <row r="160" spans="1:4" x14ac:dyDescent="0.35">
      <c r="A160">
        <f ca="1"/>
        <v>2.8</v>
      </c>
      <c r="B160">
        <f ca="1"/>
        <v>1.6250000000000001E-2</v>
      </c>
      <c r="C160">
        <f t="shared" ca="1" si="18"/>
        <v>9.1620454713800162E-2</v>
      </c>
      <c r="D160">
        <f ca="1"/>
        <v>0.86080000000000001</v>
      </c>
    </row>
    <row r="161" spans="1:4" x14ac:dyDescent="0.35">
      <c r="A161">
        <f ca="1"/>
        <v>2.85</v>
      </c>
      <c r="B161">
        <f ca="1"/>
        <v>1.6840000000000001E-2</v>
      </c>
      <c r="C161">
        <f t="shared" ca="1" si="18"/>
        <v>9.6137804033694568E-2</v>
      </c>
      <c r="D161">
        <f ca="1"/>
        <v>0.86770000000000003</v>
      </c>
    </row>
    <row r="162" spans="1:4" x14ac:dyDescent="0.35">
      <c r="A162">
        <f ca="1"/>
        <v>2.9</v>
      </c>
      <c r="B162">
        <f ca="1"/>
        <v>1.746E-2</v>
      </c>
      <c r="C162">
        <f t="shared" ca="1" si="18"/>
        <v>0.10036629036925031</v>
      </c>
      <c r="D162">
        <f ca="1"/>
        <v>0.874</v>
      </c>
    </row>
    <row r="163" spans="1:4" x14ac:dyDescent="0.35">
      <c r="A163">
        <f ca="1"/>
        <v>2.95</v>
      </c>
      <c r="B163">
        <f ca="1"/>
        <v>1.8089999999999998E-2</v>
      </c>
      <c r="C163">
        <f t="shared" ca="1" si="18"/>
        <v>0.10420824488974438</v>
      </c>
      <c r="D163">
        <f ca="1"/>
        <v>0.87960000000000005</v>
      </c>
    </row>
    <row r="164" spans="1:4" x14ac:dyDescent="0.35">
      <c r="A164">
        <f ca="1"/>
        <v>3</v>
      </c>
      <c r="B164">
        <f ca="1"/>
        <v>1.873E-2</v>
      </c>
      <c r="C164">
        <f t="shared" ca="1" si="18"/>
        <v>0.10770481142589973</v>
      </c>
      <c r="D164">
        <f ca="1"/>
        <v>0.88460000000000005</v>
      </c>
    </row>
    <row r="165" spans="1:4" x14ac:dyDescent="0.35">
      <c r="A165">
        <f ca="1"/>
        <v>3.05</v>
      </c>
      <c r="B165">
        <f ca="1"/>
        <v>1.9390000000000001E-2</v>
      </c>
      <c r="C165">
        <f t="shared" ca="1" si="18"/>
        <v>0.11083348997771644</v>
      </c>
      <c r="D165">
        <f ca="1"/>
        <v>0.88900000000000001</v>
      </c>
    </row>
    <row r="166" spans="1:4" x14ac:dyDescent="0.35">
      <c r="A166">
        <f ca="1"/>
        <v>3.1</v>
      </c>
      <c r="B166">
        <f ca="1"/>
        <v>2.0070000000000001E-2</v>
      </c>
      <c r="C166">
        <f t="shared" ca="1" si="18"/>
        <v>0.11357448054519452</v>
      </c>
      <c r="D166">
        <f ca="1"/>
        <v>0.89280000000000004</v>
      </c>
    </row>
    <row r="167" spans="1:4" x14ac:dyDescent="0.35">
      <c r="A167">
        <f ca="1"/>
        <v>3.15</v>
      </c>
      <c r="B167">
        <f ca="1"/>
        <v>2.0760000000000001E-2</v>
      </c>
      <c r="C167">
        <f t="shared" ca="1" si="18"/>
        <v>0.11591068312833397</v>
      </c>
      <c r="D167">
        <f ca="1"/>
        <v>0.89600000000000002</v>
      </c>
    </row>
    <row r="168" spans="1:4" x14ac:dyDescent="0.35">
      <c r="A168">
        <f ca="1"/>
        <v>3.2</v>
      </c>
      <c r="B168">
        <f ca="1"/>
        <v>2.146E-2</v>
      </c>
      <c r="C168">
        <f t="shared" ca="1" si="18"/>
        <v>0.11782769772713468</v>
      </c>
      <c r="D168">
        <f ca="1"/>
        <v>0.89859999999999995</v>
      </c>
    </row>
    <row r="169" spans="1:4" x14ac:dyDescent="0.35">
      <c r="A169">
        <f ca="1"/>
        <v>3.25</v>
      </c>
      <c r="B169">
        <f ca="1"/>
        <v>2.2190000000000001E-2</v>
      </c>
      <c r="C169">
        <f t="shared" ca="1" si="18"/>
        <v>0.11938839317231992</v>
      </c>
      <c r="D169">
        <f ca="1"/>
        <v>0.90069999999999995</v>
      </c>
    </row>
    <row r="170" spans="1:4" x14ac:dyDescent="0.35">
      <c r="A170">
        <f ca="1"/>
        <v>3.3</v>
      </c>
      <c r="B170">
        <f ca="1"/>
        <v>2.2929999999999999E-2</v>
      </c>
      <c r="C170">
        <f t="shared" ca="1" si="18"/>
        <v>0.12043498180244351</v>
      </c>
      <c r="D170">
        <f ca="1"/>
        <v>0.90210000000000001</v>
      </c>
    </row>
    <row r="171" spans="1:4" x14ac:dyDescent="0.35">
      <c r="A171">
        <f ca="1"/>
        <v>3.35</v>
      </c>
      <c r="B171">
        <f ca="1"/>
        <v>2.3709999999999998E-2</v>
      </c>
      <c r="C171">
        <f t="shared" ca="1" si="18"/>
        <v>0.12103523244822836</v>
      </c>
      <c r="D171">
        <f ca="1"/>
        <v>0.90290000000000004</v>
      </c>
    </row>
    <row r="172" spans="1:4" x14ac:dyDescent="0.35">
      <c r="A172">
        <f ca="1"/>
        <v>3.4</v>
      </c>
      <c r="B172">
        <f ca="1"/>
        <v>2.4539999999999999E-2</v>
      </c>
      <c r="C172">
        <f t="shared" ca="1" si="18"/>
        <v>0.12080995095605898</v>
      </c>
      <c r="D172">
        <f ca="1"/>
        <v>0.90259999999999996</v>
      </c>
    </row>
    <row r="173" spans="1:4" x14ac:dyDescent="0.35">
      <c r="C173" t="str">
        <f t="shared" si="18"/>
        <v/>
      </c>
    </row>
    <row r="174" spans="1:4" x14ac:dyDescent="0.35">
      <c r="C174" t="str">
        <f t="shared" si="18"/>
        <v/>
      </c>
    </row>
    <row r="175" spans="1:4" x14ac:dyDescent="0.35">
      <c r="C175" t="str">
        <f t="shared" si="18"/>
        <v/>
      </c>
    </row>
    <row r="176" spans="1:4" x14ac:dyDescent="0.35">
      <c r="C176" t="str">
        <f t="shared" si="18"/>
        <v/>
      </c>
    </row>
    <row r="177" spans="3:3" x14ac:dyDescent="0.35">
      <c r="C177" t="str">
        <f t="shared" si="18"/>
        <v/>
      </c>
    </row>
    <row r="178" spans="3:3" x14ac:dyDescent="0.35">
      <c r="C178" t="str">
        <f t="shared" si="18"/>
        <v/>
      </c>
    </row>
    <row r="179" spans="3:3" x14ac:dyDescent="0.35">
      <c r="C179" t="str">
        <f t="shared" si="18"/>
        <v/>
      </c>
    </row>
    <row r="180" spans="3:3" x14ac:dyDescent="0.35">
      <c r="C180" t="str">
        <f t="shared" si="18"/>
        <v/>
      </c>
    </row>
    <row r="181" spans="3:3" x14ac:dyDescent="0.35">
      <c r="C181" t="str">
        <f t="shared" si="18"/>
        <v/>
      </c>
    </row>
    <row r="182" spans="3:3" x14ac:dyDescent="0.35">
      <c r="C182" t="str">
        <f t="shared" si="18"/>
        <v/>
      </c>
    </row>
    <row r="183" spans="3:3" x14ac:dyDescent="0.35">
      <c r="C183" t="str">
        <f t="shared" si="18"/>
        <v/>
      </c>
    </row>
    <row r="184" spans="3:3" x14ac:dyDescent="0.35">
      <c r="C184" t="str">
        <f t="shared" si="18"/>
        <v/>
      </c>
    </row>
    <row r="185" spans="3:3" x14ac:dyDescent="0.35">
      <c r="C185" t="str">
        <f t="shared" si="18"/>
        <v/>
      </c>
    </row>
    <row r="186" spans="3:3" x14ac:dyDescent="0.35">
      <c r="C186" t="str">
        <f t="shared" si="18"/>
        <v/>
      </c>
    </row>
    <row r="187" spans="3:3" x14ac:dyDescent="0.35">
      <c r="C187" t="str">
        <f t="shared" si="18"/>
        <v/>
      </c>
    </row>
    <row r="188" spans="3:3" x14ac:dyDescent="0.35">
      <c r="C188" t="str">
        <f t="shared" si="18"/>
        <v/>
      </c>
    </row>
    <row r="189" spans="3:3" x14ac:dyDescent="0.35">
      <c r="C189" t="str">
        <f t="shared" si="18"/>
        <v/>
      </c>
    </row>
    <row r="190" spans="3:3" x14ac:dyDescent="0.35">
      <c r="C190" t="str">
        <f t="shared" si="18"/>
        <v/>
      </c>
    </row>
    <row r="191" spans="3:3" x14ac:dyDescent="0.35">
      <c r="C191" t="str">
        <f t="shared" si="18"/>
        <v/>
      </c>
    </row>
    <row r="192" spans="3:3" x14ac:dyDescent="0.35">
      <c r="C192" t="str">
        <f t="shared" si="18"/>
        <v/>
      </c>
    </row>
    <row r="193" spans="3:3" x14ac:dyDescent="0.35">
      <c r="C193" t="str">
        <f t="shared" si="18"/>
        <v/>
      </c>
    </row>
    <row r="194" spans="3:3" x14ac:dyDescent="0.35">
      <c r="C194" t="str">
        <f t="shared" si="18"/>
        <v/>
      </c>
    </row>
    <row r="195" spans="3:3" x14ac:dyDescent="0.35">
      <c r="C195" t="str">
        <f t="shared" si="18"/>
        <v/>
      </c>
    </row>
    <row r="196" spans="3:3" x14ac:dyDescent="0.35">
      <c r="C196" t="str">
        <f t="shared" si="18"/>
        <v/>
      </c>
    </row>
    <row r="197" spans="3:3" x14ac:dyDescent="0.35">
      <c r="C197" t="str">
        <f t="shared" ref="C197:C260" si="19">IF(ISBLANK(D197), "",
IF(D197 &lt; $G$9,
    $G$10 + $G$19 * ($G$23 * (D197 - $G$9))^2 + $G$21 * (1 - (D197 - $G$6)/($G$9 - $G$6)),
IF(D197 &gt; $G$13,
    $G$14 + $G$19 * ($G$23 * (D197 - $G$13))^2 - $G$22 * (1 - (D197 - $G$6)/($G$13 - $G$6)),
IF(D197 &lt; $G$6,
    $G$16 * (D197 - $G$6)^2 + $G$5,
    $G$17 * (D197 - $G$6)^2 + $G$5))))</f>
        <v/>
      </c>
    </row>
    <row r="198" spans="3:3" x14ac:dyDescent="0.35">
      <c r="C198" t="str">
        <f t="shared" si="19"/>
        <v/>
      </c>
    </row>
    <row r="199" spans="3:3" x14ac:dyDescent="0.35">
      <c r="C199" t="str">
        <f t="shared" si="19"/>
        <v/>
      </c>
    </row>
    <row r="200" spans="3:3" x14ac:dyDescent="0.35">
      <c r="C200" t="str">
        <f t="shared" si="19"/>
        <v/>
      </c>
    </row>
    <row r="201" spans="3:3" x14ac:dyDescent="0.35">
      <c r="C201" t="str">
        <f t="shared" si="19"/>
        <v/>
      </c>
    </row>
    <row r="202" spans="3:3" x14ac:dyDescent="0.35">
      <c r="C202" t="str">
        <f t="shared" si="19"/>
        <v/>
      </c>
    </row>
    <row r="203" spans="3:3" x14ac:dyDescent="0.35">
      <c r="C203" t="str">
        <f t="shared" si="19"/>
        <v/>
      </c>
    </row>
    <row r="204" spans="3:3" x14ac:dyDescent="0.35">
      <c r="C204" t="str">
        <f t="shared" si="19"/>
        <v/>
      </c>
    </row>
    <row r="205" spans="3:3" x14ac:dyDescent="0.35">
      <c r="C205" t="str">
        <f t="shared" si="19"/>
        <v/>
      </c>
    </row>
    <row r="206" spans="3:3" x14ac:dyDescent="0.35">
      <c r="C206" t="str">
        <f t="shared" si="19"/>
        <v/>
      </c>
    </row>
    <row r="207" spans="3:3" x14ac:dyDescent="0.35">
      <c r="C207" t="str">
        <f t="shared" si="19"/>
        <v/>
      </c>
    </row>
    <row r="208" spans="3:3" x14ac:dyDescent="0.35">
      <c r="C208" t="str">
        <f t="shared" si="19"/>
        <v/>
      </c>
    </row>
    <row r="209" spans="3:3" x14ac:dyDescent="0.35">
      <c r="C209" t="str">
        <f t="shared" si="19"/>
        <v/>
      </c>
    </row>
    <row r="210" spans="3:3" x14ac:dyDescent="0.35">
      <c r="C210" t="str">
        <f t="shared" si="19"/>
        <v/>
      </c>
    </row>
    <row r="211" spans="3:3" x14ac:dyDescent="0.35">
      <c r="C211" t="str">
        <f t="shared" si="19"/>
        <v/>
      </c>
    </row>
    <row r="212" spans="3:3" x14ac:dyDescent="0.35">
      <c r="C212" t="str">
        <f t="shared" si="19"/>
        <v/>
      </c>
    </row>
    <row r="213" spans="3:3" x14ac:dyDescent="0.35">
      <c r="C213" t="str">
        <f t="shared" si="19"/>
        <v/>
      </c>
    </row>
    <row r="214" spans="3:3" x14ac:dyDescent="0.35">
      <c r="C214" t="str">
        <f t="shared" si="19"/>
        <v/>
      </c>
    </row>
    <row r="215" spans="3:3" x14ac:dyDescent="0.35">
      <c r="C215" t="str">
        <f t="shared" si="19"/>
        <v/>
      </c>
    </row>
    <row r="216" spans="3:3" x14ac:dyDescent="0.35">
      <c r="C216" t="str">
        <f t="shared" si="19"/>
        <v/>
      </c>
    </row>
    <row r="217" spans="3:3" x14ac:dyDescent="0.35">
      <c r="C217" t="str">
        <f t="shared" si="19"/>
        <v/>
      </c>
    </row>
    <row r="218" spans="3:3" x14ac:dyDescent="0.35">
      <c r="C218" t="str">
        <f t="shared" si="19"/>
        <v/>
      </c>
    </row>
    <row r="219" spans="3:3" x14ac:dyDescent="0.35">
      <c r="C219" t="str">
        <f t="shared" si="19"/>
        <v/>
      </c>
    </row>
    <row r="220" spans="3:3" x14ac:dyDescent="0.35">
      <c r="C220" t="str">
        <f t="shared" si="19"/>
        <v/>
      </c>
    </row>
    <row r="221" spans="3:3" x14ac:dyDescent="0.35">
      <c r="C221" t="str">
        <f t="shared" si="19"/>
        <v/>
      </c>
    </row>
    <row r="222" spans="3:3" x14ac:dyDescent="0.35">
      <c r="C222" t="str">
        <f t="shared" si="19"/>
        <v/>
      </c>
    </row>
    <row r="223" spans="3:3" x14ac:dyDescent="0.35">
      <c r="C223" t="str">
        <f t="shared" si="19"/>
        <v/>
      </c>
    </row>
    <row r="224" spans="3:3" x14ac:dyDescent="0.35">
      <c r="C224" t="str">
        <f t="shared" si="19"/>
        <v/>
      </c>
    </row>
    <row r="225" spans="3:3" x14ac:dyDescent="0.35">
      <c r="C225" t="str">
        <f t="shared" si="19"/>
        <v/>
      </c>
    </row>
    <row r="226" spans="3:3" x14ac:dyDescent="0.35">
      <c r="C226" t="str">
        <f t="shared" si="19"/>
        <v/>
      </c>
    </row>
    <row r="227" spans="3:3" x14ac:dyDescent="0.35">
      <c r="C227" t="str">
        <f t="shared" si="19"/>
        <v/>
      </c>
    </row>
    <row r="228" spans="3:3" x14ac:dyDescent="0.35">
      <c r="C228" t="str">
        <f t="shared" si="19"/>
        <v/>
      </c>
    </row>
    <row r="229" spans="3:3" x14ac:dyDescent="0.35">
      <c r="C229" t="str">
        <f t="shared" si="19"/>
        <v/>
      </c>
    </row>
    <row r="230" spans="3:3" x14ac:dyDescent="0.35">
      <c r="C230" t="str">
        <f t="shared" si="19"/>
        <v/>
      </c>
    </row>
    <row r="231" spans="3:3" x14ac:dyDescent="0.35">
      <c r="C231" t="str">
        <f t="shared" si="19"/>
        <v/>
      </c>
    </row>
    <row r="232" spans="3:3" x14ac:dyDescent="0.35">
      <c r="C232" t="str">
        <f t="shared" si="19"/>
        <v/>
      </c>
    </row>
    <row r="233" spans="3:3" x14ac:dyDescent="0.35">
      <c r="C233" t="str">
        <f t="shared" si="19"/>
        <v/>
      </c>
    </row>
    <row r="234" spans="3:3" x14ac:dyDescent="0.35">
      <c r="C234" t="str">
        <f t="shared" si="19"/>
        <v/>
      </c>
    </row>
    <row r="235" spans="3:3" x14ac:dyDescent="0.35">
      <c r="C235" t="str">
        <f t="shared" si="19"/>
        <v/>
      </c>
    </row>
    <row r="236" spans="3:3" x14ac:dyDescent="0.35">
      <c r="C236" t="str">
        <f t="shared" si="19"/>
        <v/>
      </c>
    </row>
    <row r="237" spans="3:3" x14ac:dyDescent="0.35">
      <c r="C237" t="str">
        <f t="shared" si="19"/>
        <v/>
      </c>
    </row>
    <row r="238" spans="3:3" x14ac:dyDescent="0.35">
      <c r="C238" t="str">
        <f t="shared" si="19"/>
        <v/>
      </c>
    </row>
    <row r="239" spans="3:3" x14ac:dyDescent="0.35">
      <c r="C239" t="str">
        <f t="shared" si="19"/>
        <v/>
      </c>
    </row>
    <row r="240" spans="3:3" x14ac:dyDescent="0.35">
      <c r="C240" t="str">
        <f t="shared" si="19"/>
        <v/>
      </c>
    </row>
    <row r="241" spans="3:3" x14ac:dyDescent="0.35">
      <c r="C241" t="str">
        <f t="shared" si="19"/>
        <v/>
      </c>
    </row>
    <row r="242" spans="3:3" x14ac:dyDescent="0.35">
      <c r="C242" t="str">
        <f t="shared" si="19"/>
        <v/>
      </c>
    </row>
    <row r="243" spans="3:3" x14ac:dyDescent="0.35">
      <c r="C243" t="str">
        <f t="shared" si="19"/>
        <v/>
      </c>
    </row>
    <row r="244" spans="3:3" x14ac:dyDescent="0.35">
      <c r="C244" t="str">
        <f t="shared" si="19"/>
        <v/>
      </c>
    </row>
    <row r="245" spans="3:3" x14ac:dyDescent="0.35">
      <c r="C245" t="str">
        <f t="shared" si="19"/>
        <v/>
      </c>
    </row>
    <row r="246" spans="3:3" x14ac:dyDescent="0.35">
      <c r="C246" t="str">
        <f t="shared" si="19"/>
        <v/>
      </c>
    </row>
    <row r="247" spans="3:3" x14ac:dyDescent="0.35">
      <c r="C247" t="str">
        <f t="shared" si="19"/>
        <v/>
      </c>
    </row>
    <row r="248" spans="3:3" x14ac:dyDescent="0.35">
      <c r="C248" t="str">
        <f t="shared" si="19"/>
        <v/>
      </c>
    </row>
    <row r="249" spans="3:3" x14ac:dyDescent="0.35">
      <c r="C249" t="str">
        <f t="shared" si="19"/>
        <v/>
      </c>
    </row>
    <row r="250" spans="3:3" x14ac:dyDescent="0.35">
      <c r="C250" t="str">
        <f t="shared" si="19"/>
        <v/>
      </c>
    </row>
    <row r="251" spans="3:3" x14ac:dyDescent="0.35">
      <c r="C251" t="str">
        <f t="shared" si="19"/>
        <v/>
      </c>
    </row>
    <row r="252" spans="3:3" x14ac:dyDescent="0.35">
      <c r="C252" t="str">
        <f t="shared" si="19"/>
        <v/>
      </c>
    </row>
    <row r="253" spans="3:3" x14ac:dyDescent="0.35">
      <c r="C253" t="str">
        <f t="shared" si="19"/>
        <v/>
      </c>
    </row>
    <row r="254" spans="3:3" x14ac:dyDescent="0.35">
      <c r="C254" t="str">
        <f t="shared" si="19"/>
        <v/>
      </c>
    </row>
    <row r="255" spans="3:3" x14ac:dyDescent="0.35">
      <c r="C255" t="str">
        <f t="shared" si="19"/>
        <v/>
      </c>
    </row>
    <row r="256" spans="3:3" x14ac:dyDescent="0.35">
      <c r="C256" t="str">
        <f t="shared" si="19"/>
        <v/>
      </c>
    </row>
    <row r="257" spans="3:3" x14ac:dyDescent="0.35">
      <c r="C257" t="str">
        <f t="shared" si="19"/>
        <v/>
      </c>
    </row>
    <row r="258" spans="3:3" x14ac:dyDescent="0.35">
      <c r="C258" t="str">
        <f t="shared" si="19"/>
        <v/>
      </c>
    </row>
    <row r="259" spans="3:3" x14ac:dyDescent="0.35">
      <c r="C259" t="str">
        <f t="shared" si="19"/>
        <v/>
      </c>
    </row>
    <row r="260" spans="3:3" x14ac:dyDescent="0.35">
      <c r="C260" t="str">
        <f t="shared" si="19"/>
        <v/>
      </c>
    </row>
    <row r="261" spans="3:3" x14ac:dyDescent="0.35">
      <c r="C261" t="str">
        <f t="shared" ref="C261:C324" si="20">IF(ISBLANK(D261), "",
IF(D261 &lt; $G$9,
    $G$10 + $G$19 * ($G$23 * (D261 - $G$9))^2 + $G$21 * (1 - (D261 - $G$6)/($G$9 - $G$6)),
IF(D261 &gt; $G$13,
    $G$14 + $G$19 * ($G$23 * (D261 - $G$13))^2 - $G$22 * (1 - (D261 - $G$6)/($G$13 - $G$6)),
IF(D261 &lt; $G$6,
    $G$16 * (D261 - $G$6)^2 + $G$5,
    $G$17 * (D261 - $G$6)^2 + $G$5))))</f>
        <v/>
      </c>
    </row>
    <row r="262" spans="3:3" x14ac:dyDescent="0.35">
      <c r="C262" t="str">
        <f t="shared" si="20"/>
        <v/>
      </c>
    </row>
    <row r="263" spans="3:3" x14ac:dyDescent="0.35">
      <c r="C263" t="str">
        <f t="shared" si="20"/>
        <v/>
      </c>
    </row>
    <row r="264" spans="3:3" x14ac:dyDescent="0.35">
      <c r="C264" t="str">
        <f t="shared" si="20"/>
        <v/>
      </c>
    </row>
    <row r="265" spans="3:3" x14ac:dyDescent="0.35">
      <c r="C265" t="str">
        <f t="shared" si="20"/>
        <v/>
      </c>
    </row>
    <row r="266" spans="3:3" x14ac:dyDescent="0.35">
      <c r="C266" t="str">
        <f t="shared" si="20"/>
        <v/>
      </c>
    </row>
    <row r="267" spans="3:3" x14ac:dyDescent="0.35">
      <c r="C267" t="str">
        <f t="shared" si="20"/>
        <v/>
      </c>
    </row>
    <row r="268" spans="3:3" x14ac:dyDescent="0.35">
      <c r="C268" t="str">
        <f t="shared" si="20"/>
        <v/>
      </c>
    </row>
    <row r="269" spans="3:3" x14ac:dyDescent="0.35">
      <c r="C269" t="str">
        <f t="shared" si="20"/>
        <v/>
      </c>
    </row>
    <row r="270" spans="3:3" x14ac:dyDescent="0.35">
      <c r="C270" t="str">
        <f t="shared" si="20"/>
        <v/>
      </c>
    </row>
    <row r="271" spans="3:3" x14ac:dyDescent="0.35">
      <c r="C271" t="str">
        <f t="shared" si="20"/>
        <v/>
      </c>
    </row>
    <row r="272" spans="3:3" x14ac:dyDescent="0.35">
      <c r="C272" t="str">
        <f t="shared" si="20"/>
        <v/>
      </c>
    </row>
    <row r="273" spans="3:3" x14ac:dyDescent="0.35">
      <c r="C273" t="str">
        <f t="shared" si="20"/>
        <v/>
      </c>
    </row>
    <row r="274" spans="3:3" x14ac:dyDescent="0.35">
      <c r="C274" t="str">
        <f t="shared" si="20"/>
        <v/>
      </c>
    </row>
    <row r="275" spans="3:3" x14ac:dyDescent="0.35">
      <c r="C275" t="str">
        <f t="shared" si="20"/>
        <v/>
      </c>
    </row>
    <row r="276" spans="3:3" x14ac:dyDescent="0.35">
      <c r="C276" t="str">
        <f t="shared" si="20"/>
        <v/>
      </c>
    </row>
    <row r="277" spans="3:3" x14ac:dyDescent="0.35">
      <c r="C277" t="str">
        <f t="shared" si="20"/>
        <v/>
      </c>
    </row>
    <row r="278" spans="3:3" x14ac:dyDescent="0.35">
      <c r="C278" t="str">
        <f t="shared" si="20"/>
        <v/>
      </c>
    </row>
    <row r="279" spans="3:3" x14ac:dyDescent="0.35">
      <c r="C279" t="str">
        <f t="shared" si="20"/>
        <v/>
      </c>
    </row>
    <row r="280" spans="3:3" x14ac:dyDescent="0.35">
      <c r="C280" t="str">
        <f t="shared" si="20"/>
        <v/>
      </c>
    </row>
    <row r="281" spans="3:3" x14ac:dyDescent="0.35">
      <c r="C281" t="str">
        <f t="shared" si="20"/>
        <v/>
      </c>
    </row>
    <row r="282" spans="3:3" x14ac:dyDescent="0.35">
      <c r="C282" t="str">
        <f t="shared" si="20"/>
        <v/>
      </c>
    </row>
    <row r="283" spans="3:3" x14ac:dyDescent="0.35">
      <c r="C283" t="str">
        <f t="shared" si="20"/>
        <v/>
      </c>
    </row>
    <row r="284" spans="3:3" x14ac:dyDescent="0.35">
      <c r="C284" t="str">
        <f t="shared" si="20"/>
        <v/>
      </c>
    </row>
    <row r="285" spans="3:3" x14ac:dyDescent="0.35">
      <c r="C285" t="str">
        <f t="shared" si="20"/>
        <v/>
      </c>
    </row>
    <row r="286" spans="3:3" x14ac:dyDescent="0.35">
      <c r="C286" t="str">
        <f t="shared" si="20"/>
        <v/>
      </c>
    </row>
    <row r="287" spans="3:3" x14ac:dyDescent="0.35">
      <c r="C287" t="str">
        <f t="shared" si="20"/>
        <v/>
      </c>
    </row>
    <row r="288" spans="3:3" x14ac:dyDescent="0.35">
      <c r="C288" t="str">
        <f t="shared" si="20"/>
        <v/>
      </c>
    </row>
    <row r="289" spans="3:3" x14ac:dyDescent="0.35">
      <c r="C289" t="str">
        <f t="shared" si="20"/>
        <v/>
      </c>
    </row>
    <row r="290" spans="3:3" x14ac:dyDescent="0.35">
      <c r="C290" t="str">
        <f t="shared" si="20"/>
        <v/>
      </c>
    </row>
    <row r="291" spans="3:3" x14ac:dyDescent="0.35">
      <c r="C291" t="str">
        <f t="shared" si="20"/>
        <v/>
      </c>
    </row>
    <row r="292" spans="3:3" x14ac:dyDescent="0.35">
      <c r="C292" t="str">
        <f t="shared" si="20"/>
        <v/>
      </c>
    </row>
    <row r="293" spans="3:3" x14ac:dyDescent="0.35">
      <c r="C293" t="str">
        <f t="shared" si="20"/>
        <v/>
      </c>
    </row>
    <row r="294" spans="3:3" x14ac:dyDescent="0.35">
      <c r="C294" t="str">
        <f t="shared" si="20"/>
        <v/>
      </c>
    </row>
    <row r="295" spans="3:3" x14ac:dyDescent="0.35">
      <c r="C295" t="str">
        <f t="shared" si="20"/>
        <v/>
      </c>
    </row>
    <row r="296" spans="3:3" x14ac:dyDescent="0.35">
      <c r="C296" t="str">
        <f t="shared" si="20"/>
        <v/>
      </c>
    </row>
    <row r="297" spans="3:3" x14ac:dyDescent="0.35">
      <c r="C297" t="str">
        <f t="shared" si="20"/>
        <v/>
      </c>
    </row>
    <row r="298" spans="3:3" x14ac:dyDescent="0.35">
      <c r="C298" t="str">
        <f t="shared" si="20"/>
        <v/>
      </c>
    </row>
    <row r="299" spans="3:3" x14ac:dyDescent="0.35">
      <c r="C299" t="str">
        <f t="shared" si="20"/>
        <v/>
      </c>
    </row>
    <row r="300" spans="3:3" x14ac:dyDescent="0.35">
      <c r="C300" t="str">
        <f t="shared" si="20"/>
        <v/>
      </c>
    </row>
    <row r="301" spans="3:3" x14ac:dyDescent="0.35">
      <c r="C301" t="str">
        <f t="shared" si="20"/>
        <v/>
      </c>
    </row>
    <row r="302" spans="3:3" x14ac:dyDescent="0.35">
      <c r="C302" t="str">
        <f t="shared" si="20"/>
        <v/>
      </c>
    </row>
    <row r="303" spans="3:3" x14ac:dyDescent="0.35">
      <c r="C303" t="str">
        <f t="shared" si="20"/>
        <v/>
      </c>
    </row>
    <row r="304" spans="3:3" x14ac:dyDescent="0.35">
      <c r="C304" t="str">
        <f t="shared" si="20"/>
        <v/>
      </c>
    </row>
    <row r="305" spans="3:3" x14ac:dyDescent="0.35">
      <c r="C305" t="str">
        <f t="shared" si="20"/>
        <v/>
      </c>
    </row>
    <row r="306" spans="3:3" x14ac:dyDescent="0.35">
      <c r="C306" t="str">
        <f t="shared" si="20"/>
        <v/>
      </c>
    </row>
    <row r="307" spans="3:3" x14ac:dyDescent="0.35">
      <c r="C307" t="str">
        <f t="shared" si="20"/>
        <v/>
      </c>
    </row>
    <row r="308" spans="3:3" x14ac:dyDescent="0.35">
      <c r="C308" t="str">
        <f t="shared" si="20"/>
        <v/>
      </c>
    </row>
    <row r="309" spans="3:3" x14ac:dyDescent="0.35">
      <c r="C309" t="str">
        <f t="shared" si="20"/>
        <v/>
      </c>
    </row>
    <row r="310" spans="3:3" x14ac:dyDescent="0.35">
      <c r="C310" t="str">
        <f t="shared" si="20"/>
        <v/>
      </c>
    </row>
    <row r="311" spans="3:3" x14ac:dyDescent="0.35">
      <c r="C311" t="str">
        <f t="shared" si="20"/>
        <v/>
      </c>
    </row>
    <row r="312" spans="3:3" x14ac:dyDescent="0.35">
      <c r="C312" t="str">
        <f t="shared" si="20"/>
        <v/>
      </c>
    </row>
    <row r="313" spans="3:3" x14ac:dyDescent="0.35">
      <c r="C313" t="str">
        <f t="shared" si="20"/>
        <v/>
      </c>
    </row>
    <row r="314" spans="3:3" x14ac:dyDescent="0.35">
      <c r="C314" t="str">
        <f t="shared" si="20"/>
        <v/>
      </c>
    </row>
    <row r="315" spans="3:3" x14ac:dyDescent="0.35">
      <c r="C315" t="str">
        <f t="shared" si="20"/>
        <v/>
      </c>
    </row>
    <row r="316" spans="3:3" x14ac:dyDescent="0.35">
      <c r="C316" t="str">
        <f t="shared" si="20"/>
        <v/>
      </c>
    </row>
    <row r="317" spans="3:3" x14ac:dyDescent="0.35">
      <c r="C317" t="str">
        <f t="shared" si="20"/>
        <v/>
      </c>
    </row>
    <row r="318" spans="3:3" x14ac:dyDescent="0.35">
      <c r="C318" t="str">
        <f t="shared" si="20"/>
        <v/>
      </c>
    </row>
    <row r="319" spans="3:3" x14ac:dyDescent="0.35">
      <c r="C319" t="str">
        <f t="shared" si="20"/>
        <v/>
      </c>
    </row>
    <row r="320" spans="3:3" x14ac:dyDescent="0.35">
      <c r="C320" t="str">
        <f t="shared" si="20"/>
        <v/>
      </c>
    </row>
    <row r="321" spans="3:3" x14ac:dyDescent="0.35">
      <c r="C321" t="str">
        <f t="shared" si="20"/>
        <v/>
      </c>
    </row>
    <row r="322" spans="3:3" x14ac:dyDescent="0.35">
      <c r="C322" t="str">
        <f t="shared" si="20"/>
        <v/>
      </c>
    </row>
    <row r="323" spans="3:3" x14ac:dyDescent="0.35">
      <c r="C323" t="str">
        <f t="shared" si="20"/>
        <v/>
      </c>
    </row>
    <row r="324" spans="3:3" x14ac:dyDescent="0.35">
      <c r="C324" t="str">
        <f t="shared" si="20"/>
        <v/>
      </c>
    </row>
    <row r="325" spans="3:3" x14ac:dyDescent="0.35">
      <c r="C325" t="str">
        <f t="shared" ref="C325:C388" si="21">IF(ISBLANK(D325), "",
IF(D325 &lt; $G$9,
    $G$10 + $G$19 * ($G$23 * (D325 - $G$9))^2 + $G$21 * (1 - (D325 - $G$6)/($G$9 - $G$6)),
IF(D325 &gt; $G$13,
    $G$14 + $G$19 * ($G$23 * (D325 - $G$13))^2 - $G$22 * (1 - (D325 - $G$6)/($G$13 - $G$6)),
IF(D325 &lt; $G$6,
    $G$16 * (D325 - $G$6)^2 + $G$5,
    $G$17 * (D325 - $G$6)^2 + $G$5))))</f>
        <v/>
      </c>
    </row>
    <row r="326" spans="3:3" x14ac:dyDescent="0.35">
      <c r="C326" t="str">
        <f t="shared" si="21"/>
        <v/>
      </c>
    </row>
    <row r="327" spans="3:3" x14ac:dyDescent="0.35">
      <c r="C327" t="str">
        <f t="shared" si="21"/>
        <v/>
      </c>
    </row>
    <row r="328" spans="3:3" x14ac:dyDescent="0.35">
      <c r="C328" t="str">
        <f t="shared" si="21"/>
        <v/>
      </c>
    </row>
    <row r="329" spans="3:3" x14ac:dyDescent="0.35">
      <c r="C329" t="str">
        <f t="shared" si="21"/>
        <v/>
      </c>
    </row>
    <row r="330" spans="3:3" x14ac:dyDescent="0.35">
      <c r="C330" t="str">
        <f t="shared" si="21"/>
        <v/>
      </c>
    </row>
    <row r="331" spans="3:3" x14ac:dyDescent="0.35">
      <c r="C331" t="str">
        <f t="shared" si="21"/>
        <v/>
      </c>
    </row>
    <row r="332" spans="3:3" x14ac:dyDescent="0.35">
      <c r="C332" t="str">
        <f t="shared" si="21"/>
        <v/>
      </c>
    </row>
    <row r="333" spans="3:3" x14ac:dyDescent="0.35">
      <c r="C333" t="str">
        <f t="shared" si="21"/>
        <v/>
      </c>
    </row>
    <row r="334" spans="3:3" x14ac:dyDescent="0.35">
      <c r="C334" t="str">
        <f t="shared" si="21"/>
        <v/>
      </c>
    </row>
    <row r="335" spans="3:3" x14ac:dyDescent="0.35">
      <c r="C335" t="str">
        <f t="shared" si="21"/>
        <v/>
      </c>
    </row>
    <row r="336" spans="3:3" x14ac:dyDescent="0.35">
      <c r="C336" t="str">
        <f t="shared" si="21"/>
        <v/>
      </c>
    </row>
    <row r="337" spans="3:3" x14ac:dyDescent="0.35">
      <c r="C337" t="str">
        <f t="shared" si="21"/>
        <v/>
      </c>
    </row>
    <row r="338" spans="3:3" x14ac:dyDescent="0.35">
      <c r="C338" t="str">
        <f t="shared" si="21"/>
        <v/>
      </c>
    </row>
    <row r="339" spans="3:3" x14ac:dyDescent="0.35">
      <c r="C339" t="str">
        <f t="shared" si="21"/>
        <v/>
      </c>
    </row>
    <row r="340" spans="3:3" x14ac:dyDescent="0.35">
      <c r="C340" t="str">
        <f t="shared" si="21"/>
        <v/>
      </c>
    </row>
    <row r="341" spans="3:3" x14ac:dyDescent="0.35">
      <c r="C341" t="str">
        <f t="shared" si="21"/>
        <v/>
      </c>
    </row>
    <row r="342" spans="3:3" x14ac:dyDescent="0.35">
      <c r="C342" t="str">
        <f t="shared" si="21"/>
        <v/>
      </c>
    </row>
    <row r="343" spans="3:3" x14ac:dyDescent="0.35">
      <c r="C343" t="str">
        <f t="shared" si="21"/>
        <v/>
      </c>
    </row>
    <row r="344" spans="3:3" x14ac:dyDescent="0.35">
      <c r="C344" t="str">
        <f t="shared" si="21"/>
        <v/>
      </c>
    </row>
    <row r="345" spans="3:3" x14ac:dyDescent="0.35">
      <c r="C345" t="str">
        <f t="shared" si="21"/>
        <v/>
      </c>
    </row>
    <row r="346" spans="3:3" x14ac:dyDescent="0.35">
      <c r="C346" t="str">
        <f t="shared" si="21"/>
        <v/>
      </c>
    </row>
    <row r="347" spans="3:3" x14ac:dyDescent="0.35">
      <c r="C347" t="str">
        <f t="shared" si="21"/>
        <v/>
      </c>
    </row>
    <row r="348" spans="3:3" x14ac:dyDescent="0.35">
      <c r="C348" t="str">
        <f t="shared" si="21"/>
        <v/>
      </c>
    </row>
    <row r="349" spans="3:3" x14ac:dyDescent="0.35">
      <c r="C349" t="str">
        <f t="shared" si="21"/>
        <v/>
      </c>
    </row>
    <row r="350" spans="3:3" x14ac:dyDescent="0.35">
      <c r="C350" t="str">
        <f t="shared" si="21"/>
        <v/>
      </c>
    </row>
    <row r="351" spans="3:3" x14ac:dyDescent="0.35">
      <c r="C351" t="str">
        <f t="shared" si="21"/>
        <v/>
      </c>
    </row>
    <row r="352" spans="3:3" x14ac:dyDescent="0.35">
      <c r="C352" t="str">
        <f t="shared" si="21"/>
        <v/>
      </c>
    </row>
    <row r="353" spans="3:3" x14ac:dyDescent="0.35">
      <c r="C353" t="str">
        <f t="shared" si="21"/>
        <v/>
      </c>
    </row>
    <row r="354" spans="3:3" x14ac:dyDescent="0.35">
      <c r="C354" t="str">
        <f t="shared" si="21"/>
        <v/>
      </c>
    </row>
    <row r="355" spans="3:3" x14ac:dyDescent="0.35">
      <c r="C355" t="str">
        <f t="shared" si="21"/>
        <v/>
      </c>
    </row>
    <row r="356" spans="3:3" x14ac:dyDescent="0.35">
      <c r="C356" t="str">
        <f t="shared" si="21"/>
        <v/>
      </c>
    </row>
    <row r="357" spans="3:3" x14ac:dyDescent="0.35">
      <c r="C357" t="str">
        <f t="shared" si="21"/>
        <v/>
      </c>
    </row>
    <row r="358" spans="3:3" x14ac:dyDescent="0.35">
      <c r="C358" t="str">
        <f t="shared" si="21"/>
        <v/>
      </c>
    </row>
    <row r="359" spans="3:3" x14ac:dyDescent="0.35">
      <c r="C359" t="str">
        <f t="shared" si="21"/>
        <v/>
      </c>
    </row>
    <row r="360" spans="3:3" x14ac:dyDescent="0.35">
      <c r="C360" t="str">
        <f t="shared" si="21"/>
        <v/>
      </c>
    </row>
    <row r="361" spans="3:3" x14ac:dyDescent="0.35">
      <c r="C361" t="str">
        <f t="shared" si="21"/>
        <v/>
      </c>
    </row>
    <row r="362" spans="3:3" x14ac:dyDescent="0.35">
      <c r="C362" t="str">
        <f t="shared" si="21"/>
        <v/>
      </c>
    </row>
    <row r="363" spans="3:3" x14ac:dyDescent="0.35">
      <c r="C363" t="str">
        <f t="shared" si="21"/>
        <v/>
      </c>
    </row>
    <row r="364" spans="3:3" x14ac:dyDescent="0.35">
      <c r="C364" t="str">
        <f t="shared" si="21"/>
        <v/>
      </c>
    </row>
    <row r="365" spans="3:3" x14ac:dyDescent="0.35">
      <c r="C365" t="str">
        <f t="shared" si="21"/>
        <v/>
      </c>
    </row>
    <row r="366" spans="3:3" x14ac:dyDescent="0.35">
      <c r="C366" t="str">
        <f t="shared" si="21"/>
        <v/>
      </c>
    </row>
    <row r="367" spans="3:3" x14ac:dyDescent="0.35">
      <c r="C367" t="str">
        <f t="shared" si="21"/>
        <v/>
      </c>
    </row>
    <row r="368" spans="3:3" x14ac:dyDescent="0.35">
      <c r="C368" t="str">
        <f t="shared" si="21"/>
        <v/>
      </c>
    </row>
    <row r="369" spans="3:3" x14ac:dyDescent="0.35">
      <c r="C369" t="str">
        <f t="shared" si="21"/>
        <v/>
      </c>
    </row>
    <row r="370" spans="3:3" x14ac:dyDescent="0.35">
      <c r="C370" t="str">
        <f t="shared" si="21"/>
        <v/>
      </c>
    </row>
    <row r="371" spans="3:3" x14ac:dyDescent="0.35">
      <c r="C371" t="str">
        <f t="shared" si="21"/>
        <v/>
      </c>
    </row>
    <row r="372" spans="3:3" x14ac:dyDescent="0.35">
      <c r="C372" t="str">
        <f t="shared" si="21"/>
        <v/>
      </c>
    </row>
    <row r="373" spans="3:3" x14ac:dyDescent="0.35">
      <c r="C373" t="str">
        <f t="shared" si="21"/>
        <v/>
      </c>
    </row>
    <row r="374" spans="3:3" x14ac:dyDescent="0.35">
      <c r="C374" t="str">
        <f t="shared" si="21"/>
        <v/>
      </c>
    </row>
    <row r="375" spans="3:3" x14ac:dyDescent="0.35">
      <c r="C375" t="str">
        <f t="shared" si="21"/>
        <v/>
      </c>
    </row>
    <row r="376" spans="3:3" x14ac:dyDescent="0.35">
      <c r="C376" t="str">
        <f t="shared" si="21"/>
        <v/>
      </c>
    </row>
    <row r="377" spans="3:3" x14ac:dyDescent="0.35">
      <c r="C377" t="str">
        <f t="shared" si="21"/>
        <v/>
      </c>
    </row>
    <row r="378" spans="3:3" x14ac:dyDescent="0.35">
      <c r="C378" t="str">
        <f t="shared" si="21"/>
        <v/>
      </c>
    </row>
    <row r="379" spans="3:3" x14ac:dyDescent="0.35">
      <c r="C379" t="str">
        <f t="shared" si="21"/>
        <v/>
      </c>
    </row>
    <row r="380" spans="3:3" x14ac:dyDescent="0.35">
      <c r="C380" t="str">
        <f t="shared" si="21"/>
        <v/>
      </c>
    </row>
    <row r="381" spans="3:3" x14ac:dyDescent="0.35">
      <c r="C381" t="str">
        <f t="shared" si="21"/>
        <v/>
      </c>
    </row>
    <row r="382" spans="3:3" x14ac:dyDescent="0.35">
      <c r="C382" t="str">
        <f t="shared" si="21"/>
        <v/>
      </c>
    </row>
    <row r="383" spans="3:3" x14ac:dyDescent="0.35">
      <c r="C383" t="str">
        <f t="shared" si="21"/>
        <v/>
      </c>
    </row>
    <row r="384" spans="3:3" x14ac:dyDescent="0.35">
      <c r="C384" t="str">
        <f t="shared" si="21"/>
        <v/>
      </c>
    </row>
    <row r="385" spans="3:3" x14ac:dyDescent="0.35">
      <c r="C385" t="str">
        <f t="shared" si="21"/>
        <v/>
      </c>
    </row>
    <row r="386" spans="3:3" x14ac:dyDescent="0.35">
      <c r="C386" t="str">
        <f t="shared" si="21"/>
        <v/>
      </c>
    </row>
    <row r="387" spans="3:3" x14ac:dyDescent="0.35">
      <c r="C387" t="str">
        <f t="shared" si="21"/>
        <v/>
      </c>
    </row>
    <row r="388" spans="3:3" x14ac:dyDescent="0.35">
      <c r="C388" t="str">
        <f t="shared" si="21"/>
        <v/>
      </c>
    </row>
    <row r="389" spans="3:3" x14ac:dyDescent="0.35">
      <c r="C389" t="str">
        <f t="shared" ref="C389:C452" si="22">IF(ISBLANK(D389), "",
IF(D389 &lt; $G$9,
    $G$10 + $G$19 * ($G$23 * (D389 - $G$9))^2 + $G$21 * (1 - (D389 - $G$6)/($G$9 - $G$6)),
IF(D389 &gt; $G$13,
    $G$14 + $G$19 * ($G$23 * (D389 - $G$13))^2 - $G$22 * (1 - (D389 - $G$6)/($G$13 - $G$6)),
IF(D389 &lt; $G$6,
    $G$16 * (D389 - $G$6)^2 + $G$5,
    $G$17 * (D389 - $G$6)^2 + $G$5))))</f>
        <v/>
      </c>
    </row>
    <row r="390" spans="3:3" x14ac:dyDescent="0.35">
      <c r="C390" t="str">
        <f t="shared" si="22"/>
        <v/>
      </c>
    </row>
    <row r="391" spans="3:3" x14ac:dyDescent="0.35">
      <c r="C391" t="str">
        <f t="shared" si="22"/>
        <v/>
      </c>
    </row>
    <row r="392" spans="3:3" x14ac:dyDescent="0.35">
      <c r="C392" t="str">
        <f t="shared" si="22"/>
        <v/>
      </c>
    </row>
    <row r="393" spans="3:3" x14ac:dyDescent="0.35">
      <c r="C393" t="str">
        <f t="shared" si="22"/>
        <v/>
      </c>
    </row>
    <row r="394" spans="3:3" x14ac:dyDescent="0.35">
      <c r="C394" t="str">
        <f t="shared" si="22"/>
        <v/>
      </c>
    </row>
    <row r="395" spans="3:3" x14ac:dyDescent="0.35">
      <c r="C395" t="str">
        <f t="shared" si="22"/>
        <v/>
      </c>
    </row>
    <row r="396" spans="3:3" x14ac:dyDescent="0.35">
      <c r="C396" t="str">
        <f t="shared" si="22"/>
        <v/>
      </c>
    </row>
    <row r="397" spans="3:3" x14ac:dyDescent="0.35">
      <c r="C397" t="str">
        <f t="shared" si="22"/>
        <v/>
      </c>
    </row>
    <row r="398" spans="3:3" x14ac:dyDescent="0.35">
      <c r="C398" t="str">
        <f t="shared" si="22"/>
        <v/>
      </c>
    </row>
    <row r="399" spans="3:3" x14ac:dyDescent="0.35">
      <c r="C399" t="str">
        <f t="shared" si="22"/>
        <v/>
      </c>
    </row>
    <row r="400" spans="3:3" x14ac:dyDescent="0.35">
      <c r="C400" t="str">
        <f t="shared" si="22"/>
        <v/>
      </c>
    </row>
    <row r="401" spans="3:3" x14ac:dyDescent="0.35">
      <c r="C401" t="str">
        <f t="shared" si="22"/>
        <v/>
      </c>
    </row>
    <row r="402" spans="3:3" x14ac:dyDescent="0.35">
      <c r="C402" t="str">
        <f t="shared" si="22"/>
        <v/>
      </c>
    </row>
    <row r="403" spans="3:3" x14ac:dyDescent="0.35">
      <c r="C403" t="str">
        <f t="shared" si="22"/>
        <v/>
      </c>
    </row>
    <row r="404" spans="3:3" x14ac:dyDescent="0.35">
      <c r="C404" t="str">
        <f t="shared" si="22"/>
        <v/>
      </c>
    </row>
    <row r="405" spans="3:3" x14ac:dyDescent="0.35">
      <c r="C405" t="str">
        <f t="shared" si="22"/>
        <v/>
      </c>
    </row>
    <row r="406" spans="3:3" x14ac:dyDescent="0.35">
      <c r="C406" t="str">
        <f t="shared" si="22"/>
        <v/>
      </c>
    </row>
    <row r="407" spans="3:3" x14ac:dyDescent="0.35">
      <c r="C407" t="str">
        <f t="shared" si="22"/>
        <v/>
      </c>
    </row>
    <row r="408" spans="3:3" x14ac:dyDescent="0.35">
      <c r="C408" t="str">
        <f t="shared" si="22"/>
        <v/>
      </c>
    </row>
    <row r="409" spans="3:3" x14ac:dyDescent="0.35">
      <c r="C409" t="str">
        <f t="shared" si="22"/>
        <v/>
      </c>
    </row>
    <row r="410" spans="3:3" x14ac:dyDescent="0.35">
      <c r="C410" t="str">
        <f t="shared" si="22"/>
        <v/>
      </c>
    </row>
    <row r="411" spans="3:3" x14ac:dyDescent="0.35">
      <c r="C411" t="str">
        <f t="shared" si="22"/>
        <v/>
      </c>
    </row>
    <row r="412" spans="3:3" x14ac:dyDescent="0.35">
      <c r="C412" t="str">
        <f t="shared" si="22"/>
        <v/>
      </c>
    </row>
    <row r="413" spans="3:3" x14ac:dyDescent="0.35">
      <c r="C413" t="str">
        <f t="shared" si="22"/>
        <v/>
      </c>
    </row>
    <row r="414" spans="3:3" x14ac:dyDescent="0.35">
      <c r="C414" t="str">
        <f t="shared" si="22"/>
        <v/>
      </c>
    </row>
    <row r="415" spans="3:3" x14ac:dyDescent="0.35">
      <c r="C415" t="str">
        <f t="shared" si="22"/>
        <v/>
      </c>
    </row>
    <row r="416" spans="3:3" x14ac:dyDescent="0.35">
      <c r="C416" t="str">
        <f t="shared" si="22"/>
        <v/>
      </c>
    </row>
    <row r="417" spans="3:3" x14ac:dyDescent="0.35">
      <c r="C417" t="str">
        <f t="shared" si="22"/>
        <v/>
      </c>
    </row>
    <row r="418" spans="3:3" x14ac:dyDescent="0.35">
      <c r="C418" t="str">
        <f t="shared" si="22"/>
        <v/>
      </c>
    </row>
    <row r="419" spans="3:3" x14ac:dyDescent="0.35">
      <c r="C419" t="str">
        <f t="shared" si="22"/>
        <v/>
      </c>
    </row>
    <row r="420" spans="3:3" x14ac:dyDescent="0.35">
      <c r="C420" t="str">
        <f t="shared" si="22"/>
        <v/>
      </c>
    </row>
    <row r="421" spans="3:3" x14ac:dyDescent="0.35">
      <c r="C421" t="str">
        <f t="shared" si="22"/>
        <v/>
      </c>
    </row>
    <row r="422" spans="3:3" x14ac:dyDescent="0.35">
      <c r="C422" t="str">
        <f t="shared" si="22"/>
        <v/>
      </c>
    </row>
    <row r="423" spans="3:3" x14ac:dyDescent="0.35">
      <c r="C423" t="str">
        <f t="shared" si="22"/>
        <v/>
      </c>
    </row>
    <row r="424" spans="3:3" x14ac:dyDescent="0.35">
      <c r="C424" t="str">
        <f t="shared" si="22"/>
        <v/>
      </c>
    </row>
    <row r="425" spans="3:3" x14ac:dyDescent="0.35">
      <c r="C425" t="str">
        <f t="shared" si="22"/>
        <v/>
      </c>
    </row>
    <row r="426" spans="3:3" x14ac:dyDescent="0.35">
      <c r="C426" t="str">
        <f t="shared" si="22"/>
        <v/>
      </c>
    </row>
    <row r="427" spans="3:3" x14ac:dyDescent="0.35">
      <c r="C427" t="str">
        <f t="shared" si="22"/>
        <v/>
      </c>
    </row>
    <row r="428" spans="3:3" x14ac:dyDescent="0.35">
      <c r="C428" t="str">
        <f t="shared" si="22"/>
        <v/>
      </c>
    </row>
    <row r="429" spans="3:3" x14ac:dyDescent="0.35">
      <c r="C429" t="str">
        <f t="shared" si="22"/>
        <v/>
      </c>
    </row>
    <row r="430" spans="3:3" x14ac:dyDescent="0.35">
      <c r="C430" t="str">
        <f t="shared" si="22"/>
        <v/>
      </c>
    </row>
    <row r="431" spans="3:3" x14ac:dyDescent="0.35">
      <c r="C431" t="str">
        <f t="shared" si="22"/>
        <v/>
      </c>
    </row>
    <row r="432" spans="3:3" x14ac:dyDescent="0.35">
      <c r="C432" t="str">
        <f t="shared" si="22"/>
        <v/>
      </c>
    </row>
    <row r="433" spans="3:3" x14ac:dyDescent="0.35">
      <c r="C433" t="str">
        <f t="shared" si="22"/>
        <v/>
      </c>
    </row>
    <row r="434" spans="3:3" x14ac:dyDescent="0.35">
      <c r="C434" t="str">
        <f t="shared" si="22"/>
        <v/>
      </c>
    </row>
    <row r="435" spans="3:3" x14ac:dyDescent="0.35">
      <c r="C435" t="str">
        <f t="shared" si="22"/>
        <v/>
      </c>
    </row>
    <row r="436" spans="3:3" x14ac:dyDescent="0.35">
      <c r="C436" t="str">
        <f t="shared" si="22"/>
        <v/>
      </c>
    </row>
    <row r="437" spans="3:3" x14ac:dyDescent="0.35">
      <c r="C437" t="str">
        <f t="shared" si="22"/>
        <v/>
      </c>
    </row>
    <row r="438" spans="3:3" x14ac:dyDescent="0.35">
      <c r="C438" t="str">
        <f t="shared" si="22"/>
        <v/>
      </c>
    </row>
    <row r="439" spans="3:3" x14ac:dyDescent="0.35">
      <c r="C439" t="str">
        <f t="shared" si="22"/>
        <v/>
      </c>
    </row>
    <row r="440" spans="3:3" x14ac:dyDescent="0.35">
      <c r="C440" t="str">
        <f t="shared" si="22"/>
        <v/>
      </c>
    </row>
    <row r="441" spans="3:3" x14ac:dyDescent="0.35">
      <c r="C441" t="str">
        <f t="shared" si="22"/>
        <v/>
      </c>
    </row>
    <row r="442" spans="3:3" x14ac:dyDescent="0.35">
      <c r="C442" t="str">
        <f t="shared" si="22"/>
        <v/>
      </c>
    </row>
    <row r="443" spans="3:3" x14ac:dyDescent="0.35">
      <c r="C443" t="str">
        <f t="shared" si="22"/>
        <v/>
      </c>
    </row>
    <row r="444" spans="3:3" x14ac:dyDescent="0.35">
      <c r="C444" t="str">
        <f t="shared" si="22"/>
        <v/>
      </c>
    </row>
    <row r="445" spans="3:3" x14ac:dyDescent="0.35">
      <c r="C445" t="str">
        <f t="shared" si="22"/>
        <v/>
      </c>
    </row>
    <row r="446" spans="3:3" x14ac:dyDescent="0.35">
      <c r="C446" t="str">
        <f t="shared" si="22"/>
        <v/>
      </c>
    </row>
    <row r="447" spans="3:3" x14ac:dyDescent="0.35">
      <c r="C447" t="str">
        <f t="shared" si="22"/>
        <v/>
      </c>
    </row>
    <row r="448" spans="3:3" x14ac:dyDescent="0.35">
      <c r="C448" t="str">
        <f t="shared" si="22"/>
        <v/>
      </c>
    </row>
    <row r="449" spans="3:3" x14ac:dyDescent="0.35">
      <c r="C449" t="str">
        <f t="shared" si="22"/>
        <v/>
      </c>
    </row>
    <row r="450" spans="3:3" x14ac:dyDescent="0.35">
      <c r="C450" t="str">
        <f t="shared" si="22"/>
        <v/>
      </c>
    </row>
    <row r="451" spans="3:3" x14ac:dyDescent="0.35">
      <c r="C451" t="str">
        <f t="shared" si="22"/>
        <v/>
      </c>
    </row>
    <row r="452" spans="3:3" x14ac:dyDescent="0.35">
      <c r="C452" t="str">
        <f t="shared" si="22"/>
        <v/>
      </c>
    </row>
    <row r="453" spans="3:3" x14ac:dyDescent="0.35">
      <c r="C453" t="str">
        <f t="shared" ref="C453:C516" si="23">IF(ISBLANK(D453), "",
IF(D453 &lt; $G$9,
    $G$10 + $G$19 * ($G$23 * (D453 - $G$9))^2 + $G$21 * (1 - (D453 - $G$6)/($G$9 - $G$6)),
IF(D453 &gt; $G$13,
    $G$14 + $G$19 * ($G$23 * (D453 - $G$13))^2 - $G$22 * (1 - (D453 - $G$6)/($G$13 - $G$6)),
IF(D453 &lt; $G$6,
    $G$16 * (D453 - $G$6)^2 + $G$5,
    $G$17 * (D453 - $G$6)^2 + $G$5))))</f>
        <v/>
      </c>
    </row>
    <row r="454" spans="3:3" x14ac:dyDescent="0.35">
      <c r="C454" t="str">
        <f t="shared" si="23"/>
        <v/>
      </c>
    </row>
    <row r="455" spans="3:3" x14ac:dyDescent="0.35">
      <c r="C455" t="str">
        <f t="shared" si="23"/>
        <v/>
      </c>
    </row>
    <row r="456" spans="3:3" x14ac:dyDescent="0.35">
      <c r="C456" t="str">
        <f t="shared" si="23"/>
        <v/>
      </c>
    </row>
    <row r="457" spans="3:3" x14ac:dyDescent="0.35">
      <c r="C457" t="str">
        <f t="shared" si="23"/>
        <v/>
      </c>
    </row>
    <row r="458" spans="3:3" x14ac:dyDescent="0.35">
      <c r="C458" t="str">
        <f t="shared" si="23"/>
        <v/>
      </c>
    </row>
    <row r="459" spans="3:3" x14ac:dyDescent="0.35">
      <c r="C459" t="str">
        <f t="shared" si="23"/>
        <v/>
      </c>
    </row>
    <row r="460" spans="3:3" x14ac:dyDescent="0.35">
      <c r="C460" t="str">
        <f t="shared" si="23"/>
        <v/>
      </c>
    </row>
    <row r="461" spans="3:3" x14ac:dyDescent="0.35">
      <c r="C461" t="str">
        <f t="shared" si="23"/>
        <v/>
      </c>
    </row>
    <row r="462" spans="3:3" x14ac:dyDescent="0.35">
      <c r="C462" t="str">
        <f t="shared" si="23"/>
        <v/>
      </c>
    </row>
    <row r="463" spans="3:3" x14ac:dyDescent="0.35">
      <c r="C463" t="str">
        <f t="shared" si="23"/>
        <v/>
      </c>
    </row>
    <row r="464" spans="3:3" x14ac:dyDescent="0.35">
      <c r="C464" t="str">
        <f t="shared" si="23"/>
        <v/>
      </c>
    </row>
    <row r="465" spans="3:3" x14ac:dyDescent="0.35">
      <c r="C465" t="str">
        <f t="shared" si="23"/>
        <v/>
      </c>
    </row>
    <row r="466" spans="3:3" x14ac:dyDescent="0.35">
      <c r="C466" t="str">
        <f t="shared" si="23"/>
        <v/>
      </c>
    </row>
    <row r="467" spans="3:3" x14ac:dyDescent="0.35">
      <c r="C467" t="str">
        <f t="shared" si="23"/>
        <v/>
      </c>
    </row>
    <row r="468" spans="3:3" x14ac:dyDescent="0.35">
      <c r="C468" t="str">
        <f t="shared" si="23"/>
        <v/>
      </c>
    </row>
    <row r="469" spans="3:3" x14ac:dyDescent="0.35">
      <c r="C469" t="str">
        <f t="shared" si="23"/>
        <v/>
      </c>
    </row>
    <row r="470" spans="3:3" x14ac:dyDescent="0.35">
      <c r="C470" t="str">
        <f t="shared" si="23"/>
        <v/>
      </c>
    </row>
    <row r="471" spans="3:3" x14ac:dyDescent="0.35">
      <c r="C471" t="str">
        <f t="shared" si="23"/>
        <v/>
      </c>
    </row>
    <row r="472" spans="3:3" x14ac:dyDescent="0.35">
      <c r="C472" t="str">
        <f t="shared" si="23"/>
        <v/>
      </c>
    </row>
    <row r="473" spans="3:3" x14ac:dyDescent="0.35">
      <c r="C473" t="str">
        <f t="shared" si="23"/>
        <v/>
      </c>
    </row>
    <row r="474" spans="3:3" x14ac:dyDescent="0.35">
      <c r="C474" t="str">
        <f t="shared" si="23"/>
        <v/>
      </c>
    </row>
    <row r="475" spans="3:3" x14ac:dyDescent="0.35">
      <c r="C475" t="str">
        <f t="shared" si="23"/>
        <v/>
      </c>
    </row>
    <row r="476" spans="3:3" x14ac:dyDescent="0.35">
      <c r="C476" t="str">
        <f t="shared" si="23"/>
        <v/>
      </c>
    </row>
    <row r="477" spans="3:3" x14ac:dyDescent="0.35">
      <c r="C477" t="str">
        <f t="shared" si="23"/>
        <v/>
      </c>
    </row>
    <row r="478" spans="3:3" x14ac:dyDescent="0.35">
      <c r="C478" t="str">
        <f t="shared" si="23"/>
        <v/>
      </c>
    </row>
    <row r="479" spans="3:3" x14ac:dyDescent="0.35">
      <c r="C479" t="str">
        <f t="shared" si="23"/>
        <v/>
      </c>
    </row>
    <row r="480" spans="3:3" x14ac:dyDescent="0.35">
      <c r="C480" t="str">
        <f t="shared" si="23"/>
        <v/>
      </c>
    </row>
    <row r="481" spans="3:3" x14ac:dyDescent="0.35">
      <c r="C481" t="str">
        <f t="shared" si="23"/>
        <v/>
      </c>
    </row>
    <row r="482" spans="3:3" x14ac:dyDescent="0.35">
      <c r="C482" t="str">
        <f t="shared" si="23"/>
        <v/>
      </c>
    </row>
    <row r="483" spans="3:3" x14ac:dyDescent="0.35">
      <c r="C483" t="str">
        <f t="shared" si="23"/>
        <v/>
      </c>
    </row>
    <row r="484" spans="3:3" x14ac:dyDescent="0.35">
      <c r="C484" t="str">
        <f t="shared" si="23"/>
        <v/>
      </c>
    </row>
    <row r="485" spans="3:3" x14ac:dyDescent="0.35">
      <c r="C485" t="str">
        <f t="shared" si="23"/>
        <v/>
      </c>
    </row>
    <row r="486" spans="3:3" x14ac:dyDescent="0.35">
      <c r="C486" t="str">
        <f t="shared" si="23"/>
        <v/>
      </c>
    </row>
    <row r="487" spans="3:3" x14ac:dyDescent="0.35">
      <c r="C487" t="str">
        <f t="shared" si="23"/>
        <v/>
      </c>
    </row>
    <row r="488" spans="3:3" x14ac:dyDescent="0.35">
      <c r="C488" t="str">
        <f t="shared" si="23"/>
        <v/>
      </c>
    </row>
    <row r="489" spans="3:3" x14ac:dyDescent="0.35">
      <c r="C489" t="str">
        <f t="shared" si="23"/>
        <v/>
      </c>
    </row>
    <row r="490" spans="3:3" x14ac:dyDescent="0.35">
      <c r="C490" t="str">
        <f t="shared" si="23"/>
        <v/>
      </c>
    </row>
    <row r="491" spans="3:3" x14ac:dyDescent="0.35">
      <c r="C491" t="str">
        <f t="shared" si="23"/>
        <v/>
      </c>
    </row>
    <row r="492" spans="3:3" x14ac:dyDescent="0.35">
      <c r="C492" t="str">
        <f t="shared" si="23"/>
        <v/>
      </c>
    </row>
    <row r="493" spans="3:3" x14ac:dyDescent="0.35">
      <c r="C493" t="str">
        <f t="shared" si="23"/>
        <v/>
      </c>
    </row>
    <row r="494" spans="3:3" x14ac:dyDescent="0.35">
      <c r="C494" t="str">
        <f t="shared" si="23"/>
        <v/>
      </c>
    </row>
    <row r="495" spans="3:3" x14ac:dyDescent="0.35">
      <c r="C495" t="str">
        <f t="shared" si="23"/>
        <v/>
      </c>
    </row>
    <row r="496" spans="3:3" x14ac:dyDescent="0.35">
      <c r="C496" t="str">
        <f t="shared" si="23"/>
        <v/>
      </c>
    </row>
    <row r="497" spans="3:3" x14ac:dyDescent="0.35">
      <c r="C497" t="str">
        <f t="shared" si="23"/>
        <v/>
      </c>
    </row>
    <row r="498" spans="3:3" x14ac:dyDescent="0.35">
      <c r="C498" t="str">
        <f t="shared" si="23"/>
        <v/>
      </c>
    </row>
    <row r="499" spans="3:3" x14ac:dyDescent="0.35">
      <c r="C499" t="str">
        <f t="shared" si="23"/>
        <v/>
      </c>
    </row>
    <row r="500" spans="3:3" x14ac:dyDescent="0.35">
      <c r="C500" t="str">
        <f t="shared" si="23"/>
        <v/>
      </c>
    </row>
    <row r="501" spans="3:3" x14ac:dyDescent="0.35">
      <c r="C501" t="str">
        <f t="shared" si="23"/>
        <v/>
      </c>
    </row>
    <row r="502" spans="3:3" x14ac:dyDescent="0.35">
      <c r="C502" t="str">
        <f t="shared" si="23"/>
        <v/>
      </c>
    </row>
    <row r="503" spans="3:3" x14ac:dyDescent="0.35">
      <c r="C503" t="str">
        <f t="shared" si="23"/>
        <v/>
      </c>
    </row>
    <row r="504" spans="3:3" x14ac:dyDescent="0.35">
      <c r="C504" t="str">
        <f t="shared" si="23"/>
        <v/>
      </c>
    </row>
    <row r="505" spans="3:3" x14ac:dyDescent="0.35">
      <c r="C505" t="str">
        <f t="shared" si="23"/>
        <v/>
      </c>
    </row>
    <row r="506" spans="3:3" x14ac:dyDescent="0.35">
      <c r="C506" t="str">
        <f t="shared" si="23"/>
        <v/>
      </c>
    </row>
    <row r="507" spans="3:3" x14ac:dyDescent="0.35">
      <c r="C507" t="str">
        <f t="shared" si="23"/>
        <v/>
      </c>
    </row>
    <row r="508" spans="3:3" x14ac:dyDescent="0.35">
      <c r="C508" t="str">
        <f t="shared" si="23"/>
        <v/>
      </c>
    </row>
    <row r="509" spans="3:3" x14ac:dyDescent="0.35">
      <c r="C509" t="str">
        <f t="shared" si="23"/>
        <v/>
      </c>
    </row>
    <row r="510" spans="3:3" x14ac:dyDescent="0.35">
      <c r="C510" t="str">
        <f t="shared" si="23"/>
        <v/>
      </c>
    </row>
    <row r="511" spans="3:3" x14ac:dyDescent="0.35">
      <c r="C511" t="str">
        <f t="shared" si="23"/>
        <v/>
      </c>
    </row>
    <row r="512" spans="3:3" x14ac:dyDescent="0.35">
      <c r="C512" t="str">
        <f t="shared" si="23"/>
        <v/>
      </c>
    </row>
    <row r="513" spans="3:3" x14ac:dyDescent="0.35">
      <c r="C513" t="str">
        <f t="shared" si="23"/>
        <v/>
      </c>
    </row>
    <row r="514" spans="3:3" x14ac:dyDescent="0.35">
      <c r="C514" t="str">
        <f t="shared" si="23"/>
        <v/>
      </c>
    </row>
    <row r="515" spans="3:3" x14ac:dyDescent="0.35">
      <c r="C515" t="str">
        <f t="shared" si="23"/>
        <v/>
      </c>
    </row>
    <row r="516" spans="3:3" x14ac:dyDescent="0.35">
      <c r="C516" t="str">
        <f t="shared" si="23"/>
        <v/>
      </c>
    </row>
    <row r="517" spans="3:3" x14ac:dyDescent="0.35">
      <c r="C517" t="str">
        <f t="shared" ref="C517:C580" si="24">IF(ISBLANK(D517), "",
IF(D517 &lt; $G$9,
    $G$10 + $G$19 * ($G$23 * (D517 - $G$9))^2 + $G$21 * (1 - (D517 - $G$6)/($G$9 - $G$6)),
IF(D517 &gt; $G$13,
    $G$14 + $G$19 * ($G$23 * (D517 - $G$13))^2 - $G$22 * (1 - (D517 - $G$6)/($G$13 - $G$6)),
IF(D517 &lt; $G$6,
    $G$16 * (D517 - $G$6)^2 + $G$5,
    $G$17 * (D517 - $G$6)^2 + $G$5))))</f>
        <v/>
      </c>
    </row>
    <row r="518" spans="3:3" x14ac:dyDescent="0.35">
      <c r="C518" t="str">
        <f t="shared" si="24"/>
        <v/>
      </c>
    </row>
    <row r="519" spans="3:3" x14ac:dyDescent="0.35">
      <c r="C519" t="str">
        <f t="shared" si="24"/>
        <v/>
      </c>
    </row>
    <row r="520" spans="3:3" x14ac:dyDescent="0.35">
      <c r="C520" t="str">
        <f t="shared" si="24"/>
        <v/>
      </c>
    </row>
    <row r="521" spans="3:3" x14ac:dyDescent="0.35">
      <c r="C521" t="str">
        <f t="shared" si="24"/>
        <v/>
      </c>
    </row>
    <row r="522" spans="3:3" x14ac:dyDescent="0.35">
      <c r="C522" t="str">
        <f t="shared" si="24"/>
        <v/>
      </c>
    </row>
    <row r="523" spans="3:3" x14ac:dyDescent="0.35">
      <c r="C523" t="str">
        <f t="shared" si="24"/>
        <v/>
      </c>
    </row>
    <row r="524" spans="3:3" x14ac:dyDescent="0.35">
      <c r="C524" t="str">
        <f t="shared" si="24"/>
        <v/>
      </c>
    </row>
    <row r="525" spans="3:3" x14ac:dyDescent="0.35">
      <c r="C525" t="str">
        <f t="shared" si="24"/>
        <v/>
      </c>
    </row>
    <row r="526" spans="3:3" x14ac:dyDescent="0.35">
      <c r="C526" t="str">
        <f t="shared" si="24"/>
        <v/>
      </c>
    </row>
    <row r="527" spans="3:3" x14ac:dyDescent="0.35">
      <c r="C527" t="str">
        <f t="shared" si="24"/>
        <v/>
      </c>
    </row>
    <row r="528" spans="3:3" x14ac:dyDescent="0.35">
      <c r="C528" t="str">
        <f t="shared" si="24"/>
        <v/>
      </c>
    </row>
    <row r="529" spans="3:3" x14ac:dyDescent="0.35">
      <c r="C529" t="str">
        <f t="shared" si="24"/>
        <v/>
      </c>
    </row>
    <row r="530" spans="3:3" x14ac:dyDescent="0.35">
      <c r="C530" t="str">
        <f t="shared" si="24"/>
        <v/>
      </c>
    </row>
    <row r="531" spans="3:3" x14ac:dyDescent="0.35">
      <c r="C531" t="str">
        <f t="shared" si="24"/>
        <v/>
      </c>
    </row>
    <row r="532" spans="3:3" x14ac:dyDescent="0.35">
      <c r="C532" t="str">
        <f t="shared" si="24"/>
        <v/>
      </c>
    </row>
    <row r="533" spans="3:3" x14ac:dyDescent="0.35">
      <c r="C533" t="str">
        <f t="shared" si="24"/>
        <v/>
      </c>
    </row>
    <row r="534" spans="3:3" x14ac:dyDescent="0.35">
      <c r="C534" t="str">
        <f t="shared" si="24"/>
        <v/>
      </c>
    </row>
    <row r="535" spans="3:3" x14ac:dyDescent="0.35">
      <c r="C535" t="str">
        <f t="shared" si="24"/>
        <v/>
      </c>
    </row>
    <row r="536" spans="3:3" x14ac:dyDescent="0.35">
      <c r="C536" t="str">
        <f t="shared" si="24"/>
        <v/>
      </c>
    </row>
    <row r="537" spans="3:3" x14ac:dyDescent="0.35">
      <c r="C537" t="str">
        <f t="shared" si="24"/>
        <v/>
      </c>
    </row>
    <row r="538" spans="3:3" x14ac:dyDescent="0.35">
      <c r="C538" t="str">
        <f t="shared" si="24"/>
        <v/>
      </c>
    </row>
    <row r="539" spans="3:3" x14ac:dyDescent="0.35">
      <c r="C539" t="str">
        <f t="shared" si="24"/>
        <v/>
      </c>
    </row>
    <row r="540" spans="3:3" x14ac:dyDescent="0.35">
      <c r="C540" t="str">
        <f t="shared" si="24"/>
        <v/>
      </c>
    </row>
    <row r="541" spans="3:3" x14ac:dyDescent="0.35">
      <c r="C541" t="str">
        <f t="shared" si="24"/>
        <v/>
      </c>
    </row>
    <row r="542" spans="3:3" x14ac:dyDescent="0.35">
      <c r="C542" t="str">
        <f t="shared" si="24"/>
        <v/>
      </c>
    </row>
    <row r="543" spans="3:3" x14ac:dyDescent="0.35">
      <c r="C543" t="str">
        <f t="shared" si="24"/>
        <v/>
      </c>
    </row>
    <row r="544" spans="3:3" x14ac:dyDescent="0.35">
      <c r="C544" t="str">
        <f t="shared" si="24"/>
        <v/>
      </c>
    </row>
    <row r="545" spans="3:3" x14ac:dyDescent="0.35">
      <c r="C545" t="str">
        <f t="shared" si="24"/>
        <v/>
      </c>
    </row>
    <row r="546" spans="3:3" x14ac:dyDescent="0.35">
      <c r="C546" t="str">
        <f t="shared" si="24"/>
        <v/>
      </c>
    </row>
    <row r="547" spans="3:3" x14ac:dyDescent="0.35">
      <c r="C547" t="str">
        <f t="shared" si="24"/>
        <v/>
      </c>
    </row>
    <row r="548" spans="3:3" x14ac:dyDescent="0.35">
      <c r="C548" t="str">
        <f t="shared" si="24"/>
        <v/>
      </c>
    </row>
    <row r="549" spans="3:3" x14ac:dyDescent="0.35">
      <c r="C549" t="str">
        <f t="shared" si="24"/>
        <v/>
      </c>
    </row>
    <row r="550" spans="3:3" x14ac:dyDescent="0.35">
      <c r="C550" t="str">
        <f t="shared" si="24"/>
        <v/>
      </c>
    </row>
    <row r="551" spans="3:3" x14ac:dyDescent="0.35">
      <c r="C551" t="str">
        <f t="shared" si="24"/>
        <v/>
      </c>
    </row>
    <row r="552" spans="3:3" x14ac:dyDescent="0.35">
      <c r="C552" t="str">
        <f t="shared" si="24"/>
        <v/>
      </c>
    </row>
    <row r="553" spans="3:3" x14ac:dyDescent="0.35">
      <c r="C553" t="str">
        <f t="shared" si="24"/>
        <v/>
      </c>
    </row>
    <row r="554" spans="3:3" x14ac:dyDescent="0.35">
      <c r="C554" t="str">
        <f t="shared" si="24"/>
        <v/>
      </c>
    </row>
    <row r="555" spans="3:3" x14ac:dyDescent="0.35">
      <c r="C555" t="str">
        <f t="shared" si="24"/>
        <v/>
      </c>
    </row>
    <row r="556" spans="3:3" x14ac:dyDescent="0.35">
      <c r="C556" t="str">
        <f t="shared" si="24"/>
        <v/>
      </c>
    </row>
    <row r="557" spans="3:3" x14ac:dyDescent="0.35">
      <c r="C557" t="str">
        <f t="shared" si="24"/>
        <v/>
      </c>
    </row>
    <row r="558" spans="3:3" x14ac:dyDescent="0.35">
      <c r="C558" t="str">
        <f t="shared" si="24"/>
        <v/>
      </c>
    </row>
    <row r="559" spans="3:3" x14ac:dyDescent="0.35">
      <c r="C559" t="str">
        <f t="shared" si="24"/>
        <v/>
      </c>
    </row>
    <row r="560" spans="3:3" x14ac:dyDescent="0.35">
      <c r="C560" t="str">
        <f t="shared" si="24"/>
        <v/>
      </c>
    </row>
    <row r="561" spans="3:3" x14ac:dyDescent="0.35">
      <c r="C561" t="str">
        <f t="shared" si="24"/>
        <v/>
      </c>
    </row>
    <row r="562" spans="3:3" x14ac:dyDescent="0.35">
      <c r="C562" t="str">
        <f t="shared" si="24"/>
        <v/>
      </c>
    </row>
    <row r="563" spans="3:3" x14ac:dyDescent="0.35">
      <c r="C563" t="str">
        <f t="shared" si="24"/>
        <v/>
      </c>
    </row>
    <row r="564" spans="3:3" x14ac:dyDescent="0.35">
      <c r="C564" t="str">
        <f t="shared" si="24"/>
        <v/>
      </c>
    </row>
    <row r="565" spans="3:3" x14ac:dyDescent="0.35">
      <c r="C565" t="str">
        <f t="shared" si="24"/>
        <v/>
      </c>
    </row>
    <row r="566" spans="3:3" x14ac:dyDescent="0.35">
      <c r="C566" t="str">
        <f t="shared" si="24"/>
        <v/>
      </c>
    </row>
    <row r="567" spans="3:3" x14ac:dyDescent="0.35">
      <c r="C567" t="str">
        <f t="shared" si="24"/>
        <v/>
      </c>
    </row>
    <row r="568" spans="3:3" x14ac:dyDescent="0.35">
      <c r="C568" t="str">
        <f t="shared" si="24"/>
        <v/>
      </c>
    </row>
    <row r="569" spans="3:3" x14ac:dyDescent="0.35">
      <c r="C569" t="str">
        <f t="shared" si="24"/>
        <v/>
      </c>
    </row>
    <row r="570" spans="3:3" x14ac:dyDescent="0.35">
      <c r="C570" t="str">
        <f t="shared" si="24"/>
        <v/>
      </c>
    </row>
    <row r="571" spans="3:3" x14ac:dyDescent="0.35">
      <c r="C571" t="str">
        <f t="shared" si="24"/>
        <v/>
      </c>
    </row>
    <row r="572" spans="3:3" x14ac:dyDescent="0.35">
      <c r="C572" t="str">
        <f t="shared" si="24"/>
        <v/>
      </c>
    </row>
    <row r="573" spans="3:3" x14ac:dyDescent="0.35">
      <c r="C573" t="str">
        <f t="shared" si="24"/>
        <v/>
      </c>
    </row>
    <row r="574" spans="3:3" x14ac:dyDescent="0.35">
      <c r="C574" t="str">
        <f t="shared" si="24"/>
        <v/>
      </c>
    </row>
    <row r="575" spans="3:3" x14ac:dyDescent="0.35">
      <c r="C575" t="str">
        <f t="shared" si="24"/>
        <v/>
      </c>
    </row>
    <row r="576" spans="3:3" x14ac:dyDescent="0.35">
      <c r="C576" t="str">
        <f t="shared" si="24"/>
        <v/>
      </c>
    </row>
    <row r="577" spans="3:3" x14ac:dyDescent="0.35">
      <c r="C577" t="str">
        <f t="shared" si="24"/>
        <v/>
      </c>
    </row>
    <row r="578" spans="3:3" x14ac:dyDescent="0.35">
      <c r="C578" t="str">
        <f t="shared" si="24"/>
        <v/>
      </c>
    </row>
    <row r="579" spans="3:3" x14ac:dyDescent="0.35">
      <c r="C579" t="str">
        <f t="shared" si="24"/>
        <v/>
      </c>
    </row>
    <row r="580" spans="3:3" x14ac:dyDescent="0.35">
      <c r="C580" t="str">
        <f t="shared" si="24"/>
        <v/>
      </c>
    </row>
    <row r="581" spans="3:3" x14ac:dyDescent="0.35">
      <c r="C581" t="str">
        <f t="shared" ref="C581:C644" si="25">IF(ISBLANK(D581), "",
IF(D581 &lt; $G$9,
    $G$10 + $G$19 * ($G$23 * (D581 - $G$9))^2 + $G$21 * (1 - (D581 - $G$6)/($G$9 - $G$6)),
IF(D581 &gt; $G$13,
    $G$14 + $G$19 * ($G$23 * (D581 - $G$13))^2 - $G$22 * (1 - (D581 - $G$6)/($G$13 - $G$6)),
IF(D581 &lt; $G$6,
    $G$16 * (D581 - $G$6)^2 + $G$5,
    $G$17 * (D581 - $G$6)^2 + $G$5))))</f>
        <v/>
      </c>
    </row>
    <row r="582" spans="3:3" x14ac:dyDescent="0.35">
      <c r="C582" t="str">
        <f t="shared" si="25"/>
        <v/>
      </c>
    </row>
    <row r="583" spans="3:3" x14ac:dyDescent="0.35">
      <c r="C583" t="str">
        <f t="shared" si="25"/>
        <v/>
      </c>
    </row>
    <row r="584" spans="3:3" x14ac:dyDescent="0.35">
      <c r="C584" t="str">
        <f t="shared" si="25"/>
        <v/>
      </c>
    </row>
    <row r="585" spans="3:3" x14ac:dyDescent="0.35">
      <c r="C585" t="str">
        <f t="shared" si="25"/>
        <v/>
      </c>
    </row>
    <row r="586" spans="3:3" x14ac:dyDescent="0.35">
      <c r="C586" t="str">
        <f t="shared" si="25"/>
        <v/>
      </c>
    </row>
    <row r="587" spans="3:3" x14ac:dyDescent="0.35">
      <c r="C587" t="str">
        <f t="shared" si="25"/>
        <v/>
      </c>
    </row>
    <row r="588" spans="3:3" x14ac:dyDescent="0.35">
      <c r="C588" t="str">
        <f t="shared" si="25"/>
        <v/>
      </c>
    </row>
    <row r="589" spans="3:3" x14ac:dyDescent="0.35">
      <c r="C589" t="str">
        <f t="shared" si="25"/>
        <v/>
      </c>
    </row>
    <row r="590" spans="3:3" x14ac:dyDescent="0.35">
      <c r="C590" t="str">
        <f t="shared" si="25"/>
        <v/>
      </c>
    </row>
    <row r="591" spans="3:3" x14ac:dyDescent="0.35">
      <c r="C591" t="str">
        <f t="shared" si="25"/>
        <v/>
      </c>
    </row>
    <row r="592" spans="3:3" x14ac:dyDescent="0.35">
      <c r="C592" t="str">
        <f t="shared" si="25"/>
        <v/>
      </c>
    </row>
    <row r="593" spans="3:3" x14ac:dyDescent="0.35">
      <c r="C593" t="str">
        <f t="shared" si="25"/>
        <v/>
      </c>
    </row>
    <row r="594" spans="3:3" x14ac:dyDescent="0.35">
      <c r="C594" t="str">
        <f t="shared" si="25"/>
        <v/>
      </c>
    </row>
    <row r="595" spans="3:3" x14ac:dyDescent="0.35">
      <c r="C595" t="str">
        <f t="shared" si="25"/>
        <v/>
      </c>
    </row>
    <row r="596" spans="3:3" x14ac:dyDescent="0.35">
      <c r="C596" t="str">
        <f t="shared" si="25"/>
        <v/>
      </c>
    </row>
    <row r="597" spans="3:3" x14ac:dyDescent="0.35">
      <c r="C597" t="str">
        <f t="shared" si="25"/>
        <v/>
      </c>
    </row>
    <row r="598" spans="3:3" x14ac:dyDescent="0.35">
      <c r="C598" t="str">
        <f t="shared" si="25"/>
        <v/>
      </c>
    </row>
    <row r="599" spans="3:3" x14ac:dyDescent="0.35">
      <c r="C599" t="str">
        <f t="shared" si="25"/>
        <v/>
      </c>
    </row>
    <row r="600" spans="3:3" x14ac:dyDescent="0.35">
      <c r="C600" t="str">
        <f t="shared" si="25"/>
        <v/>
      </c>
    </row>
    <row r="601" spans="3:3" x14ac:dyDescent="0.35">
      <c r="C601" t="str">
        <f t="shared" si="25"/>
        <v/>
      </c>
    </row>
    <row r="602" spans="3:3" x14ac:dyDescent="0.35">
      <c r="C602" t="str">
        <f t="shared" si="25"/>
        <v/>
      </c>
    </row>
    <row r="603" spans="3:3" x14ac:dyDescent="0.35">
      <c r="C603" t="str">
        <f t="shared" si="25"/>
        <v/>
      </c>
    </row>
    <row r="604" spans="3:3" x14ac:dyDescent="0.35">
      <c r="C604" t="str">
        <f t="shared" si="25"/>
        <v/>
      </c>
    </row>
    <row r="605" spans="3:3" x14ac:dyDescent="0.35">
      <c r="C605" t="str">
        <f t="shared" si="25"/>
        <v/>
      </c>
    </row>
    <row r="606" spans="3:3" x14ac:dyDescent="0.35">
      <c r="C606" t="str">
        <f t="shared" si="25"/>
        <v/>
      </c>
    </row>
    <row r="607" spans="3:3" x14ac:dyDescent="0.35">
      <c r="C607" t="str">
        <f t="shared" si="25"/>
        <v/>
      </c>
    </row>
    <row r="608" spans="3:3" x14ac:dyDescent="0.35">
      <c r="C608" t="str">
        <f t="shared" si="25"/>
        <v/>
      </c>
    </row>
    <row r="609" spans="3:3" x14ac:dyDescent="0.35">
      <c r="C609" t="str">
        <f t="shared" si="25"/>
        <v/>
      </c>
    </row>
    <row r="610" spans="3:3" x14ac:dyDescent="0.35">
      <c r="C610" t="str">
        <f t="shared" si="25"/>
        <v/>
      </c>
    </row>
    <row r="611" spans="3:3" x14ac:dyDescent="0.35">
      <c r="C611" t="str">
        <f t="shared" si="25"/>
        <v/>
      </c>
    </row>
    <row r="612" spans="3:3" x14ac:dyDescent="0.35">
      <c r="C612" t="str">
        <f t="shared" si="25"/>
        <v/>
      </c>
    </row>
    <row r="613" spans="3:3" x14ac:dyDescent="0.35">
      <c r="C613" t="str">
        <f t="shared" si="25"/>
        <v/>
      </c>
    </row>
    <row r="614" spans="3:3" x14ac:dyDescent="0.35">
      <c r="C614" t="str">
        <f t="shared" si="25"/>
        <v/>
      </c>
    </row>
    <row r="615" spans="3:3" x14ac:dyDescent="0.35">
      <c r="C615" t="str">
        <f t="shared" si="25"/>
        <v/>
      </c>
    </row>
    <row r="616" spans="3:3" x14ac:dyDescent="0.35">
      <c r="C616" t="str">
        <f t="shared" si="25"/>
        <v/>
      </c>
    </row>
    <row r="617" spans="3:3" x14ac:dyDescent="0.35">
      <c r="C617" t="str">
        <f t="shared" si="25"/>
        <v/>
      </c>
    </row>
    <row r="618" spans="3:3" x14ac:dyDescent="0.35">
      <c r="C618" t="str">
        <f t="shared" si="25"/>
        <v/>
      </c>
    </row>
    <row r="619" spans="3:3" x14ac:dyDescent="0.35">
      <c r="C619" t="str">
        <f t="shared" si="25"/>
        <v/>
      </c>
    </row>
    <row r="620" spans="3:3" x14ac:dyDescent="0.35">
      <c r="C620" t="str">
        <f t="shared" si="25"/>
        <v/>
      </c>
    </row>
    <row r="621" spans="3:3" x14ac:dyDescent="0.35">
      <c r="C621" t="str">
        <f t="shared" si="25"/>
        <v/>
      </c>
    </row>
    <row r="622" spans="3:3" x14ac:dyDescent="0.35">
      <c r="C622" t="str">
        <f t="shared" si="25"/>
        <v/>
      </c>
    </row>
    <row r="623" spans="3:3" x14ac:dyDescent="0.35">
      <c r="C623" t="str">
        <f t="shared" si="25"/>
        <v/>
      </c>
    </row>
    <row r="624" spans="3:3" x14ac:dyDescent="0.35">
      <c r="C624" t="str">
        <f t="shared" si="25"/>
        <v/>
      </c>
    </row>
    <row r="625" spans="3:3" x14ac:dyDescent="0.35">
      <c r="C625" t="str">
        <f t="shared" si="25"/>
        <v/>
      </c>
    </row>
    <row r="626" spans="3:3" x14ac:dyDescent="0.35">
      <c r="C626" t="str">
        <f t="shared" si="25"/>
        <v/>
      </c>
    </row>
    <row r="627" spans="3:3" x14ac:dyDescent="0.35">
      <c r="C627" t="str">
        <f t="shared" si="25"/>
        <v/>
      </c>
    </row>
    <row r="628" spans="3:3" x14ac:dyDescent="0.35">
      <c r="C628" t="str">
        <f t="shared" si="25"/>
        <v/>
      </c>
    </row>
    <row r="629" spans="3:3" x14ac:dyDescent="0.35">
      <c r="C629" t="str">
        <f t="shared" si="25"/>
        <v/>
      </c>
    </row>
    <row r="630" spans="3:3" x14ac:dyDescent="0.35">
      <c r="C630" t="str">
        <f t="shared" si="25"/>
        <v/>
      </c>
    </row>
    <row r="631" spans="3:3" x14ac:dyDescent="0.35">
      <c r="C631" t="str">
        <f t="shared" si="25"/>
        <v/>
      </c>
    </row>
    <row r="632" spans="3:3" x14ac:dyDescent="0.35">
      <c r="C632" t="str">
        <f t="shared" si="25"/>
        <v/>
      </c>
    </row>
    <row r="633" spans="3:3" x14ac:dyDescent="0.35">
      <c r="C633" t="str">
        <f t="shared" si="25"/>
        <v/>
      </c>
    </row>
    <row r="634" spans="3:3" x14ac:dyDescent="0.35">
      <c r="C634" t="str">
        <f t="shared" si="25"/>
        <v/>
      </c>
    </row>
    <row r="635" spans="3:3" x14ac:dyDescent="0.35">
      <c r="C635" t="str">
        <f t="shared" si="25"/>
        <v/>
      </c>
    </row>
    <row r="636" spans="3:3" x14ac:dyDescent="0.35">
      <c r="C636" t="str">
        <f t="shared" si="25"/>
        <v/>
      </c>
    </row>
    <row r="637" spans="3:3" x14ac:dyDescent="0.35">
      <c r="C637" t="str">
        <f t="shared" si="25"/>
        <v/>
      </c>
    </row>
    <row r="638" spans="3:3" x14ac:dyDescent="0.35">
      <c r="C638" t="str">
        <f t="shared" si="25"/>
        <v/>
      </c>
    </row>
    <row r="639" spans="3:3" x14ac:dyDescent="0.35">
      <c r="C639" t="str">
        <f t="shared" si="25"/>
        <v/>
      </c>
    </row>
    <row r="640" spans="3:3" x14ac:dyDescent="0.35">
      <c r="C640" t="str">
        <f t="shared" si="25"/>
        <v/>
      </c>
    </row>
    <row r="641" spans="3:3" x14ac:dyDescent="0.35">
      <c r="C641" t="str">
        <f t="shared" si="25"/>
        <v/>
      </c>
    </row>
    <row r="642" spans="3:3" x14ac:dyDescent="0.35">
      <c r="C642" t="str">
        <f t="shared" si="25"/>
        <v/>
      </c>
    </row>
    <row r="643" spans="3:3" x14ac:dyDescent="0.35">
      <c r="C643" t="str">
        <f t="shared" si="25"/>
        <v/>
      </c>
    </row>
    <row r="644" spans="3:3" x14ac:dyDescent="0.35">
      <c r="C644" t="str">
        <f t="shared" si="25"/>
        <v/>
      </c>
    </row>
    <row r="645" spans="3:3" x14ac:dyDescent="0.35">
      <c r="C645" t="str">
        <f t="shared" ref="C645:C708" si="26">IF(ISBLANK(D645), "",
IF(D645 &lt; $G$9,
    $G$10 + $G$19 * ($G$23 * (D645 - $G$9))^2 + $G$21 * (1 - (D645 - $G$6)/($G$9 - $G$6)),
IF(D645 &gt; $G$13,
    $G$14 + $G$19 * ($G$23 * (D645 - $G$13))^2 - $G$22 * (1 - (D645 - $G$6)/($G$13 - $G$6)),
IF(D645 &lt; $G$6,
    $G$16 * (D645 - $G$6)^2 + $G$5,
    $G$17 * (D645 - $G$6)^2 + $G$5))))</f>
        <v/>
      </c>
    </row>
    <row r="646" spans="3:3" x14ac:dyDescent="0.35">
      <c r="C646" t="str">
        <f t="shared" si="26"/>
        <v/>
      </c>
    </row>
    <row r="647" spans="3:3" x14ac:dyDescent="0.35">
      <c r="C647" t="str">
        <f t="shared" si="26"/>
        <v/>
      </c>
    </row>
    <row r="648" spans="3:3" x14ac:dyDescent="0.35">
      <c r="C648" t="str">
        <f t="shared" si="26"/>
        <v/>
      </c>
    </row>
    <row r="649" spans="3:3" x14ac:dyDescent="0.35">
      <c r="C649" t="str">
        <f t="shared" si="26"/>
        <v/>
      </c>
    </row>
    <row r="650" spans="3:3" x14ac:dyDescent="0.35">
      <c r="C650" t="str">
        <f t="shared" si="26"/>
        <v/>
      </c>
    </row>
    <row r="651" spans="3:3" x14ac:dyDescent="0.35">
      <c r="C651" t="str">
        <f t="shared" si="26"/>
        <v/>
      </c>
    </row>
    <row r="652" spans="3:3" x14ac:dyDescent="0.35">
      <c r="C652" t="str">
        <f t="shared" si="26"/>
        <v/>
      </c>
    </row>
    <row r="653" spans="3:3" x14ac:dyDescent="0.35">
      <c r="C653" t="str">
        <f t="shared" si="26"/>
        <v/>
      </c>
    </row>
    <row r="654" spans="3:3" x14ac:dyDescent="0.35">
      <c r="C654" t="str">
        <f t="shared" si="26"/>
        <v/>
      </c>
    </row>
    <row r="655" spans="3:3" x14ac:dyDescent="0.35">
      <c r="C655" t="str">
        <f t="shared" si="26"/>
        <v/>
      </c>
    </row>
    <row r="656" spans="3:3" x14ac:dyDescent="0.35">
      <c r="C656" t="str">
        <f t="shared" si="26"/>
        <v/>
      </c>
    </row>
    <row r="657" spans="3:3" x14ac:dyDescent="0.35">
      <c r="C657" t="str">
        <f t="shared" si="26"/>
        <v/>
      </c>
    </row>
    <row r="658" spans="3:3" x14ac:dyDescent="0.35">
      <c r="C658" t="str">
        <f t="shared" si="26"/>
        <v/>
      </c>
    </row>
    <row r="659" spans="3:3" x14ac:dyDescent="0.35">
      <c r="C659" t="str">
        <f t="shared" si="26"/>
        <v/>
      </c>
    </row>
    <row r="660" spans="3:3" x14ac:dyDescent="0.35">
      <c r="C660" t="str">
        <f t="shared" si="26"/>
        <v/>
      </c>
    </row>
    <row r="661" spans="3:3" x14ac:dyDescent="0.35">
      <c r="C661" t="str">
        <f t="shared" si="26"/>
        <v/>
      </c>
    </row>
    <row r="662" spans="3:3" x14ac:dyDescent="0.35">
      <c r="C662" t="str">
        <f t="shared" si="26"/>
        <v/>
      </c>
    </row>
    <row r="663" spans="3:3" x14ac:dyDescent="0.35">
      <c r="C663" t="str">
        <f t="shared" si="26"/>
        <v/>
      </c>
    </row>
    <row r="664" spans="3:3" x14ac:dyDescent="0.35">
      <c r="C664" t="str">
        <f t="shared" si="26"/>
        <v/>
      </c>
    </row>
    <row r="665" spans="3:3" x14ac:dyDescent="0.35">
      <c r="C665" t="str">
        <f t="shared" si="26"/>
        <v/>
      </c>
    </row>
    <row r="666" spans="3:3" x14ac:dyDescent="0.35">
      <c r="C666" t="str">
        <f t="shared" si="26"/>
        <v/>
      </c>
    </row>
    <row r="667" spans="3:3" x14ac:dyDescent="0.35">
      <c r="C667" t="str">
        <f t="shared" si="26"/>
        <v/>
      </c>
    </row>
    <row r="668" spans="3:3" x14ac:dyDescent="0.35">
      <c r="C668" t="str">
        <f t="shared" si="26"/>
        <v/>
      </c>
    </row>
    <row r="669" spans="3:3" x14ac:dyDescent="0.35">
      <c r="C669" t="str">
        <f t="shared" si="26"/>
        <v/>
      </c>
    </row>
    <row r="670" spans="3:3" x14ac:dyDescent="0.35">
      <c r="C670" t="str">
        <f t="shared" si="26"/>
        <v/>
      </c>
    </row>
    <row r="671" spans="3:3" x14ac:dyDescent="0.35">
      <c r="C671" t="str">
        <f t="shared" si="26"/>
        <v/>
      </c>
    </row>
    <row r="672" spans="3:3" x14ac:dyDescent="0.35">
      <c r="C672" t="str">
        <f t="shared" si="26"/>
        <v/>
      </c>
    </row>
    <row r="673" spans="3:3" x14ac:dyDescent="0.35">
      <c r="C673" t="str">
        <f t="shared" si="26"/>
        <v/>
      </c>
    </row>
    <row r="674" spans="3:3" x14ac:dyDescent="0.35">
      <c r="C674" t="str">
        <f t="shared" si="26"/>
        <v/>
      </c>
    </row>
    <row r="675" spans="3:3" x14ac:dyDescent="0.35">
      <c r="C675" t="str">
        <f t="shared" si="26"/>
        <v/>
      </c>
    </row>
    <row r="676" spans="3:3" x14ac:dyDescent="0.35">
      <c r="C676" t="str">
        <f t="shared" si="26"/>
        <v/>
      </c>
    </row>
    <row r="677" spans="3:3" x14ac:dyDescent="0.35">
      <c r="C677" t="str">
        <f t="shared" si="26"/>
        <v/>
      </c>
    </row>
    <row r="678" spans="3:3" x14ac:dyDescent="0.35">
      <c r="C678" t="str">
        <f t="shared" si="26"/>
        <v/>
      </c>
    </row>
    <row r="679" spans="3:3" x14ac:dyDescent="0.35">
      <c r="C679" t="str">
        <f t="shared" si="26"/>
        <v/>
      </c>
    </row>
    <row r="680" spans="3:3" x14ac:dyDescent="0.35">
      <c r="C680" t="str">
        <f t="shared" si="26"/>
        <v/>
      </c>
    </row>
    <row r="681" spans="3:3" x14ac:dyDescent="0.35">
      <c r="C681" t="str">
        <f t="shared" si="26"/>
        <v/>
      </c>
    </row>
    <row r="682" spans="3:3" x14ac:dyDescent="0.35">
      <c r="C682" t="str">
        <f t="shared" si="26"/>
        <v/>
      </c>
    </row>
    <row r="683" spans="3:3" x14ac:dyDescent="0.35">
      <c r="C683" t="str">
        <f t="shared" si="26"/>
        <v/>
      </c>
    </row>
    <row r="684" spans="3:3" x14ac:dyDescent="0.35">
      <c r="C684" t="str">
        <f t="shared" si="26"/>
        <v/>
      </c>
    </row>
    <row r="685" spans="3:3" x14ac:dyDescent="0.35">
      <c r="C685" t="str">
        <f t="shared" si="26"/>
        <v/>
      </c>
    </row>
    <row r="686" spans="3:3" x14ac:dyDescent="0.35">
      <c r="C686" t="str">
        <f t="shared" si="26"/>
        <v/>
      </c>
    </row>
    <row r="687" spans="3:3" x14ac:dyDescent="0.35">
      <c r="C687" t="str">
        <f t="shared" si="26"/>
        <v/>
      </c>
    </row>
    <row r="688" spans="3:3" x14ac:dyDescent="0.35">
      <c r="C688" t="str">
        <f t="shared" si="26"/>
        <v/>
      </c>
    </row>
    <row r="689" spans="3:3" x14ac:dyDescent="0.35">
      <c r="C689" t="str">
        <f t="shared" si="26"/>
        <v/>
      </c>
    </row>
    <row r="690" spans="3:3" x14ac:dyDescent="0.35">
      <c r="C690" t="str">
        <f t="shared" si="26"/>
        <v/>
      </c>
    </row>
    <row r="691" spans="3:3" x14ac:dyDescent="0.35">
      <c r="C691" t="str">
        <f t="shared" si="26"/>
        <v/>
      </c>
    </row>
    <row r="692" spans="3:3" x14ac:dyDescent="0.35">
      <c r="C692" t="str">
        <f t="shared" si="26"/>
        <v/>
      </c>
    </row>
    <row r="693" spans="3:3" x14ac:dyDescent="0.35">
      <c r="C693" t="str">
        <f t="shared" si="26"/>
        <v/>
      </c>
    </row>
    <row r="694" spans="3:3" x14ac:dyDescent="0.35">
      <c r="C694" t="str">
        <f t="shared" si="26"/>
        <v/>
      </c>
    </row>
    <row r="695" spans="3:3" x14ac:dyDescent="0.35">
      <c r="C695" t="str">
        <f t="shared" si="26"/>
        <v/>
      </c>
    </row>
    <row r="696" spans="3:3" x14ac:dyDescent="0.35">
      <c r="C696" t="str">
        <f t="shared" si="26"/>
        <v/>
      </c>
    </row>
    <row r="697" spans="3:3" x14ac:dyDescent="0.35">
      <c r="C697" t="str">
        <f t="shared" si="26"/>
        <v/>
      </c>
    </row>
    <row r="698" spans="3:3" x14ac:dyDescent="0.35">
      <c r="C698" t="str">
        <f t="shared" si="26"/>
        <v/>
      </c>
    </row>
    <row r="699" spans="3:3" x14ac:dyDescent="0.35">
      <c r="C699" t="str">
        <f t="shared" si="26"/>
        <v/>
      </c>
    </row>
    <row r="700" spans="3:3" x14ac:dyDescent="0.35">
      <c r="C700" t="str">
        <f t="shared" si="26"/>
        <v/>
      </c>
    </row>
    <row r="701" spans="3:3" x14ac:dyDescent="0.35">
      <c r="C701" t="str">
        <f t="shared" si="26"/>
        <v/>
      </c>
    </row>
    <row r="702" spans="3:3" x14ac:dyDescent="0.35">
      <c r="C702" t="str">
        <f t="shared" si="26"/>
        <v/>
      </c>
    </row>
    <row r="703" spans="3:3" x14ac:dyDescent="0.35">
      <c r="C703" t="str">
        <f t="shared" si="26"/>
        <v/>
      </c>
    </row>
    <row r="704" spans="3:3" x14ac:dyDescent="0.35">
      <c r="C704" t="str">
        <f t="shared" si="26"/>
        <v/>
      </c>
    </row>
    <row r="705" spans="3:3" x14ac:dyDescent="0.35">
      <c r="C705" t="str">
        <f t="shared" si="26"/>
        <v/>
      </c>
    </row>
    <row r="706" spans="3:3" x14ac:dyDescent="0.35">
      <c r="C706" t="str">
        <f t="shared" si="26"/>
        <v/>
      </c>
    </row>
    <row r="707" spans="3:3" x14ac:dyDescent="0.35">
      <c r="C707" t="str">
        <f t="shared" si="26"/>
        <v/>
      </c>
    </row>
    <row r="708" spans="3:3" x14ac:dyDescent="0.35">
      <c r="C708" t="str">
        <f t="shared" si="26"/>
        <v/>
      </c>
    </row>
    <row r="709" spans="3:3" x14ac:dyDescent="0.35">
      <c r="C709" t="str">
        <f t="shared" ref="C709:C772" si="27">IF(ISBLANK(D709), "",
IF(D709 &lt; $G$9,
    $G$10 + $G$19 * ($G$23 * (D709 - $G$9))^2 + $G$21 * (1 - (D709 - $G$6)/($G$9 - $G$6)),
IF(D709 &gt; $G$13,
    $G$14 + $G$19 * ($G$23 * (D709 - $G$13))^2 - $G$22 * (1 - (D709 - $G$6)/($G$13 - $G$6)),
IF(D709 &lt; $G$6,
    $G$16 * (D709 - $G$6)^2 + $G$5,
    $G$17 * (D709 - $G$6)^2 + $G$5))))</f>
        <v/>
      </c>
    </row>
    <row r="710" spans="3:3" x14ac:dyDescent="0.35">
      <c r="C710" t="str">
        <f t="shared" si="27"/>
        <v/>
      </c>
    </row>
    <row r="711" spans="3:3" x14ac:dyDescent="0.35">
      <c r="C711" t="str">
        <f t="shared" si="27"/>
        <v/>
      </c>
    </row>
    <row r="712" spans="3:3" x14ac:dyDescent="0.35">
      <c r="C712" t="str">
        <f t="shared" si="27"/>
        <v/>
      </c>
    </row>
    <row r="713" spans="3:3" x14ac:dyDescent="0.35">
      <c r="C713" t="str">
        <f t="shared" si="27"/>
        <v/>
      </c>
    </row>
    <row r="714" spans="3:3" x14ac:dyDescent="0.35">
      <c r="C714" t="str">
        <f t="shared" si="27"/>
        <v/>
      </c>
    </row>
    <row r="715" spans="3:3" x14ac:dyDescent="0.35">
      <c r="C715" t="str">
        <f t="shared" si="27"/>
        <v/>
      </c>
    </row>
    <row r="716" spans="3:3" x14ac:dyDescent="0.35">
      <c r="C716" t="str">
        <f t="shared" si="27"/>
        <v/>
      </c>
    </row>
    <row r="717" spans="3:3" x14ac:dyDescent="0.35">
      <c r="C717" t="str">
        <f t="shared" si="27"/>
        <v/>
      </c>
    </row>
    <row r="718" spans="3:3" x14ac:dyDescent="0.35">
      <c r="C718" t="str">
        <f t="shared" si="27"/>
        <v/>
      </c>
    </row>
    <row r="719" spans="3:3" x14ac:dyDescent="0.35">
      <c r="C719" t="str">
        <f t="shared" si="27"/>
        <v/>
      </c>
    </row>
    <row r="720" spans="3:3" x14ac:dyDescent="0.35">
      <c r="C720" t="str">
        <f t="shared" si="27"/>
        <v/>
      </c>
    </row>
    <row r="721" spans="3:3" x14ac:dyDescent="0.35">
      <c r="C721" t="str">
        <f t="shared" si="27"/>
        <v/>
      </c>
    </row>
    <row r="722" spans="3:3" x14ac:dyDescent="0.35">
      <c r="C722" t="str">
        <f t="shared" si="27"/>
        <v/>
      </c>
    </row>
    <row r="723" spans="3:3" x14ac:dyDescent="0.35">
      <c r="C723" t="str">
        <f t="shared" si="27"/>
        <v/>
      </c>
    </row>
    <row r="724" spans="3:3" x14ac:dyDescent="0.35">
      <c r="C724" t="str">
        <f t="shared" si="27"/>
        <v/>
      </c>
    </row>
    <row r="725" spans="3:3" x14ac:dyDescent="0.35">
      <c r="C725" t="str">
        <f t="shared" si="27"/>
        <v/>
      </c>
    </row>
    <row r="726" spans="3:3" x14ac:dyDescent="0.35">
      <c r="C726" t="str">
        <f t="shared" si="27"/>
        <v/>
      </c>
    </row>
    <row r="727" spans="3:3" x14ac:dyDescent="0.35">
      <c r="C727" t="str">
        <f t="shared" si="27"/>
        <v/>
      </c>
    </row>
    <row r="728" spans="3:3" x14ac:dyDescent="0.35">
      <c r="C728" t="str">
        <f t="shared" si="27"/>
        <v/>
      </c>
    </row>
    <row r="729" spans="3:3" x14ac:dyDescent="0.35">
      <c r="C729" t="str">
        <f t="shared" si="27"/>
        <v/>
      </c>
    </row>
    <row r="730" spans="3:3" x14ac:dyDescent="0.35">
      <c r="C730" t="str">
        <f t="shared" si="27"/>
        <v/>
      </c>
    </row>
    <row r="731" spans="3:3" x14ac:dyDescent="0.35">
      <c r="C731" t="str">
        <f t="shared" si="27"/>
        <v/>
      </c>
    </row>
    <row r="732" spans="3:3" x14ac:dyDescent="0.35">
      <c r="C732" t="str">
        <f t="shared" si="27"/>
        <v/>
      </c>
    </row>
    <row r="733" spans="3:3" x14ac:dyDescent="0.35">
      <c r="C733" t="str">
        <f t="shared" si="27"/>
        <v/>
      </c>
    </row>
    <row r="734" spans="3:3" x14ac:dyDescent="0.35">
      <c r="C734" t="str">
        <f t="shared" si="27"/>
        <v/>
      </c>
    </row>
    <row r="735" spans="3:3" x14ac:dyDescent="0.35">
      <c r="C735" t="str">
        <f t="shared" si="27"/>
        <v/>
      </c>
    </row>
    <row r="736" spans="3:3" x14ac:dyDescent="0.35">
      <c r="C736" t="str">
        <f t="shared" si="27"/>
        <v/>
      </c>
    </row>
    <row r="737" spans="3:3" x14ac:dyDescent="0.35">
      <c r="C737" t="str">
        <f t="shared" si="27"/>
        <v/>
      </c>
    </row>
    <row r="738" spans="3:3" x14ac:dyDescent="0.35">
      <c r="C738" t="str">
        <f t="shared" si="27"/>
        <v/>
      </c>
    </row>
    <row r="739" spans="3:3" x14ac:dyDescent="0.35">
      <c r="C739" t="str">
        <f t="shared" si="27"/>
        <v/>
      </c>
    </row>
    <row r="740" spans="3:3" x14ac:dyDescent="0.35">
      <c r="C740" t="str">
        <f t="shared" si="27"/>
        <v/>
      </c>
    </row>
    <row r="741" spans="3:3" x14ac:dyDescent="0.35">
      <c r="C741" t="str">
        <f t="shared" si="27"/>
        <v/>
      </c>
    </row>
    <row r="742" spans="3:3" x14ac:dyDescent="0.35">
      <c r="C742" t="str">
        <f t="shared" si="27"/>
        <v/>
      </c>
    </row>
    <row r="743" spans="3:3" x14ac:dyDescent="0.35">
      <c r="C743" t="str">
        <f t="shared" si="27"/>
        <v/>
      </c>
    </row>
    <row r="744" spans="3:3" x14ac:dyDescent="0.35">
      <c r="C744" t="str">
        <f t="shared" si="27"/>
        <v/>
      </c>
    </row>
    <row r="745" spans="3:3" x14ac:dyDescent="0.35">
      <c r="C745" t="str">
        <f t="shared" si="27"/>
        <v/>
      </c>
    </row>
    <row r="746" spans="3:3" x14ac:dyDescent="0.35">
      <c r="C746" t="str">
        <f t="shared" si="27"/>
        <v/>
      </c>
    </row>
    <row r="747" spans="3:3" x14ac:dyDescent="0.35">
      <c r="C747" t="str">
        <f t="shared" si="27"/>
        <v/>
      </c>
    </row>
    <row r="748" spans="3:3" x14ac:dyDescent="0.35">
      <c r="C748" t="str">
        <f t="shared" si="27"/>
        <v/>
      </c>
    </row>
    <row r="749" spans="3:3" x14ac:dyDescent="0.35">
      <c r="C749" t="str">
        <f t="shared" si="27"/>
        <v/>
      </c>
    </row>
    <row r="750" spans="3:3" x14ac:dyDescent="0.35">
      <c r="C750" t="str">
        <f t="shared" si="27"/>
        <v/>
      </c>
    </row>
    <row r="751" spans="3:3" x14ac:dyDescent="0.35">
      <c r="C751" t="str">
        <f t="shared" si="27"/>
        <v/>
      </c>
    </row>
    <row r="752" spans="3:3" x14ac:dyDescent="0.35">
      <c r="C752" t="str">
        <f t="shared" si="27"/>
        <v/>
      </c>
    </row>
    <row r="753" spans="3:3" x14ac:dyDescent="0.35">
      <c r="C753" t="str">
        <f t="shared" si="27"/>
        <v/>
      </c>
    </row>
    <row r="754" spans="3:3" x14ac:dyDescent="0.35">
      <c r="C754" t="str">
        <f t="shared" si="27"/>
        <v/>
      </c>
    </row>
    <row r="755" spans="3:3" x14ac:dyDescent="0.35">
      <c r="C755" t="str">
        <f t="shared" si="27"/>
        <v/>
      </c>
    </row>
    <row r="756" spans="3:3" x14ac:dyDescent="0.35">
      <c r="C756" t="str">
        <f t="shared" si="27"/>
        <v/>
      </c>
    </row>
    <row r="757" spans="3:3" x14ac:dyDescent="0.35">
      <c r="C757" t="str">
        <f t="shared" si="27"/>
        <v/>
      </c>
    </row>
    <row r="758" spans="3:3" x14ac:dyDescent="0.35">
      <c r="C758" t="str">
        <f t="shared" si="27"/>
        <v/>
      </c>
    </row>
    <row r="759" spans="3:3" x14ac:dyDescent="0.35">
      <c r="C759" t="str">
        <f t="shared" si="27"/>
        <v/>
      </c>
    </row>
    <row r="760" spans="3:3" x14ac:dyDescent="0.35">
      <c r="C760" t="str">
        <f t="shared" si="27"/>
        <v/>
      </c>
    </row>
    <row r="761" spans="3:3" x14ac:dyDescent="0.35">
      <c r="C761" t="str">
        <f t="shared" si="27"/>
        <v/>
      </c>
    </row>
    <row r="762" spans="3:3" x14ac:dyDescent="0.35">
      <c r="C762" t="str">
        <f t="shared" si="27"/>
        <v/>
      </c>
    </row>
    <row r="763" spans="3:3" x14ac:dyDescent="0.35">
      <c r="C763" t="str">
        <f t="shared" si="27"/>
        <v/>
      </c>
    </row>
    <row r="764" spans="3:3" x14ac:dyDescent="0.35">
      <c r="C764" t="str">
        <f t="shared" si="27"/>
        <v/>
      </c>
    </row>
    <row r="765" spans="3:3" x14ac:dyDescent="0.35">
      <c r="C765" t="str">
        <f t="shared" si="27"/>
        <v/>
      </c>
    </row>
    <row r="766" spans="3:3" x14ac:dyDescent="0.35">
      <c r="C766" t="str">
        <f t="shared" si="27"/>
        <v/>
      </c>
    </row>
    <row r="767" spans="3:3" x14ac:dyDescent="0.35">
      <c r="C767" t="str">
        <f t="shared" si="27"/>
        <v/>
      </c>
    </row>
    <row r="768" spans="3:3" x14ac:dyDescent="0.35">
      <c r="C768" t="str">
        <f t="shared" si="27"/>
        <v/>
      </c>
    </row>
    <row r="769" spans="3:3" x14ac:dyDescent="0.35">
      <c r="C769" t="str">
        <f t="shared" si="27"/>
        <v/>
      </c>
    </row>
    <row r="770" spans="3:3" x14ac:dyDescent="0.35">
      <c r="C770" t="str">
        <f t="shared" si="27"/>
        <v/>
      </c>
    </row>
    <row r="771" spans="3:3" x14ac:dyDescent="0.35">
      <c r="C771" t="str">
        <f t="shared" si="27"/>
        <v/>
      </c>
    </row>
    <row r="772" spans="3:3" x14ac:dyDescent="0.35">
      <c r="C772" t="str">
        <f t="shared" si="27"/>
        <v/>
      </c>
    </row>
    <row r="773" spans="3:3" x14ac:dyDescent="0.35">
      <c r="C773" t="str">
        <f t="shared" ref="C773:C836" si="28">IF(ISBLANK(D773), "",
IF(D773 &lt; $G$9,
    $G$10 + $G$19 * ($G$23 * (D773 - $G$9))^2 + $G$21 * (1 - (D773 - $G$6)/($G$9 - $G$6)),
IF(D773 &gt; $G$13,
    $G$14 + $G$19 * ($G$23 * (D773 - $G$13))^2 - $G$22 * (1 - (D773 - $G$6)/($G$13 - $G$6)),
IF(D773 &lt; $G$6,
    $G$16 * (D773 - $G$6)^2 + $G$5,
    $G$17 * (D773 - $G$6)^2 + $G$5))))</f>
        <v/>
      </c>
    </row>
    <row r="774" spans="3:3" x14ac:dyDescent="0.35">
      <c r="C774" t="str">
        <f t="shared" si="28"/>
        <v/>
      </c>
    </row>
    <row r="775" spans="3:3" x14ac:dyDescent="0.35">
      <c r="C775" t="str">
        <f t="shared" si="28"/>
        <v/>
      </c>
    </row>
    <row r="776" spans="3:3" x14ac:dyDescent="0.35">
      <c r="C776" t="str">
        <f t="shared" si="28"/>
        <v/>
      </c>
    </row>
    <row r="777" spans="3:3" x14ac:dyDescent="0.35">
      <c r="C777" t="str">
        <f t="shared" si="28"/>
        <v/>
      </c>
    </row>
    <row r="778" spans="3:3" x14ac:dyDescent="0.35">
      <c r="C778" t="str">
        <f t="shared" si="28"/>
        <v/>
      </c>
    </row>
    <row r="779" spans="3:3" x14ac:dyDescent="0.35">
      <c r="C779" t="str">
        <f t="shared" si="28"/>
        <v/>
      </c>
    </row>
    <row r="780" spans="3:3" x14ac:dyDescent="0.35">
      <c r="C780" t="str">
        <f t="shared" si="28"/>
        <v/>
      </c>
    </row>
    <row r="781" spans="3:3" x14ac:dyDescent="0.35">
      <c r="C781" t="str">
        <f t="shared" si="28"/>
        <v/>
      </c>
    </row>
    <row r="782" spans="3:3" x14ac:dyDescent="0.35">
      <c r="C782" t="str">
        <f t="shared" si="28"/>
        <v/>
      </c>
    </row>
    <row r="783" spans="3:3" x14ac:dyDescent="0.35">
      <c r="C783" t="str">
        <f t="shared" si="28"/>
        <v/>
      </c>
    </row>
    <row r="784" spans="3:3" x14ac:dyDescent="0.35">
      <c r="C784" t="str">
        <f t="shared" si="28"/>
        <v/>
      </c>
    </row>
    <row r="785" spans="3:3" x14ac:dyDescent="0.35">
      <c r="C785" t="str">
        <f t="shared" si="28"/>
        <v/>
      </c>
    </row>
    <row r="786" spans="3:3" x14ac:dyDescent="0.35">
      <c r="C786" t="str">
        <f t="shared" si="28"/>
        <v/>
      </c>
    </row>
    <row r="787" spans="3:3" x14ac:dyDescent="0.35">
      <c r="C787" t="str">
        <f t="shared" si="28"/>
        <v/>
      </c>
    </row>
    <row r="788" spans="3:3" x14ac:dyDescent="0.35">
      <c r="C788" t="str">
        <f t="shared" si="28"/>
        <v/>
      </c>
    </row>
    <row r="789" spans="3:3" x14ac:dyDescent="0.35">
      <c r="C789" t="str">
        <f t="shared" si="28"/>
        <v/>
      </c>
    </row>
    <row r="790" spans="3:3" x14ac:dyDescent="0.35">
      <c r="C790" t="str">
        <f t="shared" si="28"/>
        <v/>
      </c>
    </row>
    <row r="791" spans="3:3" x14ac:dyDescent="0.35">
      <c r="C791" t="str">
        <f t="shared" si="28"/>
        <v/>
      </c>
    </row>
    <row r="792" spans="3:3" x14ac:dyDescent="0.35">
      <c r="C792" t="str">
        <f t="shared" si="28"/>
        <v/>
      </c>
    </row>
    <row r="793" spans="3:3" x14ac:dyDescent="0.35">
      <c r="C793" t="str">
        <f t="shared" si="28"/>
        <v/>
      </c>
    </row>
    <row r="794" spans="3:3" x14ac:dyDescent="0.35">
      <c r="C794" t="str">
        <f t="shared" si="28"/>
        <v/>
      </c>
    </row>
    <row r="795" spans="3:3" x14ac:dyDescent="0.35">
      <c r="C795" t="str">
        <f t="shared" si="28"/>
        <v/>
      </c>
    </row>
    <row r="796" spans="3:3" x14ac:dyDescent="0.35">
      <c r="C796" t="str">
        <f t="shared" si="28"/>
        <v/>
      </c>
    </row>
    <row r="797" spans="3:3" x14ac:dyDescent="0.35">
      <c r="C797" t="str">
        <f t="shared" si="28"/>
        <v/>
      </c>
    </row>
    <row r="798" spans="3:3" x14ac:dyDescent="0.35">
      <c r="C798" t="str">
        <f t="shared" si="28"/>
        <v/>
      </c>
    </row>
    <row r="799" spans="3:3" x14ac:dyDescent="0.35">
      <c r="C799" t="str">
        <f t="shared" si="28"/>
        <v/>
      </c>
    </row>
    <row r="800" spans="3:3" x14ac:dyDescent="0.35">
      <c r="C800" t="str">
        <f t="shared" si="28"/>
        <v/>
      </c>
    </row>
    <row r="801" spans="3:3" x14ac:dyDescent="0.35">
      <c r="C801" t="str">
        <f t="shared" si="28"/>
        <v/>
      </c>
    </row>
    <row r="802" spans="3:3" x14ac:dyDescent="0.35">
      <c r="C802" t="str">
        <f t="shared" si="28"/>
        <v/>
      </c>
    </row>
    <row r="803" spans="3:3" x14ac:dyDescent="0.35">
      <c r="C803" t="str">
        <f t="shared" si="28"/>
        <v/>
      </c>
    </row>
    <row r="804" spans="3:3" x14ac:dyDescent="0.35">
      <c r="C804" t="str">
        <f t="shared" si="28"/>
        <v/>
      </c>
    </row>
    <row r="805" spans="3:3" x14ac:dyDescent="0.35">
      <c r="C805" t="str">
        <f t="shared" si="28"/>
        <v/>
      </c>
    </row>
    <row r="806" spans="3:3" x14ac:dyDescent="0.35">
      <c r="C806" t="str">
        <f t="shared" si="28"/>
        <v/>
      </c>
    </row>
    <row r="807" spans="3:3" x14ac:dyDescent="0.35">
      <c r="C807" t="str">
        <f t="shared" si="28"/>
        <v/>
      </c>
    </row>
    <row r="808" spans="3:3" x14ac:dyDescent="0.35">
      <c r="C808" t="str">
        <f t="shared" si="28"/>
        <v/>
      </c>
    </row>
    <row r="809" spans="3:3" x14ac:dyDescent="0.35">
      <c r="C809" t="str">
        <f t="shared" si="28"/>
        <v/>
      </c>
    </row>
    <row r="810" spans="3:3" x14ac:dyDescent="0.35">
      <c r="C810" t="str">
        <f t="shared" si="28"/>
        <v/>
      </c>
    </row>
    <row r="811" spans="3:3" x14ac:dyDescent="0.35">
      <c r="C811" t="str">
        <f t="shared" si="28"/>
        <v/>
      </c>
    </row>
    <row r="812" spans="3:3" x14ac:dyDescent="0.35">
      <c r="C812" t="str">
        <f t="shared" si="28"/>
        <v/>
      </c>
    </row>
    <row r="813" spans="3:3" x14ac:dyDescent="0.35">
      <c r="C813" t="str">
        <f t="shared" si="28"/>
        <v/>
      </c>
    </row>
    <row r="814" spans="3:3" x14ac:dyDescent="0.35">
      <c r="C814" t="str">
        <f t="shared" si="28"/>
        <v/>
      </c>
    </row>
    <row r="815" spans="3:3" x14ac:dyDescent="0.35">
      <c r="C815" t="str">
        <f t="shared" si="28"/>
        <v/>
      </c>
    </row>
    <row r="816" spans="3:3" x14ac:dyDescent="0.35">
      <c r="C816" t="str">
        <f t="shared" si="28"/>
        <v/>
      </c>
    </row>
    <row r="817" spans="3:3" x14ac:dyDescent="0.35">
      <c r="C817" t="str">
        <f t="shared" si="28"/>
        <v/>
      </c>
    </row>
    <row r="818" spans="3:3" x14ac:dyDescent="0.35">
      <c r="C818" t="str">
        <f t="shared" si="28"/>
        <v/>
      </c>
    </row>
    <row r="819" spans="3:3" x14ac:dyDescent="0.35">
      <c r="C819" t="str">
        <f t="shared" si="28"/>
        <v/>
      </c>
    </row>
    <row r="820" spans="3:3" x14ac:dyDescent="0.35">
      <c r="C820" t="str">
        <f t="shared" si="28"/>
        <v/>
      </c>
    </row>
    <row r="821" spans="3:3" x14ac:dyDescent="0.35">
      <c r="C821" t="str">
        <f t="shared" si="28"/>
        <v/>
      </c>
    </row>
    <row r="822" spans="3:3" x14ac:dyDescent="0.35">
      <c r="C822" t="str">
        <f t="shared" si="28"/>
        <v/>
      </c>
    </row>
    <row r="823" spans="3:3" x14ac:dyDescent="0.35">
      <c r="C823" t="str">
        <f t="shared" si="28"/>
        <v/>
      </c>
    </row>
    <row r="824" spans="3:3" x14ac:dyDescent="0.35">
      <c r="C824" t="str">
        <f t="shared" si="28"/>
        <v/>
      </c>
    </row>
    <row r="825" spans="3:3" x14ac:dyDescent="0.35">
      <c r="C825" t="str">
        <f t="shared" si="28"/>
        <v/>
      </c>
    </row>
    <row r="826" spans="3:3" x14ac:dyDescent="0.35">
      <c r="C826" t="str">
        <f t="shared" si="28"/>
        <v/>
      </c>
    </row>
    <row r="827" spans="3:3" x14ac:dyDescent="0.35">
      <c r="C827" t="str">
        <f t="shared" si="28"/>
        <v/>
      </c>
    </row>
    <row r="828" spans="3:3" x14ac:dyDescent="0.35">
      <c r="C828" t="str">
        <f t="shared" si="28"/>
        <v/>
      </c>
    </row>
    <row r="829" spans="3:3" x14ac:dyDescent="0.35">
      <c r="C829" t="str">
        <f t="shared" si="28"/>
        <v/>
      </c>
    </row>
    <row r="830" spans="3:3" x14ac:dyDescent="0.35">
      <c r="C830" t="str">
        <f t="shared" si="28"/>
        <v/>
      </c>
    </row>
    <row r="831" spans="3:3" x14ac:dyDescent="0.35">
      <c r="C831" t="str">
        <f t="shared" si="28"/>
        <v/>
      </c>
    </row>
    <row r="832" spans="3:3" x14ac:dyDescent="0.35">
      <c r="C832" t="str">
        <f t="shared" si="28"/>
        <v/>
      </c>
    </row>
    <row r="833" spans="3:3" x14ac:dyDescent="0.35">
      <c r="C833" t="str">
        <f t="shared" si="28"/>
        <v/>
      </c>
    </row>
    <row r="834" spans="3:3" x14ac:dyDescent="0.35">
      <c r="C834" t="str">
        <f t="shared" si="28"/>
        <v/>
      </c>
    </row>
    <row r="835" spans="3:3" x14ac:dyDescent="0.35">
      <c r="C835" t="str">
        <f t="shared" si="28"/>
        <v/>
      </c>
    </row>
    <row r="836" spans="3:3" x14ac:dyDescent="0.35">
      <c r="C836" t="str">
        <f t="shared" si="28"/>
        <v/>
      </c>
    </row>
    <row r="837" spans="3:3" x14ac:dyDescent="0.35">
      <c r="C837" t="str">
        <f t="shared" ref="C837:C900" si="29">IF(ISBLANK(D837), "",
IF(D837 &lt; $G$9,
    $G$10 + $G$19 * ($G$23 * (D837 - $G$9))^2 + $G$21 * (1 - (D837 - $G$6)/($G$9 - $G$6)),
IF(D837 &gt; $G$13,
    $G$14 + $G$19 * ($G$23 * (D837 - $G$13))^2 - $G$22 * (1 - (D837 - $G$6)/($G$13 - $G$6)),
IF(D837 &lt; $G$6,
    $G$16 * (D837 - $G$6)^2 + $G$5,
    $G$17 * (D837 - $G$6)^2 + $G$5))))</f>
        <v/>
      </c>
    </row>
    <row r="838" spans="3:3" x14ac:dyDescent="0.35">
      <c r="C838" t="str">
        <f t="shared" si="29"/>
        <v/>
      </c>
    </row>
    <row r="839" spans="3:3" x14ac:dyDescent="0.35">
      <c r="C839" t="str">
        <f t="shared" si="29"/>
        <v/>
      </c>
    </row>
    <row r="840" spans="3:3" x14ac:dyDescent="0.35">
      <c r="C840" t="str">
        <f t="shared" si="29"/>
        <v/>
      </c>
    </row>
    <row r="841" spans="3:3" x14ac:dyDescent="0.35">
      <c r="C841" t="str">
        <f t="shared" si="29"/>
        <v/>
      </c>
    </row>
    <row r="842" spans="3:3" x14ac:dyDescent="0.35">
      <c r="C842" t="str">
        <f t="shared" si="29"/>
        <v/>
      </c>
    </row>
    <row r="843" spans="3:3" x14ac:dyDescent="0.35">
      <c r="C843" t="str">
        <f t="shared" si="29"/>
        <v/>
      </c>
    </row>
    <row r="844" spans="3:3" x14ac:dyDescent="0.35">
      <c r="C844" t="str">
        <f t="shared" si="29"/>
        <v/>
      </c>
    </row>
    <row r="845" spans="3:3" x14ac:dyDescent="0.35">
      <c r="C845" t="str">
        <f t="shared" si="29"/>
        <v/>
      </c>
    </row>
    <row r="846" spans="3:3" x14ac:dyDescent="0.35">
      <c r="C846" t="str">
        <f t="shared" si="29"/>
        <v/>
      </c>
    </row>
    <row r="847" spans="3:3" x14ac:dyDescent="0.35">
      <c r="C847" t="str">
        <f t="shared" si="29"/>
        <v/>
      </c>
    </row>
    <row r="848" spans="3:3" x14ac:dyDescent="0.35">
      <c r="C848" t="str">
        <f t="shared" si="29"/>
        <v/>
      </c>
    </row>
    <row r="849" spans="3:3" x14ac:dyDescent="0.35">
      <c r="C849" t="str">
        <f t="shared" si="29"/>
        <v/>
      </c>
    </row>
    <row r="850" spans="3:3" x14ac:dyDescent="0.35">
      <c r="C850" t="str">
        <f t="shared" si="29"/>
        <v/>
      </c>
    </row>
    <row r="851" spans="3:3" x14ac:dyDescent="0.35">
      <c r="C851" t="str">
        <f t="shared" si="29"/>
        <v/>
      </c>
    </row>
    <row r="852" spans="3:3" x14ac:dyDescent="0.35">
      <c r="C852" t="str">
        <f t="shared" si="29"/>
        <v/>
      </c>
    </row>
    <row r="853" spans="3:3" x14ac:dyDescent="0.35">
      <c r="C853" t="str">
        <f t="shared" si="29"/>
        <v/>
      </c>
    </row>
    <row r="854" spans="3:3" x14ac:dyDescent="0.35">
      <c r="C854" t="str">
        <f t="shared" si="29"/>
        <v/>
      </c>
    </row>
    <row r="855" spans="3:3" x14ac:dyDescent="0.35">
      <c r="C855" t="str">
        <f t="shared" si="29"/>
        <v/>
      </c>
    </row>
    <row r="856" spans="3:3" x14ac:dyDescent="0.35">
      <c r="C856" t="str">
        <f t="shared" si="29"/>
        <v/>
      </c>
    </row>
    <row r="857" spans="3:3" x14ac:dyDescent="0.35">
      <c r="C857" t="str">
        <f t="shared" si="29"/>
        <v/>
      </c>
    </row>
    <row r="858" spans="3:3" x14ac:dyDescent="0.35">
      <c r="C858" t="str">
        <f t="shared" si="29"/>
        <v/>
      </c>
    </row>
    <row r="859" spans="3:3" x14ac:dyDescent="0.35">
      <c r="C859" t="str">
        <f t="shared" si="29"/>
        <v/>
      </c>
    </row>
    <row r="860" spans="3:3" x14ac:dyDescent="0.35">
      <c r="C860" t="str">
        <f t="shared" si="29"/>
        <v/>
      </c>
    </row>
    <row r="861" spans="3:3" x14ac:dyDescent="0.35">
      <c r="C861" t="str">
        <f t="shared" si="29"/>
        <v/>
      </c>
    </row>
    <row r="862" spans="3:3" x14ac:dyDescent="0.35">
      <c r="C862" t="str">
        <f t="shared" si="29"/>
        <v/>
      </c>
    </row>
    <row r="863" spans="3:3" x14ac:dyDescent="0.35">
      <c r="C863" t="str">
        <f t="shared" si="29"/>
        <v/>
      </c>
    </row>
    <row r="864" spans="3:3" x14ac:dyDescent="0.35">
      <c r="C864" t="str">
        <f t="shared" si="29"/>
        <v/>
      </c>
    </row>
    <row r="865" spans="3:3" x14ac:dyDescent="0.35">
      <c r="C865" t="str">
        <f t="shared" si="29"/>
        <v/>
      </c>
    </row>
    <row r="866" spans="3:3" x14ac:dyDescent="0.35">
      <c r="C866" t="str">
        <f t="shared" si="29"/>
        <v/>
      </c>
    </row>
    <row r="867" spans="3:3" x14ac:dyDescent="0.35">
      <c r="C867" t="str">
        <f t="shared" si="29"/>
        <v/>
      </c>
    </row>
    <row r="868" spans="3:3" x14ac:dyDescent="0.35">
      <c r="C868" t="str">
        <f t="shared" si="29"/>
        <v/>
      </c>
    </row>
    <row r="869" spans="3:3" x14ac:dyDescent="0.35">
      <c r="C869" t="str">
        <f t="shared" si="29"/>
        <v/>
      </c>
    </row>
    <row r="870" spans="3:3" x14ac:dyDescent="0.35">
      <c r="C870" t="str">
        <f t="shared" si="29"/>
        <v/>
      </c>
    </row>
    <row r="871" spans="3:3" x14ac:dyDescent="0.35">
      <c r="C871" t="str">
        <f t="shared" si="29"/>
        <v/>
      </c>
    </row>
    <row r="872" spans="3:3" x14ac:dyDescent="0.35">
      <c r="C872" t="str">
        <f t="shared" si="29"/>
        <v/>
      </c>
    </row>
    <row r="873" spans="3:3" x14ac:dyDescent="0.35">
      <c r="C873" t="str">
        <f t="shared" si="29"/>
        <v/>
      </c>
    </row>
    <row r="874" spans="3:3" x14ac:dyDescent="0.35">
      <c r="C874" t="str">
        <f t="shared" si="29"/>
        <v/>
      </c>
    </row>
    <row r="875" spans="3:3" x14ac:dyDescent="0.35">
      <c r="C875" t="str">
        <f t="shared" si="29"/>
        <v/>
      </c>
    </row>
    <row r="876" spans="3:3" x14ac:dyDescent="0.35">
      <c r="C876" t="str">
        <f t="shared" si="29"/>
        <v/>
      </c>
    </row>
    <row r="877" spans="3:3" x14ac:dyDescent="0.35">
      <c r="C877" t="str">
        <f t="shared" si="29"/>
        <v/>
      </c>
    </row>
    <row r="878" spans="3:3" x14ac:dyDescent="0.35">
      <c r="C878" t="str">
        <f t="shared" si="29"/>
        <v/>
      </c>
    </row>
    <row r="879" spans="3:3" x14ac:dyDescent="0.35">
      <c r="C879" t="str">
        <f t="shared" si="29"/>
        <v/>
      </c>
    </row>
    <row r="880" spans="3:3" x14ac:dyDescent="0.35">
      <c r="C880" t="str">
        <f t="shared" si="29"/>
        <v/>
      </c>
    </row>
    <row r="881" spans="3:3" x14ac:dyDescent="0.35">
      <c r="C881" t="str">
        <f t="shared" si="29"/>
        <v/>
      </c>
    </row>
    <row r="882" spans="3:3" x14ac:dyDescent="0.35">
      <c r="C882" t="str">
        <f t="shared" si="29"/>
        <v/>
      </c>
    </row>
    <row r="883" spans="3:3" x14ac:dyDescent="0.35">
      <c r="C883" t="str">
        <f t="shared" si="29"/>
        <v/>
      </c>
    </row>
    <row r="884" spans="3:3" x14ac:dyDescent="0.35">
      <c r="C884" t="str">
        <f t="shared" si="29"/>
        <v/>
      </c>
    </row>
    <row r="885" spans="3:3" x14ac:dyDescent="0.35">
      <c r="C885" t="str">
        <f t="shared" si="29"/>
        <v/>
      </c>
    </row>
    <row r="886" spans="3:3" x14ac:dyDescent="0.35">
      <c r="C886" t="str">
        <f t="shared" si="29"/>
        <v/>
      </c>
    </row>
    <row r="887" spans="3:3" x14ac:dyDescent="0.35">
      <c r="C887" t="str">
        <f t="shared" si="29"/>
        <v/>
      </c>
    </row>
    <row r="888" spans="3:3" x14ac:dyDescent="0.35">
      <c r="C888" t="str">
        <f t="shared" si="29"/>
        <v/>
      </c>
    </row>
    <row r="889" spans="3:3" x14ac:dyDescent="0.35">
      <c r="C889" t="str">
        <f t="shared" si="29"/>
        <v/>
      </c>
    </row>
    <row r="890" spans="3:3" x14ac:dyDescent="0.35">
      <c r="C890" t="str">
        <f t="shared" si="29"/>
        <v/>
      </c>
    </row>
    <row r="891" spans="3:3" x14ac:dyDescent="0.35">
      <c r="C891" t="str">
        <f t="shared" si="29"/>
        <v/>
      </c>
    </row>
    <row r="892" spans="3:3" x14ac:dyDescent="0.35">
      <c r="C892" t="str">
        <f t="shared" si="29"/>
        <v/>
      </c>
    </row>
    <row r="893" spans="3:3" x14ac:dyDescent="0.35">
      <c r="C893" t="str">
        <f t="shared" si="29"/>
        <v/>
      </c>
    </row>
    <row r="894" spans="3:3" x14ac:dyDescent="0.35">
      <c r="C894" t="str">
        <f t="shared" si="29"/>
        <v/>
      </c>
    </row>
    <row r="895" spans="3:3" x14ac:dyDescent="0.35">
      <c r="C895" t="str">
        <f t="shared" si="29"/>
        <v/>
      </c>
    </row>
    <row r="896" spans="3:3" x14ac:dyDescent="0.35">
      <c r="C896" t="str">
        <f t="shared" si="29"/>
        <v/>
      </c>
    </row>
    <row r="897" spans="3:3" x14ac:dyDescent="0.35">
      <c r="C897" t="str">
        <f t="shared" si="29"/>
        <v/>
      </c>
    </row>
    <row r="898" spans="3:3" x14ac:dyDescent="0.35">
      <c r="C898" t="str">
        <f t="shared" si="29"/>
        <v/>
      </c>
    </row>
    <row r="899" spans="3:3" x14ac:dyDescent="0.35">
      <c r="C899" t="str">
        <f t="shared" si="29"/>
        <v/>
      </c>
    </row>
    <row r="900" spans="3:3" x14ac:dyDescent="0.35">
      <c r="C900" t="str">
        <f t="shared" si="29"/>
        <v/>
      </c>
    </row>
    <row r="901" spans="3:3" x14ac:dyDescent="0.35">
      <c r="C901" t="str">
        <f t="shared" ref="C901:C964" si="30">IF(ISBLANK(D901), "",
IF(D901 &lt; $G$9,
    $G$10 + $G$19 * ($G$23 * (D901 - $G$9))^2 + $G$21 * (1 - (D901 - $G$6)/($G$9 - $G$6)),
IF(D901 &gt; $G$13,
    $G$14 + $G$19 * ($G$23 * (D901 - $G$13))^2 - $G$22 * (1 - (D901 - $G$6)/($G$13 - $G$6)),
IF(D901 &lt; $G$6,
    $G$16 * (D901 - $G$6)^2 + $G$5,
    $G$17 * (D901 - $G$6)^2 + $G$5))))</f>
        <v/>
      </c>
    </row>
    <row r="902" spans="3:3" x14ac:dyDescent="0.35">
      <c r="C902" t="str">
        <f t="shared" si="30"/>
        <v/>
      </c>
    </row>
    <row r="903" spans="3:3" x14ac:dyDescent="0.35">
      <c r="C903" t="str">
        <f t="shared" si="30"/>
        <v/>
      </c>
    </row>
    <row r="904" spans="3:3" x14ac:dyDescent="0.35">
      <c r="C904" t="str">
        <f t="shared" si="30"/>
        <v/>
      </c>
    </row>
    <row r="905" spans="3:3" x14ac:dyDescent="0.35">
      <c r="C905" t="str">
        <f t="shared" si="30"/>
        <v/>
      </c>
    </row>
    <row r="906" spans="3:3" x14ac:dyDescent="0.35">
      <c r="C906" t="str">
        <f t="shared" si="30"/>
        <v/>
      </c>
    </row>
    <row r="907" spans="3:3" x14ac:dyDescent="0.35">
      <c r="C907" t="str">
        <f t="shared" si="30"/>
        <v/>
      </c>
    </row>
    <row r="908" spans="3:3" x14ac:dyDescent="0.35">
      <c r="C908" t="str">
        <f t="shared" si="30"/>
        <v/>
      </c>
    </row>
    <row r="909" spans="3:3" x14ac:dyDescent="0.35">
      <c r="C909" t="str">
        <f t="shared" si="30"/>
        <v/>
      </c>
    </row>
    <row r="910" spans="3:3" x14ac:dyDescent="0.35">
      <c r="C910" t="str">
        <f t="shared" si="30"/>
        <v/>
      </c>
    </row>
    <row r="911" spans="3:3" x14ac:dyDescent="0.35">
      <c r="C911" t="str">
        <f t="shared" si="30"/>
        <v/>
      </c>
    </row>
    <row r="912" spans="3:3" x14ac:dyDescent="0.35">
      <c r="C912" t="str">
        <f t="shared" si="30"/>
        <v/>
      </c>
    </row>
    <row r="913" spans="3:3" x14ac:dyDescent="0.35">
      <c r="C913" t="str">
        <f t="shared" si="30"/>
        <v/>
      </c>
    </row>
    <row r="914" spans="3:3" x14ac:dyDescent="0.35">
      <c r="C914" t="str">
        <f t="shared" si="30"/>
        <v/>
      </c>
    </row>
    <row r="915" spans="3:3" x14ac:dyDescent="0.35">
      <c r="C915" t="str">
        <f t="shared" si="30"/>
        <v/>
      </c>
    </row>
    <row r="916" spans="3:3" x14ac:dyDescent="0.35">
      <c r="C916" t="str">
        <f t="shared" si="30"/>
        <v/>
      </c>
    </row>
    <row r="917" spans="3:3" x14ac:dyDescent="0.35">
      <c r="C917" t="str">
        <f t="shared" si="30"/>
        <v/>
      </c>
    </row>
    <row r="918" spans="3:3" x14ac:dyDescent="0.35">
      <c r="C918" t="str">
        <f t="shared" si="30"/>
        <v/>
      </c>
    </row>
    <row r="919" spans="3:3" x14ac:dyDescent="0.35">
      <c r="C919" t="str">
        <f t="shared" si="30"/>
        <v/>
      </c>
    </row>
    <row r="920" spans="3:3" x14ac:dyDescent="0.35">
      <c r="C920" t="str">
        <f t="shared" si="30"/>
        <v/>
      </c>
    </row>
    <row r="921" spans="3:3" x14ac:dyDescent="0.35">
      <c r="C921" t="str">
        <f t="shared" si="30"/>
        <v/>
      </c>
    </row>
    <row r="922" spans="3:3" x14ac:dyDescent="0.35">
      <c r="C922" t="str">
        <f t="shared" si="30"/>
        <v/>
      </c>
    </row>
    <row r="923" spans="3:3" x14ac:dyDescent="0.35">
      <c r="C923" t="str">
        <f t="shared" si="30"/>
        <v/>
      </c>
    </row>
    <row r="924" spans="3:3" x14ac:dyDescent="0.35">
      <c r="C924" t="str">
        <f t="shared" si="30"/>
        <v/>
      </c>
    </row>
    <row r="925" spans="3:3" x14ac:dyDescent="0.35">
      <c r="C925" t="str">
        <f t="shared" si="30"/>
        <v/>
      </c>
    </row>
    <row r="926" spans="3:3" x14ac:dyDescent="0.35">
      <c r="C926" t="str">
        <f t="shared" si="30"/>
        <v/>
      </c>
    </row>
    <row r="927" spans="3:3" x14ac:dyDescent="0.35">
      <c r="C927" t="str">
        <f t="shared" si="30"/>
        <v/>
      </c>
    </row>
    <row r="928" spans="3:3" x14ac:dyDescent="0.35">
      <c r="C928" t="str">
        <f t="shared" si="30"/>
        <v/>
      </c>
    </row>
    <row r="929" spans="3:3" x14ac:dyDescent="0.35">
      <c r="C929" t="str">
        <f t="shared" si="30"/>
        <v/>
      </c>
    </row>
    <row r="930" spans="3:3" x14ac:dyDescent="0.35">
      <c r="C930" t="str">
        <f t="shared" si="30"/>
        <v/>
      </c>
    </row>
    <row r="931" spans="3:3" x14ac:dyDescent="0.35">
      <c r="C931" t="str">
        <f t="shared" si="30"/>
        <v/>
      </c>
    </row>
    <row r="932" spans="3:3" x14ac:dyDescent="0.35">
      <c r="C932" t="str">
        <f t="shared" si="30"/>
        <v/>
      </c>
    </row>
    <row r="933" spans="3:3" x14ac:dyDescent="0.35">
      <c r="C933" t="str">
        <f t="shared" si="30"/>
        <v/>
      </c>
    </row>
    <row r="934" spans="3:3" x14ac:dyDescent="0.35">
      <c r="C934" t="str">
        <f t="shared" si="30"/>
        <v/>
      </c>
    </row>
    <row r="935" spans="3:3" x14ac:dyDescent="0.35">
      <c r="C935" t="str">
        <f t="shared" si="30"/>
        <v/>
      </c>
    </row>
    <row r="936" spans="3:3" x14ac:dyDescent="0.35">
      <c r="C936" t="str">
        <f t="shared" si="30"/>
        <v/>
      </c>
    </row>
    <row r="937" spans="3:3" x14ac:dyDescent="0.35">
      <c r="C937" t="str">
        <f t="shared" si="30"/>
        <v/>
      </c>
    </row>
    <row r="938" spans="3:3" x14ac:dyDescent="0.35">
      <c r="C938" t="str">
        <f t="shared" si="30"/>
        <v/>
      </c>
    </row>
    <row r="939" spans="3:3" x14ac:dyDescent="0.35">
      <c r="C939" t="str">
        <f t="shared" si="30"/>
        <v/>
      </c>
    </row>
    <row r="940" spans="3:3" x14ac:dyDescent="0.35">
      <c r="C940" t="str">
        <f t="shared" si="30"/>
        <v/>
      </c>
    </row>
    <row r="941" spans="3:3" x14ac:dyDescent="0.35">
      <c r="C941" t="str">
        <f t="shared" si="30"/>
        <v/>
      </c>
    </row>
    <row r="942" spans="3:3" x14ac:dyDescent="0.35">
      <c r="C942" t="str">
        <f t="shared" si="30"/>
        <v/>
      </c>
    </row>
    <row r="943" spans="3:3" x14ac:dyDescent="0.35">
      <c r="C943" t="str">
        <f t="shared" si="30"/>
        <v/>
      </c>
    </row>
    <row r="944" spans="3:3" x14ac:dyDescent="0.35">
      <c r="C944" t="str">
        <f t="shared" si="30"/>
        <v/>
      </c>
    </row>
    <row r="945" spans="3:3" x14ac:dyDescent="0.35">
      <c r="C945" t="str">
        <f t="shared" si="30"/>
        <v/>
      </c>
    </row>
    <row r="946" spans="3:3" x14ac:dyDescent="0.35">
      <c r="C946" t="str">
        <f t="shared" si="30"/>
        <v/>
      </c>
    </row>
    <row r="947" spans="3:3" x14ac:dyDescent="0.35">
      <c r="C947" t="str">
        <f t="shared" si="30"/>
        <v/>
      </c>
    </row>
    <row r="948" spans="3:3" x14ac:dyDescent="0.35">
      <c r="C948" t="str">
        <f t="shared" si="30"/>
        <v/>
      </c>
    </row>
    <row r="949" spans="3:3" x14ac:dyDescent="0.35">
      <c r="C949" t="str">
        <f t="shared" si="30"/>
        <v/>
      </c>
    </row>
    <row r="950" spans="3:3" x14ac:dyDescent="0.35">
      <c r="C950" t="str">
        <f t="shared" si="30"/>
        <v/>
      </c>
    </row>
    <row r="951" spans="3:3" x14ac:dyDescent="0.35">
      <c r="C951" t="str">
        <f t="shared" si="30"/>
        <v/>
      </c>
    </row>
    <row r="952" spans="3:3" x14ac:dyDescent="0.35">
      <c r="C952" t="str">
        <f t="shared" si="30"/>
        <v/>
      </c>
    </row>
    <row r="953" spans="3:3" x14ac:dyDescent="0.35">
      <c r="C953" t="str">
        <f t="shared" si="30"/>
        <v/>
      </c>
    </row>
    <row r="954" spans="3:3" x14ac:dyDescent="0.35">
      <c r="C954" t="str">
        <f t="shared" si="30"/>
        <v/>
      </c>
    </row>
    <row r="955" spans="3:3" x14ac:dyDescent="0.35">
      <c r="C955" t="str">
        <f t="shared" si="30"/>
        <v/>
      </c>
    </row>
    <row r="956" spans="3:3" x14ac:dyDescent="0.35">
      <c r="C956" t="str">
        <f t="shared" si="30"/>
        <v/>
      </c>
    </row>
    <row r="957" spans="3:3" x14ac:dyDescent="0.35">
      <c r="C957" t="str">
        <f t="shared" si="30"/>
        <v/>
      </c>
    </row>
    <row r="958" spans="3:3" x14ac:dyDescent="0.35">
      <c r="C958" t="str">
        <f t="shared" si="30"/>
        <v/>
      </c>
    </row>
    <row r="959" spans="3:3" x14ac:dyDescent="0.35">
      <c r="C959" t="str">
        <f t="shared" si="30"/>
        <v/>
      </c>
    </row>
    <row r="960" spans="3:3" x14ac:dyDescent="0.35">
      <c r="C960" t="str">
        <f t="shared" si="30"/>
        <v/>
      </c>
    </row>
    <row r="961" spans="3:3" x14ac:dyDescent="0.35">
      <c r="C961" t="str">
        <f t="shared" si="30"/>
        <v/>
      </c>
    </row>
    <row r="962" spans="3:3" x14ac:dyDescent="0.35">
      <c r="C962" t="str">
        <f t="shared" si="30"/>
        <v/>
      </c>
    </row>
    <row r="963" spans="3:3" x14ac:dyDescent="0.35">
      <c r="C963" t="str">
        <f t="shared" si="30"/>
        <v/>
      </c>
    </row>
    <row r="964" spans="3:3" x14ac:dyDescent="0.35">
      <c r="C964" t="str">
        <f t="shared" si="30"/>
        <v/>
      </c>
    </row>
    <row r="965" spans="3:3" x14ac:dyDescent="0.35">
      <c r="C965" t="str">
        <f t="shared" ref="C965:C1000" si="31">IF(ISBLANK(D965), "",
IF(D965 &lt; $G$9,
    $G$10 + $G$19 * ($G$23 * (D965 - $G$9))^2 + $G$21 * (1 - (D965 - $G$6)/($G$9 - $G$6)),
IF(D965 &gt; $G$13,
    $G$14 + $G$19 * ($G$23 * (D965 - $G$13))^2 - $G$22 * (1 - (D965 - $G$6)/($G$13 - $G$6)),
IF(D965 &lt; $G$6,
    $G$16 * (D965 - $G$6)^2 + $G$5,
    $G$17 * (D965 - $G$6)^2 + $G$5))))</f>
        <v/>
      </c>
    </row>
    <row r="966" spans="3:3" x14ac:dyDescent="0.35">
      <c r="C966" t="str">
        <f t="shared" si="31"/>
        <v/>
      </c>
    </row>
    <row r="967" spans="3:3" x14ac:dyDescent="0.35">
      <c r="C967" t="str">
        <f t="shared" si="31"/>
        <v/>
      </c>
    </row>
    <row r="968" spans="3:3" x14ac:dyDescent="0.35">
      <c r="C968" t="str">
        <f t="shared" si="31"/>
        <v/>
      </c>
    </row>
    <row r="969" spans="3:3" x14ac:dyDescent="0.35">
      <c r="C969" t="str">
        <f t="shared" si="31"/>
        <v/>
      </c>
    </row>
    <row r="970" spans="3:3" x14ac:dyDescent="0.35">
      <c r="C970" t="str">
        <f t="shared" si="31"/>
        <v/>
      </c>
    </row>
    <row r="971" spans="3:3" x14ac:dyDescent="0.35">
      <c r="C971" t="str">
        <f t="shared" si="31"/>
        <v/>
      </c>
    </row>
    <row r="972" spans="3:3" x14ac:dyDescent="0.35">
      <c r="C972" t="str">
        <f t="shared" si="31"/>
        <v/>
      </c>
    </row>
    <row r="973" spans="3:3" x14ac:dyDescent="0.35">
      <c r="C973" t="str">
        <f t="shared" si="31"/>
        <v/>
      </c>
    </row>
    <row r="974" spans="3:3" x14ac:dyDescent="0.35">
      <c r="C974" t="str">
        <f t="shared" si="31"/>
        <v/>
      </c>
    </row>
    <row r="975" spans="3:3" x14ac:dyDescent="0.35">
      <c r="C975" t="str">
        <f t="shared" si="31"/>
        <v/>
      </c>
    </row>
    <row r="976" spans="3:3" x14ac:dyDescent="0.35">
      <c r="C976" t="str">
        <f t="shared" si="31"/>
        <v/>
      </c>
    </row>
    <row r="977" spans="3:3" x14ac:dyDescent="0.35">
      <c r="C977" t="str">
        <f t="shared" si="31"/>
        <v/>
      </c>
    </row>
    <row r="978" spans="3:3" x14ac:dyDescent="0.35">
      <c r="C978" t="str">
        <f t="shared" si="31"/>
        <v/>
      </c>
    </row>
    <row r="979" spans="3:3" x14ac:dyDescent="0.35">
      <c r="C979" t="str">
        <f t="shared" si="31"/>
        <v/>
      </c>
    </row>
    <row r="980" spans="3:3" x14ac:dyDescent="0.35">
      <c r="C980" t="str">
        <f t="shared" si="31"/>
        <v/>
      </c>
    </row>
    <row r="981" spans="3:3" x14ac:dyDescent="0.35">
      <c r="C981" t="str">
        <f t="shared" si="31"/>
        <v/>
      </c>
    </row>
    <row r="982" spans="3:3" x14ac:dyDescent="0.35">
      <c r="C982" t="str">
        <f t="shared" si="31"/>
        <v/>
      </c>
    </row>
    <row r="983" spans="3:3" x14ac:dyDescent="0.35">
      <c r="C983" t="str">
        <f t="shared" si="31"/>
        <v/>
      </c>
    </row>
    <row r="984" spans="3:3" x14ac:dyDescent="0.35">
      <c r="C984" t="str">
        <f t="shared" si="31"/>
        <v/>
      </c>
    </row>
    <row r="985" spans="3:3" x14ac:dyDescent="0.35">
      <c r="C985" t="str">
        <f t="shared" si="31"/>
        <v/>
      </c>
    </row>
    <row r="986" spans="3:3" x14ac:dyDescent="0.35">
      <c r="C986" t="str">
        <f t="shared" si="31"/>
        <v/>
      </c>
    </row>
    <row r="987" spans="3:3" x14ac:dyDescent="0.35">
      <c r="C987" t="str">
        <f t="shared" si="31"/>
        <v/>
      </c>
    </row>
    <row r="988" spans="3:3" x14ac:dyDescent="0.35">
      <c r="C988" t="str">
        <f t="shared" si="31"/>
        <v/>
      </c>
    </row>
    <row r="989" spans="3:3" x14ac:dyDescent="0.35">
      <c r="C989" t="str">
        <f t="shared" si="31"/>
        <v/>
      </c>
    </row>
    <row r="990" spans="3:3" x14ac:dyDescent="0.35">
      <c r="C990" t="str">
        <f t="shared" si="31"/>
        <v/>
      </c>
    </row>
    <row r="991" spans="3:3" x14ac:dyDescent="0.35">
      <c r="C991" t="str">
        <f t="shared" si="31"/>
        <v/>
      </c>
    </row>
    <row r="992" spans="3:3" x14ac:dyDescent="0.35">
      <c r="C992" t="str">
        <f t="shared" si="31"/>
        <v/>
      </c>
    </row>
    <row r="993" spans="3:3" x14ac:dyDescent="0.35">
      <c r="C993" t="str">
        <f t="shared" si="31"/>
        <v/>
      </c>
    </row>
    <row r="994" spans="3:3" x14ac:dyDescent="0.35">
      <c r="C994" t="str">
        <f t="shared" si="31"/>
        <v/>
      </c>
    </row>
    <row r="995" spans="3:3" x14ac:dyDescent="0.35">
      <c r="C995" t="str">
        <f t="shared" si="31"/>
        <v/>
      </c>
    </row>
    <row r="996" spans="3:3" x14ac:dyDescent="0.35">
      <c r="C996" t="str">
        <f t="shared" si="31"/>
        <v/>
      </c>
    </row>
    <row r="997" spans="3:3" x14ac:dyDescent="0.35">
      <c r="C997" t="str">
        <f t="shared" si="31"/>
        <v/>
      </c>
    </row>
    <row r="998" spans="3:3" x14ac:dyDescent="0.35">
      <c r="C998" t="str">
        <f t="shared" si="31"/>
        <v/>
      </c>
    </row>
    <row r="999" spans="3:3" x14ac:dyDescent="0.35">
      <c r="C999" t="str">
        <f t="shared" si="31"/>
        <v/>
      </c>
    </row>
    <row r="1000" spans="3:3" x14ac:dyDescent="0.35">
      <c r="C1000" t="str">
        <f t="shared" si="31"/>
        <v/>
      </c>
    </row>
  </sheetData>
  <pageMargins left="0.7" right="0.7" top="0.75" bottom="0.75" header="0.3" footer="0.3"/>
  <drawing r:id="rId1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B0E7B-D30D-4811-A39F-F2848DCE3EA9}">
  <sheetPr codeName="Sheet37"/>
  <dimension ref="A1:AB43"/>
  <sheetViews>
    <sheetView zoomScale="70" zoomScaleNormal="70" workbookViewId="0"/>
  </sheetViews>
  <sheetFormatPr defaultRowHeight="14.5" x14ac:dyDescent="0.35"/>
  <sheetData>
    <row r="1" spans="1:9" x14ac:dyDescent="0.35">
      <c r="A1" t="s">
        <v>45</v>
      </c>
      <c r="B1" t="s">
        <v>34</v>
      </c>
      <c r="C1" t="s">
        <v>35</v>
      </c>
      <c r="D1" t="s">
        <v>36</v>
      </c>
      <c r="E1" t="s">
        <v>38</v>
      </c>
      <c r="F1" t="s">
        <v>37</v>
      </c>
      <c r="G1" t="s">
        <v>47</v>
      </c>
      <c r="I1" t="s">
        <v>46</v>
      </c>
    </row>
    <row r="2" spans="1:9" x14ac:dyDescent="0.35">
      <c r="A2" s="18">
        <v>3000000</v>
      </c>
      <c r="B2">
        <v>-7.4000000000000003E-3</v>
      </c>
      <c r="C2">
        <v>9.8999999999999991E-3</v>
      </c>
      <c r="D2">
        <v>0.28660000000000002</v>
      </c>
      <c r="E2">
        <v>8.9499999999999996E-3</v>
      </c>
      <c r="F2">
        <v>0.59570000000000001</v>
      </c>
      <c r="G2">
        <v>9.7699999999999992E-3</v>
      </c>
      <c r="I2">
        <v>0.92921657518387979</v>
      </c>
    </row>
    <row r="3" spans="1:9" x14ac:dyDescent="0.35">
      <c r="A3" s="18">
        <v>5000000</v>
      </c>
      <c r="B3">
        <v>-2.8E-3</v>
      </c>
      <c r="C3">
        <v>9.6299999999999997E-3</v>
      </c>
      <c r="D3">
        <v>0.26169999999999999</v>
      </c>
      <c r="E3">
        <v>8.8500000000000002E-3</v>
      </c>
      <c r="F3">
        <v>0.60719999999999996</v>
      </c>
      <c r="G3">
        <v>9.5700000000000004E-3</v>
      </c>
      <c r="I3">
        <v>0.92921657518387979</v>
      </c>
    </row>
    <row r="4" spans="1:9" x14ac:dyDescent="0.35">
      <c r="A4" s="18">
        <v>10000000</v>
      </c>
      <c r="B4">
        <v>-8.9999999999999993E-3</v>
      </c>
      <c r="C4">
        <v>9.2499999999999995E-3</v>
      </c>
      <c r="D4">
        <v>0.2266</v>
      </c>
      <c r="E4">
        <v>8.6E-3</v>
      </c>
      <c r="F4">
        <v>0.60980000000000001</v>
      </c>
      <c r="G4">
        <v>9.1500000000000001E-3</v>
      </c>
      <c r="I4">
        <v>0.92921657518387979</v>
      </c>
    </row>
    <row r="5" spans="1:9" x14ac:dyDescent="0.35">
      <c r="A5" s="18">
        <v>20000000</v>
      </c>
      <c r="B5">
        <v>-4.4000000000000003E-3</v>
      </c>
      <c r="C5">
        <v>8.5299999999999994E-3</v>
      </c>
      <c r="D5">
        <v>0.1895</v>
      </c>
      <c r="E5">
        <v>8.0999999999999996E-3</v>
      </c>
      <c r="F5">
        <v>0.60970000000000002</v>
      </c>
      <c r="G5">
        <v>8.539999999999999E-3</v>
      </c>
      <c r="I5">
        <v>0.92921657518387979</v>
      </c>
    </row>
    <row r="6" spans="1:9" x14ac:dyDescent="0.35">
      <c r="A6" s="18">
        <v>40000000</v>
      </c>
      <c r="B6">
        <v>-2.0000000000000001E-4</v>
      </c>
      <c r="C6">
        <v>7.3600000000000002E-3</v>
      </c>
      <c r="D6">
        <v>0.13919999999999999</v>
      </c>
      <c r="E6">
        <v>7.1000000000000004E-3</v>
      </c>
      <c r="F6">
        <v>0.60719999999999996</v>
      </c>
      <c r="G6">
        <v>7.4800000000000005E-3</v>
      </c>
      <c r="I6">
        <v>0.92921657518387979</v>
      </c>
    </row>
    <row r="7" spans="1:9" x14ac:dyDescent="0.35">
      <c r="A7" s="18">
        <v>60000000</v>
      </c>
      <c r="B7">
        <v>-0.01</v>
      </c>
      <c r="C7">
        <v>6.3700000000000007E-3</v>
      </c>
      <c r="D7">
        <v>0.15340000000000001</v>
      </c>
      <c r="E7">
        <v>6.1000000000000004E-3</v>
      </c>
      <c r="F7">
        <v>0.60029999999999994</v>
      </c>
      <c r="G7">
        <v>6.4400000000000004E-3</v>
      </c>
      <c r="I7">
        <v>0.92921657518387979</v>
      </c>
    </row>
    <row r="8" spans="1:9" x14ac:dyDescent="0.35">
      <c r="A8" s="18"/>
    </row>
    <row r="17" spans="1:26" x14ac:dyDescent="0.35">
      <c r="B17" t="s">
        <v>34</v>
      </c>
      <c r="C17" t="s">
        <v>35</v>
      </c>
      <c r="D17" t="s">
        <v>36</v>
      </c>
      <c r="E17" t="s">
        <v>38</v>
      </c>
      <c r="F17" t="s">
        <v>37</v>
      </c>
      <c r="G17" t="s">
        <v>47</v>
      </c>
      <c r="I17" t="s">
        <v>238</v>
      </c>
    </row>
    <row r="18" spans="1:26" x14ac:dyDescent="0.35">
      <c r="A18" t="s">
        <v>90</v>
      </c>
      <c r="B18" s="18">
        <v>-6.9999999999999997E-18</v>
      </c>
      <c r="C18" s="18">
        <v>3.9999999999999999E-19</v>
      </c>
      <c r="D18" s="18">
        <v>8.0000000000000006E-17</v>
      </c>
      <c r="E18" s="18">
        <v>1.0000000000000001E-32</v>
      </c>
      <c r="F18" s="18">
        <v>-1.0000000000000001E-17</v>
      </c>
      <c r="G18" s="18">
        <v>2E-19</v>
      </c>
      <c r="I18">
        <f>AVERAGE(I2:I12)</f>
        <v>0.92921657518387979</v>
      </c>
    </row>
    <row r="19" spans="1:26" x14ac:dyDescent="0.35">
      <c r="A19" t="s">
        <v>91</v>
      </c>
      <c r="B19" s="18">
        <v>4.0000000000000001E-10</v>
      </c>
      <c r="C19" s="18">
        <v>-7.9999999999999995E-11</v>
      </c>
      <c r="D19" s="18">
        <v>-6.9999999999999998E-9</v>
      </c>
      <c r="E19" s="18">
        <v>-5.0000000000000002E-11</v>
      </c>
      <c r="F19" s="18">
        <v>6.9999999999999996E-10</v>
      </c>
      <c r="G19" s="18">
        <v>-7.0000000000000004E-11</v>
      </c>
    </row>
    <row r="20" spans="1:26" x14ac:dyDescent="0.35">
      <c r="A20" t="s">
        <v>92</v>
      </c>
      <c r="B20">
        <v>-8.6E-3</v>
      </c>
      <c r="C20">
        <v>1.01E-2</v>
      </c>
      <c r="D20">
        <v>0.29980000000000001</v>
      </c>
      <c r="E20">
        <v>9.1000000000000004E-3</v>
      </c>
      <c r="F20">
        <v>0.59989999999999999</v>
      </c>
      <c r="G20">
        <v>9.9000000000000008E-3</v>
      </c>
    </row>
    <row r="29" spans="1:26" x14ac:dyDescent="0.35">
      <c r="W29" t="s">
        <v>45</v>
      </c>
      <c r="X29" t="s">
        <v>274</v>
      </c>
      <c r="Y29" t="s">
        <v>273</v>
      </c>
      <c r="Z29" t="s">
        <v>275</v>
      </c>
    </row>
    <row r="30" spans="1:26" x14ac:dyDescent="0.35">
      <c r="W30" s="18">
        <v>3000000</v>
      </c>
      <c r="X30">
        <v>8.1200000000000005E-3</v>
      </c>
      <c r="Y30">
        <f>W30*'A_CDCL(Re)'!$C$10+'A_CDCL(Re)'!$C$11</f>
        <v>8.9499999999999996E-3</v>
      </c>
      <c r="Z30">
        <f>Y30-X30</f>
        <v>8.2999999999999914E-4</v>
      </c>
    </row>
    <row r="31" spans="1:26" x14ac:dyDescent="0.35">
      <c r="W31" s="18">
        <v>5000000</v>
      </c>
      <c r="X31">
        <v>7.45E-3</v>
      </c>
      <c r="Y31">
        <f>W31*'A_CDCL(Re)'!$C$10+'A_CDCL(Re)'!$C$11</f>
        <v>8.8500000000000002E-3</v>
      </c>
      <c r="Z31">
        <f t="shared" ref="Z31:Z35" si="0">Y31-X31</f>
        <v>1.4000000000000002E-3</v>
      </c>
    </row>
    <row r="32" spans="1:26" x14ac:dyDescent="0.35">
      <c r="W32" s="18">
        <v>10000000</v>
      </c>
      <c r="X32">
        <v>6.6600000000000001E-3</v>
      </c>
      <c r="Y32">
        <f>W32*'A_CDCL(Re)'!$C$10+'A_CDCL(Re)'!$C$11</f>
        <v>8.6E-3</v>
      </c>
      <c r="Z32">
        <f t="shared" si="0"/>
        <v>1.9399999999999999E-3</v>
      </c>
    </row>
    <row r="33" spans="23:28" x14ac:dyDescent="0.35">
      <c r="W33" s="18">
        <v>20000000</v>
      </c>
      <c r="X33">
        <v>5.9800000000000001E-3</v>
      </c>
      <c r="Y33">
        <f>W33*'A_CDCL(Re)'!$C$10+'A_CDCL(Re)'!$C$11</f>
        <v>8.0999999999999996E-3</v>
      </c>
      <c r="Z33">
        <f t="shared" si="0"/>
        <v>2.1199999999999995E-3</v>
      </c>
    </row>
    <row r="34" spans="23:28" x14ac:dyDescent="0.35">
      <c r="W34">
        <v>40000000</v>
      </c>
      <c r="X34">
        <v>5.4000000000000003E-3</v>
      </c>
      <c r="Y34">
        <f>W34*'A_CDCL(Re)'!$C$10+'A_CDCL(Re)'!$C$11</f>
        <v>7.1000000000000004E-3</v>
      </c>
      <c r="Z34">
        <f t="shared" si="0"/>
        <v>1.7000000000000001E-3</v>
      </c>
    </row>
    <row r="35" spans="23:28" x14ac:dyDescent="0.35">
      <c r="W35">
        <v>60000000</v>
      </c>
      <c r="X35">
        <v>5.0899999999999999E-3</v>
      </c>
      <c r="Y35">
        <f>W35*'A_CDCL(Re)'!$C$10+'A_CDCL(Re)'!$C$11</f>
        <v>6.1000000000000004E-3</v>
      </c>
      <c r="Z35">
        <f t="shared" si="0"/>
        <v>1.0100000000000005E-3</v>
      </c>
    </row>
    <row r="37" spans="23:28" x14ac:dyDescent="0.35">
      <c r="W37" s="8" t="s">
        <v>35</v>
      </c>
      <c r="X37" s="7" t="s">
        <v>276</v>
      </c>
      <c r="Y37" s="8" t="s">
        <v>38</v>
      </c>
      <c r="Z37" s="7" t="s">
        <v>277</v>
      </c>
      <c r="AA37" s="8" t="s">
        <v>47</v>
      </c>
      <c r="AB37" s="8" t="s">
        <v>278</v>
      </c>
    </row>
    <row r="38" spans="23:28" x14ac:dyDescent="0.35">
      <c r="W38">
        <v>9.0699999999999999E-3</v>
      </c>
      <c r="X38" s="6">
        <f>W38+Z30</f>
        <v>9.8999999999999991E-3</v>
      </c>
      <c r="Y38">
        <v>8.1200000000000005E-3</v>
      </c>
      <c r="Z38" s="6">
        <f>Y38+Z30</f>
        <v>8.9499999999999996E-3</v>
      </c>
      <c r="AA38">
        <v>8.94E-3</v>
      </c>
      <c r="AB38">
        <f>AA38+Z30</f>
        <v>9.7699999999999992E-3</v>
      </c>
    </row>
    <row r="39" spans="23:28" x14ac:dyDescent="0.35">
      <c r="W39">
        <v>8.2299999999999995E-3</v>
      </c>
      <c r="X39" s="6">
        <f t="shared" ref="X39:X43" si="1">W39+Z31</f>
        <v>9.6299999999999997E-3</v>
      </c>
      <c r="Y39">
        <v>7.45E-3</v>
      </c>
      <c r="Z39" s="6">
        <f t="shared" ref="Z39:Z43" si="2">Y39+Z31</f>
        <v>8.8500000000000002E-3</v>
      </c>
      <c r="AA39">
        <v>8.1700000000000002E-3</v>
      </c>
      <c r="AB39">
        <f t="shared" ref="AB39:AB43" si="3">AA39+Z31</f>
        <v>9.5700000000000004E-3</v>
      </c>
    </row>
    <row r="40" spans="23:28" x14ac:dyDescent="0.35">
      <c r="W40">
        <v>7.3099999999999997E-3</v>
      </c>
      <c r="X40" s="6">
        <f t="shared" si="1"/>
        <v>9.2499999999999995E-3</v>
      </c>
      <c r="Y40">
        <v>6.6600000000000001E-3</v>
      </c>
      <c r="Z40" s="6">
        <f t="shared" si="2"/>
        <v>8.6E-3</v>
      </c>
      <c r="AA40">
        <v>7.2100000000000003E-3</v>
      </c>
      <c r="AB40">
        <f t="shared" si="3"/>
        <v>9.1500000000000001E-3</v>
      </c>
    </row>
    <row r="41" spans="23:28" x14ac:dyDescent="0.35">
      <c r="W41">
        <v>6.4099999999999999E-3</v>
      </c>
      <c r="X41" s="6">
        <f t="shared" si="1"/>
        <v>8.5299999999999994E-3</v>
      </c>
      <c r="Y41">
        <v>5.9800000000000001E-3</v>
      </c>
      <c r="Z41" s="6">
        <f t="shared" si="2"/>
        <v>8.0999999999999996E-3</v>
      </c>
      <c r="AA41">
        <v>6.4200000000000004E-3</v>
      </c>
      <c r="AB41">
        <f t="shared" si="3"/>
        <v>8.539999999999999E-3</v>
      </c>
    </row>
    <row r="42" spans="23:28" x14ac:dyDescent="0.35">
      <c r="W42">
        <v>5.6600000000000001E-3</v>
      </c>
      <c r="X42" s="6">
        <f t="shared" si="1"/>
        <v>7.3600000000000002E-3</v>
      </c>
      <c r="Y42">
        <v>5.4000000000000003E-3</v>
      </c>
      <c r="Z42" s="6">
        <f t="shared" si="2"/>
        <v>7.1000000000000004E-3</v>
      </c>
      <c r="AA42">
        <v>5.7800000000000004E-3</v>
      </c>
      <c r="AB42">
        <f t="shared" si="3"/>
        <v>7.4800000000000005E-3</v>
      </c>
    </row>
    <row r="43" spans="23:28" x14ac:dyDescent="0.35">
      <c r="W43">
        <v>5.3600000000000002E-3</v>
      </c>
      <c r="X43" s="6">
        <f t="shared" si="1"/>
        <v>6.3700000000000007E-3</v>
      </c>
      <c r="Y43">
        <v>5.0899999999999999E-3</v>
      </c>
      <c r="Z43" s="6">
        <f t="shared" si="2"/>
        <v>6.1000000000000004E-3</v>
      </c>
      <c r="AA43">
        <v>5.4299999999999999E-3</v>
      </c>
      <c r="AB43">
        <f t="shared" si="3"/>
        <v>6.4400000000000004E-3</v>
      </c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794B3-429B-400B-831D-EA630CE129E3}">
  <sheetPr codeName="Sheet38"/>
  <dimension ref="A1:I22"/>
  <sheetViews>
    <sheetView workbookViewId="0">
      <selection activeCell="C14" sqref="C14:I14"/>
    </sheetView>
  </sheetViews>
  <sheetFormatPr defaultRowHeight="14.5" x14ac:dyDescent="0.35"/>
  <cols>
    <col min="2" max="2" width="9.90625" bestFit="1" customWidth="1"/>
  </cols>
  <sheetData>
    <row r="1" spans="1:9" x14ac:dyDescent="0.35">
      <c r="A1" t="s">
        <v>236</v>
      </c>
      <c r="B1">
        <v>28</v>
      </c>
    </row>
    <row r="3" spans="1:9" x14ac:dyDescent="0.35">
      <c r="A3" t="s">
        <v>281</v>
      </c>
    </row>
    <row r="5" spans="1:9" x14ac:dyDescent="0.35">
      <c r="B5" t="s">
        <v>233</v>
      </c>
      <c r="C5" s="11">
        <v>0.05</v>
      </c>
      <c r="D5">
        <v>0.1</v>
      </c>
      <c r="E5">
        <v>0.15</v>
      </c>
      <c r="F5">
        <v>0.2</v>
      </c>
      <c r="G5">
        <v>0.25</v>
      </c>
      <c r="H5">
        <v>0.3</v>
      </c>
      <c r="I5">
        <v>0.35</v>
      </c>
    </row>
    <row r="6" spans="1:9" x14ac:dyDescent="0.35">
      <c r="B6" s="7" t="s">
        <v>263</v>
      </c>
      <c r="C6" s="8">
        <v>-89</v>
      </c>
      <c r="D6" s="8">
        <v>-52</v>
      </c>
      <c r="E6" s="8">
        <v>-21</v>
      </c>
      <c r="F6" s="8">
        <v>-9</v>
      </c>
      <c r="G6" s="8">
        <v>-1</v>
      </c>
      <c r="H6" s="8">
        <v>-1</v>
      </c>
      <c r="I6" s="8">
        <v>-1</v>
      </c>
    </row>
    <row r="7" spans="1:9" x14ac:dyDescent="0.35">
      <c r="A7" s="32" t="s">
        <v>282</v>
      </c>
      <c r="B7" s="23" t="s">
        <v>139</v>
      </c>
      <c r="C7" s="22">
        <v>6.19935E-2</v>
      </c>
      <c r="D7" s="22">
        <v>2.1025200000000001E-2</v>
      </c>
      <c r="E7" s="22">
        <v>8.5593000000000006E-3</v>
      </c>
      <c r="F7" s="22">
        <v>5.8501999999999998E-3</v>
      </c>
      <c r="G7" s="22">
        <v>5.0604999999999999E-3</v>
      </c>
      <c r="H7" s="22">
        <v>5.0542E-3</v>
      </c>
      <c r="I7" s="22">
        <v>5.0521000000000003E-3</v>
      </c>
    </row>
    <row r="8" spans="1:9" ht="14.5" customHeight="1" x14ac:dyDescent="0.35">
      <c r="A8" s="33"/>
      <c r="B8" s="6" t="s">
        <v>136</v>
      </c>
      <c r="C8">
        <v>0.22969000000000001</v>
      </c>
      <c r="D8">
        <v>3.175E-2</v>
      </c>
      <c r="E8">
        <v>8.1200000000000005E-3</v>
      </c>
      <c r="F8">
        <v>7.9900000000000006E-3</v>
      </c>
      <c r="G8">
        <v>7.9299999999999995E-3</v>
      </c>
      <c r="H8">
        <v>7.8899999999999994E-3</v>
      </c>
      <c r="I8">
        <v>7.7999999999999996E-3</v>
      </c>
    </row>
    <row r="9" spans="1:9" x14ac:dyDescent="0.35">
      <c r="A9" s="33"/>
      <c r="B9" s="6" t="s">
        <v>252</v>
      </c>
      <c r="C9">
        <v>0.01</v>
      </c>
      <c r="D9">
        <v>0.01</v>
      </c>
      <c r="E9">
        <v>0.01</v>
      </c>
      <c r="F9">
        <v>0.01</v>
      </c>
      <c r="G9">
        <v>0.01</v>
      </c>
      <c r="H9">
        <v>0.01</v>
      </c>
      <c r="I9">
        <v>0.01</v>
      </c>
    </row>
    <row r="10" spans="1:9" x14ac:dyDescent="0.35">
      <c r="A10" s="33"/>
      <c r="B10" s="6" t="s">
        <v>258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</row>
    <row r="11" spans="1:9" x14ac:dyDescent="0.35">
      <c r="A11" s="33"/>
      <c r="B11" s="6" t="s">
        <v>232</v>
      </c>
      <c r="C11">
        <v>0.30085810503039012</v>
      </c>
      <c r="D11">
        <v>6.1949805030390111E-2</v>
      </c>
      <c r="E11">
        <v>2.5853905030390111E-2</v>
      </c>
      <c r="F11">
        <v>2.3014805030390106E-2</v>
      </c>
      <c r="G11">
        <v>2.2165105030390105E-2</v>
      </c>
      <c r="H11">
        <v>2.2118805030390105E-2</v>
      </c>
      <c r="I11">
        <v>2.2026705030390108E-2</v>
      </c>
    </row>
    <row r="12" spans="1:9" x14ac:dyDescent="0.35">
      <c r="A12" s="33"/>
      <c r="B12" s="6" t="s">
        <v>251</v>
      </c>
      <c r="C12">
        <v>0.84521847432606423</v>
      </c>
      <c r="D12">
        <v>4.1047881974393974</v>
      </c>
      <c r="E12">
        <v>9.8356835543222427</v>
      </c>
      <c r="F12">
        <v>11.049010764446473</v>
      </c>
      <c r="G12">
        <v>11.472574940374267</v>
      </c>
      <c r="H12">
        <v>11.496589810029727</v>
      </c>
      <c r="I12">
        <v>11.544660364388303</v>
      </c>
    </row>
    <row r="13" spans="1:9" x14ac:dyDescent="0.35">
      <c r="A13" s="33"/>
      <c r="B13" s="6" t="s">
        <v>143</v>
      </c>
      <c r="C13">
        <v>8.1228882239480257E-2</v>
      </c>
      <c r="D13">
        <v>0.23950605516776149</v>
      </c>
      <c r="E13">
        <v>0.588326464911058</v>
      </c>
      <c r="F13">
        <v>0.86076761668203117</v>
      </c>
      <c r="G13">
        <v>0.99509192987120221</v>
      </c>
      <c r="H13">
        <v>0.99633230008967166</v>
      </c>
      <c r="I13">
        <v>0.99674644427331571</v>
      </c>
    </row>
    <row r="14" spans="1:9" x14ac:dyDescent="0.35">
      <c r="A14" s="34"/>
      <c r="B14" s="8" t="s">
        <v>33</v>
      </c>
      <c r="C14" s="20">
        <v>0.37809999999999999</v>
      </c>
      <c r="D14" s="8">
        <v>0.3634</v>
      </c>
      <c r="E14" s="8">
        <v>0.30609999999999998</v>
      </c>
      <c r="F14" s="8">
        <v>0.28320000000000001</v>
      </c>
      <c r="G14" s="8">
        <v>0.29380000000000001</v>
      </c>
      <c r="H14" s="8">
        <v>0.2878</v>
      </c>
      <c r="I14" s="8">
        <v>0.28339999999999999</v>
      </c>
    </row>
    <row r="15" spans="1:9" x14ac:dyDescent="0.35">
      <c r="A15" s="32" t="s">
        <v>283</v>
      </c>
      <c r="B15" s="22" t="s">
        <v>139</v>
      </c>
      <c r="C15" s="24">
        <v>0.185775</v>
      </c>
      <c r="D15" s="22">
        <v>0.14324480000000001</v>
      </c>
      <c r="E15" s="22">
        <v>0.12665170000000001</v>
      </c>
      <c r="F15" s="22">
        <v>0.1221324</v>
      </c>
      <c r="G15" s="22">
        <v>0.1204233</v>
      </c>
      <c r="H15" s="22">
        <v>0.1204443</v>
      </c>
      <c r="I15" s="22">
        <v>0.1205527</v>
      </c>
    </row>
    <row r="16" spans="1:9" x14ac:dyDescent="0.35">
      <c r="A16" s="33"/>
      <c r="B16" t="s">
        <v>136</v>
      </c>
      <c r="C16" s="11">
        <v>1.0346500000000001</v>
      </c>
      <c r="D16">
        <v>0.86821000000000004</v>
      </c>
      <c r="E16">
        <v>0.85860000000000003</v>
      </c>
      <c r="F16">
        <v>0.86021000000000003</v>
      </c>
      <c r="G16">
        <v>0.86173</v>
      </c>
      <c r="H16">
        <v>0.85589000000000004</v>
      </c>
      <c r="I16">
        <v>0.85390999999999995</v>
      </c>
    </row>
    <row r="17" spans="1:9" x14ac:dyDescent="0.35">
      <c r="A17" s="33"/>
      <c r="B17" t="s">
        <v>252</v>
      </c>
      <c r="C17" s="11">
        <v>0.01</v>
      </c>
      <c r="D17">
        <v>0.01</v>
      </c>
      <c r="E17">
        <v>0.01</v>
      </c>
      <c r="F17">
        <v>0.01</v>
      </c>
      <c r="G17">
        <v>0.01</v>
      </c>
      <c r="H17">
        <v>0.01</v>
      </c>
      <c r="I17">
        <v>0.01</v>
      </c>
    </row>
    <row r="18" spans="1:9" x14ac:dyDescent="0.35">
      <c r="A18" s="33"/>
      <c r="B18" t="s">
        <v>258</v>
      </c>
      <c r="C18" s="11">
        <v>4.0413247848057245E-3</v>
      </c>
      <c r="D18">
        <v>4.0413247848057245E-3</v>
      </c>
      <c r="E18">
        <v>4.0413247848057245E-3</v>
      </c>
      <c r="F18">
        <v>4.0413247848057245E-3</v>
      </c>
      <c r="G18">
        <v>4.0413247848057245E-3</v>
      </c>
      <c r="H18">
        <v>4.0413247848057245E-3</v>
      </c>
      <c r="I18">
        <v>4.0413247848057245E-3</v>
      </c>
    </row>
    <row r="19" spans="1:9" x14ac:dyDescent="0.35">
      <c r="A19" s="33"/>
      <c r="B19" t="s">
        <v>232</v>
      </c>
      <c r="C19" s="11">
        <v>1.2336409298151958</v>
      </c>
      <c r="D19">
        <v>1.0246707298151958</v>
      </c>
      <c r="E19">
        <v>0.99846762981519588</v>
      </c>
      <c r="F19">
        <v>0.99555832981519587</v>
      </c>
      <c r="G19">
        <v>0.99536922981519582</v>
      </c>
      <c r="H19">
        <v>0.9895502298151958</v>
      </c>
      <c r="I19">
        <v>0.98767862981519572</v>
      </c>
    </row>
    <row r="20" spans="1:9" x14ac:dyDescent="0.35">
      <c r="A20" s="33"/>
      <c r="B20" t="s">
        <v>251</v>
      </c>
      <c r="C20" s="11">
        <v>0.97273037153506625</v>
      </c>
      <c r="D20">
        <v>1.1711079130916773</v>
      </c>
      <c r="E20">
        <v>1.2018416663363491</v>
      </c>
      <c r="F20">
        <v>1.2053537839643753</v>
      </c>
      <c r="G20">
        <v>1.205582776778017</v>
      </c>
      <c r="H20">
        <v>1.212672145227137</v>
      </c>
      <c r="I20">
        <v>1.2149700963202288</v>
      </c>
    </row>
    <row r="21" spans="1:9" x14ac:dyDescent="0.35">
      <c r="A21" s="33"/>
      <c r="B21" t="s">
        <v>143</v>
      </c>
      <c r="C21" s="11">
        <v>0.60362950806464577</v>
      </c>
      <c r="D21">
        <v>0.78285055974604001</v>
      </c>
      <c r="E21">
        <v>0.88541465973776545</v>
      </c>
      <c r="F21">
        <v>0.91817791069945032</v>
      </c>
      <c r="G21">
        <v>0.9312090921001962</v>
      </c>
      <c r="H21">
        <v>0.93104673164865048</v>
      </c>
      <c r="I21">
        <v>0.93020954205678974</v>
      </c>
    </row>
    <row r="22" spans="1:9" x14ac:dyDescent="0.35">
      <c r="A22" s="34"/>
      <c r="B22" s="8" t="s">
        <v>33</v>
      </c>
      <c r="C22" s="20">
        <v>1.5874999999999999</v>
      </c>
      <c r="D22" s="8">
        <v>1.4643999999999999</v>
      </c>
      <c r="E22" s="8">
        <v>1.4678</v>
      </c>
      <c r="F22" s="8">
        <v>1.4685999999999999</v>
      </c>
      <c r="G22" s="8">
        <v>1.4697</v>
      </c>
      <c r="H22" s="8">
        <v>1.4234</v>
      </c>
      <c r="I22" s="8">
        <v>1.3931</v>
      </c>
    </row>
  </sheetData>
  <mergeCells count="2">
    <mergeCell ref="A7:A14"/>
    <mergeCell ref="A15:A22"/>
  </mergeCells>
  <conditionalFormatting sqref="C12:K1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2:I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horizontalDpi="1200" verticalDpi="120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D9D75A-0E0E-43AE-BBC7-794BED850192}">
  <sheetPr codeName="Sheet39"/>
  <dimension ref="A1:Q22"/>
  <sheetViews>
    <sheetView workbookViewId="0">
      <selection activeCell="C14" sqref="C14"/>
    </sheetView>
  </sheetViews>
  <sheetFormatPr defaultRowHeight="14.5" x14ac:dyDescent="0.35"/>
  <cols>
    <col min="2" max="2" width="9.90625" bestFit="1" customWidth="1"/>
  </cols>
  <sheetData>
    <row r="1" spans="1:17" x14ac:dyDescent="0.35">
      <c r="A1" t="s">
        <v>236</v>
      </c>
      <c r="B1">
        <v>28</v>
      </c>
    </row>
    <row r="3" spans="1:17" x14ac:dyDescent="0.35">
      <c r="A3" t="s">
        <v>281</v>
      </c>
    </row>
    <row r="5" spans="1:17" x14ac:dyDescent="0.35">
      <c r="B5" t="s">
        <v>233</v>
      </c>
      <c r="C5" s="11">
        <v>0.05</v>
      </c>
      <c r="D5">
        <v>0.1</v>
      </c>
      <c r="E5">
        <v>0.15</v>
      </c>
      <c r="F5">
        <v>0.2</v>
      </c>
      <c r="G5">
        <v>0.25</v>
      </c>
      <c r="H5">
        <v>0.26</v>
      </c>
      <c r="I5">
        <v>0.27</v>
      </c>
      <c r="J5">
        <v>0.28000000000000003</v>
      </c>
      <c r="K5">
        <v>0.28999999999999998</v>
      </c>
      <c r="L5">
        <v>0.3</v>
      </c>
      <c r="M5">
        <v>0.31</v>
      </c>
      <c r="N5">
        <v>0.32</v>
      </c>
      <c r="O5">
        <v>0.33</v>
      </c>
      <c r="P5">
        <v>0.34</v>
      </c>
      <c r="Q5">
        <v>0.35</v>
      </c>
    </row>
    <row r="6" spans="1:17" x14ac:dyDescent="0.35">
      <c r="B6" s="7" t="s">
        <v>263</v>
      </c>
      <c r="C6" s="8">
        <v>-89</v>
      </c>
      <c r="D6" s="8">
        <v>-52</v>
      </c>
      <c r="E6" s="8">
        <v>-21</v>
      </c>
      <c r="F6" s="8">
        <v>-9</v>
      </c>
      <c r="G6" s="8">
        <v>-1</v>
      </c>
      <c r="H6" s="8">
        <v>-1</v>
      </c>
      <c r="I6" s="8">
        <v>-1</v>
      </c>
      <c r="J6" s="8">
        <v>-1</v>
      </c>
      <c r="K6" s="8">
        <v>-1</v>
      </c>
      <c r="L6" s="8">
        <v>-1</v>
      </c>
      <c r="M6" s="8">
        <v>-1</v>
      </c>
      <c r="N6" s="8">
        <v>-1</v>
      </c>
      <c r="O6" s="8">
        <v>-1</v>
      </c>
      <c r="P6" s="8">
        <v>-1</v>
      </c>
      <c r="Q6" s="8">
        <v>-1</v>
      </c>
    </row>
    <row r="7" spans="1:17" x14ac:dyDescent="0.35">
      <c r="A7" s="32" t="s">
        <v>282</v>
      </c>
      <c r="B7" s="23" t="s">
        <v>139</v>
      </c>
      <c r="C7" s="22">
        <v>6.19935E-2</v>
      </c>
      <c r="D7" s="22">
        <v>2.1025200000000001E-2</v>
      </c>
      <c r="E7" s="22">
        <v>8.5593000000000006E-3</v>
      </c>
      <c r="F7" s="22">
        <v>5.8501999999999998E-3</v>
      </c>
      <c r="G7" s="22">
        <v>5.0604999999999999E-3</v>
      </c>
      <c r="H7" s="22">
        <v>5.0587999999999996E-3</v>
      </c>
      <c r="I7" s="22">
        <v>5.0574000000000001E-3</v>
      </c>
      <c r="J7" s="22">
        <v>5.0561E-3</v>
      </c>
      <c r="K7" s="22"/>
      <c r="L7" s="22">
        <v>5.0542E-3</v>
      </c>
      <c r="M7" s="22"/>
      <c r="N7" s="22"/>
      <c r="O7" s="22"/>
      <c r="P7" s="22"/>
      <c r="Q7" s="22">
        <v>5.0521000000000003E-3</v>
      </c>
    </row>
    <row r="8" spans="1:17" ht="14.5" customHeight="1" x14ac:dyDescent="0.35">
      <c r="A8" s="33"/>
      <c r="B8" s="6" t="s">
        <v>136</v>
      </c>
      <c r="C8">
        <v>0.25607000000000002</v>
      </c>
      <c r="D8">
        <v>4.6249999999999999E-2</v>
      </c>
      <c r="E8">
        <v>8.5500000000000003E-3</v>
      </c>
      <c r="F8">
        <v>7.1799999999999998E-3</v>
      </c>
      <c r="G8">
        <v>7.2300000000000003E-3</v>
      </c>
      <c r="H8">
        <v>7.2199999999999999E-3</v>
      </c>
      <c r="I8">
        <v>7.1900000000000002E-3</v>
      </c>
      <c r="J8">
        <v>7.2100000000000003E-3</v>
      </c>
      <c r="L8">
        <v>7.2100000000000003E-3</v>
      </c>
      <c r="Q8">
        <v>7.2399999999999999E-3</v>
      </c>
    </row>
    <row r="9" spans="1:17" x14ac:dyDescent="0.35">
      <c r="A9" s="33"/>
      <c r="B9" s="6" t="s">
        <v>252</v>
      </c>
      <c r="C9">
        <v>0.01</v>
      </c>
      <c r="D9">
        <v>0.01</v>
      </c>
      <c r="E9">
        <v>0.01</v>
      </c>
      <c r="F9">
        <v>0.01</v>
      </c>
      <c r="G9">
        <v>0.01</v>
      </c>
      <c r="H9">
        <v>0.01</v>
      </c>
      <c r="I9">
        <v>0.01</v>
      </c>
      <c r="J9">
        <v>0.01</v>
      </c>
      <c r="L9">
        <v>0.01</v>
      </c>
      <c r="Q9">
        <v>0.01</v>
      </c>
    </row>
    <row r="10" spans="1:17" x14ac:dyDescent="0.35">
      <c r="A10" s="33"/>
      <c r="B10" s="6" t="s">
        <v>258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L10">
        <v>0</v>
      </c>
      <c r="Q10">
        <v>0</v>
      </c>
    </row>
    <row r="11" spans="1:17" x14ac:dyDescent="0.35">
      <c r="A11" s="33"/>
      <c r="B11" s="6" t="s">
        <v>232</v>
      </c>
      <c r="C11">
        <v>0.32723810503039014</v>
      </c>
      <c r="D11">
        <v>7.6449805030390103E-2</v>
      </c>
      <c r="E11">
        <v>2.628390503039011E-2</v>
      </c>
      <c r="F11">
        <v>2.2204805030390108E-2</v>
      </c>
      <c r="G11">
        <v>2.1465105030390105E-2</v>
      </c>
      <c r="H11">
        <v>2.1453405030390109E-2</v>
      </c>
      <c r="I11">
        <v>2.1422005030390108E-2</v>
      </c>
      <c r="J11">
        <v>2.1440705030390108E-2</v>
      </c>
      <c r="L11">
        <v>2.1438805030390105E-2</v>
      </c>
      <c r="Q11">
        <v>2.146670503039011E-2</v>
      </c>
    </row>
    <row r="12" spans="1:17" x14ac:dyDescent="0.35">
      <c r="A12" s="33"/>
      <c r="B12" s="6" t="s">
        <v>251</v>
      </c>
      <c r="C12">
        <v>0.77708196146289721</v>
      </c>
      <c r="D12">
        <v>3.3262456120238917</v>
      </c>
      <c r="E12">
        <v>9.6747735250298508</v>
      </c>
      <c r="F12">
        <v>11.452063108610398</v>
      </c>
      <c r="G12">
        <v>11.846707862011131</v>
      </c>
      <c r="H12">
        <v>11.853168677056068</v>
      </c>
      <c r="I12">
        <v>11.8705428442235</v>
      </c>
      <c r="J12">
        <v>11.860189679489769</v>
      </c>
      <c r="L12">
        <v>11.861240781002149</v>
      </c>
      <c r="Q12">
        <v>11.845824879152213</v>
      </c>
    </row>
    <row r="13" spans="1:17" x14ac:dyDescent="0.35">
      <c r="A13" s="33"/>
      <c r="B13" s="6" t="s">
        <v>143</v>
      </c>
      <c r="C13">
        <v>8.1228882239480257E-2</v>
      </c>
      <c r="D13">
        <v>0.23950605516776149</v>
      </c>
      <c r="E13">
        <v>0.588326464911058</v>
      </c>
      <c r="F13">
        <v>0.86076761668203117</v>
      </c>
      <c r="G13">
        <v>0.99509192987120221</v>
      </c>
      <c r="H13">
        <v>0.99542632859832769</v>
      </c>
      <c r="I13">
        <v>0.99570188458757825</v>
      </c>
      <c r="J13">
        <v>0.99595789464472995</v>
      </c>
      <c r="L13">
        <v>0.99633230008967166</v>
      </c>
      <c r="Q13">
        <v>0.99674644427331571</v>
      </c>
    </row>
    <row r="14" spans="1:17" x14ac:dyDescent="0.35">
      <c r="A14" s="34"/>
      <c r="B14" s="8" t="s">
        <v>33</v>
      </c>
      <c r="C14" s="20">
        <v>0.37809999999999999</v>
      </c>
      <c r="D14" s="8">
        <v>0.3634</v>
      </c>
      <c r="E14" s="8">
        <v>0.30609999999999998</v>
      </c>
      <c r="F14" s="8">
        <v>0.28320000000000001</v>
      </c>
      <c r="G14" s="8">
        <v>0.29380000000000001</v>
      </c>
      <c r="H14" s="8">
        <v>0.29220000000000002</v>
      </c>
      <c r="I14" s="8">
        <v>0.29110000000000003</v>
      </c>
      <c r="J14" s="8">
        <v>0.28989999999999999</v>
      </c>
      <c r="K14" s="8"/>
      <c r="L14" s="8">
        <v>0.2878</v>
      </c>
      <c r="M14" s="8"/>
      <c r="N14" s="8"/>
      <c r="O14" s="8"/>
      <c r="P14" s="8"/>
      <c r="Q14" s="8">
        <v>0.28339999999999999</v>
      </c>
    </row>
    <row r="15" spans="1:17" x14ac:dyDescent="0.35">
      <c r="A15" s="32" t="s">
        <v>283</v>
      </c>
      <c r="B15" s="22" t="s">
        <v>139</v>
      </c>
      <c r="C15" s="24">
        <v>0.185775</v>
      </c>
      <c r="D15" s="22">
        <v>0.14324480000000001</v>
      </c>
      <c r="E15" s="22">
        <v>0.12665170000000001</v>
      </c>
      <c r="F15" s="22">
        <v>0.1221324</v>
      </c>
      <c r="G15" s="22">
        <v>0.1204233</v>
      </c>
      <c r="H15" s="22"/>
      <c r="I15" s="22"/>
      <c r="J15" s="22"/>
      <c r="K15" s="22"/>
      <c r="L15" s="22">
        <v>0.1204443</v>
      </c>
      <c r="M15" s="22"/>
      <c r="N15" s="22"/>
      <c r="O15" s="22"/>
      <c r="P15" s="22"/>
      <c r="Q15" s="22">
        <v>0.1205527</v>
      </c>
    </row>
    <row r="16" spans="1:17" x14ac:dyDescent="0.35">
      <c r="A16" s="33"/>
      <c r="B16" t="s">
        <v>136</v>
      </c>
      <c r="C16" s="11">
        <v>1.0667</v>
      </c>
      <c r="D16">
        <v>0.88724000000000003</v>
      </c>
      <c r="E16">
        <v>0.87717000000000001</v>
      </c>
      <c r="F16">
        <v>0.87639</v>
      </c>
      <c r="G16">
        <v>0.87580999999999998</v>
      </c>
      <c r="L16">
        <v>0.87073999999999996</v>
      </c>
      <c r="Q16">
        <v>0.86738000000000004</v>
      </c>
    </row>
    <row r="17" spans="1:17" x14ac:dyDescent="0.35">
      <c r="A17" s="33"/>
      <c r="B17" t="s">
        <v>252</v>
      </c>
      <c r="C17" s="11">
        <v>0.01</v>
      </c>
      <c r="D17">
        <v>0.01</v>
      </c>
      <c r="E17">
        <v>0.01</v>
      </c>
      <c r="F17">
        <v>0.01</v>
      </c>
      <c r="G17">
        <v>0.01</v>
      </c>
      <c r="L17">
        <v>0.01</v>
      </c>
      <c r="Q17">
        <v>0.01</v>
      </c>
    </row>
    <row r="18" spans="1:17" x14ac:dyDescent="0.35">
      <c r="A18" s="33"/>
      <c r="B18" t="s">
        <v>258</v>
      </c>
      <c r="C18" s="11">
        <v>4.0413247848057245E-3</v>
      </c>
      <c r="D18">
        <v>4.0413247848057245E-3</v>
      </c>
      <c r="E18">
        <v>4.0413247848057245E-3</v>
      </c>
      <c r="F18">
        <v>4.0413247848057245E-3</v>
      </c>
      <c r="G18">
        <v>4.0413247848057245E-3</v>
      </c>
      <c r="L18">
        <v>4.0413247848057245E-3</v>
      </c>
      <c r="Q18">
        <v>4.0413247848057245E-3</v>
      </c>
    </row>
    <row r="19" spans="1:17" x14ac:dyDescent="0.35">
      <c r="A19" s="33"/>
      <c r="B19" t="s">
        <v>232</v>
      </c>
      <c r="C19" s="11">
        <v>1.2656909298151957</v>
      </c>
      <c r="D19">
        <v>1.0437007298151957</v>
      </c>
      <c r="E19">
        <v>1.0170376298151957</v>
      </c>
      <c r="F19">
        <v>1.0117383298151956</v>
      </c>
      <c r="G19">
        <v>1.0094492298151956</v>
      </c>
      <c r="L19">
        <v>1.0044002298151957</v>
      </c>
      <c r="Q19">
        <v>1.0011486298151957</v>
      </c>
    </row>
    <row r="20" spans="1:17" x14ac:dyDescent="0.35">
      <c r="A20" s="33"/>
      <c r="B20" t="s">
        <v>251</v>
      </c>
      <c r="C20" s="11">
        <v>0.94809875913009245</v>
      </c>
      <c r="D20">
        <v>1.1497548729437792</v>
      </c>
      <c r="E20">
        <v>1.1798973458022886</v>
      </c>
      <c r="F20">
        <v>1.1860774319177887</v>
      </c>
      <c r="G20">
        <v>1.1887670667891732</v>
      </c>
      <c r="L20">
        <v>1.1947428568597536</v>
      </c>
      <c r="Q20">
        <v>1.19862322562586</v>
      </c>
    </row>
    <row r="21" spans="1:17" x14ac:dyDescent="0.35">
      <c r="A21" s="33"/>
      <c r="B21" t="s">
        <v>143</v>
      </c>
      <c r="C21" s="11">
        <v>0.60362950806464577</v>
      </c>
      <c r="D21">
        <v>0.78285055974604001</v>
      </c>
      <c r="E21">
        <v>0.88541465973776545</v>
      </c>
      <c r="F21">
        <v>0.91817791069945032</v>
      </c>
      <c r="G21">
        <v>0.9312090921001962</v>
      </c>
      <c r="L21">
        <v>0.93104673164865048</v>
      </c>
      <c r="Q21">
        <v>0.93020954205678974</v>
      </c>
    </row>
    <row r="22" spans="1:17" x14ac:dyDescent="0.35">
      <c r="A22" s="34"/>
      <c r="B22" s="8" t="s">
        <v>33</v>
      </c>
      <c r="C22" s="20">
        <v>1.5874999999999999</v>
      </c>
      <c r="D22" s="8">
        <v>1.4643999999999999</v>
      </c>
      <c r="E22" s="8">
        <v>1.4678</v>
      </c>
      <c r="F22" s="8">
        <v>1.4685999999999999</v>
      </c>
      <c r="G22" s="8">
        <v>1.4697</v>
      </c>
      <c r="H22" s="8"/>
      <c r="I22" s="8"/>
      <c r="J22" s="8"/>
      <c r="K22" s="8"/>
      <c r="L22" s="8">
        <v>1.4234</v>
      </c>
      <c r="M22" s="8"/>
      <c r="N22" s="8"/>
      <c r="O22" s="8"/>
      <c r="P22" s="8"/>
      <c r="Q22" s="8">
        <v>1.3931</v>
      </c>
    </row>
  </sheetData>
  <mergeCells count="2">
    <mergeCell ref="A7:A14"/>
    <mergeCell ref="A15:A22"/>
  </mergeCells>
  <conditionalFormatting sqref="C12:S1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2:Q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horizontalDpi="1200" verticalDpi="120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93834-FA67-45C3-9745-47DC1C0FAA6D}">
  <sheetPr codeName="Sheet41"/>
  <dimension ref="A1:H14"/>
  <sheetViews>
    <sheetView workbookViewId="0">
      <selection activeCell="F6" sqref="F6:F14"/>
    </sheetView>
  </sheetViews>
  <sheetFormatPr defaultRowHeight="14.5" x14ac:dyDescent="0.35"/>
  <cols>
    <col min="2" max="2" width="9.90625" bestFit="1" customWidth="1"/>
  </cols>
  <sheetData>
    <row r="1" spans="1:8" x14ac:dyDescent="0.35">
      <c r="A1" t="s">
        <v>236</v>
      </c>
      <c r="B1">
        <v>28</v>
      </c>
    </row>
    <row r="2" spans="1:8" x14ac:dyDescent="0.35">
      <c r="A2" t="s">
        <v>233</v>
      </c>
      <c r="B2">
        <v>0.27</v>
      </c>
    </row>
    <row r="4" spans="1:8" x14ac:dyDescent="0.35">
      <c r="A4" t="s">
        <v>262</v>
      </c>
    </row>
    <row r="6" spans="1:8" x14ac:dyDescent="0.35">
      <c r="B6" s="7" t="s">
        <v>263</v>
      </c>
      <c r="C6" s="8">
        <v>-1</v>
      </c>
      <c r="D6" s="8">
        <v>-0.8</v>
      </c>
      <c r="E6" s="8">
        <v>-0.6</v>
      </c>
      <c r="F6" s="8">
        <v>-0.4</v>
      </c>
      <c r="G6" s="8">
        <v>-0.2</v>
      </c>
      <c r="H6" s="8">
        <v>0</v>
      </c>
    </row>
    <row r="7" spans="1:8" x14ac:dyDescent="0.35">
      <c r="A7" s="32" t="s">
        <v>282</v>
      </c>
      <c r="B7" s="23" t="s">
        <v>139</v>
      </c>
      <c r="C7" s="22">
        <v>5.0574000000000001E-3</v>
      </c>
      <c r="D7" s="22">
        <v>5.0549999999999996E-3</v>
      </c>
      <c r="E7" s="22">
        <v>5.0534999999999998E-3</v>
      </c>
      <c r="F7" s="22">
        <v>5.0528999999999999E-3</v>
      </c>
      <c r="G7" s="22">
        <v>5.0531999999999999E-3</v>
      </c>
      <c r="H7" s="22">
        <v>5.0545E-3</v>
      </c>
    </row>
    <row r="8" spans="1:8" ht="14.5" customHeight="1" x14ac:dyDescent="0.35">
      <c r="A8" s="33"/>
      <c r="B8" s="6" t="s">
        <v>136</v>
      </c>
      <c r="C8">
        <v>7.1900000000000002E-3</v>
      </c>
      <c r="D8">
        <v>7.1900000000000002E-3</v>
      </c>
      <c r="E8">
        <v>7.1900000000000002E-3</v>
      </c>
      <c r="F8">
        <v>7.1900000000000002E-3</v>
      </c>
      <c r="G8">
        <v>7.1900000000000002E-3</v>
      </c>
      <c r="H8">
        <v>7.1900000000000002E-3</v>
      </c>
    </row>
    <row r="9" spans="1:8" x14ac:dyDescent="0.35">
      <c r="A9" s="33"/>
      <c r="B9" s="6" t="s">
        <v>252</v>
      </c>
      <c r="C9">
        <v>0.01</v>
      </c>
      <c r="D9">
        <v>0.01</v>
      </c>
      <c r="E9">
        <v>0.01</v>
      </c>
      <c r="F9">
        <v>0.01</v>
      </c>
      <c r="G9">
        <v>0.01</v>
      </c>
      <c r="H9">
        <v>0.01</v>
      </c>
    </row>
    <row r="10" spans="1:8" x14ac:dyDescent="0.35">
      <c r="A10" s="33"/>
      <c r="B10" s="6" t="s">
        <v>258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</row>
    <row r="11" spans="1:8" x14ac:dyDescent="0.35">
      <c r="A11" s="33"/>
      <c r="B11" s="6" t="s">
        <v>232</v>
      </c>
      <c r="C11">
        <v>2.1422005030390108E-2</v>
      </c>
      <c r="D11">
        <v>2.1419605030390108E-2</v>
      </c>
      <c r="E11">
        <v>2.1418105030390107E-2</v>
      </c>
      <c r="F11">
        <v>2.141750503039011E-2</v>
      </c>
      <c r="G11">
        <v>2.1417805030390105E-2</v>
      </c>
      <c r="H11">
        <v>2.1419105030390108E-2</v>
      </c>
    </row>
    <row r="12" spans="1:8" x14ac:dyDescent="0.35">
      <c r="A12" s="33"/>
      <c r="B12" s="6" t="s">
        <v>251</v>
      </c>
      <c r="C12">
        <v>11.8705428442235</v>
      </c>
      <c r="D12">
        <v>11.871872901560492</v>
      </c>
      <c r="E12">
        <v>11.872704338764068</v>
      </c>
      <c r="F12">
        <v>11.873036946254675</v>
      </c>
      <c r="G12">
        <v>11.872870640179951</v>
      </c>
      <c r="H12">
        <v>11.872150034355833</v>
      </c>
    </row>
    <row r="13" spans="1:8" x14ac:dyDescent="0.35">
      <c r="A13" s="33"/>
      <c r="B13" s="6" t="s">
        <v>143</v>
      </c>
      <c r="C13">
        <v>0.99570188458757825</v>
      </c>
      <c r="D13">
        <v>0.99617462138738255</v>
      </c>
      <c r="E13">
        <v>0.99647030990664265</v>
      </c>
      <c r="F13">
        <v>0.99658863446995172</v>
      </c>
      <c r="G13">
        <v>0.99652946867593195</v>
      </c>
      <c r="H13">
        <v>0.99627316472711824</v>
      </c>
    </row>
    <row r="14" spans="1:8" x14ac:dyDescent="0.35">
      <c r="A14" s="34"/>
      <c r="B14" s="8" t="s">
        <v>33</v>
      </c>
      <c r="C14" s="20">
        <v>0.29110000000000003</v>
      </c>
      <c r="D14" s="8">
        <v>0.29239999999999999</v>
      </c>
      <c r="E14" s="8">
        <v>0.29409999999999997</v>
      </c>
      <c r="F14" s="8">
        <v>0.29609999999999997</v>
      </c>
      <c r="G14" s="8">
        <v>0.29809999999999998</v>
      </c>
      <c r="H14" s="8">
        <v>0.30009999999999998</v>
      </c>
    </row>
  </sheetData>
  <mergeCells count="1">
    <mergeCell ref="A7:A14"/>
  </mergeCells>
  <conditionalFormatting sqref="C12:Z1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5A2C8A-698F-4316-99C0-D8B20661C806}">
  <dimension ref="A1:D41"/>
  <sheetViews>
    <sheetView workbookViewId="0">
      <selection activeCell="C24" sqref="C24"/>
    </sheetView>
  </sheetViews>
  <sheetFormatPr defaultRowHeight="14.5" x14ac:dyDescent="0.35"/>
  <cols>
    <col min="1" max="2" width="12.453125" bestFit="1" customWidth="1"/>
    <col min="3" max="3" width="11.81640625" bestFit="1" customWidth="1"/>
    <col min="4" max="4" width="12.453125" bestFit="1" customWidth="1"/>
  </cols>
  <sheetData>
    <row r="1" spans="1:4" x14ac:dyDescent="0.35">
      <c r="A1" t="s">
        <v>0</v>
      </c>
      <c r="B1" t="s">
        <v>1</v>
      </c>
      <c r="C1" t="s">
        <v>2</v>
      </c>
      <c r="D1" t="s">
        <v>342</v>
      </c>
    </row>
    <row r="2" spans="1:4" x14ac:dyDescent="0.35">
      <c r="A2">
        <v>-3</v>
      </c>
      <c r="B2">
        <v>-0.43144226308594874</v>
      </c>
      <c r="C2">
        <v>2.0762626491451074E-2</v>
      </c>
      <c r="D2">
        <v>-4.3673197945410268E-2</v>
      </c>
    </row>
    <row r="3" spans="1:4" x14ac:dyDescent="0.35">
      <c r="A3">
        <v>-2.8461538461538463</v>
      </c>
      <c r="B3">
        <v>-0.58922300842456532</v>
      </c>
      <c r="C3">
        <v>2.6731069783210458E-2</v>
      </c>
      <c r="D3">
        <v>1.8239105477614627E-2</v>
      </c>
    </row>
    <row r="4" spans="1:4" x14ac:dyDescent="0.35">
      <c r="A4">
        <v>-2.6923076923076925</v>
      </c>
      <c r="B4">
        <v>-0.56427096362307461</v>
      </c>
      <c r="C4">
        <v>2.3260958694217227E-2</v>
      </c>
      <c r="D4">
        <v>1.3031466384860654E-2</v>
      </c>
    </row>
    <row r="5" spans="1:4" x14ac:dyDescent="0.35">
      <c r="A5">
        <v>-2.5384615384615383</v>
      </c>
      <c r="B5">
        <v>-0.52433190992430678</v>
      </c>
      <c r="C5">
        <v>1.905273924792774E-2</v>
      </c>
      <c r="D5">
        <v>2.6375811470650038E-3</v>
      </c>
    </row>
    <row r="6" spans="1:4" x14ac:dyDescent="0.35">
      <c r="A6">
        <v>-2.3846153846153846</v>
      </c>
      <c r="B6">
        <v>-0.47928438417741526</v>
      </c>
      <c r="C6">
        <v>1.5102744564496237E-2</v>
      </c>
      <c r="D6">
        <v>-8.8972287952289869E-3</v>
      </c>
    </row>
    <row r="7" spans="1:4" x14ac:dyDescent="0.35">
      <c r="A7">
        <v>-2.2307692307692308</v>
      </c>
      <c r="B7">
        <v>-0.40969719286116341</v>
      </c>
      <c r="C7">
        <v>1.1359388654780304E-2</v>
      </c>
      <c r="D7">
        <v>-2.335548420036573E-2</v>
      </c>
    </row>
    <row r="8" spans="1:4" x14ac:dyDescent="0.35">
      <c r="A8">
        <v>-2.0769230769230766</v>
      </c>
      <c r="B8">
        <v>-0.35267298820868725</v>
      </c>
      <c r="C8">
        <v>1.0442078186554869E-2</v>
      </c>
      <c r="D8">
        <v>-2.7136095154784861E-2</v>
      </c>
    </row>
    <row r="9" spans="1:4" x14ac:dyDescent="0.35">
      <c r="A9">
        <v>-1.9230769230769229</v>
      </c>
      <c r="B9">
        <v>-0.33917479943798506</v>
      </c>
      <c r="C9">
        <v>9.0081445615526196E-3</v>
      </c>
      <c r="D9">
        <v>-3.0042331172385833E-2</v>
      </c>
    </row>
    <row r="10" spans="1:4" x14ac:dyDescent="0.35">
      <c r="A10">
        <v>-1.7692307692307692</v>
      </c>
      <c r="B10">
        <v>-0.25730083567386902</v>
      </c>
      <c r="C10">
        <v>9.9585825554046915E-3</v>
      </c>
      <c r="D10">
        <v>-2.5697651940130482E-2</v>
      </c>
    </row>
    <row r="11" spans="1:4" x14ac:dyDescent="0.35">
      <c r="A11">
        <v>-1.6153846153846154</v>
      </c>
      <c r="B11">
        <v>-0.21565355359848665</v>
      </c>
      <c r="C11">
        <v>8.8252393976860789E-3</v>
      </c>
      <c r="D11">
        <v>-2.9732361977470787E-2</v>
      </c>
    </row>
    <row r="12" spans="1:4" x14ac:dyDescent="0.35">
      <c r="A12">
        <v>-1.4615384615384615</v>
      </c>
      <c r="B12">
        <v>-0.17526853132933995</v>
      </c>
      <c r="C12">
        <v>7.972605116331067E-3</v>
      </c>
      <c r="D12">
        <v>-3.3564038999701416E-2</v>
      </c>
    </row>
    <row r="13" spans="1:4" x14ac:dyDescent="0.35">
      <c r="A13">
        <v>-1.3076923076923075</v>
      </c>
      <c r="B13">
        <v>-0.13551084580648445</v>
      </c>
      <c r="C13">
        <v>7.3836390638719494E-3</v>
      </c>
      <c r="D13">
        <v>-3.7048033482889244E-2</v>
      </c>
    </row>
    <row r="14" spans="1:4" x14ac:dyDescent="0.35">
      <c r="A14">
        <v>-1.1538461538461537</v>
      </c>
      <c r="B14">
        <v>-9.7860912382717866E-2</v>
      </c>
      <c r="C14">
        <v>6.9281899313163274E-3</v>
      </c>
      <c r="D14">
        <v>-4.0198908285218014E-2</v>
      </c>
    </row>
    <row r="15" spans="1:4" x14ac:dyDescent="0.35">
      <c r="A15">
        <v>-1</v>
      </c>
      <c r="B15">
        <v>-7.1653994179530445E-2</v>
      </c>
      <c r="C15">
        <v>6.6701551426987908E-3</v>
      </c>
      <c r="D15">
        <v>-4.281207889683001E-2</v>
      </c>
    </row>
    <row r="16" spans="1:4" x14ac:dyDescent="0.35">
      <c r="A16">
        <v>-0.84615384615384581</v>
      </c>
      <c r="B16">
        <v>-4.3341748871891642E-2</v>
      </c>
      <c r="C16">
        <v>6.5268971731127015E-3</v>
      </c>
      <c r="D16">
        <v>-4.5344250418544146E-2</v>
      </c>
    </row>
    <row r="17" spans="1:4" x14ac:dyDescent="0.35">
      <c r="A17">
        <v>-0.69230769230769207</v>
      </c>
      <c r="B17">
        <v>1.9754028165769075E-2</v>
      </c>
      <c r="C17">
        <v>6.5555805851805924E-3</v>
      </c>
      <c r="D17">
        <v>-4.9630504428660779E-2</v>
      </c>
    </row>
    <row r="18" spans="1:4" x14ac:dyDescent="0.35">
      <c r="A18">
        <v>-0.53846153846153832</v>
      </c>
      <c r="B18">
        <v>5.7143342476516784E-2</v>
      </c>
      <c r="C18">
        <v>6.5829098600688864E-3</v>
      </c>
      <c r="D18">
        <v>-5.2263388380061226E-2</v>
      </c>
    </row>
    <row r="19" spans="1:4" x14ac:dyDescent="0.35">
      <c r="A19">
        <v>-0.38461538461538458</v>
      </c>
      <c r="B19">
        <v>9.4095583116752798E-2</v>
      </c>
      <c r="C19">
        <v>6.6509869745660158E-3</v>
      </c>
      <c r="D19">
        <v>-5.4762183804841068E-2</v>
      </c>
    </row>
    <row r="20" spans="1:4" x14ac:dyDescent="0.35">
      <c r="A20">
        <v>-0.23076923076923084</v>
      </c>
      <c r="B20">
        <v>0.13073787698698214</v>
      </c>
      <c r="C20">
        <v>6.7426710283406046E-3</v>
      </c>
      <c r="D20">
        <v>-5.7141965699680317E-2</v>
      </c>
    </row>
    <row r="21" spans="1:4" x14ac:dyDescent="0.35">
      <c r="A21">
        <v>-7.692307692307665E-2</v>
      </c>
      <c r="B21">
        <v>0.16706677485444543</v>
      </c>
      <c r="C21">
        <v>6.8536416321900639E-3</v>
      </c>
      <c r="D21">
        <v>-5.9349507784447697E-2</v>
      </c>
    </row>
    <row r="22" spans="1:4" x14ac:dyDescent="0.35">
      <c r="A22">
        <v>7.6923076923077094E-2</v>
      </c>
      <c r="B22">
        <v>0.20307424174172303</v>
      </c>
      <c r="C22">
        <v>6.9801697013243307E-3</v>
      </c>
      <c r="D22">
        <v>-6.1325878568881394E-2</v>
      </c>
    </row>
    <row r="23" spans="1:4" x14ac:dyDescent="0.35">
      <c r="A23">
        <v>0.23076923076923084</v>
      </c>
      <c r="B23">
        <v>0.23880998984116422</v>
      </c>
      <c r="C23">
        <v>7.117210584767792E-3</v>
      </c>
      <c r="D23">
        <v>-6.3025548193745937E-2</v>
      </c>
    </row>
    <row r="24" spans="1:4" x14ac:dyDescent="0.35">
      <c r="A24">
        <v>0.38461538461538503</v>
      </c>
      <c r="B24">
        <v>0.27429806298704251</v>
      </c>
      <c r="C24">
        <v>7.2659379060358055E-3</v>
      </c>
      <c r="D24">
        <v>-6.4401804093141099E-2</v>
      </c>
    </row>
    <row r="25" spans="1:4" x14ac:dyDescent="0.35">
      <c r="A25">
        <v>0.53846153846153877</v>
      </c>
      <c r="B25">
        <v>0.30972468750384707</v>
      </c>
      <c r="C25">
        <v>7.4310495748494583E-3</v>
      </c>
      <c r="D25">
        <v>-6.5378400436983022E-2</v>
      </c>
    </row>
    <row r="26" spans="1:4" x14ac:dyDescent="0.35">
      <c r="A26">
        <v>0.69230769230769251</v>
      </c>
      <c r="B26">
        <v>0.34578666477345982</v>
      </c>
      <c r="C26">
        <v>7.6180228072061981E-3</v>
      </c>
      <c r="D26">
        <v>-6.6111188288632855E-2</v>
      </c>
    </row>
    <row r="27" spans="1:4" x14ac:dyDescent="0.35">
      <c r="A27">
        <v>0.84615384615384626</v>
      </c>
      <c r="B27">
        <v>0.38397319471285918</v>
      </c>
      <c r="C27">
        <v>7.8517765427252376E-3</v>
      </c>
      <c r="D27">
        <v>-6.6387325405793368E-2</v>
      </c>
    </row>
    <row r="28" spans="1:4" x14ac:dyDescent="0.35">
      <c r="A28">
        <v>1</v>
      </c>
      <c r="B28">
        <v>0.4055028801290273</v>
      </c>
      <c r="C28">
        <v>8.5795287022982607E-3</v>
      </c>
      <c r="D28">
        <v>-6.7149429474943026E-2</v>
      </c>
    </row>
    <row r="29" spans="1:4" x14ac:dyDescent="0.35">
      <c r="A29">
        <v>1.1538461538461542</v>
      </c>
      <c r="B29">
        <v>0.42140448753238241</v>
      </c>
      <c r="C29">
        <v>9.4588273047107093E-3</v>
      </c>
      <c r="D29">
        <v>-6.8727043658292006E-2</v>
      </c>
    </row>
    <row r="30" spans="1:4" x14ac:dyDescent="0.35">
      <c r="A30">
        <v>1.3076923076923084</v>
      </c>
      <c r="B30">
        <v>0.52887392418128387</v>
      </c>
      <c r="C30">
        <v>8.2857099344917431E-3</v>
      </c>
      <c r="D30">
        <v>-6.3019964516142585E-2</v>
      </c>
    </row>
    <row r="31" spans="1:4" x14ac:dyDescent="0.35">
      <c r="A31">
        <v>1.4615384615384617</v>
      </c>
      <c r="B31">
        <v>0.55832389508419411</v>
      </c>
      <c r="C31">
        <v>1.0000916953434979E-2</v>
      </c>
      <c r="D31">
        <v>-6.7340780720138771E-2</v>
      </c>
    </row>
    <row r="32" spans="1:4" x14ac:dyDescent="0.35">
      <c r="A32">
        <v>1.6153846153846159</v>
      </c>
      <c r="B32">
        <v>0.66970132936809146</v>
      </c>
      <c r="C32">
        <v>1.4480852393229483E-2</v>
      </c>
      <c r="D32">
        <v>-9.9396803045687168E-2</v>
      </c>
    </row>
    <row r="33" spans="1:4" x14ac:dyDescent="0.35">
      <c r="A33">
        <v>1.7692307692307692</v>
      </c>
      <c r="B33">
        <v>0.70104329287290401</v>
      </c>
      <c r="C33">
        <v>1.7956901088619311E-2</v>
      </c>
      <c r="D33">
        <v>-0.10686493044484262</v>
      </c>
    </row>
    <row r="34" spans="1:4" x14ac:dyDescent="0.35">
      <c r="A34">
        <v>1.9230769230769234</v>
      </c>
      <c r="B34">
        <v>0.72406825465833302</v>
      </c>
      <c r="C34">
        <v>2.1171446457157524E-2</v>
      </c>
      <c r="D34">
        <v>-0.11114249978642747</v>
      </c>
    </row>
    <row r="35" spans="1:4" x14ac:dyDescent="0.35">
      <c r="A35">
        <v>2.0769230769230775</v>
      </c>
      <c r="B35">
        <v>0.74296026523397884</v>
      </c>
      <c r="C35">
        <v>2.4252323296670767E-2</v>
      </c>
      <c r="D35">
        <v>-0.11384997796771559</v>
      </c>
    </row>
    <row r="36" spans="1:4" x14ac:dyDescent="0.35">
      <c r="A36">
        <v>2.2307692307692308</v>
      </c>
      <c r="B36">
        <v>0.75955406545833382</v>
      </c>
      <c r="C36">
        <v>2.7286932193483639E-2</v>
      </c>
      <c r="D36">
        <v>-0.11572477282218273</v>
      </c>
    </row>
    <row r="37" spans="1:4" x14ac:dyDescent="0.35">
      <c r="A37">
        <v>2.384615384615385</v>
      </c>
      <c r="B37">
        <v>0.77474184081758102</v>
      </c>
      <c r="C37">
        <v>3.0321477107374342E-2</v>
      </c>
      <c r="D37">
        <v>-0.11713278513201805</v>
      </c>
    </row>
    <row r="38" spans="1:4" x14ac:dyDescent="0.35">
      <c r="A38">
        <v>2.5384615384615383</v>
      </c>
      <c r="B38">
        <v>0.78904098182580407</v>
      </c>
      <c r="C38">
        <v>3.3376865509442653E-2</v>
      </c>
      <c r="D38">
        <v>-0.11828103048621676</v>
      </c>
    </row>
    <row r="39" spans="1:4" x14ac:dyDescent="0.35">
      <c r="A39">
        <v>2.6923076923076925</v>
      </c>
      <c r="B39">
        <v>0.80267343866219987</v>
      </c>
      <c r="C39">
        <v>3.6465741113041482E-2</v>
      </c>
      <c r="D39">
        <v>-0.11925351513330791</v>
      </c>
    </row>
    <row r="40" spans="1:4" x14ac:dyDescent="0.35">
      <c r="A40">
        <v>2.8461538461538467</v>
      </c>
      <c r="B40">
        <v>0.81584453603978579</v>
      </c>
      <c r="C40">
        <v>3.9597974905372917E-2</v>
      </c>
      <c r="D40">
        <v>-0.12012678172568467</v>
      </c>
    </row>
    <row r="41" spans="1:4" x14ac:dyDescent="0.35">
      <c r="A41">
        <v>3</v>
      </c>
      <c r="B41">
        <v>0.82869219788493276</v>
      </c>
      <c r="C41">
        <v>4.2779487482111266E-2</v>
      </c>
      <c r="D41">
        <v>-0.12096024912731877</v>
      </c>
    </row>
  </sheetData>
  <pageMargins left="0.7" right="0.7" top="0.75" bottom="0.75" header="0.3" footer="0.3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F6601-D314-4E78-A3EE-F318A636B435}">
  <dimension ref="A1:D41"/>
  <sheetViews>
    <sheetView workbookViewId="0"/>
  </sheetViews>
  <sheetFormatPr defaultRowHeight="14.5" x14ac:dyDescent="0.35"/>
  <cols>
    <col min="1" max="2" width="12.453125" bestFit="1" customWidth="1"/>
    <col min="3" max="3" width="11.81640625" bestFit="1" customWidth="1"/>
    <col min="4" max="4" width="12.453125" bestFit="1" customWidth="1"/>
  </cols>
  <sheetData>
    <row r="1" spans="1:4" x14ac:dyDescent="0.35">
      <c r="A1" t="s">
        <v>0</v>
      </c>
      <c r="B1" t="s">
        <v>1</v>
      </c>
      <c r="C1" t="s">
        <v>2</v>
      </c>
      <c r="D1" t="s">
        <v>342</v>
      </c>
    </row>
    <row r="2" spans="1:4" x14ac:dyDescent="0.35">
      <c r="A2">
        <v>-3</v>
      </c>
      <c r="B2">
        <v>-0.42083021423201933</v>
      </c>
      <c r="C2">
        <v>2.0322108750800306E-2</v>
      </c>
      <c r="D2">
        <v>-4.7580011961552329E-2</v>
      </c>
    </row>
    <row r="3" spans="1:4" x14ac:dyDescent="0.35">
      <c r="A3">
        <v>-2.8461538461538463</v>
      </c>
      <c r="B3">
        <v>-0.58782297806736072</v>
      </c>
      <c r="C3">
        <v>2.6711633114024632E-2</v>
      </c>
      <c r="D3">
        <v>1.7770433352965031E-2</v>
      </c>
    </row>
    <row r="4" spans="1:4" x14ac:dyDescent="0.35">
      <c r="A4">
        <v>-2.6923076923076925</v>
      </c>
      <c r="B4">
        <v>-0.56306919464117644</v>
      </c>
      <c r="C4">
        <v>2.3265118548082182E-2</v>
      </c>
      <c r="D4">
        <v>1.2663573483897328E-2</v>
      </c>
    </row>
    <row r="5" spans="1:4" x14ac:dyDescent="0.35">
      <c r="A5">
        <v>-2.5384615384615383</v>
      </c>
      <c r="B5">
        <v>-0.52375470803470281</v>
      </c>
      <c r="C5">
        <v>1.910797475440057E-2</v>
      </c>
      <c r="D5">
        <v>2.5268175358210574E-3</v>
      </c>
    </row>
    <row r="6" spans="1:4" x14ac:dyDescent="0.35">
      <c r="A6">
        <v>-2.3846153846153846</v>
      </c>
      <c r="B6">
        <v>-0.47656139537137532</v>
      </c>
      <c r="C6">
        <v>1.5042763332689392E-2</v>
      </c>
      <c r="D6">
        <v>-9.4603483330727121E-3</v>
      </c>
    </row>
    <row r="7" spans="1:4" x14ac:dyDescent="0.35">
      <c r="A7">
        <v>-2.2307692307692308</v>
      </c>
      <c r="B7">
        <v>-0.40510097821518182</v>
      </c>
      <c r="C7">
        <v>1.1401205154528372E-2</v>
      </c>
      <c r="D7">
        <v>-2.3929202148627652E-2</v>
      </c>
    </row>
    <row r="8" spans="1:4" x14ac:dyDescent="0.35">
      <c r="A8">
        <v>-2.0769230769230766</v>
      </c>
      <c r="B8">
        <v>-0.3542779474055231</v>
      </c>
      <c r="C8">
        <v>1.0361847812406634E-2</v>
      </c>
      <c r="D8">
        <v>-2.7442940634643163E-2</v>
      </c>
    </row>
    <row r="9" spans="1:4" x14ac:dyDescent="0.35">
      <c r="A9">
        <v>-1.9230769230769229</v>
      </c>
      <c r="B9">
        <v>-0.33881433551330647</v>
      </c>
      <c r="C9">
        <v>8.933018611031145E-3</v>
      </c>
      <c r="D9">
        <v>-3.0117749717291632E-2</v>
      </c>
    </row>
    <row r="10" spans="1:4" x14ac:dyDescent="0.35">
      <c r="A10">
        <v>-1.7692307692307692</v>
      </c>
      <c r="B10">
        <v>-0.25811757228139848</v>
      </c>
      <c r="C10">
        <v>1.0069947877170683E-2</v>
      </c>
      <c r="D10">
        <v>-2.5390157615278464E-2</v>
      </c>
    </row>
    <row r="11" spans="1:4" x14ac:dyDescent="0.35">
      <c r="A11">
        <v>-1.6153846153846154</v>
      </c>
      <c r="B11">
        <v>-0.21653509774393276</v>
      </c>
      <c r="C11">
        <v>8.9329447770615557E-3</v>
      </c>
      <c r="D11">
        <v>-2.9409270085662038E-2</v>
      </c>
    </row>
    <row r="12" spans="1:4" x14ac:dyDescent="0.35">
      <c r="A12">
        <v>-1.4615384615384615</v>
      </c>
      <c r="B12">
        <v>-0.1762240422790313</v>
      </c>
      <c r="C12">
        <v>8.0760300010114007E-3</v>
      </c>
      <c r="D12">
        <v>-3.3228482148027511E-2</v>
      </c>
    </row>
    <row r="13" spans="1:4" x14ac:dyDescent="0.35">
      <c r="A13">
        <v>-1.3076923076923075</v>
      </c>
      <c r="B13">
        <v>-0.13653214991604934</v>
      </c>
      <c r="C13">
        <v>7.4828079601462916E-3</v>
      </c>
      <c r="D13">
        <v>-3.6703290373635407E-2</v>
      </c>
    </row>
    <row r="14" spans="1:4" x14ac:dyDescent="0.35">
      <c r="A14">
        <v>-1.1538461538461537</v>
      </c>
      <c r="B14">
        <v>-0.1039763575166148</v>
      </c>
      <c r="C14">
        <v>7.0351449500067227E-3</v>
      </c>
      <c r="D14">
        <v>-3.953858287372207E-2</v>
      </c>
    </row>
    <row r="15" spans="1:4" x14ac:dyDescent="0.35">
      <c r="A15">
        <v>-1</v>
      </c>
      <c r="B15">
        <v>-7.394535795622055E-2</v>
      </c>
      <c r="C15">
        <v>6.7547242902346602E-3</v>
      </c>
      <c r="D15">
        <v>-4.2353996187708826E-2</v>
      </c>
    </row>
    <row r="16" spans="1:4" x14ac:dyDescent="0.35">
      <c r="A16">
        <v>-0.84615384615384581</v>
      </c>
      <c r="B16">
        <v>-2.5382394564130453E-2</v>
      </c>
      <c r="C16">
        <v>6.5975984812294032E-3</v>
      </c>
      <c r="D16">
        <v>-4.5826883518682034E-2</v>
      </c>
    </row>
    <row r="17" spans="1:4" x14ac:dyDescent="0.35">
      <c r="A17">
        <v>-0.69230769230769207</v>
      </c>
      <c r="B17">
        <v>1.8148289255492413E-2</v>
      </c>
      <c r="C17">
        <v>6.6350430483959073E-3</v>
      </c>
      <c r="D17">
        <v>-4.9198597331171628E-2</v>
      </c>
    </row>
    <row r="18" spans="1:4" x14ac:dyDescent="0.35">
      <c r="A18">
        <v>-0.53846153846153832</v>
      </c>
      <c r="B18">
        <v>5.5448650664399621E-2</v>
      </c>
      <c r="C18">
        <v>6.6629044923768388E-3</v>
      </c>
      <c r="D18">
        <v>-5.1810498600395202E-2</v>
      </c>
    </row>
    <row r="19" spans="1:4" x14ac:dyDescent="0.35">
      <c r="A19">
        <v>-0.38461538461538458</v>
      </c>
      <c r="B19">
        <v>9.273196347571197E-2</v>
      </c>
      <c r="C19">
        <v>6.7323846752301063E-3</v>
      </c>
      <c r="D19">
        <v>-5.4349581016191931E-2</v>
      </c>
    </row>
    <row r="20" spans="1:4" x14ac:dyDescent="0.35">
      <c r="A20">
        <v>-0.23076923076923084</v>
      </c>
      <c r="B20">
        <v>0.12931924772066694</v>
      </c>
      <c r="C20">
        <v>6.8220051546182417E-3</v>
      </c>
      <c r="D20">
        <v>-5.6717042865290508E-2</v>
      </c>
    </row>
    <row r="21" spans="1:4" x14ac:dyDescent="0.35">
      <c r="A21">
        <v>-7.692307692307665E-2</v>
      </c>
      <c r="B21">
        <v>0.16559597942174031</v>
      </c>
      <c r="C21">
        <v>6.931192248543599E-3</v>
      </c>
      <c r="D21">
        <v>-5.8914502582722399E-2</v>
      </c>
    </row>
    <row r="22" spans="1:4" x14ac:dyDescent="0.35">
      <c r="A22">
        <v>7.6923076923077094E-2</v>
      </c>
      <c r="B22">
        <v>0.20155212758793459</v>
      </c>
      <c r="C22">
        <v>7.0563524574415604E-3</v>
      </c>
      <c r="D22">
        <v>-6.0882800064836214E-2</v>
      </c>
    </row>
    <row r="23" spans="1:4" x14ac:dyDescent="0.35">
      <c r="A23">
        <v>0.23076923076923084</v>
      </c>
      <c r="B23">
        <v>0.23723202194437024</v>
      </c>
      <c r="C23">
        <v>7.1930446837552226E-3</v>
      </c>
      <c r="D23">
        <v>-6.2575563863606257E-2</v>
      </c>
    </row>
    <row r="24" spans="1:4" x14ac:dyDescent="0.35">
      <c r="A24">
        <v>0.38461538461538503</v>
      </c>
      <c r="B24">
        <v>0.27265840678516079</v>
      </c>
      <c r="C24">
        <v>7.34287487389804E-3</v>
      </c>
      <c r="D24">
        <v>-6.3951108223543329E-2</v>
      </c>
    </row>
    <row r="25" spans="1:4" x14ac:dyDescent="0.35">
      <c r="A25">
        <v>0.53846153846153877</v>
      </c>
      <c r="B25">
        <v>0.30802212367324533</v>
      </c>
      <c r="C25">
        <v>7.5079584144109252E-3</v>
      </c>
      <c r="D25">
        <v>-6.4919357472731337E-2</v>
      </c>
    </row>
    <row r="26" spans="1:4" x14ac:dyDescent="0.35">
      <c r="A26">
        <v>0.69230769230769251</v>
      </c>
      <c r="B26">
        <v>0.34396556179388288</v>
      </c>
      <c r="C26">
        <v>7.6977825058094111E-3</v>
      </c>
      <c r="D26">
        <v>-6.5639442136600668E-2</v>
      </c>
    </row>
    <row r="27" spans="1:4" x14ac:dyDescent="0.35">
      <c r="A27">
        <v>0.84615384615384626</v>
      </c>
      <c r="B27">
        <v>0.38192517886768268</v>
      </c>
      <c r="C27">
        <v>7.9331225891134359E-3</v>
      </c>
      <c r="D27">
        <v>-6.5906583475845701E-2</v>
      </c>
    </row>
    <row r="28" spans="1:4" x14ac:dyDescent="0.35">
      <c r="A28">
        <v>1</v>
      </c>
      <c r="B28">
        <v>0.41468742496219052</v>
      </c>
      <c r="C28">
        <v>8.3900694830101041E-3</v>
      </c>
      <c r="D28">
        <v>-6.6645535927323724E-2</v>
      </c>
    </row>
    <row r="29" spans="1:4" x14ac:dyDescent="0.35">
      <c r="A29">
        <v>1.1538461538461542</v>
      </c>
      <c r="B29">
        <v>0.4266187440293196</v>
      </c>
      <c r="C29">
        <v>9.2539840448335239E-3</v>
      </c>
      <c r="D29">
        <v>-6.8100589846784604E-2</v>
      </c>
    </row>
    <row r="30" spans="1:4" x14ac:dyDescent="0.35">
      <c r="A30">
        <v>1.3076923076923084</v>
      </c>
      <c r="B30">
        <v>0.52668943898037024</v>
      </c>
      <c r="C30">
        <v>8.3472863984607962E-3</v>
      </c>
      <c r="D30">
        <v>-6.2392258082920794E-2</v>
      </c>
    </row>
    <row r="31" spans="1:4" x14ac:dyDescent="0.35">
      <c r="A31">
        <v>1.4615384615384617</v>
      </c>
      <c r="B31">
        <v>0.55567533051889006</v>
      </c>
      <c r="C31">
        <v>1.0055512108113363E-2</v>
      </c>
      <c r="D31">
        <v>-6.6531503592099916E-2</v>
      </c>
    </row>
    <row r="32" spans="1:4" x14ac:dyDescent="0.35">
      <c r="A32">
        <v>1.6153846153846159</v>
      </c>
      <c r="B32">
        <v>0.66706362239774963</v>
      </c>
      <c r="C32">
        <v>1.441600807355848E-2</v>
      </c>
      <c r="D32">
        <v>-9.8260671718142262E-2</v>
      </c>
    </row>
    <row r="33" spans="1:4" x14ac:dyDescent="0.35">
      <c r="A33">
        <v>1.7692307692307692</v>
      </c>
      <c r="B33">
        <v>0.69889354192794018</v>
      </c>
      <c r="C33">
        <v>1.7892712177384956E-2</v>
      </c>
      <c r="D33">
        <v>-0.10590515072227437</v>
      </c>
    </row>
    <row r="34" spans="1:4" x14ac:dyDescent="0.35">
      <c r="A34">
        <v>1.9230769230769234</v>
      </c>
      <c r="B34">
        <v>0.72222589079116595</v>
      </c>
      <c r="C34">
        <v>2.1115820440743598E-2</v>
      </c>
      <c r="D34">
        <v>-0.11030300546842235</v>
      </c>
    </row>
    <row r="35" spans="1:4" x14ac:dyDescent="0.35">
      <c r="A35">
        <v>2.0769230769230775</v>
      </c>
      <c r="B35">
        <v>0.74118586419910759</v>
      </c>
      <c r="C35">
        <v>2.4195032557036731E-2</v>
      </c>
      <c r="D35">
        <v>-0.1130333517986514</v>
      </c>
    </row>
    <row r="36" spans="1:4" x14ac:dyDescent="0.35">
      <c r="A36">
        <v>2.2307692307692308</v>
      </c>
      <c r="B36">
        <v>0.75782411354274315</v>
      </c>
      <c r="C36">
        <v>2.723002138293459E-2</v>
      </c>
      <c r="D36">
        <v>-0.1149230725189079</v>
      </c>
    </row>
    <row r="37" spans="1:4" x14ac:dyDescent="0.35">
      <c r="A37">
        <v>2.384615384615385</v>
      </c>
      <c r="B37">
        <v>0.7730731209784466</v>
      </c>
      <c r="C37">
        <v>3.0264139549059151E-2</v>
      </c>
      <c r="D37">
        <v>-0.11635382851333055</v>
      </c>
    </row>
    <row r="38" spans="1:4" x14ac:dyDescent="0.35">
      <c r="A38">
        <v>2.5384615384615383</v>
      </c>
      <c r="B38">
        <v>0.78737440118181046</v>
      </c>
      <c r="C38">
        <v>3.3316683802203956E-2</v>
      </c>
      <c r="D38">
        <v>-0.11750202878628149</v>
      </c>
    </row>
    <row r="39" spans="1:4" x14ac:dyDescent="0.35">
      <c r="A39">
        <v>2.6923076923076925</v>
      </c>
      <c r="B39">
        <v>0.80101848895490535</v>
      </c>
      <c r="C39">
        <v>3.6403710829580764E-2</v>
      </c>
      <c r="D39">
        <v>-0.11847633817285139</v>
      </c>
    </row>
    <row r="40" spans="1:4" x14ac:dyDescent="0.35">
      <c r="A40">
        <v>2.8461538461538467</v>
      </c>
      <c r="B40">
        <v>0.81418365344525101</v>
      </c>
      <c r="C40">
        <v>3.9533264823241723E-2</v>
      </c>
      <c r="D40">
        <v>-0.11934609594151015</v>
      </c>
    </row>
    <row r="41" spans="1:4" x14ac:dyDescent="0.35">
      <c r="A41">
        <v>3</v>
      </c>
      <c r="B41">
        <v>0.82702231372413326</v>
      </c>
      <c r="C41">
        <v>4.2711089996875569E-2</v>
      </c>
      <c r="D41">
        <v>-0.12017225587007914</v>
      </c>
    </row>
  </sheetData>
  <pageMargins left="0.7" right="0.7" top="0.75" bottom="0.75" header="0.3" footer="0.3"/>
  <tableParts count="1">
    <tablePart r:id="rId1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078D9F-2DC3-4FAC-8138-D8D627158706}">
  <dimension ref="A1:D41"/>
  <sheetViews>
    <sheetView workbookViewId="0"/>
  </sheetViews>
  <sheetFormatPr defaultRowHeight="14.5" x14ac:dyDescent="0.35"/>
  <cols>
    <col min="1" max="2" width="12.453125" bestFit="1" customWidth="1"/>
    <col min="3" max="3" width="11.81640625" bestFit="1" customWidth="1"/>
    <col min="4" max="4" width="12.453125" bestFit="1" customWidth="1"/>
  </cols>
  <sheetData>
    <row r="1" spans="1:4" x14ac:dyDescent="0.35">
      <c r="A1" t="s">
        <v>0</v>
      </c>
      <c r="B1" t="s">
        <v>1</v>
      </c>
      <c r="C1" t="s">
        <v>2</v>
      </c>
      <c r="D1" t="s">
        <v>342</v>
      </c>
    </row>
    <row r="2" spans="1:4" x14ac:dyDescent="0.35">
      <c r="A2">
        <v>-3</v>
      </c>
      <c r="B2">
        <v>-0.53470738358033898</v>
      </c>
      <c r="C2">
        <v>2.3964998670565028E-2</v>
      </c>
      <c r="D2">
        <v>-4.8593912553548425E-3</v>
      </c>
    </row>
    <row r="3" spans="1:4" x14ac:dyDescent="0.35">
      <c r="A3">
        <v>-2.8461538461538463</v>
      </c>
      <c r="B3">
        <v>-0.58605087186267424</v>
      </c>
      <c r="C3">
        <v>2.6683589706278474E-2</v>
      </c>
      <c r="D3">
        <v>1.7181274874358107E-2</v>
      </c>
    </row>
    <row r="4" spans="1:4" x14ac:dyDescent="0.35">
      <c r="A4">
        <v>-2.6923076923076925</v>
      </c>
      <c r="B4">
        <v>-0.56164227648541953</v>
      </c>
      <c r="C4">
        <v>2.3273007588051148E-2</v>
      </c>
      <c r="D4">
        <v>1.2228791320131204E-2</v>
      </c>
    </row>
    <row r="5" spans="1:4" x14ac:dyDescent="0.35">
      <c r="A5">
        <v>-2.5384615384615383</v>
      </c>
      <c r="B5">
        <v>-0.52305561278450208</v>
      </c>
      <c r="C5">
        <v>1.9175679791128178E-2</v>
      </c>
      <c r="D5">
        <v>2.3920394347365309E-3</v>
      </c>
    </row>
    <row r="6" spans="1:4" x14ac:dyDescent="0.35">
      <c r="A6">
        <v>-2.3846153846153846</v>
      </c>
      <c r="B6">
        <v>-0.46961346625596256</v>
      </c>
      <c r="C6">
        <v>1.4830067682238292E-2</v>
      </c>
      <c r="D6">
        <v>-1.1214619002430617E-2</v>
      </c>
    </row>
    <row r="7" spans="1:4" x14ac:dyDescent="0.35">
      <c r="A7">
        <v>-2.2307692307692308</v>
      </c>
      <c r="B7">
        <v>-0.40357165098273795</v>
      </c>
      <c r="C7">
        <v>1.1520817351331479E-2</v>
      </c>
      <c r="D7">
        <v>-2.393858630856675E-2</v>
      </c>
    </row>
    <row r="8" spans="1:4" x14ac:dyDescent="0.35">
      <c r="A8">
        <v>-2.0769230769230766</v>
      </c>
      <c r="B8">
        <v>-0.35532696266742114</v>
      </c>
      <c r="C8">
        <v>1.0655899363493437E-2</v>
      </c>
      <c r="D8">
        <v>-2.6601407546526408E-2</v>
      </c>
    </row>
    <row r="9" spans="1:4" x14ac:dyDescent="0.35">
      <c r="A9">
        <v>-1.9230769230769229</v>
      </c>
      <c r="B9">
        <v>-0.34416516714556461</v>
      </c>
      <c r="C9">
        <v>9.1942044362581278E-3</v>
      </c>
      <c r="D9">
        <v>-2.9067274672154371E-2</v>
      </c>
    </row>
    <row r="10" spans="1:4" x14ac:dyDescent="0.35">
      <c r="A10">
        <v>-1.7692307692307692</v>
      </c>
      <c r="B10">
        <v>-0.25910885354550439</v>
      </c>
      <c r="C10">
        <v>1.020639785129018E-2</v>
      </c>
      <c r="D10">
        <v>-2.5017020571324742E-2</v>
      </c>
    </row>
    <row r="11" spans="1:4" x14ac:dyDescent="0.35">
      <c r="A11">
        <v>-1.6153846153846154</v>
      </c>
      <c r="B11">
        <v>-0.21760780341215594</v>
      </c>
      <c r="C11">
        <v>9.0651259799192849E-3</v>
      </c>
      <c r="D11">
        <v>-2.9016317230088726E-2</v>
      </c>
    </row>
    <row r="12" spans="1:4" x14ac:dyDescent="0.35">
      <c r="A12">
        <v>-1.4615384615384615</v>
      </c>
      <c r="B12">
        <v>-0.17738827364302295</v>
      </c>
      <c r="C12">
        <v>8.2029899304453622E-3</v>
      </c>
      <c r="D12">
        <v>-3.281958932536308E-2</v>
      </c>
    </row>
    <row r="13" spans="1:4" x14ac:dyDescent="0.35">
      <c r="A13">
        <v>-1.3076923076923075</v>
      </c>
      <c r="B13">
        <v>-0.13777585051095248</v>
      </c>
      <c r="C13">
        <v>7.6044810530322676E-3</v>
      </c>
      <c r="D13">
        <v>-3.6283125967497956E-2</v>
      </c>
    </row>
    <row r="14" spans="1:4" x14ac:dyDescent="0.35">
      <c r="A14">
        <v>-1.1538461538461537</v>
      </c>
      <c r="B14">
        <v>-9.8435179132015313E-2</v>
      </c>
      <c r="C14">
        <v>7.1791124473193045E-3</v>
      </c>
      <c r="D14">
        <v>-3.9689228939970164E-2</v>
      </c>
    </row>
    <row r="15" spans="1:4" x14ac:dyDescent="0.35">
      <c r="A15">
        <v>-1</v>
      </c>
      <c r="B15">
        <v>-7.1569127701253329E-2</v>
      </c>
      <c r="C15">
        <v>6.8891163968171484E-3</v>
      </c>
      <c r="D15">
        <v>-4.2227465439969143E-2</v>
      </c>
    </row>
    <row r="16" spans="1:4" x14ac:dyDescent="0.35">
      <c r="A16">
        <v>-0.84615384615384581</v>
      </c>
      <c r="B16">
        <v>-3.8352624338435448E-2</v>
      </c>
      <c r="C16">
        <v>6.7263081536915788E-3</v>
      </c>
      <c r="D16">
        <v>-4.4980708590476197E-2</v>
      </c>
    </row>
    <row r="17" spans="1:4" x14ac:dyDescent="0.35">
      <c r="A17">
        <v>-0.69230769230769207</v>
      </c>
      <c r="B17">
        <v>1.306807311787204E-2</v>
      </c>
      <c r="C17">
        <v>6.7116146605929903E-3</v>
      </c>
      <c r="D17">
        <v>-4.8228426743369635E-2</v>
      </c>
    </row>
    <row r="18" spans="1:4" x14ac:dyDescent="0.35">
      <c r="A18">
        <v>-0.53846153846153832</v>
      </c>
      <c r="B18">
        <v>5.4242688998407319E-2</v>
      </c>
      <c r="C18">
        <v>6.7694098524046665E-3</v>
      </c>
      <c r="D18">
        <v>-5.1378177259359489E-2</v>
      </c>
    </row>
    <row r="19" spans="1:4" x14ac:dyDescent="0.35">
      <c r="A19">
        <v>-0.38461538461538458</v>
      </c>
      <c r="B19">
        <v>9.1071480345319283E-2</v>
      </c>
      <c r="C19">
        <v>6.8325133650434348E-3</v>
      </c>
      <c r="D19">
        <v>-5.3847212535349881E-2</v>
      </c>
    </row>
    <row r="20" spans="1:4" x14ac:dyDescent="0.35">
      <c r="A20">
        <v>-0.23076923076923084</v>
      </c>
      <c r="B20">
        <v>0.12759134237566494</v>
      </c>
      <c r="C20">
        <v>6.9196186221825943E-3</v>
      </c>
      <c r="D20">
        <v>-5.619953647162864E-2</v>
      </c>
    </row>
    <row r="21" spans="1:4" x14ac:dyDescent="0.35">
      <c r="A21">
        <v>-7.692307692307665E-2</v>
      </c>
      <c r="B21">
        <v>0.16380354467113248</v>
      </c>
      <c r="C21">
        <v>7.0266132535391854E-3</v>
      </c>
      <c r="D21">
        <v>-5.8384400088718938E-2</v>
      </c>
    </row>
    <row r="22" spans="1:4" x14ac:dyDescent="0.35">
      <c r="A22">
        <v>7.6923076923077094E-2</v>
      </c>
      <c r="B22">
        <v>0.19969727218310196</v>
      </c>
      <c r="C22">
        <v>7.1500649674733118E-3</v>
      </c>
      <c r="D22">
        <v>-6.0342831337131045E-2</v>
      </c>
    </row>
    <row r="23" spans="1:4" x14ac:dyDescent="0.35">
      <c r="A23">
        <v>0.23076923076923084</v>
      </c>
      <c r="B23">
        <v>0.23531097218389974</v>
      </c>
      <c r="C23">
        <v>7.2861787022746941E-3</v>
      </c>
      <c r="D23">
        <v>-6.2027462077440143E-2</v>
      </c>
    </row>
    <row r="24" spans="1:4" x14ac:dyDescent="0.35">
      <c r="A24">
        <v>0.38461538461538503</v>
      </c>
      <c r="B24">
        <v>0.27068243103745881</v>
      </c>
      <c r="C24">
        <v>7.4347231308695685E-3</v>
      </c>
      <c r="D24">
        <v>-6.339213492651577E-2</v>
      </c>
    </row>
    <row r="25" spans="1:4" x14ac:dyDescent="0.35">
      <c r="A25">
        <v>0.53846153846153877</v>
      </c>
      <c r="B25">
        <v>0.30595295068639972</v>
      </c>
      <c r="C25">
        <v>7.6022319372121335E-3</v>
      </c>
      <c r="D25">
        <v>-6.436113017423481E-2</v>
      </c>
    </row>
    <row r="26" spans="1:4" x14ac:dyDescent="0.35">
      <c r="A26">
        <v>0.69230769230769251</v>
      </c>
      <c r="B26">
        <v>0.34175941626654638</v>
      </c>
      <c r="C26">
        <v>7.7948525301397009E-3</v>
      </c>
      <c r="D26">
        <v>-6.5066811544736133E-2</v>
      </c>
    </row>
    <row r="27" spans="1:4" x14ac:dyDescent="0.35">
      <c r="A27">
        <v>0.84615384615384626</v>
      </c>
      <c r="B27">
        <v>0.37946774057443405</v>
      </c>
      <c r="C27">
        <v>8.0315976454391237E-3</v>
      </c>
      <c r="D27">
        <v>-6.5329325522279533E-2</v>
      </c>
    </row>
    <row r="28" spans="1:4" x14ac:dyDescent="0.35">
      <c r="A28">
        <v>1</v>
      </c>
      <c r="B28">
        <v>0.41378869602233964</v>
      </c>
      <c r="C28">
        <v>8.4254370013295068E-3</v>
      </c>
      <c r="D28">
        <v>-6.592401752067531E-2</v>
      </c>
    </row>
    <row r="29" spans="1:4" x14ac:dyDescent="0.35">
      <c r="A29">
        <v>1.1538461538461542</v>
      </c>
      <c r="B29">
        <v>0.42772511708062405</v>
      </c>
      <c r="C29">
        <v>9.4610696545862835E-3</v>
      </c>
      <c r="D29">
        <v>-6.7324600101377183E-2</v>
      </c>
    </row>
    <row r="30" spans="1:4" x14ac:dyDescent="0.35">
      <c r="A30">
        <v>1.3076923076923084</v>
      </c>
      <c r="B30">
        <v>0.52290542347801305</v>
      </c>
      <c r="C30">
        <v>8.4373883723288176E-3</v>
      </c>
      <c r="D30">
        <v>-6.1497349771307712E-2</v>
      </c>
    </row>
    <row r="31" spans="1:4" x14ac:dyDescent="0.35">
      <c r="A31">
        <v>1.4615384615384617</v>
      </c>
      <c r="B31">
        <v>0.55357997353297428</v>
      </c>
      <c r="C31">
        <v>1.009006081162275E-2</v>
      </c>
      <c r="D31">
        <v>-6.5725220659252431E-2</v>
      </c>
    </row>
    <row r="32" spans="1:4" x14ac:dyDescent="0.35">
      <c r="A32">
        <v>1.6153846153846159</v>
      </c>
      <c r="B32">
        <v>0.66375786387608893</v>
      </c>
      <c r="C32">
        <v>1.4338062517158433E-2</v>
      </c>
      <c r="D32">
        <v>-9.6841051653106025E-2</v>
      </c>
    </row>
    <row r="33" spans="1:4" x14ac:dyDescent="0.35">
      <c r="A33">
        <v>1.7692307692307692</v>
      </c>
      <c r="B33">
        <v>0.69627031810486528</v>
      </c>
      <c r="C33">
        <v>1.7817255797481578E-2</v>
      </c>
      <c r="D33">
        <v>-0.10473664531144929</v>
      </c>
    </row>
    <row r="34" spans="1:4" x14ac:dyDescent="0.35">
      <c r="A34">
        <v>1.9230769230769234</v>
      </c>
      <c r="B34">
        <v>0.71984398000627958</v>
      </c>
      <c r="C34">
        <v>2.1041058020829839E-2</v>
      </c>
      <c r="D34">
        <v>-0.10922208451328309</v>
      </c>
    </row>
    <row r="35" spans="1:4" x14ac:dyDescent="0.35">
      <c r="A35">
        <v>2.0769230769230775</v>
      </c>
      <c r="B35">
        <v>0.73939902415893255</v>
      </c>
      <c r="C35">
        <v>2.4154011379711082E-2</v>
      </c>
      <c r="D35">
        <v>-0.11220286997321723</v>
      </c>
    </row>
    <row r="36" spans="1:4" x14ac:dyDescent="0.35">
      <c r="A36">
        <v>2.2307692307692308</v>
      </c>
      <c r="B36">
        <v>0.75575569459870651</v>
      </c>
      <c r="C36">
        <v>2.7162584873743671E-2</v>
      </c>
      <c r="D36">
        <v>-0.1139650584105546</v>
      </c>
    </row>
    <row r="37" spans="1:4" x14ac:dyDescent="0.35">
      <c r="A37">
        <v>2.384615384615385</v>
      </c>
      <c r="B37">
        <v>0.77103569707308539</v>
      </c>
      <c r="C37">
        <v>3.0195059262563658E-2</v>
      </c>
      <c r="D37">
        <v>-0.11540542261014725</v>
      </c>
    </row>
    <row r="38" spans="1:4" x14ac:dyDescent="0.35">
      <c r="A38">
        <v>2.5384615384615383</v>
      </c>
      <c r="B38">
        <v>0.7853662106839252</v>
      </c>
      <c r="C38">
        <v>3.3246371687390974E-2</v>
      </c>
      <c r="D38">
        <v>-0.11656208684299621</v>
      </c>
    </row>
    <row r="39" spans="1:4" x14ac:dyDescent="0.35">
      <c r="A39">
        <v>2.6923076923076925</v>
      </c>
      <c r="B39">
        <v>0.79918335318547928</v>
      </c>
      <c r="C39">
        <v>3.63459213796999E-2</v>
      </c>
      <c r="D39">
        <v>-0.11761088786644359</v>
      </c>
    </row>
    <row r="40" spans="1:4" x14ac:dyDescent="0.35">
      <c r="A40">
        <v>2.8461538461538467</v>
      </c>
      <c r="B40">
        <v>0.81216998100715743</v>
      </c>
      <c r="C40">
        <v>3.9456393832059795E-2</v>
      </c>
      <c r="D40">
        <v>-0.11839795749285897</v>
      </c>
    </row>
    <row r="41" spans="1:4" x14ac:dyDescent="0.35">
      <c r="A41">
        <v>3</v>
      </c>
      <c r="B41">
        <v>0.82538271612742309</v>
      </c>
      <c r="C41">
        <v>4.2665558501323905E-2</v>
      </c>
      <c r="D41">
        <v>-0.11937242335305769</v>
      </c>
    </row>
  </sheetData>
  <pageMargins left="0.7" right="0.7" top="0.75" bottom="0.75" header="0.3" footer="0.3"/>
  <tableParts count="1">
    <tablePart r:id="rId1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9CA0D-BAEB-4739-BDFA-18E2A2BD77C3}">
  <dimension ref="A1:D41"/>
  <sheetViews>
    <sheetView workbookViewId="0"/>
  </sheetViews>
  <sheetFormatPr defaultRowHeight="14.5" x14ac:dyDescent="0.35"/>
  <cols>
    <col min="1" max="2" width="12.453125" bestFit="1" customWidth="1"/>
    <col min="3" max="3" width="11.81640625" bestFit="1" customWidth="1"/>
    <col min="4" max="4" width="12.453125" bestFit="1" customWidth="1"/>
  </cols>
  <sheetData>
    <row r="1" spans="1:4" x14ac:dyDescent="0.35">
      <c r="A1" t="s">
        <v>0</v>
      </c>
      <c r="B1" t="s">
        <v>1</v>
      </c>
      <c r="C1" t="s">
        <v>2</v>
      </c>
      <c r="D1" t="s">
        <v>342</v>
      </c>
    </row>
    <row r="2" spans="1:4" x14ac:dyDescent="0.35">
      <c r="A2">
        <v>-3</v>
      </c>
      <c r="B2">
        <v>-0.4112041772535413</v>
      </c>
      <c r="C2">
        <v>2.1156337871879885E-2</v>
      </c>
      <c r="D2">
        <v>-4.7243803759221464E-2</v>
      </c>
    </row>
    <row r="3" spans="1:4" x14ac:dyDescent="0.35">
      <c r="A3">
        <v>-2.8461538461538463</v>
      </c>
      <c r="B3">
        <v>-0.58410020360401493</v>
      </c>
      <c r="C3">
        <v>2.6667948018929889E-2</v>
      </c>
      <c r="D3">
        <v>1.6535247214662364E-2</v>
      </c>
    </row>
    <row r="4" spans="1:4" x14ac:dyDescent="0.35">
      <c r="A4">
        <v>-2.6923076923076925</v>
      </c>
      <c r="B4">
        <v>-0.55990919924669336</v>
      </c>
      <c r="C4">
        <v>2.3286702903301496E-2</v>
      </c>
      <c r="D4">
        <v>1.170329578491474E-2</v>
      </c>
    </row>
    <row r="5" spans="1:4" x14ac:dyDescent="0.35">
      <c r="A5">
        <v>-2.5384615384615383</v>
      </c>
      <c r="B5">
        <v>-0.52217996796326671</v>
      </c>
      <c r="C5">
        <v>1.9260509512020015E-2</v>
      </c>
      <c r="D5">
        <v>2.2214366886629026E-3</v>
      </c>
    </row>
    <row r="6" spans="1:4" x14ac:dyDescent="0.35">
      <c r="A6">
        <v>-2.3846153846153846</v>
      </c>
      <c r="B6">
        <v>-0.46958419988675476</v>
      </c>
      <c r="C6">
        <v>1.4972390288052796E-2</v>
      </c>
      <c r="D6">
        <v>-1.1066492864809966E-2</v>
      </c>
    </row>
    <row r="7" spans="1:4" x14ac:dyDescent="0.35">
      <c r="A7">
        <v>-2.2307692307692308</v>
      </c>
      <c r="B7">
        <v>-0.40431031851071264</v>
      </c>
      <c r="C7">
        <v>1.1693095570073699E-2</v>
      </c>
      <c r="D7">
        <v>-2.358021049794545E-2</v>
      </c>
    </row>
    <row r="8" spans="1:4" x14ac:dyDescent="0.35">
      <c r="A8">
        <v>-2.0769230769230766</v>
      </c>
      <c r="B8">
        <v>-0.35671698085029818</v>
      </c>
      <c r="C8">
        <v>1.0735298368296191E-2</v>
      </c>
      <c r="D8">
        <v>-2.6513987821607819E-2</v>
      </c>
    </row>
    <row r="9" spans="1:4" x14ac:dyDescent="0.35">
      <c r="A9">
        <v>-1.9230769230769229</v>
      </c>
      <c r="B9">
        <v>-0.34196838111197869</v>
      </c>
      <c r="C9">
        <v>9.3015426085148439E-3</v>
      </c>
      <c r="D9">
        <v>-2.9136602646824144E-2</v>
      </c>
    </row>
    <row r="10" spans="1:4" x14ac:dyDescent="0.35">
      <c r="A10">
        <v>-1.7692307692307692</v>
      </c>
      <c r="B10">
        <v>-0.26037085868792936</v>
      </c>
      <c r="C10">
        <v>1.0377015544754687E-2</v>
      </c>
      <c r="D10">
        <v>-2.4546711825243071E-2</v>
      </c>
    </row>
    <row r="11" spans="1:4" x14ac:dyDescent="0.35">
      <c r="A11">
        <v>-1.6153846153846154</v>
      </c>
      <c r="B11">
        <v>-0.21898487132067701</v>
      </c>
      <c r="C11">
        <v>9.2300864189670956E-3</v>
      </c>
      <c r="D11">
        <v>-2.8518744768340987E-2</v>
      </c>
    </row>
    <row r="12" spans="1:4" x14ac:dyDescent="0.35">
      <c r="A12">
        <v>-1.4615384615384615</v>
      </c>
      <c r="B12">
        <v>-0.17911895370572656</v>
      </c>
      <c r="C12">
        <v>8.3612392196943594E-3</v>
      </c>
      <c r="D12">
        <v>-3.2258098736282388E-2</v>
      </c>
    </row>
    <row r="13" spans="1:4" x14ac:dyDescent="0.35">
      <c r="A13">
        <v>-1.3076923076923075</v>
      </c>
      <c r="B13">
        <v>-0.14010502172193084</v>
      </c>
      <c r="C13">
        <v>7.7430899820748467E-3</v>
      </c>
      <c r="D13">
        <v>-3.5611864257478115E-2</v>
      </c>
    </row>
    <row r="14" spans="1:4" x14ac:dyDescent="0.35">
      <c r="A14">
        <v>-1.1538461538461537</v>
      </c>
      <c r="B14">
        <v>-0.11366006134072835</v>
      </c>
      <c r="C14">
        <v>7.3037317511027806E-3</v>
      </c>
      <c r="D14">
        <v>-3.8134974624895526E-2</v>
      </c>
    </row>
    <row r="15" spans="1:4" x14ac:dyDescent="0.35">
      <c r="A15">
        <v>-1</v>
      </c>
      <c r="B15">
        <v>-8.7072920442429633E-2</v>
      </c>
      <c r="C15">
        <v>6.9840021917483546E-3</v>
      </c>
      <c r="D15">
        <v>-4.0702305840305313E-2</v>
      </c>
    </row>
    <row r="16" spans="1:4" x14ac:dyDescent="0.35">
      <c r="A16">
        <v>-0.84615384615384581</v>
      </c>
      <c r="B16">
        <v>-2.2697764862173744E-2</v>
      </c>
      <c r="C16">
        <v>6.9268427900973451E-3</v>
      </c>
      <c r="D16">
        <v>-4.5412945071355834E-2</v>
      </c>
    </row>
    <row r="17" spans="1:4" x14ac:dyDescent="0.35">
      <c r="A17">
        <v>-0.69230769230769207</v>
      </c>
      <c r="B17">
        <v>1.5059629668972089E-2</v>
      </c>
      <c r="C17">
        <v>6.8815761413528447E-3</v>
      </c>
      <c r="D17">
        <v>-4.8183164361290498E-2</v>
      </c>
    </row>
    <row r="18" spans="1:4" x14ac:dyDescent="0.35">
      <c r="A18">
        <v>-0.53846153846153832</v>
      </c>
      <c r="B18">
        <v>5.2252904063501429E-2</v>
      </c>
      <c r="C18">
        <v>6.8993176787223408E-3</v>
      </c>
      <c r="D18">
        <v>-5.0771048658481394E-2</v>
      </c>
    </row>
    <row r="19" spans="1:4" x14ac:dyDescent="0.35">
      <c r="A19">
        <v>-0.38461538461538458</v>
      </c>
      <c r="B19">
        <v>8.8998696969646185E-2</v>
      </c>
      <c r="C19">
        <v>6.9590563288464812E-3</v>
      </c>
      <c r="D19">
        <v>-5.3220233676486359E-2</v>
      </c>
    </row>
    <row r="20" spans="1:4" x14ac:dyDescent="0.35">
      <c r="A20">
        <v>-0.23076923076923084</v>
      </c>
      <c r="B20">
        <v>0.12543432097568702</v>
      </c>
      <c r="C20">
        <v>7.0430123966516373E-3</v>
      </c>
      <c r="D20">
        <v>-5.5553615180628818E-2</v>
      </c>
    </row>
    <row r="21" spans="1:4" x14ac:dyDescent="0.35">
      <c r="A21">
        <v>-7.692307692307665E-2</v>
      </c>
      <c r="B21">
        <v>0.1615656989616818</v>
      </c>
      <c r="C21">
        <v>7.1472511785423947E-3</v>
      </c>
      <c r="D21">
        <v>-5.7722627671098585E-2</v>
      </c>
    </row>
    <row r="22" spans="1:4" x14ac:dyDescent="0.35">
      <c r="A22">
        <v>7.6923076923077094E-2</v>
      </c>
      <c r="B22">
        <v>0.19738123842451569</v>
      </c>
      <c r="C22">
        <v>7.2685201146350008E-3</v>
      </c>
      <c r="D22">
        <v>-5.9668593910663349E-2</v>
      </c>
    </row>
    <row r="23" spans="1:4" x14ac:dyDescent="0.35">
      <c r="A23">
        <v>0.23076923076923084</v>
      </c>
      <c r="B23">
        <v>0.2329143842098951</v>
      </c>
      <c r="C23">
        <v>7.4036997949060617E-3</v>
      </c>
      <c r="D23">
        <v>-6.1343385439283471E-2</v>
      </c>
    </row>
    <row r="24" spans="1:4" x14ac:dyDescent="0.35">
      <c r="A24">
        <v>0.38461538461538503</v>
      </c>
      <c r="B24">
        <v>0.26728453323944168</v>
      </c>
      <c r="C24">
        <v>7.5672313615865756E-3</v>
      </c>
      <c r="D24">
        <v>-6.2841797344040051E-2</v>
      </c>
    </row>
    <row r="25" spans="1:4" x14ac:dyDescent="0.35">
      <c r="A25">
        <v>0.53846153846153877</v>
      </c>
      <c r="B25">
        <v>0.30337387898374524</v>
      </c>
      <c r="C25">
        <v>7.7209379456292717E-3</v>
      </c>
      <c r="D25">
        <v>-6.366505540706846E-2</v>
      </c>
    </row>
    <row r="26" spans="1:4" x14ac:dyDescent="0.35">
      <c r="A26">
        <v>0.69230769230769251</v>
      </c>
      <c r="B26">
        <v>0.33901962553917331</v>
      </c>
      <c r="C26">
        <v>7.9163141927501134E-3</v>
      </c>
      <c r="D26">
        <v>-6.4354403890212408E-2</v>
      </c>
    </row>
    <row r="27" spans="1:4" x14ac:dyDescent="0.35">
      <c r="A27">
        <v>0.84615384615384626</v>
      </c>
      <c r="B27">
        <v>0.37645913479755283</v>
      </c>
      <c r="C27">
        <v>8.153860905970001E-3</v>
      </c>
      <c r="D27">
        <v>-6.4622252180094028E-2</v>
      </c>
    </row>
    <row r="28" spans="1:4" x14ac:dyDescent="0.35">
      <c r="A28">
        <v>1</v>
      </c>
      <c r="B28">
        <v>0.39310030321364325</v>
      </c>
      <c r="C28">
        <v>8.9542267924468868E-3</v>
      </c>
      <c r="D28">
        <v>-6.5513976155399209E-2</v>
      </c>
    </row>
    <row r="29" spans="1:4" x14ac:dyDescent="0.35">
      <c r="A29">
        <v>1.1538461538461542</v>
      </c>
      <c r="B29">
        <v>0.44912188231899436</v>
      </c>
      <c r="C29">
        <v>8.8814431550571105E-3</v>
      </c>
      <c r="D29">
        <v>-6.4657427554952671E-2</v>
      </c>
    </row>
    <row r="30" spans="1:4" x14ac:dyDescent="0.35">
      <c r="A30">
        <v>1.3076923076923084</v>
      </c>
      <c r="B30">
        <v>0.46345414405743612</v>
      </c>
      <c r="C30">
        <v>1.0101522266674262E-2</v>
      </c>
      <c r="D30">
        <v>-6.6960547093528264E-2</v>
      </c>
    </row>
    <row r="31" spans="1:4" x14ac:dyDescent="0.35">
      <c r="A31">
        <v>1.4615384615384617</v>
      </c>
      <c r="B31">
        <v>0.58919756521223721</v>
      </c>
      <c r="C31">
        <v>1.0442712625313372E-2</v>
      </c>
      <c r="D31">
        <v>-7.4061135180880727E-2</v>
      </c>
    </row>
    <row r="32" spans="1:4" x14ac:dyDescent="0.35">
      <c r="A32">
        <v>1.6153846153846159</v>
      </c>
      <c r="B32">
        <v>0.6292289513752779</v>
      </c>
      <c r="C32">
        <v>1.3012078513491267E-2</v>
      </c>
      <c r="D32">
        <v>-8.4271582321526789E-2</v>
      </c>
    </row>
    <row r="33" spans="1:4" x14ac:dyDescent="0.35">
      <c r="A33">
        <v>1.7692307692307692</v>
      </c>
      <c r="B33">
        <v>0.69297339018307091</v>
      </c>
      <c r="C33">
        <v>1.7726907723925205E-2</v>
      </c>
      <c r="D33">
        <v>-0.10327280775425951</v>
      </c>
    </row>
    <row r="34" spans="1:4" x14ac:dyDescent="0.35">
      <c r="A34">
        <v>1.9230769230769234</v>
      </c>
      <c r="B34">
        <v>0.71692663978207105</v>
      </c>
      <c r="C34">
        <v>2.0955012598469432E-2</v>
      </c>
      <c r="D34">
        <v>-0.10789985503742131</v>
      </c>
    </row>
    <row r="35" spans="1:4" x14ac:dyDescent="0.35">
      <c r="A35">
        <v>2.0769230769230775</v>
      </c>
      <c r="B35">
        <v>0.73666082665326238</v>
      </c>
      <c r="C35">
        <v>2.4064150805963448E-2</v>
      </c>
      <c r="D35">
        <v>-0.11095140950479372</v>
      </c>
    </row>
    <row r="36" spans="1:4" x14ac:dyDescent="0.35">
      <c r="A36">
        <v>2.2307692307692308</v>
      </c>
      <c r="B36">
        <v>0.75320893637140418</v>
      </c>
      <c r="C36">
        <v>2.708075356558836E-2</v>
      </c>
      <c r="D36">
        <v>-0.11278741768966216</v>
      </c>
    </row>
    <row r="37" spans="1:4" x14ac:dyDescent="0.35">
      <c r="A37">
        <v>2.384615384615385</v>
      </c>
      <c r="B37">
        <v>0.76871735979491462</v>
      </c>
      <c r="C37">
        <v>3.0129274349911615E-2</v>
      </c>
      <c r="D37">
        <v>-0.11431585910550943</v>
      </c>
    </row>
    <row r="38" spans="1:4" x14ac:dyDescent="0.35">
      <c r="A38">
        <v>2.5384615384615383</v>
      </c>
      <c r="B38">
        <v>0.78286489228333056</v>
      </c>
      <c r="C38">
        <v>3.3161277035959766E-2</v>
      </c>
      <c r="D38">
        <v>-0.11539353143080448</v>
      </c>
    </row>
    <row r="39" spans="1:4" x14ac:dyDescent="0.35">
      <c r="A39">
        <v>2.6923076923076925</v>
      </c>
      <c r="B39">
        <v>0.79681745257033409</v>
      </c>
      <c r="C39">
        <v>3.6249748698815629E-2</v>
      </c>
      <c r="D39">
        <v>-0.11657251872881817</v>
      </c>
    </row>
    <row r="40" spans="1:4" x14ac:dyDescent="0.35">
      <c r="A40">
        <v>2.8461538461538467</v>
      </c>
      <c r="B40">
        <v>0.81041593101661824</v>
      </c>
      <c r="C40">
        <v>3.9419264672817228E-2</v>
      </c>
      <c r="D40">
        <v>-0.11758407999696854</v>
      </c>
    </row>
    <row r="41" spans="1:4" x14ac:dyDescent="0.35">
      <c r="A41">
        <v>3</v>
      </c>
      <c r="B41">
        <v>0.82257227071366446</v>
      </c>
      <c r="C41">
        <v>4.2539122456419359E-2</v>
      </c>
      <c r="D41">
        <v>-0.11807397719658907</v>
      </c>
    </row>
  </sheetData>
  <pageMargins left="0.7" right="0.7" top="0.75" bottom="0.75" header="0.3" footer="0.3"/>
  <tableParts count="1">
    <tablePart r:id="rId1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B0224-062D-4F36-9CD6-FE417EA1A7CA}">
  <dimension ref="A1:D41"/>
  <sheetViews>
    <sheetView workbookViewId="0"/>
  </sheetViews>
  <sheetFormatPr defaultRowHeight="14.5" x14ac:dyDescent="0.35"/>
  <cols>
    <col min="1" max="2" width="12.453125" bestFit="1" customWidth="1"/>
    <col min="3" max="3" width="11.81640625" bestFit="1" customWidth="1"/>
    <col min="4" max="4" width="12.453125" bestFit="1" customWidth="1"/>
  </cols>
  <sheetData>
    <row r="1" spans="1:4" x14ac:dyDescent="0.35">
      <c r="A1" t="s">
        <v>0</v>
      </c>
      <c r="B1" t="s">
        <v>1</v>
      </c>
      <c r="C1" t="s">
        <v>2</v>
      </c>
      <c r="D1" t="s">
        <v>342</v>
      </c>
    </row>
    <row r="2" spans="1:4" x14ac:dyDescent="0.35">
      <c r="A2">
        <v>-3</v>
      </c>
      <c r="B2">
        <v>-0.4707244947018191</v>
      </c>
      <c r="C2">
        <v>1.9686264599091906E-2</v>
      </c>
      <c r="D2">
        <v>-2.7490079415125789E-2</v>
      </c>
    </row>
    <row r="3" spans="1:4" x14ac:dyDescent="0.35">
      <c r="A3">
        <v>-2.8461538461538463</v>
      </c>
      <c r="B3">
        <v>-0.58170191942017735</v>
      </c>
      <c r="C3">
        <v>2.6650794921904836E-2</v>
      </c>
      <c r="D3">
        <v>1.5749216945319118E-2</v>
      </c>
    </row>
    <row r="4" spans="1:4" x14ac:dyDescent="0.35">
      <c r="A4">
        <v>-2.6923076923076925</v>
      </c>
      <c r="B4">
        <v>-0.55808940324509815</v>
      </c>
      <c r="C4">
        <v>2.3325520755381721E-2</v>
      </c>
      <c r="D4">
        <v>1.1165521704271864E-2</v>
      </c>
    </row>
    <row r="5" spans="1:4" x14ac:dyDescent="0.35">
      <c r="A5">
        <v>-2.5384615384615383</v>
      </c>
      <c r="B5">
        <v>-0.52141656889982146</v>
      </c>
      <c r="C5">
        <v>1.9384046209951395E-2</v>
      </c>
      <c r="D5">
        <v>2.111775335019024E-3</v>
      </c>
    </row>
    <row r="6" spans="1:4" x14ac:dyDescent="0.35">
      <c r="A6">
        <v>-2.3846153846153846</v>
      </c>
      <c r="B6">
        <v>-0.47005583479990565</v>
      </c>
      <c r="C6">
        <v>1.517086051492454E-2</v>
      </c>
      <c r="D6">
        <v>-1.0745656392678731E-2</v>
      </c>
    </row>
    <row r="7" spans="1:4" x14ac:dyDescent="0.35">
      <c r="A7">
        <v>-2.2307692307692308</v>
      </c>
      <c r="B7">
        <v>-0.40812747893575441</v>
      </c>
      <c r="C7">
        <v>1.193811906433382E-2</v>
      </c>
      <c r="D7">
        <v>-2.2702682264113982E-2</v>
      </c>
    </row>
    <row r="8" spans="1:4" x14ac:dyDescent="0.35">
      <c r="A8">
        <v>-2.0769230769230766</v>
      </c>
      <c r="B8">
        <v>-0.36091260546951748</v>
      </c>
      <c r="C8">
        <v>1.0634974264679088E-2</v>
      </c>
      <c r="D8">
        <v>-2.6934604299742173E-2</v>
      </c>
    </row>
    <row r="9" spans="1:4" x14ac:dyDescent="0.35">
      <c r="A9">
        <v>-1.9230769230769229</v>
      </c>
      <c r="B9">
        <v>-0.34459362014762285</v>
      </c>
      <c r="C9">
        <v>9.2509025123608899E-3</v>
      </c>
      <c r="D9">
        <v>-2.9223705555557443E-2</v>
      </c>
    </row>
    <row r="10" spans="1:4" x14ac:dyDescent="0.35">
      <c r="A10">
        <v>-1.7692307692307692</v>
      </c>
      <c r="B10">
        <v>-0.26195487276713375</v>
      </c>
      <c r="C10">
        <v>1.0601005913947635E-2</v>
      </c>
      <c r="D10">
        <v>-2.3950332203690756E-2</v>
      </c>
    </row>
    <row r="11" spans="1:4" x14ac:dyDescent="0.35">
      <c r="A11">
        <v>-1.6153846153846154</v>
      </c>
      <c r="B11">
        <v>-0.22069019061475151</v>
      </c>
      <c r="C11">
        <v>9.4485393663400735E-3</v>
      </c>
      <c r="D11">
        <v>-2.78908837776831E-2</v>
      </c>
    </row>
    <row r="12" spans="1:4" x14ac:dyDescent="0.35">
      <c r="A12">
        <v>-1.4615384615384615</v>
      </c>
      <c r="B12">
        <v>-0.18079024956605125</v>
      </c>
      <c r="C12">
        <v>8.5708561576352624E-3</v>
      </c>
      <c r="D12">
        <v>-3.1635744425391188E-2</v>
      </c>
    </row>
    <row r="13" spans="1:4" x14ac:dyDescent="0.35">
      <c r="A13">
        <v>-1.3076923076923075</v>
      </c>
      <c r="B13">
        <v>-0.14143012557959783</v>
      </c>
      <c r="C13">
        <v>7.9565958926644097E-3</v>
      </c>
      <c r="D13">
        <v>-3.5061535375138696E-2</v>
      </c>
    </row>
    <row r="14" spans="1:4" x14ac:dyDescent="0.35">
      <c r="A14">
        <v>-1.1538461538461537</v>
      </c>
      <c r="B14">
        <v>-0.10242624688875276</v>
      </c>
      <c r="C14">
        <v>7.5175628244753745E-3</v>
      </c>
      <c r="D14">
        <v>-3.8408181222963071E-2</v>
      </c>
    </row>
    <row r="15" spans="1:4" x14ac:dyDescent="0.35">
      <c r="A15">
        <v>-1</v>
      </c>
      <c r="B15">
        <v>-7.5797478961882464E-2</v>
      </c>
      <c r="C15">
        <v>7.2070562273080186E-3</v>
      </c>
      <c r="D15">
        <v>-4.098236843173348E-2</v>
      </c>
    </row>
    <row r="16" spans="1:4" x14ac:dyDescent="0.35">
      <c r="A16">
        <v>-0.84615384615384581</v>
      </c>
      <c r="B16">
        <v>-5.021048722689786E-2</v>
      </c>
      <c r="C16">
        <v>7.0450117723259448E-3</v>
      </c>
      <c r="D16">
        <v>-4.3099059714032655E-2</v>
      </c>
    </row>
    <row r="17" spans="1:4" x14ac:dyDescent="0.35">
      <c r="A17">
        <v>-0.69230769230769207</v>
      </c>
      <c r="B17">
        <v>1.2588328239324291E-2</v>
      </c>
      <c r="C17">
        <v>7.0569699908736216E-3</v>
      </c>
      <c r="D17">
        <v>-4.7420817739876525E-2</v>
      </c>
    </row>
    <row r="18" spans="1:4" x14ac:dyDescent="0.35">
      <c r="A18">
        <v>-0.53846153846153832</v>
      </c>
      <c r="B18">
        <v>4.9676062698543806E-2</v>
      </c>
      <c r="C18">
        <v>7.0698198738185294E-3</v>
      </c>
      <c r="D18">
        <v>-4.9984944281891076E-2</v>
      </c>
    </row>
    <row r="19" spans="1:4" x14ac:dyDescent="0.35">
      <c r="A19">
        <v>-0.38461538461538458</v>
      </c>
      <c r="B19">
        <v>8.6315721217586891E-2</v>
      </c>
      <c r="C19">
        <v>7.1252794575186072E-3</v>
      </c>
      <c r="D19">
        <v>-5.2409002505257207E-2</v>
      </c>
    </row>
    <row r="20" spans="1:4" x14ac:dyDescent="0.35">
      <c r="A20">
        <v>-0.23076923076923084</v>
      </c>
      <c r="B20">
        <v>0.12264282343151711</v>
      </c>
      <c r="C20">
        <v>7.2051959575513413E-3</v>
      </c>
      <c r="D20">
        <v>-5.471805260071113E-2</v>
      </c>
    </row>
    <row r="21" spans="1:4" x14ac:dyDescent="0.35">
      <c r="A21">
        <v>-7.692307692307665E-2</v>
      </c>
      <c r="B21">
        <v>0.15866904143429414</v>
      </c>
      <c r="C21">
        <v>7.3058464260458396E-3</v>
      </c>
      <c r="D21">
        <v>-5.6866323386581985E-2</v>
      </c>
    </row>
    <row r="22" spans="1:4" x14ac:dyDescent="0.35">
      <c r="A22">
        <v>7.6923076923077094E-2</v>
      </c>
      <c r="B22">
        <v>0.19438324982790811</v>
      </c>
      <c r="C22">
        <v>7.4242305847792081E-3</v>
      </c>
      <c r="D22">
        <v>-5.8796007981784998E-2</v>
      </c>
    </row>
    <row r="23" spans="1:4" x14ac:dyDescent="0.35">
      <c r="A23">
        <v>0.23076923076923084</v>
      </c>
      <c r="B23">
        <v>0.2298127876157125</v>
      </c>
      <c r="C23">
        <v>7.5579059131782025E-3</v>
      </c>
      <c r="D23">
        <v>-6.0457860690704475E-2</v>
      </c>
    </row>
    <row r="24" spans="1:4" x14ac:dyDescent="0.35">
      <c r="A24">
        <v>0.38461538461538503</v>
      </c>
      <c r="B24">
        <v>0.26476827200733888</v>
      </c>
      <c r="C24">
        <v>7.7065316594751663E-3</v>
      </c>
      <c r="D24">
        <v>-6.1813632556771851E-2</v>
      </c>
    </row>
    <row r="25" spans="1:4" x14ac:dyDescent="0.35">
      <c r="A25">
        <v>0.53846153846153877</v>
      </c>
      <c r="B25">
        <v>0.30005088904258825</v>
      </c>
      <c r="C25">
        <v>7.8759575358728386E-3</v>
      </c>
      <c r="D25">
        <v>-6.2768147011800987E-2</v>
      </c>
    </row>
    <row r="26" spans="1:4" x14ac:dyDescent="0.35">
      <c r="A26">
        <v>0.69230769230769251</v>
      </c>
      <c r="B26">
        <v>0.33549016714645657</v>
      </c>
      <c r="C26">
        <v>8.0746154891171134E-3</v>
      </c>
      <c r="D26">
        <v>-6.3433883377017664E-2</v>
      </c>
    </row>
    <row r="27" spans="1:4" x14ac:dyDescent="0.35">
      <c r="A27">
        <v>0.84615384615384626</v>
      </c>
      <c r="B27">
        <v>0.37268916117836531</v>
      </c>
      <c r="C27">
        <v>8.3110616309410353E-3</v>
      </c>
      <c r="D27">
        <v>-6.3731589399724439E-2</v>
      </c>
    </row>
    <row r="28" spans="1:4" x14ac:dyDescent="0.35">
      <c r="A28">
        <v>1</v>
      </c>
      <c r="B28">
        <v>0.3944171406917818</v>
      </c>
      <c r="C28">
        <v>8.9730165439279759E-3</v>
      </c>
      <c r="D28">
        <v>-6.4599194014201652E-2</v>
      </c>
    </row>
    <row r="29" spans="1:4" x14ac:dyDescent="0.35">
      <c r="A29">
        <v>1.1538461538461542</v>
      </c>
      <c r="B29">
        <v>0.41663052566010411</v>
      </c>
      <c r="C29">
        <v>9.7805284848984913E-3</v>
      </c>
      <c r="D29">
        <v>-6.6041819064654353E-2</v>
      </c>
    </row>
    <row r="30" spans="1:4" x14ac:dyDescent="0.35">
      <c r="A30">
        <v>1.3076923076923084</v>
      </c>
      <c r="B30">
        <v>0.51208038826124036</v>
      </c>
      <c r="C30">
        <v>8.718684914984209E-3</v>
      </c>
      <c r="D30">
        <v>-5.905907638712634E-2</v>
      </c>
    </row>
    <row r="31" spans="1:4" x14ac:dyDescent="0.35">
      <c r="A31">
        <v>1.4615384615384617</v>
      </c>
      <c r="B31">
        <v>0.53739909271384789</v>
      </c>
      <c r="C31">
        <v>1.0278732119366725E-2</v>
      </c>
      <c r="D31">
        <v>-6.2122986563377912E-2</v>
      </c>
    </row>
    <row r="32" spans="1:4" x14ac:dyDescent="0.35">
      <c r="A32">
        <v>1.6153846153846159</v>
      </c>
      <c r="B32">
        <v>0.64934060673797034</v>
      </c>
      <c r="C32">
        <v>1.3925451850662417E-2</v>
      </c>
      <c r="D32">
        <v>-9.0864241139132718E-2</v>
      </c>
    </row>
    <row r="33" spans="1:4" x14ac:dyDescent="0.35">
      <c r="A33">
        <v>1.7692307692307692</v>
      </c>
      <c r="B33">
        <v>0.68863221156693077</v>
      </c>
      <c r="C33">
        <v>1.761404112117539E-2</v>
      </c>
      <c r="D33">
        <v>-0.10135383804477661</v>
      </c>
    </row>
    <row r="34" spans="1:4" x14ac:dyDescent="0.35">
      <c r="A34">
        <v>1.9230769230769234</v>
      </c>
      <c r="B34">
        <v>0.71304722076802207</v>
      </c>
      <c r="C34">
        <v>2.084139275838608E-2</v>
      </c>
      <c r="D34">
        <v>-0.10615189329321247</v>
      </c>
    </row>
    <row r="35" spans="1:4" x14ac:dyDescent="0.35">
      <c r="A35">
        <v>2.0769230769230775</v>
      </c>
      <c r="B35">
        <v>0.73283330715237138</v>
      </c>
      <c r="C35">
        <v>2.3943926342654395E-2</v>
      </c>
      <c r="D35">
        <v>-0.10920289720274602</v>
      </c>
    </row>
    <row r="36" spans="1:4" x14ac:dyDescent="0.35">
      <c r="A36">
        <v>2.2307692307692308</v>
      </c>
      <c r="B36">
        <v>0.75033899744066435</v>
      </c>
      <c r="C36">
        <v>2.7005246365414931E-2</v>
      </c>
      <c r="D36">
        <v>-0.11145569642391909</v>
      </c>
    </row>
    <row r="37" spans="1:4" x14ac:dyDescent="0.35">
      <c r="A37">
        <v>2.384615384615385</v>
      </c>
      <c r="B37">
        <v>0.76534518285197861</v>
      </c>
      <c r="C37">
        <v>3.0018849177036917E-2</v>
      </c>
      <c r="D37">
        <v>-0.11275452425597444</v>
      </c>
    </row>
    <row r="38" spans="1:4" x14ac:dyDescent="0.35">
      <c r="A38">
        <v>2.5384615384615383</v>
      </c>
      <c r="B38">
        <v>0.77965726812740377</v>
      </c>
      <c r="C38">
        <v>3.3056145265318755E-2</v>
      </c>
      <c r="D38">
        <v>-0.11389692895142475</v>
      </c>
    </row>
    <row r="39" spans="1:4" x14ac:dyDescent="0.35">
      <c r="A39">
        <v>2.6923076923076925</v>
      </c>
      <c r="B39">
        <v>0.79334314996049271</v>
      </c>
      <c r="C39">
        <v>3.613145813142131E-2</v>
      </c>
      <c r="D39">
        <v>-0.11488042325180071</v>
      </c>
    </row>
    <row r="40" spans="1:4" x14ac:dyDescent="0.35">
      <c r="A40">
        <v>2.8461538461538467</v>
      </c>
      <c r="B40">
        <v>0.80641550456553956</v>
      </c>
      <c r="C40">
        <v>3.9244709761667322E-2</v>
      </c>
      <c r="D40">
        <v>-0.11570025205528334</v>
      </c>
    </row>
    <row r="41" spans="1:4" x14ac:dyDescent="0.35">
      <c r="A41">
        <v>3</v>
      </c>
      <c r="B41">
        <v>0.81918511725839993</v>
      </c>
      <c r="C41">
        <v>4.2405173359646775E-2</v>
      </c>
      <c r="D41">
        <v>-0.11648787848736422</v>
      </c>
    </row>
  </sheetData>
  <pageMargins left="0.7" right="0.7" top="0.75" bottom="0.75" header="0.3" footer="0.3"/>
  <tableParts count="1">
    <tablePart r:id="rId1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962D15-F22C-4720-889B-F6FF5F289B20}">
  <dimension ref="A1:D41"/>
  <sheetViews>
    <sheetView workbookViewId="0"/>
  </sheetViews>
  <sheetFormatPr defaultRowHeight="14.5" x14ac:dyDescent="0.35"/>
  <cols>
    <col min="1" max="2" width="12.453125" bestFit="1" customWidth="1"/>
    <col min="3" max="3" width="11.81640625" bestFit="1" customWidth="1"/>
    <col min="4" max="4" width="12.453125" bestFit="1" customWidth="1"/>
  </cols>
  <sheetData>
    <row r="1" spans="1:4" x14ac:dyDescent="0.35">
      <c r="A1" t="s">
        <v>0</v>
      </c>
      <c r="B1" t="s">
        <v>1</v>
      </c>
      <c r="C1" t="s">
        <v>2</v>
      </c>
      <c r="D1" t="s">
        <v>342</v>
      </c>
    </row>
    <row r="2" spans="1:4" x14ac:dyDescent="0.35">
      <c r="A2">
        <v>-3</v>
      </c>
      <c r="B2">
        <v>-0.38881471023734648</v>
      </c>
      <c r="C2">
        <v>2.0548407429339381E-2</v>
      </c>
      <c r="D2">
        <v>-5.5629635703204304E-2</v>
      </c>
    </row>
    <row r="3" spans="1:4" x14ac:dyDescent="0.35">
      <c r="A3">
        <v>-2.8461538461538463</v>
      </c>
      <c r="B3">
        <v>-0.57839638089870693</v>
      </c>
      <c r="C3">
        <v>2.6638367312757236E-2</v>
      </c>
      <c r="D3">
        <v>1.4671223050478089E-2</v>
      </c>
    </row>
    <row r="4" spans="1:4" x14ac:dyDescent="0.35">
      <c r="A4">
        <v>-2.6923076923076925</v>
      </c>
      <c r="B4">
        <v>-0.55521711552123165</v>
      </c>
      <c r="C4">
        <v>2.3367244452274134E-2</v>
      </c>
      <c r="D4">
        <v>1.0305490674226012E-2</v>
      </c>
    </row>
    <row r="5" spans="1:4" x14ac:dyDescent="0.35">
      <c r="A5">
        <v>-2.5384615384615383</v>
      </c>
      <c r="B5">
        <v>-0.51981901950270681</v>
      </c>
      <c r="C5">
        <v>1.9534493502484981E-2</v>
      </c>
      <c r="D5">
        <v>1.7857479466064793E-3</v>
      </c>
    </row>
    <row r="6" spans="1:4" x14ac:dyDescent="0.35">
      <c r="A6">
        <v>-2.3846153846153846</v>
      </c>
      <c r="B6">
        <v>-0.47018523310662441</v>
      </c>
      <c r="C6">
        <v>1.5433654430691461E-2</v>
      </c>
      <c r="D6">
        <v>-1.0446303109032072E-2</v>
      </c>
    </row>
    <row r="7" spans="1:4" x14ac:dyDescent="0.35">
      <c r="A7">
        <v>-2.2307692307692308</v>
      </c>
      <c r="B7">
        <v>-0.40685823931340354</v>
      </c>
      <c r="C7">
        <v>1.2218270405131532E-2</v>
      </c>
      <c r="D7">
        <v>-2.2460050212773745E-2</v>
      </c>
    </row>
    <row r="8" spans="1:4" x14ac:dyDescent="0.35">
      <c r="A8">
        <v>-2.0769230769230766</v>
      </c>
      <c r="B8">
        <v>-0.35403153146225513</v>
      </c>
      <c r="C8">
        <v>1.1583133359394017E-2</v>
      </c>
      <c r="D8">
        <v>-2.4573222209626322E-2</v>
      </c>
    </row>
    <row r="9" spans="1:4" x14ac:dyDescent="0.35">
      <c r="A9">
        <v>-1.9230769230769229</v>
      </c>
      <c r="B9">
        <v>-0.32366467717702291</v>
      </c>
      <c r="C9">
        <v>1.1675585635669219E-2</v>
      </c>
      <c r="D9">
        <v>-2.2579727883741744E-2</v>
      </c>
    </row>
    <row r="10" spans="1:4" x14ac:dyDescent="0.35">
      <c r="A10">
        <v>-1.7692307692307692</v>
      </c>
      <c r="B10">
        <v>-0.26408446441156019</v>
      </c>
      <c r="C10">
        <v>1.0910816834273208E-2</v>
      </c>
      <c r="D10">
        <v>-2.3144619637276615E-2</v>
      </c>
    </row>
    <row r="11" spans="1:4" x14ac:dyDescent="0.35">
      <c r="A11">
        <v>-1.6153846153846154</v>
      </c>
      <c r="B11">
        <v>-0.22302123904319268</v>
      </c>
      <c r="C11">
        <v>9.7517103118052017E-3</v>
      </c>
      <c r="D11">
        <v>-2.7035529999322648E-2</v>
      </c>
    </row>
    <row r="12" spans="1:4" x14ac:dyDescent="0.35">
      <c r="A12">
        <v>-1.4615384615384615</v>
      </c>
      <c r="B12">
        <v>-0.18330679663599631</v>
      </c>
      <c r="C12">
        <v>8.8645108986367665E-3</v>
      </c>
      <c r="D12">
        <v>-3.0743105416619298E-2</v>
      </c>
    </row>
    <row r="13" spans="1:4" x14ac:dyDescent="0.35">
      <c r="A13">
        <v>-1.3076923076923075</v>
      </c>
      <c r="B13">
        <v>-0.14413595863576253</v>
      </c>
      <c r="C13">
        <v>8.2369731418821673E-3</v>
      </c>
      <c r="D13">
        <v>-3.4135641465552889E-2</v>
      </c>
    </row>
    <row r="14" spans="1:4" x14ac:dyDescent="0.35">
      <c r="A14">
        <v>-1.1538461538461537</v>
      </c>
      <c r="B14">
        <v>-0.11317617403050739</v>
      </c>
      <c r="C14">
        <v>7.7602318691809011E-3</v>
      </c>
      <c r="D14">
        <v>-3.6870573728620473E-2</v>
      </c>
    </row>
    <row r="15" spans="1:4" x14ac:dyDescent="0.35">
      <c r="A15">
        <v>-1</v>
      </c>
      <c r="B15">
        <v>-8.3919295296408847E-2</v>
      </c>
      <c r="C15">
        <v>7.4649095451472768E-3</v>
      </c>
      <c r="D15">
        <v>-3.9465314172490391E-2</v>
      </c>
    </row>
    <row r="16" spans="1:4" x14ac:dyDescent="0.35">
      <c r="A16">
        <v>-0.84615384615384581</v>
      </c>
      <c r="B16">
        <v>-2.8288103649341628E-2</v>
      </c>
      <c r="C16">
        <v>7.3588151778633407E-3</v>
      </c>
      <c r="D16">
        <v>-4.3658921164655848E-2</v>
      </c>
    </row>
    <row r="17" spans="1:4" x14ac:dyDescent="0.35">
      <c r="A17">
        <v>-0.69230769230769207</v>
      </c>
      <c r="B17">
        <v>9.2097607205136548E-3</v>
      </c>
      <c r="C17">
        <v>7.3011236148181682E-3</v>
      </c>
      <c r="D17">
        <v>-4.6377760937160874E-2</v>
      </c>
    </row>
    <row r="18" spans="1:4" x14ac:dyDescent="0.35">
      <c r="A18">
        <v>-0.53846153846153832</v>
      </c>
      <c r="B18">
        <v>4.6149811198394647E-2</v>
      </c>
      <c r="C18">
        <v>7.3074028773249637E-3</v>
      </c>
      <c r="D18">
        <v>-4.8909242662209564E-2</v>
      </c>
    </row>
    <row r="19" spans="1:4" x14ac:dyDescent="0.35">
      <c r="A19">
        <v>-0.38461538461538458</v>
      </c>
      <c r="B19">
        <v>8.2641419999135185E-2</v>
      </c>
      <c r="C19">
        <v>7.357124810481586E-3</v>
      </c>
      <c r="D19">
        <v>-5.1298684383078476E-2</v>
      </c>
    </row>
    <row r="20" spans="1:4" x14ac:dyDescent="0.35">
      <c r="A20">
        <v>-0.23076923076923084</v>
      </c>
      <c r="B20">
        <v>0.11882144534702563</v>
      </c>
      <c r="C20">
        <v>7.4316404975127487E-3</v>
      </c>
      <c r="D20">
        <v>-5.3575029011208412E-2</v>
      </c>
    </row>
    <row r="21" spans="1:4" x14ac:dyDescent="0.35">
      <c r="A21">
        <v>-7.692307692307665E-2</v>
      </c>
      <c r="B21">
        <v>0.15470497297527452</v>
      </c>
      <c r="C21">
        <v>7.5274361697150191E-3</v>
      </c>
      <c r="D21">
        <v>-5.5695234403027323E-2</v>
      </c>
    </row>
    <row r="22" spans="1:4" x14ac:dyDescent="0.35">
      <c r="A22">
        <v>7.6923076923077094E-2</v>
      </c>
      <c r="B22">
        <v>0.19028023484000769</v>
      </c>
      <c r="C22">
        <v>7.6418270685402641E-3</v>
      </c>
      <c r="D22">
        <v>-5.7602421203677541E-2</v>
      </c>
    </row>
    <row r="23" spans="1:4" x14ac:dyDescent="0.35">
      <c r="A23">
        <v>0.23076923076923084</v>
      </c>
      <c r="B23">
        <v>0.22556873914039061</v>
      </c>
      <c r="C23">
        <v>7.7730641357613211E-3</v>
      </c>
      <c r="D23">
        <v>-5.924646001321391E-2</v>
      </c>
    </row>
    <row r="24" spans="1:4" x14ac:dyDescent="0.35">
      <c r="A24">
        <v>0.38461538461538503</v>
      </c>
      <c r="B24">
        <v>0.2606045904157881</v>
      </c>
      <c r="C24">
        <v>7.9213836443355525E-3</v>
      </c>
      <c r="D24">
        <v>-6.0581876145214604E-2</v>
      </c>
    </row>
    <row r="25" spans="1:4" x14ac:dyDescent="0.35">
      <c r="A25">
        <v>0.53846153846153877</v>
      </c>
      <c r="B25">
        <v>0.29549787196919286</v>
      </c>
      <c r="C25">
        <v>8.0921751564464531E-3</v>
      </c>
      <c r="D25">
        <v>-6.1536475613780214E-2</v>
      </c>
    </row>
    <row r="26" spans="1:4" x14ac:dyDescent="0.35">
      <c r="A26">
        <v>0.69230769230769251</v>
      </c>
      <c r="B26">
        <v>0.33071062530575623</v>
      </c>
      <c r="C26">
        <v>8.2924755521882852E-3</v>
      </c>
      <c r="D26">
        <v>-6.2189777477531551E-2</v>
      </c>
    </row>
    <row r="27" spans="1:4" x14ac:dyDescent="0.35">
      <c r="A27">
        <v>0.84615384615384626</v>
      </c>
      <c r="B27">
        <v>0.36761163435898153</v>
      </c>
      <c r="C27">
        <v>8.5274279082865785E-3</v>
      </c>
      <c r="D27">
        <v>-6.255128029737865E-2</v>
      </c>
    </row>
    <row r="28" spans="1:4" x14ac:dyDescent="0.35">
      <c r="A28">
        <v>1</v>
      </c>
      <c r="B28">
        <v>0.40174199382883713</v>
      </c>
      <c r="C28">
        <v>8.8779821731957542E-3</v>
      </c>
      <c r="D28">
        <v>-6.2777931256525643E-2</v>
      </c>
    </row>
    <row r="29" spans="1:4" x14ac:dyDescent="0.35">
      <c r="A29">
        <v>1.1538461538461542</v>
      </c>
      <c r="B29">
        <v>0.41522838232033826</v>
      </c>
      <c r="C29">
        <v>9.7890104328449117E-3</v>
      </c>
      <c r="D29">
        <v>-6.3924916468811946E-2</v>
      </c>
    </row>
    <row r="30" spans="1:4" x14ac:dyDescent="0.35">
      <c r="A30">
        <v>1.3076923076923084</v>
      </c>
      <c r="B30">
        <v>0.50398771215348059</v>
      </c>
      <c r="C30">
        <v>8.9485751873634774E-3</v>
      </c>
      <c r="D30">
        <v>-5.7341712671679451E-2</v>
      </c>
    </row>
    <row r="31" spans="1:4" x14ac:dyDescent="0.35">
      <c r="A31">
        <v>1.4615384615384617</v>
      </c>
      <c r="B31">
        <v>0.51868827130262241</v>
      </c>
      <c r="C31">
        <v>1.0487322229835432E-2</v>
      </c>
      <c r="D31">
        <v>-5.9579581882816951E-2</v>
      </c>
    </row>
    <row r="32" spans="1:4" x14ac:dyDescent="0.35">
      <c r="A32">
        <v>1.6153846153846159</v>
      </c>
      <c r="B32">
        <v>0.63672226953443556</v>
      </c>
      <c r="C32">
        <v>1.3630656554943927E-2</v>
      </c>
      <c r="D32">
        <v>-8.5728424030788952E-2</v>
      </c>
    </row>
    <row r="33" spans="1:4" x14ac:dyDescent="0.35">
      <c r="A33">
        <v>1.7692307692307692</v>
      </c>
      <c r="B33">
        <v>0.68253871480665462</v>
      </c>
      <c r="C33">
        <v>1.7468275767252912E-2</v>
      </c>
      <c r="D33">
        <v>-9.867848777334047E-2</v>
      </c>
    </row>
    <row r="34" spans="1:4" x14ac:dyDescent="0.35">
      <c r="A34">
        <v>1.9230769230769234</v>
      </c>
      <c r="B34">
        <v>0.70782568206021224</v>
      </c>
      <c r="C34">
        <v>2.0707779602604687E-2</v>
      </c>
      <c r="D34">
        <v>-0.1038003261337886</v>
      </c>
    </row>
    <row r="35" spans="1:4" x14ac:dyDescent="0.35">
      <c r="A35">
        <v>2.0769230769230775</v>
      </c>
      <c r="B35">
        <v>0.727949426042658</v>
      </c>
      <c r="C35">
        <v>2.3807789380649941E-2</v>
      </c>
      <c r="D35">
        <v>-0.10697725415720254</v>
      </c>
    </row>
    <row r="36" spans="1:4" x14ac:dyDescent="0.35">
      <c r="A36">
        <v>2.2307692307692308</v>
      </c>
      <c r="B36">
        <v>0.74517776091959798</v>
      </c>
      <c r="C36">
        <v>2.6846032260057998E-2</v>
      </c>
      <c r="D36">
        <v>-0.10908789813080806</v>
      </c>
    </row>
    <row r="37" spans="1:4" x14ac:dyDescent="0.35">
      <c r="A37">
        <v>2.384615384615385</v>
      </c>
      <c r="B37">
        <v>0.76072861436670236</v>
      </c>
      <c r="C37">
        <v>2.9874329316429384E-2</v>
      </c>
      <c r="D37">
        <v>-0.11062470322237571</v>
      </c>
    </row>
    <row r="38" spans="1:4" x14ac:dyDescent="0.35">
      <c r="A38">
        <v>2.5384615384615383</v>
      </c>
      <c r="B38">
        <v>0.77517951338612434</v>
      </c>
      <c r="C38">
        <v>3.2915438653219324E-2</v>
      </c>
      <c r="D38">
        <v>-0.11181739531452788</v>
      </c>
    </row>
    <row r="39" spans="1:4" x14ac:dyDescent="0.35">
      <c r="A39">
        <v>2.6923076923076925</v>
      </c>
      <c r="B39">
        <v>0.78884770378252433</v>
      </c>
      <c r="C39">
        <v>3.5983731162610416E-2</v>
      </c>
      <c r="D39">
        <v>-0.11278666293530269</v>
      </c>
    </row>
    <row r="40" spans="1:4" x14ac:dyDescent="0.35">
      <c r="A40">
        <v>2.8461538461538467</v>
      </c>
      <c r="B40">
        <v>0.80196033307454007</v>
      </c>
      <c r="C40">
        <v>3.9089731198917767E-2</v>
      </c>
      <c r="D40">
        <v>-0.11361930792009582</v>
      </c>
    </row>
    <row r="41" spans="1:4" x14ac:dyDescent="0.35">
      <c r="A41">
        <v>3</v>
      </c>
      <c r="B41">
        <v>0.81468726272200365</v>
      </c>
      <c r="C41">
        <v>4.2239826443952334E-2</v>
      </c>
      <c r="D41">
        <v>-0.11438362573246956</v>
      </c>
    </row>
  </sheetData>
  <pageMargins left="0.7" right="0.7" top="0.75" bottom="0.75" header="0.3" footer="0.3"/>
  <tableParts count="1">
    <tablePart r:id="rId1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7CF8B-6A55-4838-851B-DD8FD6F66744}">
  <dimension ref="A1:D41"/>
  <sheetViews>
    <sheetView workbookViewId="0"/>
  </sheetViews>
  <sheetFormatPr defaultRowHeight="14.5" x14ac:dyDescent="0.35"/>
  <cols>
    <col min="1" max="2" width="12.453125" bestFit="1" customWidth="1"/>
    <col min="3" max="3" width="11.81640625" bestFit="1" customWidth="1"/>
    <col min="4" max="4" width="12.453125" bestFit="1" customWidth="1"/>
  </cols>
  <sheetData>
    <row r="1" spans="1:4" x14ac:dyDescent="0.35">
      <c r="A1" t="s">
        <v>0</v>
      </c>
      <c r="B1" t="s">
        <v>1</v>
      </c>
      <c r="C1" t="s">
        <v>2</v>
      </c>
      <c r="D1" t="s">
        <v>342</v>
      </c>
    </row>
    <row r="2" spans="1:4" x14ac:dyDescent="0.35">
      <c r="A2">
        <v>-3</v>
      </c>
      <c r="B2">
        <v>-0.38410228665961715</v>
      </c>
      <c r="C2">
        <v>2.0890980688701353E-2</v>
      </c>
      <c r="D2">
        <v>-5.4077421372984366E-2</v>
      </c>
    </row>
    <row r="3" spans="1:4" x14ac:dyDescent="0.35">
      <c r="A3">
        <v>-2.8461538461538463</v>
      </c>
      <c r="B3">
        <v>-0.57350072686008247</v>
      </c>
      <c r="C3">
        <v>2.6636930451126587E-2</v>
      </c>
      <c r="D3">
        <v>1.3092284799025756E-2</v>
      </c>
    </row>
    <row r="4" spans="1:4" x14ac:dyDescent="0.35">
      <c r="A4">
        <v>-2.6923076923076925</v>
      </c>
      <c r="B4">
        <v>-0.55101724348332959</v>
      </c>
      <c r="C4">
        <v>2.3446244287078043E-2</v>
      </c>
      <c r="D4">
        <v>9.0593026801512166E-3</v>
      </c>
    </row>
    <row r="5" spans="1:4" x14ac:dyDescent="0.35">
      <c r="A5">
        <v>-2.5384615384615383</v>
      </c>
      <c r="B5">
        <v>-0.51730717877945387</v>
      </c>
      <c r="C5">
        <v>1.9761408178267499E-2</v>
      </c>
      <c r="D5">
        <v>1.2549527929554293E-3</v>
      </c>
    </row>
    <row r="6" spans="1:4" x14ac:dyDescent="0.35">
      <c r="A6">
        <v>-2.3846153846153846</v>
      </c>
      <c r="B6">
        <v>-0.4701336966233382</v>
      </c>
      <c r="C6">
        <v>1.5825122757287254E-2</v>
      </c>
      <c r="D6">
        <v>-1.0073764022605753E-2</v>
      </c>
    </row>
    <row r="7" spans="1:4" x14ac:dyDescent="0.35">
      <c r="A7">
        <v>-2.2307692307692308</v>
      </c>
      <c r="B7">
        <v>-0.40857070318551375</v>
      </c>
      <c r="C7">
        <v>1.2684311463744838E-2</v>
      </c>
      <c r="D7">
        <v>-2.1574673642638723E-2</v>
      </c>
    </row>
    <row r="8" spans="1:4" x14ac:dyDescent="0.35">
      <c r="A8">
        <v>-2.0769230769230766</v>
      </c>
      <c r="B8">
        <v>-0.35462432206241795</v>
      </c>
      <c r="C8">
        <v>1.2641579626382952E-2</v>
      </c>
      <c r="D8">
        <v>-2.1468818128288374E-2</v>
      </c>
    </row>
    <row r="9" spans="1:4" x14ac:dyDescent="0.35">
      <c r="A9">
        <v>-1.9230769230769229</v>
      </c>
      <c r="B9">
        <v>-0.32059288944134312</v>
      </c>
      <c r="C9">
        <v>1.2673082892589669E-2</v>
      </c>
      <c r="D9">
        <v>-1.9402734223725848E-2</v>
      </c>
    </row>
    <row r="10" spans="1:4" x14ac:dyDescent="0.35">
      <c r="A10">
        <v>-1.7692307692307692</v>
      </c>
      <c r="B10">
        <v>-0.26731546656431887</v>
      </c>
      <c r="C10">
        <v>1.1382842682857918E-2</v>
      </c>
      <c r="D10">
        <v>-2.1933542403248588E-2</v>
      </c>
    </row>
    <row r="11" spans="1:4" x14ac:dyDescent="0.35">
      <c r="A11">
        <v>-1.6153846153846154</v>
      </c>
      <c r="B11">
        <v>-0.22657509075874904</v>
      </c>
      <c r="C11">
        <v>1.0214054527113556E-2</v>
      </c>
      <c r="D11">
        <v>-2.5746016470612275E-2</v>
      </c>
    </row>
    <row r="12" spans="1:4" x14ac:dyDescent="0.35">
      <c r="A12">
        <v>-1.4615384615384615</v>
      </c>
      <c r="B12">
        <v>-0.1872669945268908</v>
      </c>
      <c r="C12">
        <v>9.3101760860272234E-3</v>
      </c>
      <c r="D12">
        <v>-2.9374433031120716E-2</v>
      </c>
    </row>
    <row r="13" spans="1:4" x14ac:dyDescent="0.35">
      <c r="A13">
        <v>-1.3076923076923075</v>
      </c>
      <c r="B13">
        <v>-0.15267931930101247</v>
      </c>
      <c r="C13">
        <v>8.5674305139354298E-3</v>
      </c>
      <c r="D13">
        <v>-3.2532548154327233E-2</v>
      </c>
    </row>
    <row r="14" spans="1:4" x14ac:dyDescent="0.35">
      <c r="A14">
        <v>-1.1538461538461537</v>
      </c>
      <c r="B14">
        <v>-0.11517047150059864</v>
      </c>
      <c r="C14">
        <v>8.1540827174356838E-3</v>
      </c>
      <c r="D14">
        <v>-3.5466165176386191E-2</v>
      </c>
    </row>
    <row r="15" spans="1:4" x14ac:dyDescent="0.35">
      <c r="A15">
        <v>-1</v>
      </c>
      <c r="B15">
        <v>-9.0151053488402522E-2</v>
      </c>
      <c r="C15">
        <v>7.8280988603556204E-3</v>
      </c>
      <c r="D15">
        <v>-3.7956086867391034E-2</v>
      </c>
    </row>
    <row r="16" spans="1:4" x14ac:dyDescent="0.35">
      <c r="A16">
        <v>-0.84615384615384581</v>
      </c>
      <c r="B16">
        <v>-6.7586090914956862E-2</v>
      </c>
      <c r="C16">
        <v>7.6759614437052065E-3</v>
      </c>
      <c r="D16">
        <v>-3.9984587139506582E-2</v>
      </c>
    </row>
    <row r="17" spans="1:4" x14ac:dyDescent="0.35">
      <c r="A17">
        <v>-0.69230769230769207</v>
      </c>
      <c r="B17">
        <v>4.1121795662919444E-3</v>
      </c>
      <c r="C17">
        <v>7.6788124367844594E-3</v>
      </c>
      <c r="D17">
        <v>-4.4801674621774916E-2</v>
      </c>
    </row>
    <row r="18" spans="1:4" x14ac:dyDescent="0.35">
      <c r="A18">
        <v>-0.53846153846153832</v>
      </c>
      <c r="B18">
        <v>4.0830645056508505E-2</v>
      </c>
      <c r="C18">
        <v>7.6754239657528377E-3</v>
      </c>
      <c r="D18">
        <v>-4.728610898544678E-2</v>
      </c>
    </row>
    <row r="19" spans="1:4" x14ac:dyDescent="0.35">
      <c r="A19">
        <v>-0.38461538461538458</v>
      </c>
      <c r="B19">
        <v>7.7092800450409615E-2</v>
      </c>
      <c r="C19">
        <v>7.7166785884203309E-3</v>
      </c>
      <c r="D19">
        <v>-4.9623137224786673E-2</v>
      </c>
    </row>
    <row r="20" spans="1:4" x14ac:dyDescent="0.35">
      <c r="A20">
        <v>-0.23076923076923084</v>
      </c>
      <c r="B20">
        <v>0.11304324270960842</v>
      </c>
      <c r="C20">
        <v>7.7833945918931247E-3</v>
      </c>
      <c r="D20">
        <v>-5.184880129856393E-2</v>
      </c>
    </row>
    <row r="21" spans="1:4" x14ac:dyDescent="0.35">
      <c r="A21">
        <v>-7.692307692307665E-2</v>
      </c>
      <c r="B21">
        <v>0.14870764657100505</v>
      </c>
      <c r="C21">
        <v>7.8720540391872124E-3</v>
      </c>
      <c r="D21">
        <v>-5.3925894487462538E-2</v>
      </c>
    </row>
    <row r="22" spans="1:4" x14ac:dyDescent="0.35">
      <c r="A22">
        <v>7.6923076923077094E-2</v>
      </c>
      <c r="B22">
        <v>0.18407014209429651</v>
      </c>
      <c r="C22">
        <v>7.9804416645567703E-3</v>
      </c>
      <c r="D22">
        <v>-5.5798216647970612E-2</v>
      </c>
    </row>
    <row r="23" spans="1:4" x14ac:dyDescent="0.35">
      <c r="A23">
        <v>0.23076923076923084</v>
      </c>
      <c r="B23">
        <v>0.21914388668314369</v>
      </c>
      <c r="C23">
        <v>8.1075357006917433E-3</v>
      </c>
      <c r="D23">
        <v>-5.7414617042831122E-2</v>
      </c>
    </row>
    <row r="24" spans="1:4" x14ac:dyDescent="0.35">
      <c r="A24">
        <v>0.38461538461538503</v>
      </c>
      <c r="B24">
        <v>0.2539471824297716</v>
      </c>
      <c r="C24">
        <v>8.254973015083409E-3</v>
      </c>
      <c r="D24">
        <v>-5.8730216344425809E-2</v>
      </c>
    </row>
    <row r="25" spans="1:4" x14ac:dyDescent="0.35">
      <c r="A25">
        <v>0.53846153846153877</v>
      </c>
      <c r="B25">
        <v>0.28864396596712744</v>
      </c>
      <c r="C25">
        <v>8.4258268458069652E-3</v>
      </c>
      <c r="D25">
        <v>-5.9689353607400304E-2</v>
      </c>
    </row>
    <row r="26" spans="1:4" x14ac:dyDescent="0.35">
      <c r="A26">
        <v>0.69230769230769251</v>
      </c>
      <c r="B26">
        <v>0.32344219772662536</v>
      </c>
      <c r="C26">
        <v>8.6311518848847368E-3</v>
      </c>
      <c r="D26">
        <v>-6.0294713833163753E-2</v>
      </c>
    </row>
    <row r="27" spans="1:4" x14ac:dyDescent="0.35">
      <c r="A27">
        <v>0.84615384615384626</v>
      </c>
      <c r="B27">
        <v>0.35994612232957285</v>
      </c>
      <c r="C27">
        <v>8.8657763656821518E-3</v>
      </c>
      <c r="D27">
        <v>-6.0735871856944672E-2</v>
      </c>
    </row>
    <row r="28" spans="1:4" x14ac:dyDescent="0.35">
      <c r="A28">
        <v>1</v>
      </c>
      <c r="B28">
        <v>0.39918126214252703</v>
      </c>
      <c r="C28">
        <v>9.0291115686938692E-3</v>
      </c>
      <c r="D28">
        <v>-6.0635999238960785E-2</v>
      </c>
    </row>
    <row r="29" spans="1:4" x14ac:dyDescent="0.35">
      <c r="A29">
        <v>1.1538461538461542</v>
      </c>
      <c r="B29">
        <v>0.41099689433128961</v>
      </c>
      <c r="C29">
        <v>1.0111651395537574E-2</v>
      </c>
      <c r="D29">
        <v>-6.1924637616192595E-2</v>
      </c>
    </row>
    <row r="30" spans="1:4" x14ac:dyDescent="0.35">
      <c r="A30">
        <v>1.3076923076923084</v>
      </c>
      <c r="B30">
        <v>0.47071354825858347</v>
      </c>
      <c r="C30">
        <v>1.0070497991848877E-2</v>
      </c>
      <c r="D30">
        <v>-5.9127855564247302E-2</v>
      </c>
    </row>
    <row r="31" spans="1:4" x14ac:dyDescent="0.35">
      <c r="A31">
        <v>1.4615384615384617</v>
      </c>
      <c r="B31">
        <v>0.56050683144259206</v>
      </c>
      <c r="C31">
        <v>1.063258988424964E-2</v>
      </c>
      <c r="D31">
        <v>-6.4296297179119291E-2</v>
      </c>
    </row>
    <row r="32" spans="1:4" x14ac:dyDescent="0.35">
      <c r="A32">
        <v>1.6153846153846159</v>
      </c>
      <c r="B32">
        <v>0.60103348843064308</v>
      </c>
      <c r="C32">
        <v>1.2924299740149863E-2</v>
      </c>
      <c r="D32">
        <v>-7.3334545562713904E-2</v>
      </c>
    </row>
    <row r="33" spans="1:4" x14ac:dyDescent="0.35">
      <c r="A33">
        <v>1.7692307692307692</v>
      </c>
      <c r="B33">
        <v>0.6479834899500011</v>
      </c>
      <c r="C33">
        <v>1.6010655839396943E-2</v>
      </c>
      <c r="D33">
        <v>-8.5890420871267192E-2</v>
      </c>
    </row>
    <row r="34" spans="1:4" x14ac:dyDescent="0.35">
      <c r="A34">
        <v>1.9230769230769234</v>
      </c>
      <c r="B34">
        <v>0.69956732036953939</v>
      </c>
      <c r="C34">
        <v>2.0508616925112286E-2</v>
      </c>
      <c r="D34">
        <v>-0.10011834128429327</v>
      </c>
    </row>
    <row r="35" spans="1:4" x14ac:dyDescent="0.35">
      <c r="A35">
        <v>2.0769230769230775</v>
      </c>
      <c r="B35">
        <v>0.72041887483069589</v>
      </c>
      <c r="C35">
        <v>2.3615015724761712E-2</v>
      </c>
      <c r="D35">
        <v>-0.10356795124024029</v>
      </c>
    </row>
    <row r="36" spans="1:4" x14ac:dyDescent="0.35">
      <c r="A36">
        <v>2.2307692307692308</v>
      </c>
      <c r="B36">
        <v>0.73806960257476129</v>
      </c>
      <c r="C36">
        <v>2.6656357244235557E-2</v>
      </c>
      <c r="D36">
        <v>-0.10583750028978538</v>
      </c>
    </row>
    <row r="37" spans="1:4" x14ac:dyDescent="0.35">
      <c r="A37">
        <v>2.384615384615385</v>
      </c>
      <c r="B37">
        <v>0.75380043950675824</v>
      </c>
      <c r="C37">
        <v>2.967844550668482E-2</v>
      </c>
      <c r="D37">
        <v>-0.10743698204198461</v>
      </c>
    </row>
    <row r="38" spans="1:4" x14ac:dyDescent="0.35">
      <c r="A38">
        <v>2.5384615384615383</v>
      </c>
      <c r="B38">
        <v>0.76842011511747921</v>
      </c>
      <c r="C38">
        <v>3.2717989211493839E-2</v>
      </c>
      <c r="D38">
        <v>-0.10869144801364093</v>
      </c>
    </row>
    <row r="39" spans="1:4" x14ac:dyDescent="0.35">
      <c r="A39">
        <v>2.6923076923076925</v>
      </c>
      <c r="B39">
        <v>0.78211888531552332</v>
      </c>
      <c r="C39">
        <v>3.577666325094863E-2</v>
      </c>
      <c r="D39">
        <v>-0.10966528998585047</v>
      </c>
    </row>
    <row r="40" spans="1:4" x14ac:dyDescent="0.35">
      <c r="A40">
        <v>2.8461538461538467</v>
      </c>
      <c r="B40">
        <v>0.79543839994448551</v>
      </c>
      <c r="C40">
        <v>3.8887199351079968E-2</v>
      </c>
      <c r="D40">
        <v>-0.11058292332279746</v>
      </c>
    </row>
    <row r="41" spans="1:4" x14ac:dyDescent="0.35">
      <c r="A41">
        <v>3</v>
      </c>
      <c r="B41">
        <v>0.80783721342987413</v>
      </c>
      <c r="C41">
        <v>4.2000449590627459E-2</v>
      </c>
      <c r="D41">
        <v>-0.11119286842115181</v>
      </c>
    </row>
  </sheetData>
  <pageMargins left="0.7" right="0.7" top="0.75" bottom="0.75" header="0.3" footer="0.3"/>
  <tableParts count="1">
    <tablePart r:id="rId1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5E27D-19E9-4B96-87AB-CE83EC32C96F}">
  <dimension ref="A1:D41"/>
  <sheetViews>
    <sheetView workbookViewId="0"/>
  </sheetViews>
  <sheetFormatPr defaultRowHeight="14.5" x14ac:dyDescent="0.35"/>
  <cols>
    <col min="1" max="2" width="12.453125" bestFit="1" customWidth="1"/>
    <col min="3" max="3" width="11.81640625" bestFit="1" customWidth="1"/>
    <col min="4" max="4" width="12.453125" bestFit="1" customWidth="1"/>
  </cols>
  <sheetData>
    <row r="1" spans="1:4" x14ac:dyDescent="0.35">
      <c r="A1" t="s">
        <v>0</v>
      </c>
      <c r="B1" t="s">
        <v>1</v>
      </c>
      <c r="C1" t="s">
        <v>2</v>
      </c>
      <c r="D1" t="s">
        <v>342</v>
      </c>
    </row>
    <row r="2" spans="1:4" x14ac:dyDescent="0.35">
      <c r="A2">
        <v>-3</v>
      </c>
      <c r="B2">
        <v>-0.32618134186220088</v>
      </c>
      <c r="C2">
        <v>1.8350994714941848E-2</v>
      </c>
      <c r="D2">
        <v>-7.4928083868169695E-2</v>
      </c>
    </row>
    <row r="3" spans="1:4" x14ac:dyDescent="0.35">
      <c r="A3">
        <v>-2.8461538461538463</v>
      </c>
      <c r="B3">
        <v>-0.56545434190026245</v>
      </c>
      <c r="C3">
        <v>2.6728845537761503E-2</v>
      </c>
      <c r="D3">
        <v>1.0553051520391231E-2</v>
      </c>
    </row>
    <row r="4" spans="1:4" x14ac:dyDescent="0.35">
      <c r="A4">
        <v>-2.6923076923076925</v>
      </c>
      <c r="B4">
        <v>-0.54400623416428007</v>
      </c>
      <c r="C4">
        <v>2.3665511757492996E-2</v>
      </c>
      <c r="D4">
        <v>7.027417021007943E-3</v>
      </c>
    </row>
    <row r="5" spans="1:4" x14ac:dyDescent="0.35">
      <c r="A5">
        <v>-2.5384615384615383</v>
      </c>
      <c r="B5">
        <v>-0.51289003215908879</v>
      </c>
      <c r="C5">
        <v>2.0213205281497761E-2</v>
      </c>
      <c r="D5">
        <v>3.297110366068991E-4</v>
      </c>
    </row>
    <row r="6" spans="1:4" x14ac:dyDescent="0.35">
      <c r="A6">
        <v>-2.3846153846153846</v>
      </c>
      <c r="B6">
        <v>-0.46980970870843775</v>
      </c>
      <c r="C6">
        <v>1.6555449339055076E-2</v>
      </c>
      <c r="D6">
        <v>-9.485351828390479E-3</v>
      </c>
    </row>
    <row r="7" spans="1:4" x14ac:dyDescent="0.35">
      <c r="A7">
        <v>-2.2307692307692308</v>
      </c>
      <c r="B7">
        <v>-0.41163140242130075</v>
      </c>
      <c r="C7">
        <v>1.3557184593800302E-2</v>
      </c>
      <c r="D7">
        <v>-2.0005905377383691E-2</v>
      </c>
    </row>
    <row r="8" spans="1:4" x14ac:dyDescent="0.35">
      <c r="A8">
        <v>-2.0769230769230766</v>
      </c>
      <c r="B8">
        <v>-0.35940221554748703</v>
      </c>
      <c r="C8">
        <v>1.3174635325219871E-2</v>
      </c>
      <c r="D8">
        <v>-2.0867467046162685E-2</v>
      </c>
    </row>
    <row r="9" spans="1:4" x14ac:dyDescent="0.35">
      <c r="A9">
        <v>-1.9230769230769229</v>
      </c>
      <c r="B9">
        <v>-0.32648665462296123</v>
      </c>
      <c r="C9">
        <v>1.3339880314071254E-2</v>
      </c>
      <c r="D9">
        <v>-1.8673397165024586E-2</v>
      </c>
    </row>
    <row r="10" spans="1:4" x14ac:dyDescent="0.35">
      <c r="A10">
        <v>-1.7692307692307692</v>
      </c>
      <c r="B10">
        <v>-0.27316095761037984</v>
      </c>
      <c r="C10">
        <v>1.229358784789474E-2</v>
      </c>
      <c r="D10">
        <v>-1.9745074802326797E-2</v>
      </c>
    </row>
    <row r="11" spans="1:4" x14ac:dyDescent="0.35">
      <c r="A11">
        <v>-1.6153846153846154</v>
      </c>
      <c r="B11">
        <v>-0.23545920227796399</v>
      </c>
      <c r="C11">
        <v>1.1110572377731559E-2</v>
      </c>
      <c r="D11">
        <v>-2.3169081438316846E-2</v>
      </c>
    </row>
    <row r="12" spans="1:4" x14ac:dyDescent="0.35">
      <c r="A12">
        <v>-1.4615384615384615</v>
      </c>
      <c r="B12">
        <v>-0.19501742501340236</v>
      </c>
      <c r="C12">
        <v>1.0194383343105117E-2</v>
      </c>
      <c r="D12">
        <v>-2.6796581551587147E-2</v>
      </c>
    </row>
    <row r="13" spans="1:4" x14ac:dyDescent="0.35">
      <c r="A13">
        <v>-1.3076923076923075</v>
      </c>
      <c r="B13">
        <v>-0.15671633501401616</v>
      </c>
      <c r="C13">
        <v>9.5173364329842348E-3</v>
      </c>
      <c r="D13">
        <v>-3.001451351126061E-2</v>
      </c>
    </row>
    <row r="14" spans="1:4" x14ac:dyDescent="0.35">
      <c r="A14">
        <v>-1.1538461538461537</v>
      </c>
      <c r="B14">
        <v>-0.12749314312878138</v>
      </c>
      <c r="C14">
        <v>9.0391170666828408E-3</v>
      </c>
      <c r="D14">
        <v>-3.2490334683779744E-2</v>
      </c>
    </row>
    <row r="15" spans="1:4" x14ac:dyDescent="0.35">
      <c r="A15">
        <v>-1</v>
      </c>
      <c r="B15">
        <v>-0.1012067977908422</v>
      </c>
      <c r="C15">
        <v>8.5172168891264766E-3</v>
      </c>
      <c r="D15">
        <v>-3.540775984866025E-2</v>
      </c>
    </row>
    <row r="16" spans="1:4" x14ac:dyDescent="0.35">
      <c r="A16">
        <v>-0.84615384615384581</v>
      </c>
      <c r="B16">
        <v>-6.3901200982504819E-2</v>
      </c>
      <c r="C16">
        <v>8.3336935849526485E-3</v>
      </c>
      <c r="D16">
        <v>-3.7644868638247141E-2</v>
      </c>
    </row>
    <row r="17" spans="1:4" x14ac:dyDescent="0.35">
      <c r="A17">
        <v>-0.69230769230769207</v>
      </c>
      <c r="B17">
        <v>-9.9064070735570449E-3</v>
      </c>
      <c r="C17">
        <v>8.3809766964687976E-3</v>
      </c>
      <c r="D17">
        <v>-4.1222198601460008E-2</v>
      </c>
    </row>
    <row r="18" spans="1:4" x14ac:dyDescent="0.35">
      <c r="A18">
        <v>-0.53846153846153832</v>
      </c>
      <c r="B18">
        <v>2.3763022838845037E-2</v>
      </c>
      <c r="C18">
        <v>8.3406142224253313E-3</v>
      </c>
      <c r="D18">
        <v>-4.3833310359751056E-2</v>
      </c>
    </row>
    <row r="19" spans="1:4" x14ac:dyDescent="0.35">
      <c r="A19">
        <v>-0.38461538461538458</v>
      </c>
      <c r="B19">
        <v>6.5115833632654829E-2</v>
      </c>
      <c r="C19">
        <v>8.4062457997830659E-3</v>
      </c>
      <c r="D19">
        <v>-4.6256455637665471E-2</v>
      </c>
    </row>
    <row r="20" spans="1:4" x14ac:dyDescent="0.35">
      <c r="A20">
        <v>-0.23076923076923084</v>
      </c>
      <c r="B20">
        <v>0.10223400819052668</v>
      </c>
      <c r="C20">
        <v>8.4603998572839994E-3</v>
      </c>
      <c r="D20">
        <v>-4.8614995514783772E-2</v>
      </c>
    </row>
    <row r="21" spans="1:4" x14ac:dyDescent="0.35">
      <c r="A21">
        <v>-7.692307692307665E-2</v>
      </c>
      <c r="B21">
        <v>0.13626636976986628</v>
      </c>
      <c r="C21">
        <v>8.5409979033397275E-3</v>
      </c>
      <c r="D21">
        <v>-5.041365297461986E-2</v>
      </c>
    </row>
    <row r="22" spans="1:4" x14ac:dyDescent="0.35">
      <c r="A22">
        <v>7.6923076923077094E-2</v>
      </c>
      <c r="B22">
        <v>0.17088429287112505</v>
      </c>
      <c r="C22">
        <v>8.6236712036325148E-3</v>
      </c>
      <c r="D22">
        <v>-5.2111752254781624E-2</v>
      </c>
    </row>
    <row r="23" spans="1:4" x14ac:dyDescent="0.35">
      <c r="A23">
        <v>0.23076923076923084</v>
      </c>
      <c r="B23">
        <v>0.20539799765062683</v>
      </c>
      <c r="C23">
        <v>8.7662015615982362E-3</v>
      </c>
      <c r="D23">
        <v>-5.3890949974855544E-2</v>
      </c>
    </row>
    <row r="24" spans="1:4" x14ac:dyDescent="0.35">
      <c r="A24">
        <v>0.38461538461538503</v>
      </c>
      <c r="B24">
        <v>0.24120059565490568</v>
      </c>
      <c r="C24">
        <v>8.910928177817027E-3</v>
      </c>
      <c r="D24">
        <v>-5.5238448085583577E-2</v>
      </c>
    </row>
    <row r="25" spans="1:4" x14ac:dyDescent="0.35">
      <c r="A25">
        <v>0.53846153846153877</v>
      </c>
      <c r="B25">
        <v>0.2754711049093258</v>
      </c>
      <c r="C25">
        <v>9.088285631740781E-3</v>
      </c>
      <c r="D25">
        <v>-5.6191995503625171E-2</v>
      </c>
    </row>
    <row r="26" spans="1:4" x14ac:dyDescent="0.35">
      <c r="A26">
        <v>0.69230769230769251</v>
      </c>
      <c r="B26">
        <v>0.3061634486367284</v>
      </c>
      <c r="C26">
        <v>9.4341091646672429E-3</v>
      </c>
      <c r="D26">
        <v>-5.7425627932565851E-2</v>
      </c>
    </row>
    <row r="27" spans="1:4" x14ac:dyDescent="0.35">
      <c r="A27">
        <v>0.84615384615384626</v>
      </c>
      <c r="B27">
        <v>0.34508965527612279</v>
      </c>
      <c r="C27">
        <v>9.5394197876853323E-3</v>
      </c>
      <c r="D27">
        <v>-5.7076022122076173E-2</v>
      </c>
    </row>
    <row r="28" spans="1:4" x14ac:dyDescent="0.35">
      <c r="A28">
        <v>1</v>
      </c>
      <c r="B28">
        <v>0.38460855302344671</v>
      </c>
      <c r="C28">
        <v>9.7168374108598798E-3</v>
      </c>
      <c r="D28">
        <v>-5.7023048678863486E-2</v>
      </c>
    </row>
    <row r="29" spans="1:4" x14ac:dyDescent="0.35">
      <c r="A29">
        <v>1.1538461538461542</v>
      </c>
      <c r="B29">
        <v>0.39825422882222455</v>
      </c>
      <c r="C29">
        <v>1.0675275776257031E-2</v>
      </c>
      <c r="D29">
        <v>-5.7878003523767728E-2</v>
      </c>
    </row>
    <row r="30" spans="1:4" x14ac:dyDescent="0.35">
      <c r="A30">
        <v>1.3076923076923084</v>
      </c>
      <c r="B30">
        <v>0.43299264308059071</v>
      </c>
      <c r="C30">
        <v>1.1304430141381164E-2</v>
      </c>
      <c r="D30">
        <v>-5.9305543783055296E-2</v>
      </c>
    </row>
    <row r="31" spans="1:4" x14ac:dyDescent="0.35">
      <c r="A31">
        <v>1.4615384615384617</v>
      </c>
      <c r="B31">
        <v>0.46311158974314626</v>
      </c>
      <c r="C31">
        <v>1.2381155161149659E-2</v>
      </c>
      <c r="D31">
        <v>-5.9550081444381057E-2</v>
      </c>
    </row>
    <row r="32" spans="1:4" x14ac:dyDescent="0.35">
      <c r="A32">
        <v>1.6153846153846159</v>
      </c>
      <c r="B32">
        <v>0.59999606012828255</v>
      </c>
      <c r="C32">
        <v>1.3480507215681841E-2</v>
      </c>
      <c r="D32">
        <v>-7.1427996378323907E-2</v>
      </c>
    </row>
    <row r="33" spans="1:4" x14ac:dyDescent="0.35">
      <c r="A33">
        <v>1.7692307692307692</v>
      </c>
      <c r="B33">
        <v>0.65246040621111501</v>
      </c>
      <c r="C33">
        <v>1.692690238403418E-2</v>
      </c>
      <c r="D33">
        <v>-8.5849744751628293E-2</v>
      </c>
    </row>
    <row r="34" spans="1:4" x14ac:dyDescent="0.35">
      <c r="A34">
        <v>1.9230769230769234</v>
      </c>
      <c r="B34">
        <v>0.68283949298310376</v>
      </c>
      <c r="C34">
        <v>2.0170572191860844E-2</v>
      </c>
      <c r="D34">
        <v>-9.2794843043395664E-2</v>
      </c>
    </row>
    <row r="35" spans="1:4" x14ac:dyDescent="0.35">
      <c r="A35">
        <v>2.0769230769230775</v>
      </c>
      <c r="B35">
        <v>0.70538653267422058</v>
      </c>
      <c r="C35">
        <v>2.3281883270736291E-2</v>
      </c>
      <c r="D35">
        <v>-9.6865826128214219E-2</v>
      </c>
    </row>
    <row r="36" spans="1:4" x14ac:dyDescent="0.35">
      <c r="A36">
        <v>2.2307692307692308</v>
      </c>
      <c r="B36">
        <v>0.72394039025106838</v>
      </c>
      <c r="C36">
        <v>2.6321531376243334E-2</v>
      </c>
      <c r="D36">
        <v>-9.9469129927932859E-2</v>
      </c>
    </row>
    <row r="37" spans="1:4" x14ac:dyDescent="0.35">
      <c r="A37">
        <v>2.384615384615385</v>
      </c>
      <c r="B37">
        <v>0.74021085215020799</v>
      </c>
      <c r="C37">
        <v>2.933888601256273E-2</v>
      </c>
      <c r="D37">
        <v>-0.10126667054773161</v>
      </c>
    </row>
    <row r="38" spans="1:4" x14ac:dyDescent="0.35">
      <c r="A38">
        <v>2.5384615384615383</v>
      </c>
      <c r="B38">
        <v>0.75501748501734534</v>
      </c>
      <c r="C38">
        <v>3.2358172840471662E-2</v>
      </c>
      <c r="D38">
        <v>-0.10257869229854942</v>
      </c>
    </row>
    <row r="39" spans="1:4" x14ac:dyDescent="0.35">
      <c r="A39">
        <v>2.6923076923076925</v>
      </c>
      <c r="B39">
        <v>0.76880652880763944</v>
      </c>
      <c r="C39">
        <v>3.5395408024299496E-2</v>
      </c>
      <c r="D39">
        <v>-0.10357616553785669</v>
      </c>
    </row>
    <row r="40" spans="1:4" x14ac:dyDescent="0.35">
      <c r="A40">
        <v>2.8461538461538467</v>
      </c>
      <c r="B40">
        <v>0.78184446555351961</v>
      </c>
      <c r="C40">
        <v>3.8460047704393402E-2</v>
      </c>
      <c r="D40">
        <v>-0.10435729556432853</v>
      </c>
    </row>
    <row r="41" spans="1:4" x14ac:dyDescent="0.35">
      <c r="A41">
        <v>3</v>
      </c>
      <c r="B41">
        <v>0.79436610089298754</v>
      </c>
      <c r="C41">
        <v>4.156016382103353E-2</v>
      </c>
      <c r="D41">
        <v>-0.10501671280530883</v>
      </c>
    </row>
  </sheetData>
  <pageMargins left="0.7" right="0.7" top="0.75" bottom="0.75" header="0.3" footer="0.3"/>
  <tableParts count="1">
    <tablePart r:id="rId1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7B504-CF91-4E63-ADD9-928A95EECE07}">
  <sheetPr codeName="Sheet2"/>
  <dimension ref="A1:AD32"/>
  <sheetViews>
    <sheetView tabSelected="1" zoomScale="74" zoomScaleNormal="70" workbookViewId="0">
      <selection activeCell="B11" sqref="A7:C15"/>
    </sheetView>
  </sheetViews>
  <sheetFormatPr defaultRowHeight="14.5" x14ac:dyDescent="0.35"/>
  <cols>
    <col min="1" max="1" width="15.26953125" style="6" bestFit="1" customWidth="1"/>
    <col min="2" max="2" width="8.81640625" bestFit="1" customWidth="1"/>
    <col min="3" max="3" width="9.1796875" style="6"/>
    <col min="4" max="4" width="9.1796875" customWidth="1"/>
    <col min="5" max="5" width="8.81640625" bestFit="1" customWidth="1"/>
    <col min="6" max="6" width="9.1796875" style="6"/>
    <col min="8" max="8" width="9.54296875" style="10" bestFit="1" customWidth="1"/>
    <col min="9" max="9" width="11.81640625" bestFit="1" customWidth="1"/>
    <col min="10" max="10" width="9.1796875" style="6"/>
    <col min="12" max="12" width="9.1796875" style="11"/>
    <col min="13" max="15" width="8.81640625" bestFit="1" customWidth="1"/>
    <col min="28" max="28" width="9.1796875" style="6"/>
  </cols>
  <sheetData>
    <row r="1" spans="1:28" x14ac:dyDescent="0.35">
      <c r="A1" s="35" t="s">
        <v>62</v>
      </c>
      <c r="B1" s="36"/>
      <c r="C1" s="36"/>
      <c r="D1" s="36"/>
      <c r="E1" s="36"/>
      <c r="F1" s="37"/>
      <c r="H1" s="35" t="s">
        <v>67</v>
      </c>
      <c r="I1" s="36"/>
      <c r="J1" s="37"/>
      <c r="L1" s="35" t="s">
        <v>63</v>
      </c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7"/>
    </row>
    <row r="2" spans="1:28" x14ac:dyDescent="0.35">
      <c r="A2" s="7" t="s">
        <v>48</v>
      </c>
      <c r="B2" s="8" t="s">
        <v>49</v>
      </c>
      <c r="C2" s="7" t="s">
        <v>50</v>
      </c>
      <c r="D2" s="8" t="s">
        <v>51</v>
      </c>
      <c r="E2" s="8" t="s">
        <v>52</v>
      </c>
      <c r="F2" s="7" t="s">
        <v>53</v>
      </c>
      <c r="H2" s="12" t="s">
        <v>48</v>
      </c>
      <c r="I2" s="8" t="s">
        <v>49</v>
      </c>
      <c r="J2" s="7" t="s">
        <v>50</v>
      </c>
    </row>
    <row r="3" spans="1:28" x14ac:dyDescent="0.35">
      <c r="H3" s="10" t="s">
        <v>72</v>
      </c>
      <c r="I3" s="13">
        <v>9.81</v>
      </c>
      <c r="J3" s="6" t="s">
        <v>73</v>
      </c>
      <c r="M3" t="s">
        <v>64</v>
      </c>
      <c r="N3" t="s">
        <v>66</v>
      </c>
      <c r="O3" t="s">
        <v>65</v>
      </c>
    </row>
    <row r="4" spans="1:28" x14ac:dyDescent="0.35">
      <c r="A4" s="9" t="s">
        <v>240</v>
      </c>
      <c r="H4" s="10" t="s">
        <v>68</v>
      </c>
      <c r="I4" s="13">
        <v>29119</v>
      </c>
      <c r="J4" s="6" t="s">
        <v>69</v>
      </c>
      <c r="M4">
        <v>1</v>
      </c>
      <c r="N4">
        <v>0</v>
      </c>
      <c r="O4">
        <v>0</v>
      </c>
    </row>
    <row r="5" spans="1:28" x14ac:dyDescent="0.35">
      <c r="A5" s="6" t="s">
        <v>1</v>
      </c>
      <c r="B5" s="27">
        <f>(2*I4*I3)/(I5*I7^2*B8)</f>
        <v>0.47327472217047262</v>
      </c>
      <c r="H5" s="10" t="s">
        <v>70</v>
      </c>
      <c r="I5" s="13">
        <v>0.301721413422322</v>
      </c>
      <c r="J5" s="6" t="s">
        <v>71</v>
      </c>
      <c r="M5">
        <v>2</v>
      </c>
      <c r="N5">
        <f>B9/2</f>
        <v>9.1440000000000001</v>
      </c>
      <c r="O5">
        <f>B14</f>
        <v>6.1128237391097633</v>
      </c>
    </row>
    <row r="6" spans="1:28" x14ac:dyDescent="0.35">
      <c r="H6" s="10" t="s">
        <v>241</v>
      </c>
      <c r="I6" s="19">
        <v>1.42354425457476E-5</v>
      </c>
      <c r="J6" s="6" t="s">
        <v>89</v>
      </c>
      <c r="M6">
        <v>3</v>
      </c>
      <c r="N6">
        <f>N5</f>
        <v>9.1440000000000001</v>
      </c>
      <c r="O6">
        <f>O5+B13</f>
        <v>7.5803786627998573</v>
      </c>
    </row>
    <row r="7" spans="1:28" x14ac:dyDescent="0.35">
      <c r="A7" s="9" t="s">
        <v>61</v>
      </c>
      <c r="H7" s="10" t="s">
        <v>242</v>
      </c>
      <c r="I7" s="13">
        <v>248.035657436587</v>
      </c>
      <c r="J7" s="6" t="s">
        <v>74</v>
      </c>
      <c r="M7">
        <v>4</v>
      </c>
      <c r="N7">
        <v>0</v>
      </c>
      <c r="O7">
        <f>B12</f>
        <v>5.6444420141926699</v>
      </c>
    </row>
    <row r="8" spans="1:28" x14ac:dyDescent="0.35">
      <c r="A8" s="6" t="s">
        <v>54</v>
      </c>
      <c r="B8">
        <v>65.0321</v>
      </c>
      <c r="C8" s="6" t="s">
        <v>55</v>
      </c>
      <c r="M8">
        <v>5</v>
      </c>
      <c r="N8">
        <v>0</v>
      </c>
      <c r="O8">
        <v>0</v>
      </c>
    </row>
    <row r="9" spans="1:28" x14ac:dyDescent="0.35">
      <c r="A9" s="6" t="s">
        <v>57</v>
      </c>
      <c r="B9">
        <v>18.288</v>
      </c>
      <c r="C9" s="6" t="s">
        <v>58</v>
      </c>
      <c r="M9">
        <v>6</v>
      </c>
      <c r="N9">
        <f>-N5</f>
        <v>-9.1440000000000001</v>
      </c>
      <c r="O9">
        <f>O5</f>
        <v>6.1128237391097633</v>
      </c>
    </row>
    <row r="10" spans="1:28" x14ac:dyDescent="0.35">
      <c r="A10" s="6" t="s">
        <v>56</v>
      </c>
      <c r="B10" s="3">
        <v>0.26</v>
      </c>
      <c r="M10">
        <v>7</v>
      </c>
      <c r="N10">
        <f>N9</f>
        <v>-9.1440000000000001</v>
      </c>
      <c r="O10">
        <f>O6</f>
        <v>7.5803786627998573</v>
      </c>
    </row>
    <row r="11" spans="1:28" x14ac:dyDescent="0.35">
      <c r="A11" s="6" t="s">
        <v>236</v>
      </c>
      <c r="B11" s="3">
        <v>29</v>
      </c>
      <c r="C11" s="6" t="s">
        <v>88</v>
      </c>
      <c r="M11">
        <v>8</v>
      </c>
      <c r="N11">
        <f>0</f>
        <v>0</v>
      </c>
      <c r="O11">
        <f>O7</f>
        <v>5.6444420141926699</v>
      </c>
    </row>
    <row r="12" spans="1:28" x14ac:dyDescent="0.35">
      <c r="A12" s="6" t="s">
        <v>59</v>
      </c>
      <c r="B12">
        <f>(2*B8)/(B9*(1+B10))</f>
        <v>5.6444420141926699</v>
      </c>
      <c r="C12" s="6" t="s">
        <v>58</v>
      </c>
    </row>
    <row r="13" spans="1:28" x14ac:dyDescent="0.35">
      <c r="A13" s="6" t="s">
        <v>60</v>
      </c>
      <c r="B13">
        <f>B12*B10</f>
        <v>1.4675549236900942</v>
      </c>
      <c r="C13" s="6" t="s">
        <v>58</v>
      </c>
      <c r="H13" s="12"/>
      <c r="I13" s="8"/>
      <c r="J13" s="7"/>
    </row>
    <row r="14" spans="1:28" x14ac:dyDescent="0.35">
      <c r="A14" s="6" t="s">
        <v>239</v>
      </c>
      <c r="B14">
        <f>0.25*(B12-B13)+(B9/2)*TAN(B11*PI()/180)</f>
        <v>6.1128237391097633</v>
      </c>
      <c r="C14" s="6" t="s">
        <v>58</v>
      </c>
      <c r="H14"/>
      <c r="J14"/>
    </row>
    <row r="15" spans="1:28" x14ac:dyDescent="0.35">
      <c r="A15" s="6" t="s">
        <v>263</v>
      </c>
      <c r="B15" s="3">
        <v>-1</v>
      </c>
      <c r="C15" s="6" t="s">
        <v>88</v>
      </c>
      <c r="H15"/>
      <c r="J15"/>
    </row>
    <row r="16" spans="1:28" x14ac:dyDescent="0.35">
      <c r="H16" s="38" t="s">
        <v>253</v>
      </c>
      <c r="I16" s="39"/>
      <c r="J16" s="40"/>
    </row>
    <row r="17" spans="1:30" x14ac:dyDescent="0.35">
      <c r="D17" s="2" t="s">
        <v>261</v>
      </c>
      <c r="H17" s="10" t="s">
        <v>48</v>
      </c>
      <c r="I17" t="s">
        <v>49</v>
      </c>
      <c r="J17" s="6" t="s">
        <v>50</v>
      </c>
    </row>
    <row r="18" spans="1:30" x14ac:dyDescent="0.35">
      <c r="D18" t="s">
        <v>236</v>
      </c>
      <c r="E18">
        <f>B11</f>
        <v>29</v>
      </c>
      <c r="H18" s="10" t="s">
        <v>139</v>
      </c>
      <c r="I18" s="4">
        <f>CruiseST!F27</f>
        <v>1.3974200000000001E-2</v>
      </c>
    </row>
    <row r="19" spans="1:30" x14ac:dyDescent="0.35">
      <c r="D19" t="s">
        <v>255</v>
      </c>
      <c r="E19">
        <v>0.95</v>
      </c>
      <c r="H19" s="10" t="s">
        <v>136</v>
      </c>
      <c r="I19" s="4">
        <f>CruiseST!C26</f>
        <v>1.0630000000000001E-2</v>
      </c>
    </row>
    <row r="20" spans="1:30" x14ac:dyDescent="0.35">
      <c r="D20" t="s">
        <v>256</v>
      </c>
      <c r="E20">
        <v>5.7000000000000002E-2</v>
      </c>
      <c r="H20" s="11" t="s">
        <v>252</v>
      </c>
      <c r="I20" s="11">
        <v>0.01</v>
      </c>
    </row>
    <row r="21" spans="1:30" x14ac:dyDescent="0.35">
      <c r="D21" t="s">
        <v>254</v>
      </c>
      <c r="E21">
        <f>(E19/COS(E18*PI()/180))-(E20/(COS(E18*PI()/180)^2))-(B5/(10*COS(E18*PI()/180)^3))</f>
        <v>0.94093417963679982</v>
      </c>
      <c r="H21" s="11" t="s">
        <v>258</v>
      </c>
      <c r="I21" s="11">
        <f>20*(E23-E22)^4*E24</f>
        <v>4.2450558457528022E-8</v>
      </c>
    </row>
    <row r="22" spans="1:30" x14ac:dyDescent="0.35">
      <c r="D22" t="s">
        <v>257</v>
      </c>
      <c r="E22">
        <f>E21-(0.1/80)^(1/3)</f>
        <v>0.83321244513520565</v>
      </c>
      <c r="H22" s="11" t="s">
        <v>232</v>
      </c>
      <c r="I22" s="11">
        <f>I18+I19+I20+I21-E26</f>
        <v>3.3778847480948566E-2</v>
      </c>
      <c r="AD22" t="s">
        <v>269</v>
      </c>
    </row>
    <row r="23" spans="1:30" x14ac:dyDescent="0.35">
      <c r="D23" t="s">
        <v>259</v>
      </c>
      <c r="E23">
        <v>0.84</v>
      </c>
      <c r="H23" s="10" t="s">
        <v>251</v>
      </c>
      <c r="I23">
        <f>B5/I22</f>
        <v>14.010978984330411</v>
      </c>
    </row>
    <row r="24" spans="1:30" x14ac:dyDescent="0.35">
      <c r="D24" t="s">
        <v>260</v>
      </c>
      <c r="E24">
        <f>IF(E23&gt;E22, 1, 0)</f>
        <v>1</v>
      </c>
      <c r="H24" s="10" t="s">
        <v>143</v>
      </c>
      <c r="I24">
        <f>(B5^2)/(PI()*(B9^2/B8)*I18)</f>
        <v>0.99207645668943867</v>
      </c>
    </row>
    <row r="25" spans="1:30" x14ac:dyDescent="0.35">
      <c r="H25" s="10" t="s">
        <v>33</v>
      </c>
      <c r="I25">
        <f>MAX(CruiseFS!J23:J62)</f>
        <v>0.55510000000000004</v>
      </c>
    </row>
    <row r="26" spans="1:30" x14ac:dyDescent="0.35">
      <c r="A26" s="25"/>
      <c r="D26" t="s">
        <v>288</v>
      </c>
      <c r="E26">
        <v>8.2539496960989402E-4</v>
      </c>
      <c r="H26" s="10" t="s">
        <v>325</v>
      </c>
      <c r="I26">
        <f>INDEX(CruiseFS!C23:C62, MATCH(MAX(CruiseFS!J23:J62), CruiseFS!J23:J62, 0))</f>
        <v>6.806</v>
      </c>
    </row>
    <row r="27" spans="1:30" x14ac:dyDescent="0.35">
      <c r="H27" s="10" t="s">
        <v>326</v>
      </c>
      <c r="I27">
        <f>I26/(B9/2)</f>
        <v>0.74431321084864388</v>
      </c>
    </row>
    <row r="28" spans="1:30" x14ac:dyDescent="0.35">
      <c r="D28" s="2" t="s">
        <v>282</v>
      </c>
      <c r="E28" s="2" t="s">
        <v>346</v>
      </c>
    </row>
    <row r="29" spans="1:30" x14ac:dyDescent="0.35">
      <c r="D29" s="41">
        <v>29119</v>
      </c>
      <c r="E29">
        <v>26550</v>
      </c>
    </row>
    <row r="30" spans="1:30" x14ac:dyDescent="0.35">
      <c r="D30">
        <v>0.301721413422322</v>
      </c>
      <c r="E30">
        <v>0.45832411966872899</v>
      </c>
    </row>
    <row r="31" spans="1:30" x14ac:dyDescent="0.35">
      <c r="D31">
        <v>1.42354425457476E-5</v>
      </c>
      <c r="E31">
        <v>1.48852218260474E-5</v>
      </c>
    </row>
    <row r="32" spans="1:30" x14ac:dyDescent="0.35">
      <c r="D32">
        <v>248.035657436587</v>
      </c>
      <c r="E32">
        <v>515.65003251067697</v>
      </c>
      <c r="J32" s="26"/>
    </row>
  </sheetData>
  <mergeCells count="4">
    <mergeCell ref="A1:F1"/>
    <mergeCell ref="L1:AB1"/>
    <mergeCell ref="H16:J16"/>
    <mergeCell ref="H1:J1"/>
  </mergeCells>
  <conditionalFormatting sqref="I29:I4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8:I4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B463D-C705-4E4D-A03D-911971077893}">
  <sheetPr codeName="Sheet3"/>
  <dimension ref="A1:H16"/>
  <sheetViews>
    <sheetView workbookViewId="0">
      <selection activeCell="I24" sqref="I24"/>
    </sheetView>
  </sheetViews>
  <sheetFormatPr defaultRowHeight="14.5" x14ac:dyDescent="0.35"/>
  <cols>
    <col min="1" max="1" width="9.1796875" style="6"/>
    <col min="3" max="3" width="9.1796875" style="6"/>
    <col min="5" max="5" width="9.1796875" style="10"/>
    <col min="7" max="7" width="9.1796875" style="6"/>
  </cols>
  <sheetData>
    <row r="1" spans="1:8" x14ac:dyDescent="0.35">
      <c r="A1" s="36" t="s">
        <v>75</v>
      </c>
      <c r="B1" s="36"/>
      <c r="C1" s="37"/>
      <c r="D1" s="10"/>
      <c r="E1" s="35" t="s">
        <v>76</v>
      </c>
      <c r="F1" s="36"/>
      <c r="G1" s="36"/>
      <c r="H1" s="11"/>
    </row>
    <row r="2" spans="1:8" x14ac:dyDescent="0.35">
      <c r="A2" s="14" t="s">
        <v>48</v>
      </c>
      <c r="B2" s="15" t="s">
        <v>49</v>
      </c>
      <c r="C2" s="14" t="s">
        <v>50</v>
      </c>
      <c r="E2" s="17" t="s">
        <v>48</v>
      </c>
      <c r="F2" s="15" t="s">
        <v>49</v>
      </c>
      <c r="G2" s="14" t="s">
        <v>50</v>
      </c>
    </row>
    <row r="3" spans="1:8" x14ac:dyDescent="0.35">
      <c r="A3" s="6" t="s">
        <v>79</v>
      </c>
      <c r="B3">
        <f>Variables!B8</f>
        <v>65.0321</v>
      </c>
      <c r="C3" s="6" t="s">
        <v>55</v>
      </c>
    </row>
    <row r="4" spans="1:8" x14ac:dyDescent="0.35">
      <c r="A4" s="6" t="s">
        <v>80</v>
      </c>
      <c r="B4">
        <f>(2/3)*Variables!B12*(1+Variables!B10+Variables!B10^2)/(1+Variables!B10)</f>
        <v>3.9648472053133275</v>
      </c>
      <c r="C4" s="6" t="s">
        <v>58</v>
      </c>
      <c r="E4" s="16" t="s">
        <v>77</v>
      </c>
    </row>
    <row r="5" spans="1:8" x14ac:dyDescent="0.35">
      <c r="A5" s="6" t="s">
        <v>81</v>
      </c>
      <c r="B5">
        <f>Variables!B9</f>
        <v>18.288</v>
      </c>
      <c r="C5" s="6" t="s">
        <v>58</v>
      </c>
      <c r="E5" s="10" t="s">
        <v>82</v>
      </c>
      <c r="F5">
        <v>0</v>
      </c>
      <c r="G5" s="6" t="s">
        <v>58</v>
      </c>
    </row>
    <row r="6" spans="1:8" x14ac:dyDescent="0.35">
      <c r="E6" s="10" t="s">
        <v>83</v>
      </c>
      <c r="F6">
        <v>0</v>
      </c>
      <c r="G6" s="6" t="s">
        <v>58</v>
      </c>
    </row>
    <row r="7" spans="1:8" x14ac:dyDescent="0.35">
      <c r="E7" s="10" t="s">
        <v>84</v>
      </c>
      <c r="F7">
        <v>0</v>
      </c>
      <c r="G7" s="6" t="s">
        <v>58</v>
      </c>
    </row>
    <row r="8" spans="1:8" x14ac:dyDescent="0.35">
      <c r="E8" s="10" t="s">
        <v>86</v>
      </c>
      <c r="F8">
        <f>Variables!B12</f>
        <v>5.6444420141926699</v>
      </c>
      <c r="G8" s="6" t="s">
        <v>58</v>
      </c>
    </row>
    <row r="9" spans="1:8" x14ac:dyDescent="0.35">
      <c r="A9" s="9"/>
      <c r="E9" s="10" t="s">
        <v>87</v>
      </c>
      <c r="F9">
        <v>0</v>
      </c>
      <c r="G9" s="6" t="s">
        <v>88</v>
      </c>
    </row>
    <row r="11" spans="1:8" x14ac:dyDescent="0.35">
      <c r="E11" s="16" t="s">
        <v>78</v>
      </c>
    </row>
    <row r="12" spans="1:8" x14ac:dyDescent="0.35">
      <c r="E12" s="10" t="s">
        <v>82</v>
      </c>
      <c r="F12">
        <f>Variables!B14</f>
        <v>6.1128237391097633</v>
      </c>
      <c r="G12" s="6" t="s">
        <v>58</v>
      </c>
    </row>
    <row r="13" spans="1:8" x14ac:dyDescent="0.35">
      <c r="E13" s="10" t="s">
        <v>83</v>
      </c>
      <c r="F13">
        <f>Variables!B9/2</f>
        <v>9.1440000000000001</v>
      </c>
      <c r="G13" s="6" t="s">
        <v>58</v>
      </c>
    </row>
    <row r="14" spans="1:8" x14ac:dyDescent="0.35">
      <c r="E14" s="10" t="s">
        <v>84</v>
      </c>
      <c r="F14">
        <v>0</v>
      </c>
      <c r="G14" s="6" t="s">
        <v>58</v>
      </c>
    </row>
    <row r="15" spans="1:8" x14ac:dyDescent="0.35">
      <c r="E15" s="10" t="s">
        <v>86</v>
      </c>
      <c r="F15">
        <f>Variables!B13</f>
        <v>1.4675549236900942</v>
      </c>
      <c r="G15" s="6" t="s">
        <v>58</v>
      </c>
    </row>
    <row r="16" spans="1:8" x14ac:dyDescent="0.35">
      <c r="E16" s="10" t="s">
        <v>87</v>
      </c>
      <c r="F16">
        <f>Variables!B15</f>
        <v>-1</v>
      </c>
      <c r="G16" s="6" t="s">
        <v>88</v>
      </c>
    </row>
  </sheetData>
  <mergeCells count="2">
    <mergeCell ref="A1:C1"/>
    <mergeCell ref="E1:G1"/>
  </mergeCell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1FF0C5-7AEF-4B53-8F24-1E41CACCC9EF}">
  <sheetPr codeName="Sheet18"/>
  <dimension ref="A1:J9"/>
  <sheetViews>
    <sheetView workbookViewId="0">
      <selection activeCell="H10" sqref="H10"/>
    </sheetView>
  </sheetViews>
  <sheetFormatPr defaultRowHeight="14.5" x14ac:dyDescent="0.35"/>
  <cols>
    <col min="2" max="2" width="9.1796875" customWidth="1"/>
    <col min="8" max="8" width="9.1796875" style="6"/>
  </cols>
  <sheetData>
    <row r="1" spans="1:10" x14ac:dyDescent="0.35">
      <c r="A1" s="31" t="s">
        <v>76</v>
      </c>
      <c r="B1" s="28"/>
      <c r="C1" s="28"/>
      <c r="D1" s="28"/>
      <c r="E1" s="28"/>
      <c r="F1" s="28"/>
      <c r="G1" s="28"/>
      <c r="H1" s="28"/>
      <c r="I1" s="11"/>
    </row>
    <row r="3" spans="1:10" x14ac:dyDescent="0.35">
      <c r="A3" s="2" t="s">
        <v>77</v>
      </c>
    </row>
    <row r="4" spans="1:10" x14ac:dyDescent="0.35">
      <c r="A4" t="s">
        <v>45</v>
      </c>
      <c r="B4" t="s">
        <v>34</v>
      </c>
      <c r="C4" t="s">
        <v>35</v>
      </c>
      <c r="D4" t="s">
        <v>36</v>
      </c>
      <c r="E4" t="s">
        <v>38</v>
      </c>
      <c r="F4" t="s">
        <v>37</v>
      </c>
      <c r="G4" t="s">
        <v>47</v>
      </c>
      <c r="H4" s="6" t="s">
        <v>46</v>
      </c>
    </row>
    <row r="5" spans="1:10" x14ac:dyDescent="0.35">
      <c r="A5" s="18">
        <f>Variables!I5*Variables!I7*Variables!B12/Variables!I6</f>
        <v>29673603.935083915</v>
      </c>
      <c r="B5" s="18">
        <f>'CDCL(Re)'!B19*LN(CruiseCDCL!A5)+'CDCL(Re)'!B20</f>
        <v>-0.25993615976327755</v>
      </c>
      <c r="C5" s="18">
        <f>'CDCL(Re)'!C19*LN(CruiseCDCL!A5)+'CDCL(Re)'!C20</f>
        <v>1.2294231547799676E-2</v>
      </c>
      <c r="D5" s="18">
        <f>'CDCL(Re)'!D20</f>
        <v>-1.3083465385194809E-2</v>
      </c>
      <c r="E5" s="18">
        <f>'CDCL(Re)'!E19*LN(CruiseCDCL!A5)+'CDCL(Re)'!E20</f>
        <v>6.4148083930197115E-3</v>
      </c>
      <c r="F5" s="18">
        <f>'CDCL(Re)'!F19*CruiseCDCL!A5+'CDCL(Re)'!F20</f>
        <v>0.64904720787016779</v>
      </c>
      <c r="G5" s="18">
        <f>'CDCL(Re)'!G19*CruiseCDCL!A5+'CDCL(Re)'!G20</f>
        <v>1.3690208118052518E-2</v>
      </c>
      <c r="H5" s="26">
        <f>'CDCL(Re)'!I20</f>
        <v>2.0568995879698653</v>
      </c>
      <c r="J5" s="18"/>
    </row>
    <row r="7" spans="1:10" x14ac:dyDescent="0.35">
      <c r="A7" s="2" t="s">
        <v>78</v>
      </c>
    </row>
    <row r="8" spans="1:10" x14ac:dyDescent="0.35">
      <c r="A8" t="s">
        <v>45</v>
      </c>
      <c r="B8" t="s">
        <v>34</v>
      </c>
      <c r="C8" t="s">
        <v>35</v>
      </c>
      <c r="D8" t="s">
        <v>36</v>
      </c>
      <c r="E8" t="s">
        <v>38</v>
      </c>
      <c r="F8" t="s">
        <v>37</v>
      </c>
      <c r="G8" t="s">
        <v>47</v>
      </c>
      <c r="H8" s="6" t="s">
        <v>46</v>
      </c>
    </row>
    <row r="9" spans="1:10" x14ac:dyDescent="0.35">
      <c r="A9" s="18">
        <f>Variables!I5*Variables!I7*Variables!B13/Variables!I6</f>
        <v>7715137.0231218189</v>
      </c>
      <c r="B9" s="18">
        <f>'CDCL(Re)'!B19*LN(CruiseCDCL!A9)+'CDCL(Re)'!B20</f>
        <v>-0.27017391948782377</v>
      </c>
      <c r="C9" s="18">
        <f>'CDCL(Re)'!C19*LN(CruiseCDCL!A9)+'CDCL(Re)'!C20</f>
        <v>1.3641305195766288E-2</v>
      </c>
      <c r="D9" s="18">
        <f>'CDCL(Re)'!D20</f>
        <v>-1.3083465385194809E-2</v>
      </c>
      <c r="E9" s="18">
        <f>'CDCL(Re)'!E19*LN(CruiseCDCL!A9)+'CDCL(Re)'!E20</f>
        <v>7.6271746761896603E-3</v>
      </c>
      <c r="F9" s="18">
        <f>'CDCL(Re)'!F19*CruiseCDCL!A9+'CDCL(Re)'!F20</f>
        <v>0.60513027404624364</v>
      </c>
      <c r="G9" s="18">
        <f>'CDCL(Re)'!G19*CruiseCDCL!A9+'CDCL(Re)'!G20</f>
        <v>1.3031454110693655E-2</v>
      </c>
      <c r="H9" s="26">
        <f>'CDCL(Re)'!I20</f>
        <v>2.0568995879698653</v>
      </c>
    </row>
  </sheetData>
  <mergeCells count="1">
    <mergeCell ref="A1:H1"/>
  </mergeCell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510A2-46D4-49A6-BC02-0A9DBE8C8C10}">
  <sheetPr codeName="Sheet4"/>
  <dimension ref="A1:N55"/>
  <sheetViews>
    <sheetView workbookViewId="0">
      <selection activeCell="C16" sqref="C16"/>
    </sheetView>
  </sheetViews>
  <sheetFormatPr defaultRowHeight="14.5" x14ac:dyDescent="0.35"/>
  <sheetData>
    <row r="1" spans="1:9" x14ac:dyDescent="0.35">
      <c r="A1" t="s">
        <v>93</v>
      </c>
    </row>
    <row r="2" spans="1:9" x14ac:dyDescent="0.35">
      <c r="A2" t="s">
        <v>94</v>
      </c>
      <c r="B2" t="s">
        <v>95</v>
      </c>
      <c r="C2" t="s">
        <v>96</v>
      </c>
      <c r="D2" t="s">
        <v>97</v>
      </c>
      <c r="E2" t="s">
        <v>98</v>
      </c>
      <c r="F2" t="s">
        <v>99</v>
      </c>
    </row>
    <row r="4" spans="1:9" x14ac:dyDescent="0.35">
      <c r="A4" t="s">
        <v>100</v>
      </c>
      <c r="B4" t="s">
        <v>243</v>
      </c>
    </row>
    <row r="5" spans="1:9" x14ac:dyDescent="0.35">
      <c r="A5" t="s">
        <v>101</v>
      </c>
      <c r="B5" t="s">
        <v>102</v>
      </c>
      <c r="C5" t="s">
        <v>103</v>
      </c>
      <c r="D5">
        <v>2</v>
      </c>
    </row>
    <row r="6" spans="1:9" x14ac:dyDescent="0.35">
      <c r="A6" t="s">
        <v>101</v>
      </c>
      <c r="B6" t="s">
        <v>104</v>
      </c>
      <c r="C6" t="s">
        <v>103</v>
      </c>
      <c r="D6">
        <v>80</v>
      </c>
    </row>
    <row r="7" spans="1:9" x14ac:dyDescent="0.35">
      <c r="A7" t="s">
        <v>101</v>
      </c>
      <c r="B7" t="s">
        <v>105</v>
      </c>
      <c r="C7">
        <f>1600</f>
        <v>1600</v>
      </c>
    </row>
    <row r="9" spans="1:9" x14ac:dyDescent="0.35">
      <c r="A9" t="s">
        <v>79</v>
      </c>
      <c r="B9" t="s">
        <v>103</v>
      </c>
      <c r="C9" s="18">
        <v>65.031999999999996</v>
      </c>
      <c r="D9" t="s">
        <v>80</v>
      </c>
      <c r="E9" t="s">
        <v>103</v>
      </c>
      <c r="F9" s="18">
        <v>3.9647999999999999</v>
      </c>
      <c r="G9" t="s">
        <v>81</v>
      </c>
      <c r="H9" t="s">
        <v>103</v>
      </c>
      <c r="I9">
        <v>18.288</v>
      </c>
    </row>
    <row r="10" spans="1:9" x14ac:dyDescent="0.35">
      <c r="A10" t="s">
        <v>106</v>
      </c>
      <c r="B10" t="s">
        <v>103</v>
      </c>
      <c r="C10">
        <v>0</v>
      </c>
      <c r="D10" t="s">
        <v>107</v>
      </c>
      <c r="E10" t="s">
        <v>103</v>
      </c>
      <c r="F10">
        <v>0</v>
      </c>
      <c r="G10" t="s">
        <v>108</v>
      </c>
      <c r="H10" t="s">
        <v>103</v>
      </c>
      <c r="I10">
        <v>0</v>
      </c>
    </row>
    <row r="12" spans="1:9" x14ac:dyDescent="0.35">
      <c r="A12" t="s">
        <v>109</v>
      </c>
      <c r="B12" t="s">
        <v>110</v>
      </c>
      <c r="C12" t="s">
        <v>111</v>
      </c>
      <c r="D12" t="s">
        <v>65</v>
      </c>
      <c r="E12" t="s">
        <v>112</v>
      </c>
      <c r="F12" t="s">
        <v>113</v>
      </c>
      <c r="G12" t="s">
        <v>114</v>
      </c>
    </row>
    <row r="14" spans="1:9" x14ac:dyDescent="0.35">
      <c r="A14" t="s">
        <v>115</v>
      </c>
      <c r="B14" t="s">
        <v>116</v>
      </c>
      <c r="C14" t="s">
        <v>117</v>
      </c>
    </row>
    <row r="16" spans="1:9" x14ac:dyDescent="0.35">
      <c r="A16" t="s">
        <v>118</v>
      </c>
      <c r="B16" t="s">
        <v>103</v>
      </c>
      <c r="C16">
        <v>5.95357</v>
      </c>
      <c r="D16" t="s">
        <v>119</v>
      </c>
      <c r="E16" t="s">
        <v>103</v>
      </c>
      <c r="F16">
        <v>0</v>
      </c>
      <c r="G16" t="s">
        <v>120</v>
      </c>
      <c r="H16" t="s">
        <v>103</v>
      </c>
      <c r="I16">
        <v>0</v>
      </c>
    </row>
    <row r="17" spans="1:9" x14ac:dyDescent="0.35">
      <c r="A17" t="s">
        <v>121</v>
      </c>
      <c r="B17" t="s">
        <v>103</v>
      </c>
      <c r="C17">
        <v>0</v>
      </c>
      <c r="D17" t="s">
        <v>122</v>
      </c>
      <c r="E17" t="s">
        <v>103</v>
      </c>
      <c r="F17">
        <v>0</v>
      </c>
    </row>
    <row r="18" spans="1:9" x14ac:dyDescent="0.35">
      <c r="A18" t="s">
        <v>123</v>
      </c>
      <c r="B18" t="s">
        <v>103</v>
      </c>
      <c r="C18">
        <v>0</v>
      </c>
      <c r="D18" t="s">
        <v>124</v>
      </c>
      <c r="E18" t="s">
        <v>103</v>
      </c>
      <c r="F18">
        <v>0</v>
      </c>
      <c r="G18" t="s">
        <v>125</v>
      </c>
      <c r="H18" t="s">
        <v>103</v>
      </c>
      <c r="I18">
        <v>0</v>
      </c>
    </row>
    <row r="20" spans="1:9" x14ac:dyDescent="0.35">
      <c r="A20" t="s">
        <v>126</v>
      </c>
      <c r="B20" t="s">
        <v>103</v>
      </c>
      <c r="C20">
        <v>2.3949999999999999E-2</v>
      </c>
      <c r="D20" t="s">
        <v>127</v>
      </c>
      <c r="E20" t="s">
        <v>103</v>
      </c>
      <c r="F20">
        <v>0</v>
      </c>
      <c r="G20" t="s">
        <v>128</v>
      </c>
      <c r="H20" t="s">
        <v>103</v>
      </c>
      <c r="I20">
        <v>0</v>
      </c>
    </row>
    <row r="21" spans="1:9" x14ac:dyDescent="0.35">
      <c r="A21" t="s">
        <v>129</v>
      </c>
      <c r="B21" t="s">
        <v>103</v>
      </c>
      <c r="C21">
        <v>0</v>
      </c>
      <c r="D21" t="s">
        <v>130</v>
      </c>
      <c r="E21" t="s">
        <v>103</v>
      </c>
      <c r="F21">
        <v>-0.45973000000000003</v>
      </c>
    </row>
    <row r="22" spans="1:9" x14ac:dyDescent="0.35">
      <c r="A22" t="s">
        <v>131</v>
      </c>
      <c r="B22" t="s">
        <v>103</v>
      </c>
      <c r="C22">
        <v>-0.47337000000000001</v>
      </c>
      <c r="D22" t="s">
        <v>132</v>
      </c>
      <c r="E22" t="s">
        <v>103</v>
      </c>
      <c r="F22">
        <v>0</v>
      </c>
      <c r="G22" t="s">
        <v>133</v>
      </c>
      <c r="H22" t="s">
        <v>103</v>
      </c>
      <c r="I22">
        <v>0</v>
      </c>
    </row>
    <row r="24" spans="1:9" x14ac:dyDescent="0.35">
      <c r="A24" t="s">
        <v>134</v>
      </c>
      <c r="B24" t="s">
        <v>103</v>
      </c>
      <c r="C24">
        <v>0.4733</v>
      </c>
    </row>
    <row r="25" spans="1:9" x14ac:dyDescent="0.35">
      <c r="A25" t="s">
        <v>135</v>
      </c>
      <c r="B25" t="s">
        <v>103</v>
      </c>
      <c r="C25">
        <v>2.528E-2</v>
      </c>
    </row>
    <row r="26" spans="1:9" x14ac:dyDescent="0.35">
      <c r="A26" t="s">
        <v>136</v>
      </c>
      <c r="B26" t="s">
        <v>103</v>
      </c>
      <c r="C26">
        <v>1.0630000000000001E-2</v>
      </c>
      <c r="D26" t="s">
        <v>137</v>
      </c>
      <c r="E26" t="s">
        <v>103</v>
      </c>
      <c r="F26">
        <v>1.46496E-2</v>
      </c>
    </row>
    <row r="27" spans="1:9" x14ac:dyDescent="0.35">
      <c r="A27" t="s">
        <v>138</v>
      </c>
      <c r="B27" t="s">
        <v>103</v>
      </c>
      <c r="C27">
        <v>0.47482999999999997</v>
      </c>
      <c r="D27" t="s">
        <v>139</v>
      </c>
      <c r="E27" t="s">
        <v>103</v>
      </c>
      <c r="F27">
        <v>1.3974200000000001E-2</v>
      </c>
      <c r="G27" t="s">
        <v>140</v>
      </c>
      <c r="H27" t="s">
        <v>141</v>
      </c>
    </row>
    <row r="28" spans="1:9" x14ac:dyDescent="0.35">
      <c r="A28" t="s">
        <v>142</v>
      </c>
      <c r="B28" t="s">
        <v>103</v>
      </c>
      <c r="C28">
        <v>0</v>
      </c>
      <c r="D28" t="s">
        <v>143</v>
      </c>
      <c r="E28" t="s">
        <v>103</v>
      </c>
      <c r="F28">
        <v>0.99860000000000004</v>
      </c>
      <c r="G28" t="s">
        <v>140</v>
      </c>
      <c r="H28" t="s">
        <v>144</v>
      </c>
    </row>
    <row r="31" spans="1:9" x14ac:dyDescent="0.35">
      <c r="A31" t="s">
        <v>93</v>
      </c>
    </row>
    <row r="33" spans="1:13" x14ac:dyDescent="0.35">
      <c r="A33" t="s">
        <v>145</v>
      </c>
      <c r="B33" t="s">
        <v>146</v>
      </c>
    </row>
    <row r="35" spans="1:13" x14ac:dyDescent="0.35">
      <c r="A35" t="s">
        <v>0</v>
      </c>
      <c r="B35" t="s">
        <v>147</v>
      </c>
    </row>
    <row r="36" spans="1:13" x14ac:dyDescent="0.35">
      <c r="A36" t="s">
        <v>148</v>
      </c>
      <c r="B36" t="s">
        <v>148</v>
      </c>
    </row>
    <row r="37" spans="1:13" x14ac:dyDescent="0.35">
      <c r="A37" t="s">
        <v>149</v>
      </c>
      <c r="B37" t="s">
        <v>150</v>
      </c>
      <c r="C37" t="s">
        <v>1</v>
      </c>
      <c r="D37" t="s">
        <v>140</v>
      </c>
      <c r="E37" t="s">
        <v>151</v>
      </c>
      <c r="F37" t="s">
        <v>103</v>
      </c>
      <c r="G37">
        <v>3.867464</v>
      </c>
      <c r="H37" t="s">
        <v>152</v>
      </c>
      <c r="I37" t="s">
        <v>103</v>
      </c>
      <c r="J37">
        <v>0</v>
      </c>
    </row>
    <row r="38" spans="1:13" x14ac:dyDescent="0.35">
      <c r="A38" t="s">
        <v>153</v>
      </c>
      <c r="B38" t="s">
        <v>150</v>
      </c>
      <c r="C38" t="s">
        <v>154</v>
      </c>
      <c r="D38" t="s">
        <v>140</v>
      </c>
      <c r="E38" t="s">
        <v>155</v>
      </c>
      <c r="F38" t="s">
        <v>103</v>
      </c>
      <c r="G38">
        <v>0</v>
      </c>
      <c r="H38" t="s">
        <v>156</v>
      </c>
      <c r="I38" t="s">
        <v>103</v>
      </c>
      <c r="J38">
        <v>-1.0598E-2</v>
      </c>
    </row>
    <row r="39" spans="1:13" x14ac:dyDescent="0.35">
      <c r="A39" t="s">
        <v>317</v>
      </c>
      <c r="B39" t="s">
        <v>150</v>
      </c>
      <c r="C39" t="s">
        <v>2</v>
      </c>
      <c r="D39" t="s">
        <v>140</v>
      </c>
      <c r="E39" t="s">
        <v>318</v>
      </c>
      <c r="F39" t="s">
        <v>103</v>
      </c>
      <c r="G39">
        <v>0.30002800000000002</v>
      </c>
      <c r="H39" t="s">
        <v>319</v>
      </c>
      <c r="I39" t="s">
        <v>103</v>
      </c>
      <c r="J39">
        <v>0</v>
      </c>
    </row>
    <row r="40" spans="1:13" x14ac:dyDescent="0.35">
      <c r="A40" t="s">
        <v>157</v>
      </c>
      <c r="B40" t="s">
        <v>158</v>
      </c>
      <c r="C40" t="s">
        <v>159</v>
      </c>
      <c r="D40" t="s">
        <v>160</v>
      </c>
      <c r="E40" t="s">
        <v>103</v>
      </c>
      <c r="F40">
        <v>0</v>
      </c>
      <c r="G40" t="s">
        <v>161</v>
      </c>
      <c r="H40" t="s">
        <v>103</v>
      </c>
      <c r="I40">
        <v>-5.4189000000000001E-2</v>
      </c>
    </row>
    <row r="41" spans="1:13" x14ac:dyDescent="0.35">
      <c r="A41" t="s">
        <v>153</v>
      </c>
      <c r="B41" t="s">
        <v>158</v>
      </c>
      <c r="C41" t="s">
        <v>4</v>
      </c>
      <c r="D41" t="s">
        <v>140</v>
      </c>
      <c r="E41" t="s">
        <v>162</v>
      </c>
      <c r="F41" t="s">
        <v>103</v>
      </c>
      <c r="G41">
        <v>-3.5032700000000001</v>
      </c>
      <c r="H41" t="s">
        <v>163</v>
      </c>
      <c r="I41" t="s">
        <v>103</v>
      </c>
      <c r="J41">
        <v>0</v>
      </c>
    </row>
    <row r="42" spans="1:13" x14ac:dyDescent="0.35">
      <c r="A42" t="s">
        <v>149</v>
      </c>
      <c r="B42" t="s">
        <v>158</v>
      </c>
      <c r="C42" t="s">
        <v>164</v>
      </c>
      <c r="D42" t="s">
        <v>165</v>
      </c>
      <c r="E42" t="s">
        <v>103</v>
      </c>
      <c r="F42">
        <v>0</v>
      </c>
      <c r="G42" t="s">
        <v>166</v>
      </c>
      <c r="H42" t="s">
        <v>103</v>
      </c>
      <c r="I42">
        <v>8.5050000000000004E-3</v>
      </c>
    </row>
    <row r="44" spans="1:13" x14ac:dyDescent="0.35">
      <c r="A44" t="s">
        <v>167</v>
      </c>
      <c r="B44" t="s">
        <v>168</v>
      </c>
      <c r="C44" t="s">
        <v>169</v>
      </c>
      <c r="D44" t="s">
        <v>170</v>
      </c>
      <c r="E44" t="s">
        <v>168</v>
      </c>
      <c r="F44" t="s">
        <v>171</v>
      </c>
      <c r="G44" t="s">
        <v>172</v>
      </c>
      <c r="H44" t="s">
        <v>168</v>
      </c>
      <c r="I44" t="s">
        <v>173</v>
      </c>
    </row>
    <row r="45" spans="1:13" x14ac:dyDescent="0.35">
      <c r="A45" t="s">
        <v>148</v>
      </c>
      <c r="B45" t="s">
        <v>148</v>
      </c>
      <c r="C45" t="s">
        <v>148</v>
      </c>
    </row>
    <row r="46" spans="1:13" x14ac:dyDescent="0.35">
      <c r="A46" t="s">
        <v>149</v>
      </c>
      <c r="B46" t="s">
        <v>150</v>
      </c>
      <c r="C46" t="s">
        <v>1</v>
      </c>
      <c r="D46" t="s">
        <v>140</v>
      </c>
      <c r="E46" t="s">
        <v>174</v>
      </c>
      <c r="F46" t="s">
        <v>103</v>
      </c>
      <c r="G46">
        <v>0</v>
      </c>
      <c r="H46" t="s">
        <v>175</v>
      </c>
      <c r="I46" t="s">
        <v>103</v>
      </c>
      <c r="J46">
        <v>10.989523999999999</v>
      </c>
      <c r="K46" t="s">
        <v>176</v>
      </c>
      <c r="L46" t="s">
        <v>103</v>
      </c>
      <c r="M46">
        <v>0</v>
      </c>
    </row>
    <row r="47" spans="1:13" x14ac:dyDescent="0.35">
      <c r="A47" t="s">
        <v>153</v>
      </c>
      <c r="B47" t="s">
        <v>150</v>
      </c>
      <c r="C47" t="s">
        <v>154</v>
      </c>
      <c r="D47" t="s">
        <v>140</v>
      </c>
      <c r="E47" t="s">
        <v>177</v>
      </c>
      <c r="F47" t="s">
        <v>103</v>
      </c>
      <c r="G47">
        <v>0.1457</v>
      </c>
      <c r="H47" t="s">
        <v>178</v>
      </c>
      <c r="I47" t="s">
        <v>103</v>
      </c>
      <c r="J47">
        <v>0</v>
      </c>
      <c r="K47" t="s">
        <v>179</v>
      </c>
      <c r="L47" t="s">
        <v>103</v>
      </c>
      <c r="M47">
        <v>-1.1413E-2</v>
      </c>
    </row>
    <row r="48" spans="1:13" x14ac:dyDescent="0.35">
      <c r="A48" t="s">
        <v>317</v>
      </c>
      <c r="B48" t="s">
        <v>150</v>
      </c>
      <c r="C48" t="s">
        <v>2</v>
      </c>
      <c r="D48" t="s">
        <v>140</v>
      </c>
      <c r="E48" t="s">
        <v>3</v>
      </c>
      <c r="F48" t="s">
        <v>103</v>
      </c>
      <c r="G48">
        <v>0</v>
      </c>
      <c r="H48" t="s">
        <v>320</v>
      </c>
      <c r="I48" t="s">
        <v>103</v>
      </c>
      <c r="J48">
        <v>-7.6733999999999997E-2</v>
      </c>
      <c r="K48" t="s">
        <v>321</v>
      </c>
      <c r="L48" t="s">
        <v>103</v>
      </c>
      <c r="M48">
        <v>0</v>
      </c>
    </row>
    <row r="49" spans="1:14" x14ac:dyDescent="0.35">
      <c r="A49" t="s">
        <v>157</v>
      </c>
      <c r="B49" t="s">
        <v>158</v>
      </c>
      <c r="C49" t="s">
        <v>159</v>
      </c>
      <c r="D49" t="s">
        <v>180</v>
      </c>
      <c r="E49" t="s">
        <v>103</v>
      </c>
      <c r="F49">
        <v>-0.34858699999999998</v>
      </c>
      <c r="G49" t="s">
        <v>181</v>
      </c>
      <c r="H49" t="s">
        <v>103</v>
      </c>
      <c r="I49">
        <v>0</v>
      </c>
      <c r="J49" t="s">
        <v>182</v>
      </c>
      <c r="K49" t="s">
        <v>103</v>
      </c>
      <c r="L49">
        <v>0.12715699999999999</v>
      </c>
    </row>
    <row r="50" spans="1:14" x14ac:dyDescent="0.35">
      <c r="A50" t="s">
        <v>153</v>
      </c>
      <c r="B50" t="s">
        <v>158</v>
      </c>
      <c r="C50" t="s">
        <v>4</v>
      </c>
      <c r="D50" t="s">
        <v>140</v>
      </c>
      <c r="E50" t="s">
        <v>183</v>
      </c>
      <c r="F50" t="s">
        <v>103</v>
      </c>
      <c r="G50">
        <v>0</v>
      </c>
      <c r="H50" t="s">
        <v>184</v>
      </c>
      <c r="I50" t="s">
        <v>103</v>
      </c>
      <c r="J50">
        <v>-11.013322000000001</v>
      </c>
      <c r="K50" t="s">
        <v>185</v>
      </c>
      <c r="L50" t="s">
        <v>103</v>
      </c>
      <c r="M50">
        <v>0</v>
      </c>
    </row>
    <row r="51" spans="1:14" x14ac:dyDescent="0.35">
      <c r="A51" t="s">
        <v>149</v>
      </c>
      <c r="B51" t="s">
        <v>158</v>
      </c>
      <c r="C51" t="s">
        <v>164</v>
      </c>
      <c r="D51" t="s">
        <v>186</v>
      </c>
      <c r="E51" t="s">
        <v>103</v>
      </c>
      <c r="F51">
        <v>-6.2214999999999999E-2</v>
      </c>
      <c r="G51" t="s">
        <v>187</v>
      </c>
      <c r="H51" t="s">
        <v>103</v>
      </c>
      <c r="I51">
        <v>0</v>
      </c>
      <c r="J51" t="s">
        <v>188</v>
      </c>
      <c r="K51" t="s">
        <v>103</v>
      </c>
      <c r="L51">
        <v>-7.6839999999999999E-3</v>
      </c>
    </row>
    <row r="53" spans="1:14" x14ac:dyDescent="0.35">
      <c r="A53" t="s">
        <v>189</v>
      </c>
      <c r="B53" t="s">
        <v>190</v>
      </c>
      <c r="C53" t="s">
        <v>191</v>
      </c>
      <c r="D53" t="s">
        <v>103</v>
      </c>
      <c r="E53">
        <v>3.59144</v>
      </c>
    </row>
    <row r="55" spans="1:14" x14ac:dyDescent="0.35">
      <c r="A55" t="s">
        <v>161</v>
      </c>
      <c r="B55" t="s">
        <v>188</v>
      </c>
      <c r="C55" t="s">
        <v>244</v>
      </c>
      <c r="D55" t="s">
        <v>182</v>
      </c>
      <c r="E55" t="s">
        <v>166</v>
      </c>
      <c r="F55" t="s">
        <v>103</v>
      </c>
      <c r="G55">
        <v>0.38500200000000001</v>
      </c>
      <c r="H55" t="s">
        <v>245</v>
      </c>
      <c r="I55" t="s">
        <v>246</v>
      </c>
      <c r="J55">
        <v>1</v>
      </c>
      <c r="K55" t="s">
        <v>247</v>
      </c>
      <c r="L55" t="s">
        <v>248</v>
      </c>
      <c r="M55" t="s">
        <v>249</v>
      </c>
      <c r="N55" t="s">
        <v>250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951BF-22E0-4DB1-B3E3-6E94166932FE}">
  <sheetPr codeName="Sheet5"/>
  <dimension ref="A1:O120"/>
  <sheetViews>
    <sheetView topLeftCell="A19" workbookViewId="0">
      <selection activeCell="J23" sqref="J23:J62"/>
    </sheetView>
  </sheetViews>
  <sheetFormatPr defaultRowHeight="14.5" x14ac:dyDescent="0.35"/>
  <sheetData>
    <row r="1" spans="1:12" x14ac:dyDescent="0.35">
      <c r="A1" t="s">
        <v>93</v>
      </c>
    </row>
    <row r="2" spans="1:12" x14ac:dyDescent="0.35">
      <c r="A2" t="s">
        <v>192</v>
      </c>
      <c r="B2" t="s">
        <v>193</v>
      </c>
      <c r="C2" t="s">
        <v>194</v>
      </c>
      <c r="D2" t="s">
        <v>99</v>
      </c>
      <c r="E2" t="s">
        <v>195</v>
      </c>
      <c r="F2" t="s">
        <v>196</v>
      </c>
    </row>
    <row r="4" spans="1:12" x14ac:dyDescent="0.35">
      <c r="A4" t="s">
        <v>79</v>
      </c>
      <c r="B4" t="s">
        <v>103</v>
      </c>
      <c r="C4">
        <v>65.031999999999996</v>
      </c>
      <c r="D4" t="s">
        <v>80</v>
      </c>
      <c r="E4" t="s">
        <v>103</v>
      </c>
      <c r="F4">
        <v>3.9647999999999999</v>
      </c>
      <c r="G4" t="s">
        <v>81</v>
      </c>
      <c r="H4" t="s">
        <v>103</v>
      </c>
      <c r="I4">
        <v>18.288</v>
      </c>
    </row>
    <row r="5" spans="1:12" x14ac:dyDescent="0.35">
      <c r="A5" t="s">
        <v>106</v>
      </c>
      <c r="B5" t="s">
        <v>103</v>
      </c>
      <c r="C5">
        <v>0</v>
      </c>
      <c r="D5" t="s">
        <v>107</v>
      </c>
      <c r="E5" t="s">
        <v>103</v>
      </c>
      <c r="F5">
        <v>0</v>
      </c>
      <c r="G5" t="s">
        <v>108</v>
      </c>
      <c r="H5" t="s">
        <v>103</v>
      </c>
      <c r="I5">
        <v>0</v>
      </c>
    </row>
    <row r="7" spans="1:12" x14ac:dyDescent="0.35">
      <c r="A7" t="s">
        <v>192</v>
      </c>
      <c r="B7" t="s">
        <v>101</v>
      </c>
      <c r="C7">
        <v>1</v>
      </c>
      <c r="D7" t="s">
        <v>76</v>
      </c>
    </row>
    <row r="8" spans="1:12" x14ac:dyDescent="0.35">
      <c r="A8" t="s">
        <v>101</v>
      </c>
      <c r="B8" t="s">
        <v>204</v>
      </c>
      <c r="C8" t="s">
        <v>103</v>
      </c>
      <c r="D8">
        <v>20</v>
      </c>
      <c r="E8" t="s">
        <v>101</v>
      </c>
      <c r="F8" t="s">
        <v>205</v>
      </c>
      <c r="G8" t="s">
        <v>103</v>
      </c>
      <c r="H8">
        <v>40</v>
      </c>
      <c r="I8" t="s">
        <v>206</v>
      </c>
      <c r="J8" t="s">
        <v>207</v>
      </c>
      <c r="K8" t="s">
        <v>103</v>
      </c>
      <c r="L8">
        <v>1</v>
      </c>
    </row>
    <row r="9" spans="1:12" x14ac:dyDescent="0.35">
      <c r="A9" t="s">
        <v>192</v>
      </c>
      <c r="B9" t="s">
        <v>208</v>
      </c>
      <c r="C9" t="s">
        <v>322</v>
      </c>
      <c r="D9" t="s">
        <v>103</v>
      </c>
      <c r="E9">
        <v>32.516064</v>
      </c>
      <c r="F9" t="s">
        <v>209</v>
      </c>
      <c r="G9" t="s">
        <v>85</v>
      </c>
      <c r="H9" t="s">
        <v>219</v>
      </c>
      <c r="I9" t="s">
        <v>103</v>
      </c>
      <c r="J9">
        <v>3.556</v>
      </c>
    </row>
    <row r="11" spans="1:12" x14ac:dyDescent="0.35">
      <c r="A11" t="s">
        <v>99</v>
      </c>
      <c r="B11" t="s">
        <v>197</v>
      </c>
      <c r="C11" t="s">
        <v>198</v>
      </c>
      <c r="D11" t="s">
        <v>199</v>
      </c>
      <c r="E11" t="s">
        <v>200</v>
      </c>
      <c r="F11" t="s">
        <v>81</v>
      </c>
      <c r="G11" t="s">
        <v>201</v>
      </c>
      <c r="H11" t="s">
        <v>202</v>
      </c>
      <c r="I11" t="s">
        <v>203</v>
      </c>
      <c r="J11" t="s">
        <v>108</v>
      </c>
    </row>
    <row r="12" spans="1:12" x14ac:dyDescent="0.35">
      <c r="A12" t="s">
        <v>109</v>
      </c>
      <c r="B12" t="s">
        <v>110</v>
      </c>
      <c r="C12" t="s">
        <v>111</v>
      </c>
      <c r="D12" t="s">
        <v>65</v>
      </c>
      <c r="E12" t="s">
        <v>112</v>
      </c>
      <c r="F12" t="s">
        <v>113</v>
      </c>
      <c r="G12" t="s">
        <v>114</v>
      </c>
    </row>
    <row r="13" spans="1:12" x14ac:dyDescent="0.35">
      <c r="A13" t="s">
        <v>210</v>
      </c>
      <c r="B13" t="s">
        <v>103</v>
      </c>
      <c r="C13">
        <v>0.23665</v>
      </c>
      <c r="D13" t="s">
        <v>211</v>
      </c>
      <c r="E13" t="s">
        <v>103</v>
      </c>
      <c r="F13">
        <v>-5.0099999999999999E-2</v>
      </c>
    </row>
    <row r="14" spans="1:12" x14ac:dyDescent="0.35">
      <c r="A14" t="s">
        <v>212</v>
      </c>
      <c r="B14" t="s">
        <v>103</v>
      </c>
      <c r="C14">
        <v>1.136E-2</v>
      </c>
      <c r="D14" t="s">
        <v>213</v>
      </c>
      <c r="E14" t="s">
        <v>103</v>
      </c>
      <c r="F14">
        <v>-0.22986000000000001</v>
      </c>
    </row>
    <row r="15" spans="1:12" x14ac:dyDescent="0.35">
      <c r="A15" t="s">
        <v>214</v>
      </c>
      <c r="B15" t="s">
        <v>103</v>
      </c>
      <c r="C15">
        <v>1.264E-2</v>
      </c>
      <c r="D15" t="s">
        <v>215</v>
      </c>
      <c r="E15" t="s">
        <v>103</v>
      </c>
      <c r="F15">
        <v>-5.2700000000000004E-3</v>
      </c>
    </row>
    <row r="16" spans="1:12" x14ac:dyDescent="0.35">
      <c r="A16" t="s">
        <v>216</v>
      </c>
      <c r="B16" t="s">
        <v>103</v>
      </c>
      <c r="C16">
        <v>7.3200000000000001E-3</v>
      </c>
      <c r="D16" t="s">
        <v>217</v>
      </c>
      <c r="E16" t="s">
        <v>103</v>
      </c>
      <c r="F16">
        <v>5.3200000000000001E-3</v>
      </c>
    </row>
    <row r="18" spans="1:15" x14ac:dyDescent="0.35">
      <c r="A18" t="s">
        <v>99</v>
      </c>
      <c r="B18" t="s">
        <v>197</v>
      </c>
      <c r="C18" t="s">
        <v>198</v>
      </c>
      <c r="D18" t="s">
        <v>218</v>
      </c>
      <c r="E18" t="s">
        <v>219</v>
      </c>
    </row>
    <row r="19" spans="1:15" x14ac:dyDescent="0.35">
      <c r="A19" t="s">
        <v>210</v>
      </c>
      <c r="B19" t="s">
        <v>103</v>
      </c>
      <c r="C19">
        <v>0.4733</v>
      </c>
      <c r="D19" t="s">
        <v>214</v>
      </c>
      <c r="E19" t="s">
        <v>103</v>
      </c>
      <c r="F19">
        <v>2.528E-2</v>
      </c>
    </row>
    <row r="21" spans="1:15" x14ac:dyDescent="0.35">
      <c r="A21" t="s">
        <v>194</v>
      </c>
      <c r="B21" t="s">
        <v>99</v>
      </c>
      <c r="C21" t="s">
        <v>197</v>
      </c>
      <c r="D21" t="s">
        <v>198</v>
      </c>
      <c r="E21" t="s">
        <v>194</v>
      </c>
      <c r="F21" t="s">
        <v>220</v>
      </c>
      <c r="G21" t="s">
        <v>86</v>
      </c>
    </row>
    <row r="22" spans="1:15" x14ac:dyDescent="0.35">
      <c r="A22" t="s">
        <v>221</v>
      </c>
      <c r="B22" t="s">
        <v>82</v>
      </c>
      <c r="C22" t="s">
        <v>83</v>
      </c>
      <c r="D22" t="s">
        <v>84</v>
      </c>
      <c r="E22" t="s">
        <v>86</v>
      </c>
      <c r="F22" t="s">
        <v>222</v>
      </c>
      <c r="G22" t="s">
        <v>323</v>
      </c>
      <c r="H22" t="s">
        <v>224</v>
      </c>
      <c r="I22" t="s">
        <v>225</v>
      </c>
      <c r="J22" t="s">
        <v>223</v>
      </c>
      <c r="K22" t="s">
        <v>226</v>
      </c>
      <c r="L22" t="s">
        <v>227</v>
      </c>
      <c r="M22" t="s">
        <v>228</v>
      </c>
      <c r="N22" t="s">
        <v>229</v>
      </c>
      <c r="O22" t="s">
        <v>230</v>
      </c>
    </row>
    <row r="23" spans="1:15" x14ac:dyDescent="0.35">
      <c r="A23">
        <v>1</v>
      </c>
      <c r="B23">
        <v>2.3999999999999998E-3</v>
      </c>
      <c r="C23">
        <v>3.5000000000000001E-3</v>
      </c>
      <c r="D23">
        <v>0</v>
      </c>
      <c r="E23">
        <v>5.6428000000000003</v>
      </c>
      <c r="F23">
        <v>7.9500000000000001E-2</v>
      </c>
      <c r="G23">
        <v>2.1398999999999999</v>
      </c>
      <c r="H23">
        <v>3.8300000000000001E-2</v>
      </c>
      <c r="I23">
        <v>0.46160000000000001</v>
      </c>
      <c r="J23">
        <v>0.35420000000000001</v>
      </c>
      <c r="K23">
        <v>0.26800000000000002</v>
      </c>
      <c r="L23">
        <v>8.6E-3</v>
      </c>
      <c r="M23">
        <v>-4.8300000000000003E-2</v>
      </c>
      <c r="N23">
        <v>-0.1192</v>
      </c>
      <c r="O23">
        <v>0.38600000000000001</v>
      </c>
    </row>
    <row r="24" spans="1:15" x14ac:dyDescent="0.35">
      <c r="A24">
        <v>2</v>
      </c>
      <c r="B24">
        <v>2.12E-2</v>
      </c>
      <c r="C24">
        <v>3.1699999999999999E-2</v>
      </c>
      <c r="D24">
        <v>0</v>
      </c>
      <c r="E24">
        <v>5.6299000000000001</v>
      </c>
      <c r="F24">
        <v>0.23760000000000001</v>
      </c>
      <c r="G24">
        <v>2.1404999999999998</v>
      </c>
      <c r="H24">
        <v>4.5499999999999999E-2</v>
      </c>
      <c r="I24">
        <v>0.49180000000000001</v>
      </c>
      <c r="J24">
        <v>0.37740000000000001</v>
      </c>
      <c r="K24">
        <v>5.57E-2</v>
      </c>
      <c r="L24">
        <v>8.8999999999999999E-3</v>
      </c>
      <c r="M24">
        <v>-4.82E-2</v>
      </c>
      <c r="N24">
        <v>-0.1193</v>
      </c>
      <c r="O24">
        <v>0.378</v>
      </c>
    </row>
    <row r="25" spans="1:15" x14ac:dyDescent="0.35">
      <c r="A25">
        <v>3</v>
      </c>
      <c r="B25">
        <v>5.8700000000000002E-2</v>
      </c>
      <c r="C25">
        <v>8.7800000000000003E-2</v>
      </c>
      <c r="D25">
        <v>0</v>
      </c>
      <c r="E25">
        <v>5.6043000000000003</v>
      </c>
      <c r="F25">
        <v>0.39250000000000002</v>
      </c>
      <c r="G25">
        <v>2.1421999999999999</v>
      </c>
      <c r="H25">
        <v>5.0900000000000001E-2</v>
      </c>
      <c r="I25">
        <v>0.49619999999999997</v>
      </c>
      <c r="J25">
        <v>0.38080000000000003</v>
      </c>
      <c r="K25">
        <v>4.2700000000000002E-2</v>
      </c>
      <c r="L25">
        <v>8.9999999999999993E-3</v>
      </c>
      <c r="M25">
        <v>-4.7699999999999999E-2</v>
      </c>
      <c r="N25">
        <v>-0.1193</v>
      </c>
      <c r="O25">
        <v>0.375</v>
      </c>
    </row>
    <row r="26" spans="1:15" x14ac:dyDescent="0.35">
      <c r="A26">
        <v>4</v>
      </c>
      <c r="B26">
        <v>0.1148</v>
      </c>
      <c r="C26">
        <v>0.17169999999999999</v>
      </c>
      <c r="D26">
        <v>0</v>
      </c>
      <c r="E26">
        <v>5.5659999999999998</v>
      </c>
      <c r="F26">
        <v>0.54239999999999999</v>
      </c>
      <c r="G26">
        <v>2.1444999999999999</v>
      </c>
      <c r="H26">
        <v>5.4899999999999997E-2</v>
      </c>
      <c r="I26">
        <v>0.50060000000000004</v>
      </c>
      <c r="J26">
        <v>0.38419999999999999</v>
      </c>
      <c r="K26">
        <v>3.9899999999999998E-2</v>
      </c>
      <c r="L26">
        <v>8.9999999999999993E-3</v>
      </c>
      <c r="M26">
        <v>-4.6699999999999998E-2</v>
      </c>
      <c r="N26">
        <v>-0.1191</v>
      </c>
      <c r="O26">
        <v>0.372</v>
      </c>
    </row>
    <row r="27" spans="1:15" x14ac:dyDescent="0.35">
      <c r="A27">
        <v>5</v>
      </c>
      <c r="B27">
        <v>0.18890000000000001</v>
      </c>
      <c r="C27">
        <v>0.28260000000000002</v>
      </c>
      <c r="D27">
        <v>0</v>
      </c>
      <c r="E27">
        <v>5.5152999999999999</v>
      </c>
      <c r="F27">
        <v>0.68530000000000002</v>
      </c>
      <c r="G27">
        <v>2.1469999999999998</v>
      </c>
      <c r="H27">
        <v>5.7700000000000001E-2</v>
      </c>
      <c r="I27">
        <v>0.50609999999999999</v>
      </c>
      <c r="J27">
        <v>0.38840000000000002</v>
      </c>
      <c r="K27">
        <v>3.8100000000000002E-2</v>
      </c>
      <c r="L27">
        <v>9.1000000000000004E-3</v>
      </c>
      <c r="M27">
        <v>-4.5400000000000003E-2</v>
      </c>
      <c r="N27">
        <v>-0.11890000000000001</v>
      </c>
      <c r="O27">
        <v>0.36699999999999999</v>
      </c>
    </row>
    <row r="28" spans="1:15" x14ac:dyDescent="0.35">
      <c r="A28">
        <v>6</v>
      </c>
      <c r="B28">
        <v>0.28079999999999999</v>
      </c>
      <c r="C28">
        <v>0.42</v>
      </c>
      <c r="D28">
        <v>0</v>
      </c>
      <c r="E28">
        <v>5.4526000000000003</v>
      </c>
      <c r="F28">
        <v>0.81950000000000001</v>
      </c>
      <c r="G28">
        <v>2.1492</v>
      </c>
      <c r="H28">
        <v>5.9700000000000003E-2</v>
      </c>
      <c r="I28">
        <v>0.51270000000000004</v>
      </c>
      <c r="J28">
        <v>0.39340000000000003</v>
      </c>
      <c r="K28">
        <v>3.6499999999999998E-2</v>
      </c>
      <c r="L28">
        <v>9.1999999999999998E-3</v>
      </c>
      <c r="M28">
        <v>-4.3999999999999997E-2</v>
      </c>
      <c r="N28">
        <v>-0.1187</v>
      </c>
      <c r="O28">
        <v>0.36199999999999999</v>
      </c>
    </row>
    <row r="29" spans="1:15" x14ac:dyDescent="0.35">
      <c r="A29">
        <v>7</v>
      </c>
      <c r="B29">
        <v>0.38969999999999999</v>
      </c>
      <c r="C29">
        <v>0.58289999999999997</v>
      </c>
      <c r="D29">
        <v>0</v>
      </c>
      <c r="E29">
        <v>5.3780999999999999</v>
      </c>
      <c r="F29">
        <v>0.94340000000000002</v>
      </c>
      <c r="G29">
        <v>2.1503999999999999</v>
      </c>
      <c r="H29">
        <v>6.1100000000000002E-2</v>
      </c>
      <c r="I29">
        <v>0.52039999999999997</v>
      </c>
      <c r="J29">
        <v>0.39929999999999999</v>
      </c>
      <c r="K29">
        <v>3.5099999999999999E-2</v>
      </c>
      <c r="L29">
        <v>9.2999999999999992E-3</v>
      </c>
      <c r="M29">
        <v>-4.2500000000000003E-2</v>
      </c>
      <c r="N29">
        <v>-0.1186</v>
      </c>
      <c r="O29">
        <v>0.35599999999999998</v>
      </c>
    </row>
    <row r="30" spans="1:15" x14ac:dyDescent="0.35">
      <c r="A30">
        <v>8</v>
      </c>
      <c r="B30">
        <v>0.5151</v>
      </c>
      <c r="C30">
        <v>0.77049999999999996</v>
      </c>
      <c r="D30">
        <v>0</v>
      </c>
      <c r="E30">
        <v>5.2923999999999998</v>
      </c>
      <c r="F30">
        <v>1.0556000000000001</v>
      </c>
      <c r="G30">
        <v>2.15</v>
      </c>
      <c r="H30">
        <v>6.2100000000000002E-2</v>
      </c>
      <c r="I30">
        <v>0.52890000000000004</v>
      </c>
      <c r="J30">
        <v>0.40589999999999998</v>
      </c>
      <c r="K30">
        <v>3.3799999999999997E-2</v>
      </c>
      <c r="L30">
        <v>9.4000000000000004E-3</v>
      </c>
      <c r="M30">
        <v>-4.1000000000000002E-2</v>
      </c>
      <c r="N30">
        <v>-0.1187</v>
      </c>
      <c r="O30">
        <v>0.35099999999999998</v>
      </c>
    </row>
    <row r="31" spans="1:15" x14ac:dyDescent="0.35">
      <c r="A31">
        <v>9</v>
      </c>
      <c r="B31">
        <v>0.65620000000000001</v>
      </c>
      <c r="C31">
        <v>0.98150000000000004</v>
      </c>
      <c r="D31">
        <v>0</v>
      </c>
      <c r="E31">
        <v>5.1961000000000004</v>
      </c>
      <c r="F31">
        <v>1.1548</v>
      </c>
      <c r="G31">
        <v>2.1476000000000002</v>
      </c>
      <c r="H31">
        <v>6.2700000000000006E-2</v>
      </c>
      <c r="I31">
        <v>0.53839999999999999</v>
      </c>
      <c r="J31">
        <v>0.41310000000000002</v>
      </c>
      <c r="K31">
        <v>3.2500000000000001E-2</v>
      </c>
      <c r="L31">
        <v>9.4999999999999998E-3</v>
      </c>
      <c r="M31">
        <v>-3.9600000000000003E-2</v>
      </c>
      <c r="N31">
        <v>-0.1191</v>
      </c>
      <c r="O31">
        <v>0.34599999999999997</v>
      </c>
    </row>
    <row r="32" spans="1:15" x14ac:dyDescent="0.35">
      <c r="A32">
        <v>10</v>
      </c>
      <c r="B32">
        <v>0.81200000000000006</v>
      </c>
      <c r="C32">
        <v>1.2146999999999999</v>
      </c>
      <c r="D32">
        <v>0</v>
      </c>
      <c r="E32">
        <v>5.0895999999999999</v>
      </c>
      <c r="F32">
        <v>1.2402</v>
      </c>
      <c r="G32">
        <v>2.1423999999999999</v>
      </c>
      <c r="H32">
        <v>6.3E-2</v>
      </c>
      <c r="I32">
        <v>0.54859999999999998</v>
      </c>
      <c r="J32">
        <v>0.42099999999999999</v>
      </c>
      <c r="K32">
        <v>3.15E-2</v>
      </c>
      <c r="L32">
        <v>9.5999999999999992E-3</v>
      </c>
      <c r="M32">
        <v>-3.8399999999999997E-2</v>
      </c>
      <c r="N32">
        <v>-0.1196</v>
      </c>
      <c r="O32">
        <v>0.34100000000000003</v>
      </c>
    </row>
    <row r="33" spans="1:15" x14ac:dyDescent="0.35">
      <c r="A33">
        <v>11</v>
      </c>
      <c r="B33">
        <v>0.98170000000000002</v>
      </c>
      <c r="C33">
        <v>1.4684999999999999</v>
      </c>
      <c r="D33">
        <v>0</v>
      </c>
      <c r="E33">
        <v>4.9736000000000002</v>
      </c>
      <c r="F33">
        <v>1.3110999999999999</v>
      </c>
      <c r="G33">
        <v>2.1341000000000001</v>
      </c>
      <c r="H33">
        <v>6.3E-2</v>
      </c>
      <c r="I33">
        <v>0.55940000000000001</v>
      </c>
      <c r="J33">
        <v>0.42930000000000001</v>
      </c>
      <c r="K33">
        <v>3.04E-2</v>
      </c>
      <c r="L33">
        <v>9.7999999999999997E-3</v>
      </c>
      <c r="M33">
        <v>-3.7199999999999997E-2</v>
      </c>
      <c r="N33">
        <v>-0.12039999999999999</v>
      </c>
      <c r="O33">
        <v>0.33700000000000002</v>
      </c>
    </row>
    <row r="34" spans="1:15" x14ac:dyDescent="0.35">
      <c r="A34">
        <v>12</v>
      </c>
      <c r="B34">
        <v>1.1641999999999999</v>
      </c>
      <c r="C34">
        <v>1.7415</v>
      </c>
      <c r="D34">
        <v>0</v>
      </c>
      <c r="E34">
        <v>4.8489000000000004</v>
      </c>
      <c r="F34">
        <v>1.367</v>
      </c>
      <c r="G34">
        <v>2.1221000000000001</v>
      </c>
      <c r="H34">
        <v>6.2899999999999998E-2</v>
      </c>
      <c r="I34">
        <v>0.57069999999999999</v>
      </c>
      <c r="J34">
        <v>0.438</v>
      </c>
      <c r="K34">
        <v>2.9499999999999998E-2</v>
      </c>
      <c r="L34">
        <v>9.9000000000000008E-3</v>
      </c>
      <c r="M34">
        <v>-3.6200000000000003E-2</v>
      </c>
      <c r="N34">
        <v>-0.12130000000000001</v>
      </c>
      <c r="O34">
        <v>0.33300000000000002</v>
      </c>
    </row>
    <row r="35" spans="1:15" x14ac:dyDescent="0.35">
      <c r="A35">
        <v>13</v>
      </c>
      <c r="B35">
        <v>1.3584000000000001</v>
      </c>
      <c r="C35">
        <v>2.0318999999999998</v>
      </c>
      <c r="D35">
        <v>0</v>
      </c>
      <c r="E35">
        <v>4.7163000000000004</v>
      </c>
      <c r="F35">
        <v>1.4077999999999999</v>
      </c>
      <c r="G35">
        <v>2.1061000000000001</v>
      </c>
      <c r="H35">
        <v>6.25E-2</v>
      </c>
      <c r="I35">
        <v>0.58260000000000001</v>
      </c>
      <c r="J35">
        <v>0.44700000000000001</v>
      </c>
      <c r="K35">
        <v>2.86E-2</v>
      </c>
      <c r="L35">
        <v>1.01E-2</v>
      </c>
      <c r="M35">
        <v>-3.5400000000000001E-2</v>
      </c>
      <c r="N35">
        <v>-0.12239999999999999</v>
      </c>
      <c r="O35">
        <v>0.32900000000000001</v>
      </c>
    </row>
    <row r="36" spans="1:15" x14ac:dyDescent="0.35">
      <c r="A36">
        <v>14</v>
      </c>
      <c r="B36">
        <v>1.5629999999999999</v>
      </c>
      <c r="C36">
        <v>2.3380000000000001</v>
      </c>
      <c r="D36">
        <v>0</v>
      </c>
      <c r="E36">
        <v>4.5763999999999996</v>
      </c>
      <c r="F36">
        <v>1.4334</v>
      </c>
      <c r="G36">
        <v>2.0855999999999999</v>
      </c>
      <c r="H36">
        <v>6.2E-2</v>
      </c>
      <c r="I36">
        <v>0.59470000000000001</v>
      </c>
      <c r="J36">
        <v>0.45639999999999997</v>
      </c>
      <c r="K36">
        <v>2.7799999999999998E-2</v>
      </c>
      <c r="L36">
        <v>1.03E-2</v>
      </c>
      <c r="M36">
        <v>-3.4599999999999999E-2</v>
      </c>
      <c r="N36">
        <v>-0.1237</v>
      </c>
      <c r="O36">
        <v>0.32600000000000001</v>
      </c>
    </row>
    <row r="37" spans="1:15" x14ac:dyDescent="0.35">
      <c r="A37">
        <v>15</v>
      </c>
      <c r="B37">
        <v>1.7767999999999999</v>
      </c>
      <c r="C37">
        <v>2.6579000000000002</v>
      </c>
      <c r="D37">
        <v>0</v>
      </c>
      <c r="E37">
        <v>4.4302999999999999</v>
      </c>
      <c r="F37">
        <v>1.4443999999999999</v>
      </c>
      <c r="G37">
        <v>2.0604</v>
      </c>
      <c r="H37">
        <v>6.1400000000000003E-2</v>
      </c>
      <c r="I37">
        <v>0.60709999999999997</v>
      </c>
      <c r="J37">
        <v>0.46589999999999998</v>
      </c>
      <c r="K37">
        <v>2.7E-2</v>
      </c>
      <c r="L37">
        <v>1.04E-2</v>
      </c>
      <c r="M37">
        <v>-3.4000000000000002E-2</v>
      </c>
      <c r="N37">
        <v>-0.12520000000000001</v>
      </c>
      <c r="O37">
        <v>0.32300000000000001</v>
      </c>
    </row>
    <row r="38" spans="1:15" x14ac:dyDescent="0.35">
      <c r="A38">
        <v>16</v>
      </c>
      <c r="B38">
        <v>1.9984999999999999</v>
      </c>
      <c r="C38">
        <v>2.9895999999999998</v>
      </c>
      <c r="D38">
        <v>0</v>
      </c>
      <c r="E38">
        <v>4.2788000000000004</v>
      </c>
      <c r="F38">
        <v>1.4411</v>
      </c>
      <c r="G38">
        <v>2.0303</v>
      </c>
      <c r="H38">
        <v>6.0600000000000001E-2</v>
      </c>
      <c r="I38">
        <v>0.61960000000000004</v>
      </c>
      <c r="J38">
        <v>0.47539999999999999</v>
      </c>
      <c r="K38">
        <v>2.6200000000000001E-2</v>
      </c>
      <c r="L38">
        <v>1.06E-2</v>
      </c>
      <c r="M38">
        <v>-3.3500000000000002E-2</v>
      </c>
      <c r="N38">
        <v>-0.12670000000000001</v>
      </c>
      <c r="O38">
        <v>0.32</v>
      </c>
    </row>
    <row r="39" spans="1:15" x14ac:dyDescent="0.35">
      <c r="A39">
        <v>17</v>
      </c>
      <c r="B39">
        <v>2.2267999999999999</v>
      </c>
      <c r="C39">
        <v>3.331</v>
      </c>
      <c r="D39">
        <v>0</v>
      </c>
      <c r="E39">
        <v>4.1228999999999996</v>
      </c>
      <c r="F39">
        <v>1.4245000000000001</v>
      </c>
      <c r="G39">
        <v>1.9952000000000001</v>
      </c>
      <c r="H39">
        <v>5.9700000000000003E-2</v>
      </c>
      <c r="I39">
        <v>0.6321</v>
      </c>
      <c r="J39">
        <v>0.48509999999999998</v>
      </c>
      <c r="K39">
        <v>2.53E-2</v>
      </c>
      <c r="L39">
        <v>1.0800000000000001E-2</v>
      </c>
      <c r="M39">
        <v>-3.3000000000000002E-2</v>
      </c>
      <c r="N39">
        <v>-0.12820000000000001</v>
      </c>
      <c r="O39">
        <v>0.318</v>
      </c>
    </row>
    <row r="40" spans="1:15" x14ac:dyDescent="0.35">
      <c r="A40">
        <v>18</v>
      </c>
      <c r="B40">
        <v>2.4601000000000002</v>
      </c>
      <c r="C40">
        <v>3.68</v>
      </c>
      <c r="D40">
        <v>0</v>
      </c>
      <c r="E40">
        <v>3.9634</v>
      </c>
      <c r="F40">
        <v>1.3955</v>
      </c>
      <c r="G40">
        <v>1.9552</v>
      </c>
      <c r="H40">
        <v>5.8700000000000002E-2</v>
      </c>
      <c r="I40">
        <v>0.64449999999999996</v>
      </c>
      <c r="J40">
        <v>0.49459999999999998</v>
      </c>
      <c r="K40">
        <v>2.4500000000000001E-2</v>
      </c>
      <c r="L40">
        <v>1.09E-2</v>
      </c>
      <c r="M40">
        <v>-3.2599999999999997E-2</v>
      </c>
      <c r="N40">
        <v>-0.12989999999999999</v>
      </c>
      <c r="O40">
        <v>0.316</v>
      </c>
    </row>
    <row r="41" spans="1:15" x14ac:dyDescent="0.35">
      <c r="A41">
        <v>19</v>
      </c>
      <c r="B41">
        <v>2.6972</v>
      </c>
      <c r="C41">
        <v>4.0346000000000002</v>
      </c>
      <c r="D41">
        <v>0</v>
      </c>
      <c r="E41">
        <v>3.8014999999999999</v>
      </c>
      <c r="F41">
        <v>1.3552</v>
      </c>
      <c r="G41">
        <v>1.9101999999999999</v>
      </c>
      <c r="H41">
        <v>5.7700000000000001E-2</v>
      </c>
      <c r="I41">
        <v>0.65669999999999995</v>
      </c>
      <c r="J41">
        <v>0.50390000000000001</v>
      </c>
      <c r="K41">
        <v>2.3599999999999999E-2</v>
      </c>
      <c r="L41">
        <v>1.11E-2</v>
      </c>
      <c r="M41">
        <v>-3.2199999999999999E-2</v>
      </c>
      <c r="N41">
        <v>-0.13150000000000001</v>
      </c>
      <c r="O41">
        <v>0.314</v>
      </c>
    </row>
    <row r="42" spans="1:15" x14ac:dyDescent="0.35">
      <c r="A42">
        <v>20</v>
      </c>
      <c r="B42">
        <v>2.9363999999999999</v>
      </c>
      <c r="C42">
        <v>4.3925000000000001</v>
      </c>
      <c r="D42">
        <v>0</v>
      </c>
      <c r="E42">
        <v>3.6379999999999999</v>
      </c>
      <c r="F42">
        <v>1.3049999999999999</v>
      </c>
      <c r="G42">
        <v>1.8605</v>
      </c>
      <c r="H42">
        <v>5.67E-2</v>
      </c>
      <c r="I42">
        <v>0.66849999999999998</v>
      </c>
      <c r="J42">
        <v>0.51300000000000001</v>
      </c>
      <c r="K42">
        <v>2.2700000000000001E-2</v>
      </c>
      <c r="L42">
        <v>1.1299999999999999E-2</v>
      </c>
      <c r="M42">
        <v>-3.1899999999999998E-2</v>
      </c>
      <c r="N42">
        <v>-0.13300000000000001</v>
      </c>
      <c r="O42">
        <v>0.312</v>
      </c>
    </row>
    <row r="43" spans="1:15" x14ac:dyDescent="0.35">
      <c r="A43">
        <v>21</v>
      </c>
      <c r="B43">
        <v>3.1764000000000001</v>
      </c>
      <c r="C43">
        <v>4.7515000000000001</v>
      </c>
      <c r="D43">
        <v>0</v>
      </c>
      <c r="E43">
        <v>3.4740000000000002</v>
      </c>
      <c r="F43">
        <v>1.2462</v>
      </c>
      <c r="G43">
        <v>1.8062</v>
      </c>
      <c r="H43">
        <v>5.57E-2</v>
      </c>
      <c r="I43">
        <v>0.67979999999999996</v>
      </c>
      <c r="J43">
        <v>0.52159999999999995</v>
      </c>
      <c r="K43">
        <v>2.18E-2</v>
      </c>
      <c r="L43">
        <v>1.14E-2</v>
      </c>
      <c r="M43">
        <v>-3.1600000000000003E-2</v>
      </c>
      <c r="N43">
        <v>-0.13450000000000001</v>
      </c>
      <c r="O43">
        <v>0.311</v>
      </c>
    </row>
    <row r="44" spans="1:15" x14ac:dyDescent="0.35">
      <c r="A44">
        <v>22</v>
      </c>
      <c r="B44">
        <v>3.4156</v>
      </c>
      <c r="C44">
        <v>5.1093999999999999</v>
      </c>
      <c r="D44">
        <v>0</v>
      </c>
      <c r="E44">
        <v>3.3105000000000002</v>
      </c>
      <c r="F44">
        <v>1.1801999999999999</v>
      </c>
      <c r="G44">
        <v>1.7476</v>
      </c>
      <c r="H44">
        <v>5.4699999999999999E-2</v>
      </c>
      <c r="I44">
        <v>0.69040000000000001</v>
      </c>
      <c r="J44">
        <v>0.52980000000000005</v>
      </c>
      <c r="K44">
        <v>2.0899999999999998E-2</v>
      </c>
      <c r="L44">
        <v>1.1599999999999999E-2</v>
      </c>
      <c r="M44">
        <v>-3.1199999999999999E-2</v>
      </c>
      <c r="N44">
        <v>-0.13589999999999999</v>
      </c>
      <c r="O44">
        <v>0.309</v>
      </c>
    </row>
    <row r="45" spans="1:15" x14ac:dyDescent="0.35">
      <c r="A45">
        <v>23</v>
      </c>
      <c r="B45">
        <v>3.6526999999999998</v>
      </c>
      <c r="C45">
        <v>5.4640000000000004</v>
      </c>
      <c r="D45">
        <v>0</v>
      </c>
      <c r="E45">
        <v>3.1486000000000001</v>
      </c>
      <c r="F45">
        <v>1.1086</v>
      </c>
      <c r="G45">
        <v>1.6850000000000001</v>
      </c>
      <c r="H45">
        <v>5.3900000000000003E-2</v>
      </c>
      <c r="I45">
        <v>0.7</v>
      </c>
      <c r="J45">
        <v>0.53720000000000001</v>
      </c>
      <c r="K45">
        <v>1.9900000000000001E-2</v>
      </c>
      <c r="L45">
        <v>1.17E-2</v>
      </c>
      <c r="M45">
        <v>-3.0800000000000001E-2</v>
      </c>
      <c r="N45">
        <v>-0.1371</v>
      </c>
      <c r="O45">
        <v>0.307</v>
      </c>
    </row>
    <row r="46" spans="1:15" x14ac:dyDescent="0.35">
      <c r="A46">
        <v>24</v>
      </c>
      <c r="B46">
        <v>3.8860000000000001</v>
      </c>
      <c r="C46">
        <v>5.8129999999999997</v>
      </c>
      <c r="D46">
        <v>0</v>
      </c>
      <c r="E46">
        <v>2.9891000000000001</v>
      </c>
      <c r="F46">
        <v>1.0327999999999999</v>
      </c>
      <c r="G46">
        <v>1.6187</v>
      </c>
      <c r="H46">
        <v>5.3199999999999997E-2</v>
      </c>
      <c r="I46">
        <v>0.70860000000000001</v>
      </c>
      <c r="J46">
        <v>0.54369999999999996</v>
      </c>
      <c r="K46">
        <v>1.8800000000000001E-2</v>
      </c>
      <c r="L46">
        <v>1.1900000000000001E-2</v>
      </c>
      <c r="M46">
        <v>-3.0300000000000001E-2</v>
      </c>
      <c r="N46">
        <v>-0.13800000000000001</v>
      </c>
      <c r="O46">
        <v>0.30599999999999999</v>
      </c>
    </row>
    <row r="47" spans="1:15" x14ac:dyDescent="0.35">
      <c r="A47">
        <v>25</v>
      </c>
      <c r="B47">
        <v>4.1143000000000001</v>
      </c>
      <c r="C47">
        <v>6.1543999999999999</v>
      </c>
      <c r="D47">
        <v>0</v>
      </c>
      <c r="E47">
        <v>2.8332000000000002</v>
      </c>
      <c r="F47">
        <v>0.95420000000000005</v>
      </c>
      <c r="G47">
        <v>1.5489999999999999</v>
      </c>
      <c r="H47">
        <v>5.2699999999999997E-2</v>
      </c>
      <c r="I47">
        <v>0.71560000000000001</v>
      </c>
      <c r="J47">
        <v>0.54910000000000003</v>
      </c>
      <c r="K47">
        <v>1.77E-2</v>
      </c>
      <c r="L47">
        <v>1.2E-2</v>
      </c>
      <c r="M47">
        <v>-2.98E-2</v>
      </c>
      <c r="N47">
        <v>-0.1386</v>
      </c>
      <c r="O47">
        <v>0.30399999999999999</v>
      </c>
    </row>
    <row r="48" spans="1:15" x14ac:dyDescent="0.35">
      <c r="A48">
        <v>26</v>
      </c>
      <c r="B48">
        <v>4.3360000000000003</v>
      </c>
      <c r="C48">
        <v>6.4861000000000004</v>
      </c>
      <c r="D48">
        <v>0</v>
      </c>
      <c r="E48">
        <v>2.6817000000000002</v>
      </c>
      <c r="F48">
        <v>0.87429999999999997</v>
      </c>
      <c r="G48">
        <v>1.4762999999999999</v>
      </c>
      <c r="H48">
        <v>5.2600000000000001E-2</v>
      </c>
      <c r="I48">
        <v>0.72070000000000001</v>
      </c>
      <c r="J48">
        <v>0.55300000000000005</v>
      </c>
      <c r="K48">
        <v>1.66E-2</v>
      </c>
      <c r="L48">
        <v>1.2E-2</v>
      </c>
      <c r="M48">
        <v>-2.9100000000000001E-2</v>
      </c>
      <c r="N48">
        <v>-0.13880000000000001</v>
      </c>
      <c r="O48">
        <v>0.30299999999999999</v>
      </c>
    </row>
    <row r="49" spans="1:15" x14ac:dyDescent="0.35">
      <c r="A49">
        <v>27</v>
      </c>
      <c r="B49">
        <v>4.5498000000000003</v>
      </c>
      <c r="C49">
        <v>6.806</v>
      </c>
      <c r="D49">
        <v>0</v>
      </c>
      <c r="E49">
        <v>2.5356000000000001</v>
      </c>
      <c r="F49">
        <v>0.79420000000000002</v>
      </c>
      <c r="G49">
        <v>1.4007000000000001</v>
      </c>
      <c r="H49">
        <v>5.28E-2</v>
      </c>
      <c r="I49">
        <v>0.72330000000000005</v>
      </c>
      <c r="J49">
        <v>0.55510000000000004</v>
      </c>
      <c r="K49">
        <v>1.54E-2</v>
      </c>
      <c r="L49">
        <v>1.21E-2</v>
      </c>
      <c r="M49">
        <v>-2.81E-2</v>
      </c>
      <c r="N49">
        <v>-0.13850000000000001</v>
      </c>
      <c r="O49">
        <v>0.30099999999999999</v>
      </c>
    </row>
    <row r="50" spans="1:15" x14ac:dyDescent="0.35">
      <c r="A50">
        <v>28</v>
      </c>
      <c r="B50">
        <v>4.7544000000000004</v>
      </c>
      <c r="C50">
        <v>7.1120999999999999</v>
      </c>
      <c r="D50">
        <v>0</v>
      </c>
      <c r="E50">
        <v>2.3957000000000002</v>
      </c>
      <c r="F50">
        <v>0.71509999999999996</v>
      </c>
      <c r="G50">
        <v>1.3224</v>
      </c>
      <c r="H50">
        <v>5.3499999999999999E-2</v>
      </c>
      <c r="I50">
        <v>0.72289999999999999</v>
      </c>
      <c r="J50">
        <v>0.55469999999999997</v>
      </c>
      <c r="K50">
        <v>1.4200000000000001E-2</v>
      </c>
      <c r="L50">
        <v>1.21E-2</v>
      </c>
      <c r="M50">
        <v>-2.69E-2</v>
      </c>
      <c r="N50">
        <v>-0.13739999999999999</v>
      </c>
      <c r="O50">
        <v>0.29899999999999999</v>
      </c>
    </row>
    <row r="51" spans="1:15" x14ac:dyDescent="0.35">
      <c r="A51">
        <v>29</v>
      </c>
      <c r="B51">
        <v>4.9485999999999999</v>
      </c>
      <c r="C51">
        <v>7.4024999999999999</v>
      </c>
      <c r="D51">
        <v>0</v>
      </c>
      <c r="E51">
        <v>2.2631000000000001</v>
      </c>
      <c r="F51">
        <v>0.63800000000000001</v>
      </c>
      <c r="G51">
        <v>1.2413000000000001</v>
      </c>
      <c r="H51">
        <v>5.4800000000000001E-2</v>
      </c>
      <c r="I51">
        <v>0.71850000000000003</v>
      </c>
      <c r="J51">
        <v>0.5514</v>
      </c>
      <c r="K51">
        <v>1.2999999999999999E-2</v>
      </c>
      <c r="L51">
        <v>1.2E-2</v>
      </c>
      <c r="M51">
        <v>-2.5399999999999999E-2</v>
      </c>
      <c r="N51">
        <v>-0.13539999999999999</v>
      </c>
      <c r="O51">
        <v>0.29599999999999999</v>
      </c>
    </row>
    <row r="52" spans="1:15" x14ac:dyDescent="0.35">
      <c r="A52">
        <v>30</v>
      </c>
      <c r="B52">
        <v>5.1311</v>
      </c>
      <c r="C52">
        <v>7.6755000000000004</v>
      </c>
      <c r="D52">
        <v>0</v>
      </c>
      <c r="E52">
        <v>2.1383999999999999</v>
      </c>
      <c r="F52">
        <v>0.56369999999999998</v>
      </c>
      <c r="G52">
        <v>1.1573</v>
      </c>
      <c r="H52">
        <v>5.6800000000000003E-2</v>
      </c>
      <c r="I52">
        <v>0.70909999999999995</v>
      </c>
      <c r="J52">
        <v>0.54410000000000003</v>
      </c>
      <c r="K52">
        <v>1.17E-2</v>
      </c>
      <c r="L52">
        <v>1.1900000000000001E-2</v>
      </c>
      <c r="M52">
        <v>-2.3400000000000001E-2</v>
      </c>
      <c r="N52">
        <v>-0.13220000000000001</v>
      </c>
      <c r="O52">
        <v>0.29299999999999998</v>
      </c>
    </row>
    <row r="53" spans="1:15" x14ac:dyDescent="0.35">
      <c r="A53">
        <v>31</v>
      </c>
      <c r="B53">
        <v>5.3007999999999997</v>
      </c>
      <c r="C53">
        <v>7.9292999999999996</v>
      </c>
      <c r="D53">
        <v>0</v>
      </c>
      <c r="E53">
        <v>2.0224000000000002</v>
      </c>
      <c r="F53">
        <v>0.49280000000000002</v>
      </c>
      <c r="G53">
        <v>1.07</v>
      </c>
      <c r="H53">
        <v>5.9499999999999997E-2</v>
      </c>
      <c r="I53">
        <v>0.69340000000000002</v>
      </c>
      <c r="J53">
        <v>0.53210000000000002</v>
      </c>
      <c r="K53">
        <v>1.04E-2</v>
      </c>
      <c r="L53">
        <v>1.18E-2</v>
      </c>
      <c r="M53">
        <v>-2.0899999999999998E-2</v>
      </c>
      <c r="N53">
        <v>-0.12759999999999999</v>
      </c>
      <c r="O53">
        <v>0.28899999999999998</v>
      </c>
    </row>
    <row r="54" spans="1:15" x14ac:dyDescent="0.35">
      <c r="A54">
        <v>32</v>
      </c>
      <c r="B54">
        <v>5.4565999999999999</v>
      </c>
      <c r="C54">
        <v>8.1624999999999996</v>
      </c>
      <c r="D54">
        <v>0</v>
      </c>
      <c r="E54">
        <v>1.9158999999999999</v>
      </c>
      <c r="F54">
        <v>0.42580000000000001</v>
      </c>
      <c r="G54">
        <v>0.97909999999999997</v>
      </c>
      <c r="H54">
        <v>6.2799999999999995E-2</v>
      </c>
      <c r="I54">
        <v>0.66990000000000005</v>
      </c>
      <c r="J54">
        <v>0.5141</v>
      </c>
      <c r="K54">
        <v>8.9999999999999993E-3</v>
      </c>
      <c r="L54">
        <v>1.15E-2</v>
      </c>
      <c r="M54">
        <v>-1.7899999999999999E-2</v>
      </c>
      <c r="N54">
        <v>-0.12130000000000001</v>
      </c>
      <c r="O54">
        <v>0.28499999999999998</v>
      </c>
    </row>
    <row r="55" spans="1:15" x14ac:dyDescent="0.35">
      <c r="A55">
        <v>33</v>
      </c>
      <c r="B55">
        <v>5.5976999999999997</v>
      </c>
      <c r="C55">
        <v>8.3734999999999999</v>
      </c>
      <c r="D55">
        <v>0</v>
      </c>
      <c r="E55">
        <v>1.8196000000000001</v>
      </c>
      <c r="F55">
        <v>0.3629</v>
      </c>
      <c r="G55">
        <v>0.88400000000000001</v>
      </c>
      <c r="H55">
        <v>6.6799999999999998E-2</v>
      </c>
      <c r="I55">
        <v>0.63700000000000001</v>
      </c>
      <c r="J55">
        <v>0.48880000000000001</v>
      </c>
      <c r="K55">
        <v>7.7000000000000002E-3</v>
      </c>
      <c r="L55">
        <v>1.11E-2</v>
      </c>
      <c r="M55">
        <v>-1.43E-2</v>
      </c>
      <c r="N55">
        <v>-0.11310000000000001</v>
      </c>
      <c r="O55">
        <v>0.27900000000000003</v>
      </c>
    </row>
    <row r="56" spans="1:15" x14ac:dyDescent="0.35">
      <c r="A56">
        <v>34</v>
      </c>
      <c r="B56">
        <v>5.7230999999999996</v>
      </c>
      <c r="C56">
        <v>8.5610999999999997</v>
      </c>
      <c r="D56">
        <v>0</v>
      </c>
      <c r="E56">
        <v>1.7339</v>
      </c>
      <c r="F56">
        <v>0.30409999999999998</v>
      </c>
      <c r="G56">
        <v>0.78420000000000001</v>
      </c>
      <c r="H56">
        <v>7.1599999999999997E-2</v>
      </c>
      <c r="I56">
        <v>0.59319999999999995</v>
      </c>
      <c r="J56">
        <v>0.45519999999999999</v>
      </c>
      <c r="K56">
        <v>6.3E-3</v>
      </c>
      <c r="L56">
        <v>1.0699999999999999E-2</v>
      </c>
      <c r="M56">
        <v>-1.0500000000000001E-2</v>
      </c>
      <c r="N56">
        <v>-0.10299999999999999</v>
      </c>
      <c r="O56">
        <v>0.27300000000000002</v>
      </c>
    </row>
    <row r="57" spans="1:15" x14ac:dyDescent="0.35">
      <c r="A57">
        <v>35</v>
      </c>
      <c r="B57">
        <v>5.8319999999999999</v>
      </c>
      <c r="C57">
        <v>8.7240000000000002</v>
      </c>
      <c r="D57">
        <v>0</v>
      </c>
      <c r="E57">
        <v>1.6594</v>
      </c>
      <c r="F57">
        <v>0.24940000000000001</v>
      </c>
      <c r="G57">
        <v>0.67949999999999999</v>
      </c>
      <c r="H57">
        <v>7.7299999999999994E-2</v>
      </c>
      <c r="I57">
        <v>0.53720000000000001</v>
      </c>
      <c r="J57">
        <v>0.41220000000000001</v>
      </c>
      <c r="K57">
        <v>5.0000000000000001E-3</v>
      </c>
      <c r="L57">
        <v>1.01E-2</v>
      </c>
      <c r="M57">
        <v>-6.8999999999999999E-3</v>
      </c>
      <c r="N57">
        <v>-9.11E-2</v>
      </c>
      <c r="O57">
        <v>0.26700000000000002</v>
      </c>
    </row>
    <row r="58" spans="1:15" x14ac:dyDescent="0.35">
      <c r="A58">
        <v>36</v>
      </c>
      <c r="B58">
        <v>5.9238999999999997</v>
      </c>
      <c r="C58">
        <v>8.8613999999999997</v>
      </c>
      <c r="D58">
        <v>0</v>
      </c>
      <c r="E58">
        <v>1.5967</v>
      </c>
      <c r="F58">
        <v>0.19839999999999999</v>
      </c>
      <c r="G58">
        <v>0.56950000000000001</v>
      </c>
      <c r="H58">
        <v>8.4599999999999995E-2</v>
      </c>
      <c r="I58">
        <v>0.46810000000000002</v>
      </c>
      <c r="J58">
        <v>0.35920000000000002</v>
      </c>
      <c r="K58">
        <v>3.8E-3</v>
      </c>
      <c r="L58">
        <v>9.4999999999999998E-3</v>
      </c>
      <c r="M58">
        <v>-3.8999999999999998E-3</v>
      </c>
      <c r="N58">
        <v>-7.7600000000000002E-2</v>
      </c>
      <c r="O58">
        <v>0.26100000000000001</v>
      </c>
    </row>
    <row r="59" spans="1:15" x14ac:dyDescent="0.35">
      <c r="A59">
        <v>37</v>
      </c>
      <c r="B59">
        <v>5.9980000000000002</v>
      </c>
      <c r="C59">
        <v>8.9723000000000006</v>
      </c>
      <c r="D59">
        <v>0</v>
      </c>
      <c r="E59">
        <v>1.546</v>
      </c>
      <c r="F59">
        <v>0.1507</v>
      </c>
      <c r="G59">
        <v>0.45400000000000001</v>
      </c>
      <c r="H59">
        <v>9.4299999999999995E-2</v>
      </c>
      <c r="I59">
        <v>0.3856</v>
      </c>
      <c r="J59">
        <v>0.2959</v>
      </c>
      <c r="K59">
        <v>2.8999999999999998E-3</v>
      </c>
      <c r="L59">
        <v>8.8999999999999999E-3</v>
      </c>
      <c r="M59">
        <v>-2E-3</v>
      </c>
      <c r="N59">
        <v>-6.2899999999999998E-2</v>
      </c>
      <c r="O59">
        <v>0.25700000000000001</v>
      </c>
    </row>
    <row r="60" spans="1:15" x14ac:dyDescent="0.35">
      <c r="A60">
        <v>38</v>
      </c>
      <c r="B60">
        <v>6.0541</v>
      </c>
      <c r="C60">
        <v>9.0562000000000005</v>
      </c>
      <c r="D60">
        <v>0</v>
      </c>
      <c r="E60">
        <v>1.5077</v>
      </c>
      <c r="F60">
        <v>0.1056</v>
      </c>
      <c r="G60">
        <v>0.33250000000000002</v>
      </c>
      <c r="H60">
        <v>0.1079</v>
      </c>
      <c r="I60">
        <v>0.28970000000000001</v>
      </c>
      <c r="J60">
        <v>0.2223</v>
      </c>
      <c r="K60">
        <v>2.5999999999999999E-3</v>
      </c>
      <c r="L60">
        <v>8.3999999999999995E-3</v>
      </c>
      <c r="M60">
        <v>-1.2999999999999999E-3</v>
      </c>
      <c r="N60">
        <v>-4.7100000000000003E-2</v>
      </c>
      <c r="O60">
        <v>0.25600000000000001</v>
      </c>
    </row>
    <row r="61" spans="1:15" x14ac:dyDescent="0.35">
      <c r="A61">
        <v>39</v>
      </c>
      <c r="B61">
        <v>6.0915999999999997</v>
      </c>
      <c r="C61">
        <v>9.1122999999999994</v>
      </c>
      <c r="D61">
        <v>0</v>
      </c>
      <c r="E61">
        <v>1.4821</v>
      </c>
      <c r="F61">
        <v>6.25E-2</v>
      </c>
      <c r="G61">
        <v>0.20430000000000001</v>
      </c>
      <c r="H61">
        <v>0.12620000000000001</v>
      </c>
      <c r="I61">
        <v>0.1812</v>
      </c>
      <c r="J61">
        <v>0.1391</v>
      </c>
      <c r="K61">
        <v>3.0000000000000001E-3</v>
      </c>
      <c r="L61">
        <v>7.9000000000000008E-3</v>
      </c>
      <c r="M61">
        <v>-1.1000000000000001E-3</v>
      </c>
      <c r="N61">
        <v>-2.98E-2</v>
      </c>
      <c r="O61">
        <v>0.25800000000000001</v>
      </c>
    </row>
    <row r="62" spans="1:15" x14ac:dyDescent="0.35">
      <c r="A62">
        <v>40</v>
      </c>
      <c r="B62">
        <v>6.1104000000000003</v>
      </c>
      <c r="C62">
        <v>9.1404999999999994</v>
      </c>
      <c r="D62">
        <v>0</v>
      </c>
      <c r="E62">
        <v>1.4692000000000001</v>
      </c>
      <c r="F62">
        <v>2.07E-2</v>
      </c>
      <c r="G62">
        <v>6.93E-2</v>
      </c>
      <c r="H62">
        <v>0.1452</v>
      </c>
      <c r="I62">
        <v>6.2199999999999998E-2</v>
      </c>
      <c r="J62">
        <v>4.7699999999999999E-2</v>
      </c>
      <c r="K62">
        <v>4.4000000000000003E-3</v>
      </c>
      <c r="L62">
        <v>7.7000000000000002E-3</v>
      </c>
      <c r="M62">
        <v>-5.9999999999999995E-4</v>
      </c>
      <c r="N62">
        <v>-1.0500000000000001E-2</v>
      </c>
      <c r="O62">
        <v>0.26300000000000001</v>
      </c>
    </row>
    <row r="64" spans="1:15" x14ac:dyDescent="0.35">
      <c r="A64" t="s">
        <v>192</v>
      </c>
      <c r="B64" t="s">
        <v>101</v>
      </c>
      <c r="C64">
        <v>2</v>
      </c>
      <c r="D64" t="s">
        <v>76</v>
      </c>
      <c r="E64" t="s">
        <v>231</v>
      </c>
    </row>
    <row r="65" spans="1:15" x14ac:dyDescent="0.35">
      <c r="A65" t="s">
        <v>101</v>
      </c>
      <c r="B65" t="s">
        <v>204</v>
      </c>
      <c r="C65" t="s">
        <v>103</v>
      </c>
      <c r="D65">
        <v>20</v>
      </c>
      <c r="E65" t="s">
        <v>101</v>
      </c>
      <c r="F65" t="s">
        <v>205</v>
      </c>
      <c r="G65" t="s">
        <v>103</v>
      </c>
      <c r="H65">
        <v>40</v>
      </c>
      <c r="I65" t="s">
        <v>206</v>
      </c>
      <c r="J65" t="s">
        <v>207</v>
      </c>
      <c r="K65" t="s">
        <v>103</v>
      </c>
      <c r="L65">
        <v>41</v>
      </c>
    </row>
    <row r="66" spans="1:15" x14ac:dyDescent="0.35">
      <c r="A66" t="s">
        <v>192</v>
      </c>
      <c r="B66" t="s">
        <v>208</v>
      </c>
      <c r="C66" t="s">
        <v>322</v>
      </c>
      <c r="D66" t="s">
        <v>103</v>
      </c>
      <c r="E66">
        <v>32.516064</v>
      </c>
      <c r="F66" t="s">
        <v>209</v>
      </c>
      <c r="G66" t="s">
        <v>85</v>
      </c>
      <c r="H66" t="s">
        <v>219</v>
      </c>
      <c r="I66" t="s">
        <v>103</v>
      </c>
      <c r="J66">
        <v>3.556</v>
      </c>
    </row>
    <row r="68" spans="1:15" x14ac:dyDescent="0.35">
      <c r="A68" t="s">
        <v>99</v>
      </c>
      <c r="B68" t="s">
        <v>197</v>
      </c>
      <c r="C68" t="s">
        <v>198</v>
      </c>
      <c r="D68" t="s">
        <v>199</v>
      </c>
      <c r="E68" t="s">
        <v>200</v>
      </c>
      <c r="F68" t="s">
        <v>81</v>
      </c>
      <c r="G68" t="s">
        <v>201</v>
      </c>
      <c r="H68" t="s">
        <v>202</v>
      </c>
      <c r="I68" t="s">
        <v>203</v>
      </c>
      <c r="J68" t="s">
        <v>108</v>
      </c>
    </row>
    <row r="69" spans="1:15" x14ac:dyDescent="0.35">
      <c r="A69" t="s">
        <v>109</v>
      </c>
      <c r="B69" t="s">
        <v>110</v>
      </c>
      <c r="C69" t="s">
        <v>111</v>
      </c>
      <c r="D69" t="s">
        <v>65</v>
      </c>
      <c r="E69" t="s">
        <v>112</v>
      </c>
      <c r="F69" t="s">
        <v>113</v>
      </c>
      <c r="G69" t="s">
        <v>114</v>
      </c>
    </row>
    <row r="70" spans="1:15" x14ac:dyDescent="0.35">
      <c r="A70" t="s">
        <v>210</v>
      </c>
      <c r="B70" t="s">
        <v>103</v>
      </c>
      <c r="C70">
        <v>0.23665</v>
      </c>
      <c r="D70" t="s">
        <v>211</v>
      </c>
      <c r="E70" t="s">
        <v>103</v>
      </c>
      <c r="F70">
        <v>5.0099999999999999E-2</v>
      </c>
    </row>
    <row r="71" spans="1:15" x14ac:dyDescent="0.35">
      <c r="A71" t="s">
        <v>212</v>
      </c>
      <c r="B71" t="s">
        <v>103</v>
      </c>
      <c r="C71">
        <v>-1.136E-2</v>
      </c>
      <c r="D71" t="s">
        <v>213</v>
      </c>
      <c r="E71" t="s">
        <v>103</v>
      </c>
      <c r="F71">
        <v>-0.22986000000000001</v>
      </c>
    </row>
    <row r="72" spans="1:15" x14ac:dyDescent="0.35">
      <c r="A72" t="s">
        <v>214</v>
      </c>
      <c r="B72" t="s">
        <v>103</v>
      </c>
      <c r="C72">
        <v>1.264E-2</v>
      </c>
      <c r="D72" t="s">
        <v>215</v>
      </c>
      <c r="E72" t="s">
        <v>103</v>
      </c>
      <c r="F72">
        <v>5.2700000000000004E-3</v>
      </c>
    </row>
    <row r="73" spans="1:15" x14ac:dyDescent="0.35">
      <c r="A73" t="s">
        <v>216</v>
      </c>
      <c r="B73" t="s">
        <v>103</v>
      </c>
      <c r="C73">
        <v>7.3200000000000001E-3</v>
      </c>
      <c r="D73" t="s">
        <v>217</v>
      </c>
      <c r="E73" t="s">
        <v>103</v>
      </c>
      <c r="F73">
        <v>5.3200000000000001E-3</v>
      </c>
    </row>
    <row r="75" spans="1:15" x14ac:dyDescent="0.35">
      <c r="A75" t="s">
        <v>99</v>
      </c>
      <c r="B75" t="s">
        <v>197</v>
      </c>
      <c r="C75" t="s">
        <v>198</v>
      </c>
      <c r="D75" t="s">
        <v>218</v>
      </c>
      <c r="E75" t="s">
        <v>219</v>
      </c>
    </row>
    <row r="76" spans="1:15" x14ac:dyDescent="0.35">
      <c r="A76" t="s">
        <v>210</v>
      </c>
      <c r="B76" t="s">
        <v>103</v>
      </c>
      <c r="C76">
        <v>0.4733</v>
      </c>
      <c r="D76" t="s">
        <v>214</v>
      </c>
      <c r="E76" t="s">
        <v>103</v>
      </c>
      <c r="F76">
        <v>2.528E-2</v>
      </c>
    </row>
    <row r="78" spans="1:15" x14ac:dyDescent="0.35">
      <c r="A78" t="s">
        <v>194</v>
      </c>
      <c r="B78" t="s">
        <v>99</v>
      </c>
      <c r="C78" t="s">
        <v>197</v>
      </c>
      <c r="D78" t="s">
        <v>198</v>
      </c>
      <c r="E78" t="s">
        <v>194</v>
      </c>
      <c r="F78" t="s">
        <v>220</v>
      </c>
      <c r="G78" t="s">
        <v>86</v>
      </c>
    </row>
    <row r="79" spans="1:15" x14ac:dyDescent="0.35">
      <c r="A79" t="s">
        <v>221</v>
      </c>
      <c r="B79" t="s">
        <v>82</v>
      </c>
      <c r="C79" t="s">
        <v>83</v>
      </c>
      <c r="D79" t="s">
        <v>84</v>
      </c>
      <c r="E79" t="s">
        <v>86</v>
      </c>
      <c r="F79" t="s">
        <v>222</v>
      </c>
      <c r="G79" t="s">
        <v>323</v>
      </c>
      <c r="H79" t="s">
        <v>224</v>
      </c>
      <c r="I79" t="s">
        <v>225</v>
      </c>
      <c r="J79" t="s">
        <v>223</v>
      </c>
      <c r="K79" t="s">
        <v>226</v>
      </c>
      <c r="L79" t="s">
        <v>227</v>
      </c>
      <c r="M79" t="s">
        <v>228</v>
      </c>
      <c r="N79" t="s">
        <v>229</v>
      </c>
      <c r="O79" t="s">
        <v>230</v>
      </c>
    </row>
    <row r="80" spans="1:15" x14ac:dyDescent="0.35">
      <c r="A80">
        <v>41</v>
      </c>
      <c r="B80">
        <v>2.3999999999999998E-3</v>
      </c>
      <c r="C80">
        <v>-3.5000000000000001E-3</v>
      </c>
      <c r="D80">
        <v>0</v>
      </c>
      <c r="E80">
        <v>5.6428000000000003</v>
      </c>
      <c r="F80">
        <v>7.9500000000000001E-2</v>
      </c>
      <c r="G80">
        <v>2.1398999999999999</v>
      </c>
      <c r="H80">
        <v>3.8300000000000001E-2</v>
      </c>
      <c r="I80">
        <v>0.46160000000000001</v>
      </c>
      <c r="J80">
        <v>0.35420000000000001</v>
      </c>
      <c r="K80">
        <v>0.26800000000000002</v>
      </c>
      <c r="L80">
        <v>8.6E-3</v>
      </c>
      <c r="M80">
        <v>-4.8300000000000003E-2</v>
      </c>
      <c r="N80">
        <v>0.1192</v>
      </c>
      <c r="O80">
        <v>0.38600000000000001</v>
      </c>
    </row>
    <row r="81" spans="1:15" x14ac:dyDescent="0.35">
      <c r="A81">
        <v>42</v>
      </c>
      <c r="B81">
        <v>2.12E-2</v>
      </c>
      <c r="C81">
        <v>-3.1699999999999999E-2</v>
      </c>
      <c r="D81">
        <v>0</v>
      </c>
      <c r="E81">
        <v>5.6299000000000001</v>
      </c>
      <c r="F81">
        <v>0.23760000000000001</v>
      </c>
      <c r="G81">
        <v>2.1404999999999998</v>
      </c>
      <c r="H81">
        <v>4.5499999999999999E-2</v>
      </c>
      <c r="I81">
        <v>0.49180000000000001</v>
      </c>
      <c r="J81">
        <v>0.37740000000000001</v>
      </c>
      <c r="K81">
        <v>5.57E-2</v>
      </c>
      <c r="L81">
        <v>8.8999999999999999E-3</v>
      </c>
      <c r="M81">
        <v>-4.82E-2</v>
      </c>
      <c r="N81">
        <v>0.1193</v>
      </c>
      <c r="O81">
        <v>0.378</v>
      </c>
    </row>
    <row r="82" spans="1:15" x14ac:dyDescent="0.35">
      <c r="A82">
        <v>43</v>
      </c>
      <c r="B82">
        <v>5.8700000000000002E-2</v>
      </c>
      <c r="C82">
        <v>-8.7800000000000003E-2</v>
      </c>
      <c r="D82">
        <v>0</v>
      </c>
      <c r="E82">
        <v>5.6043000000000003</v>
      </c>
      <c r="F82">
        <v>0.39250000000000002</v>
      </c>
      <c r="G82">
        <v>2.1421999999999999</v>
      </c>
      <c r="H82">
        <v>5.0900000000000001E-2</v>
      </c>
      <c r="I82">
        <v>0.49619999999999997</v>
      </c>
      <c r="J82">
        <v>0.38080000000000003</v>
      </c>
      <c r="K82">
        <v>4.2700000000000002E-2</v>
      </c>
      <c r="L82">
        <v>8.9999999999999993E-3</v>
      </c>
      <c r="M82">
        <v>-4.7699999999999999E-2</v>
      </c>
      <c r="N82">
        <v>0.1193</v>
      </c>
      <c r="O82">
        <v>0.375</v>
      </c>
    </row>
    <row r="83" spans="1:15" x14ac:dyDescent="0.35">
      <c r="A83">
        <v>44</v>
      </c>
      <c r="B83">
        <v>0.1148</v>
      </c>
      <c r="C83">
        <v>-0.17169999999999999</v>
      </c>
      <c r="D83">
        <v>0</v>
      </c>
      <c r="E83">
        <v>5.5659999999999998</v>
      </c>
      <c r="F83">
        <v>0.54239999999999999</v>
      </c>
      <c r="G83">
        <v>2.1444999999999999</v>
      </c>
      <c r="H83">
        <v>5.4899999999999997E-2</v>
      </c>
      <c r="I83">
        <v>0.50060000000000004</v>
      </c>
      <c r="J83">
        <v>0.38419999999999999</v>
      </c>
      <c r="K83">
        <v>3.9899999999999998E-2</v>
      </c>
      <c r="L83">
        <v>8.9999999999999993E-3</v>
      </c>
      <c r="M83">
        <v>-4.6699999999999998E-2</v>
      </c>
      <c r="N83">
        <v>0.1191</v>
      </c>
      <c r="O83">
        <v>0.372</v>
      </c>
    </row>
    <row r="84" spans="1:15" x14ac:dyDescent="0.35">
      <c r="A84">
        <v>45</v>
      </c>
      <c r="B84">
        <v>0.18890000000000001</v>
      </c>
      <c r="C84">
        <v>-0.28260000000000002</v>
      </c>
      <c r="D84">
        <v>0</v>
      </c>
      <c r="E84">
        <v>5.5152999999999999</v>
      </c>
      <c r="F84">
        <v>0.68530000000000002</v>
      </c>
      <c r="G84">
        <v>2.1469999999999998</v>
      </c>
      <c r="H84">
        <v>5.7700000000000001E-2</v>
      </c>
      <c r="I84">
        <v>0.50609999999999999</v>
      </c>
      <c r="J84">
        <v>0.38840000000000002</v>
      </c>
      <c r="K84">
        <v>3.8100000000000002E-2</v>
      </c>
      <c r="L84">
        <v>9.1000000000000004E-3</v>
      </c>
      <c r="M84">
        <v>-4.5400000000000003E-2</v>
      </c>
      <c r="N84">
        <v>0.11890000000000001</v>
      </c>
      <c r="O84">
        <v>0.36699999999999999</v>
      </c>
    </row>
    <row r="85" spans="1:15" x14ac:dyDescent="0.35">
      <c r="A85">
        <v>46</v>
      </c>
      <c r="B85">
        <v>0.28079999999999999</v>
      </c>
      <c r="C85">
        <v>-0.42</v>
      </c>
      <c r="D85">
        <v>0</v>
      </c>
      <c r="E85">
        <v>5.4526000000000003</v>
      </c>
      <c r="F85">
        <v>0.81950000000000001</v>
      </c>
      <c r="G85">
        <v>2.1492</v>
      </c>
      <c r="H85">
        <v>5.9700000000000003E-2</v>
      </c>
      <c r="I85">
        <v>0.51270000000000004</v>
      </c>
      <c r="J85">
        <v>0.39340000000000003</v>
      </c>
      <c r="K85">
        <v>3.6499999999999998E-2</v>
      </c>
      <c r="L85">
        <v>9.1999999999999998E-3</v>
      </c>
      <c r="M85">
        <v>-4.3999999999999997E-2</v>
      </c>
      <c r="N85">
        <v>0.1187</v>
      </c>
      <c r="O85">
        <v>0.36199999999999999</v>
      </c>
    </row>
    <row r="86" spans="1:15" x14ac:dyDescent="0.35">
      <c r="A86">
        <v>47</v>
      </c>
      <c r="B86">
        <v>0.38969999999999999</v>
      </c>
      <c r="C86">
        <v>-0.58289999999999997</v>
      </c>
      <c r="D86">
        <v>0</v>
      </c>
      <c r="E86">
        <v>5.3780999999999999</v>
      </c>
      <c r="F86">
        <v>0.94340000000000002</v>
      </c>
      <c r="G86">
        <v>2.1503999999999999</v>
      </c>
      <c r="H86">
        <v>6.1100000000000002E-2</v>
      </c>
      <c r="I86">
        <v>0.52039999999999997</v>
      </c>
      <c r="J86">
        <v>0.39929999999999999</v>
      </c>
      <c r="K86">
        <v>3.5099999999999999E-2</v>
      </c>
      <c r="L86">
        <v>9.2999999999999992E-3</v>
      </c>
      <c r="M86">
        <v>-4.2500000000000003E-2</v>
      </c>
      <c r="N86">
        <v>0.1186</v>
      </c>
      <c r="O86">
        <v>0.35599999999999998</v>
      </c>
    </row>
    <row r="87" spans="1:15" x14ac:dyDescent="0.35">
      <c r="A87">
        <v>48</v>
      </c>
      <c r="B87">
        <v>0.5151</v>
      </c>
      <c r="C87">
        <v>-0.77049999999999996</v>
      </c>
      <c r="D87">
        <v>0</v>
      </c>
      <c r="E87">
        <v>5.2923999999999998</v>
      </c>
      <c r="F87">
        <v>1.0556000000000001</v>
      </c>
      <c r="G87">
        <v>2.15</v>
      </c>
      <c r="H87">
        <v>6.2100000000000002E-2</v>
      </c>
      <c r="I87">
        <v>0.52890000000000004</v>
      </c>
      <c r="J87">
        <v>0.40589999999999998</v>
      </c>
      <c r="K87">
        <v>3.3799999999999997E-2</v>
      </c>
      <c r="L87">
        <v>9.4000000000000004E-3</v>
      </c>
      <c r="M87">
        <v>-4.1000000000000002E-2</v>
      </c>
      <c r="N87">
        <v>0.1187</v>
      </c>
      <c r="O87">
        <v>0.35099999999999998</v>
      </c>
    </row>
    <row r="88" spans="1:15" x14ac:dyDescent="0.35">
      <c r="A88">
        <v>49</v>
      </c>
      <c r="B88">
        <v>0.65620000000000001</v>
      </c>
      <c r="C88">
        <v>-0.98150000000000004</v>
      </c>
      <c r="D88">
        <v>0</v>
      </c>
      <c r="E88">
        <v>5.1961000000000004</v>
      </c>
      <c r="F88">
        <v>1.1548</v>
      </c>
      <c r="G88">
        <v>2.1476000000000002</v>
      </c>
      <c r="H88">
        <v>6.2700000000000006E-2</v>
      </c>
      <c r="I88">
        <v>0.53839999999999999</v>
      </c>
      <c r="J88">
        <v>0.41310000000000002</v>
      </c>
      <c r="K88">
        <v>3.2500000000000001E-2</v>
      </c>
      <c r="L88">
        <v>9.4999999999999998E-3</v>
      </c>
      <c r="M88">
        <v>-3.9600000000000003E-2</v>
      </c>
      <c r="N88">
        <v>0.1191</v>
      </c>
      <c r="O88">
        <v>0.34599999999999997</v>
      </c>
    </row>
    <row r="89" spans="1:15" x14ac:dyDescent="0.35">
      <c r="A89">
        <v>50</v>
      </c>
      <c r="B89">
        <v>0.81200000000000006</v>
      </c>
      <c r="C89">
        <v>-1.2146999999999999</v>
      </c>
      <c r="D89">
        <v>0</v>
      </c>
      <c r="E89">
        <v>5.0895999999999999</v>
      </c>
      <c r="F89">
        <v>1.2402</v>
      </c>
      <c r="G89">
        <v>2.1423999999999999</v>
      </c>
      <c r="H89">
        <v>6.3E-2</v>
      </c>
      <c r="I89">
        <v>0.54859999999999998</v>
      </c>
      <c r="J89">
        <v>0.42099999999999999</v>
      </c>
      <c r="K89">
        <v>3.15E-2</v>
      </c>
      <c r="L89">
        <v>9.5999999999999992E-3</v>
      </c>
      <c r="M89">
        <v>-3.8399999999999997E-2</v>
      </c>
      <c r="N89">
        <v>0.1196</v>
      </c>
      <c r="O89">
        <v>0.34100000000000003</v>
      </c>
    </row>
    <row r="90" spans="1:15" x14ac:dyDescent="0.35">
      <c r="A90">
        <v>51</v>
      </c>
      <c r="B90">
        <v>0.98170000000000002</v>
      </c>
      <c r="C90">
        <v>-1.4684999999999999</v>
      </c>
      <c r="D90">
        <v>0</v>
      </c>
      <c r="E90">
        <v>4.9736000000000002</v>
      </c>
      <c r="F90">
        <v>1.3110999999999999</v>
      </c>
      <c r="G90">
        <v>2.1341000000000001</v>
      </c>
      <c r="H90">
        <v>6.3E-2</v>
      </c>
      <c r="I90">
        <v>0.55940000000000001</v>
      </c>
      <c r="J90">
        <v>0.42930000000000001</v>
      </c>
      <c r="K90">
        <v>3.04E-2</v>
      </c>
      <c r="L90">
        <v>9.7999999999999997E-3</v>
      </c>
      <c r="M90">
        <v>-3.7199999999999997E-2</v>
      </c>
      <c r="N90">
        <v>0.12039999999999999</v>
      </c>
      <c r="O90">
        <v>0.33700000000000002</v>
      </c>
    </row>
    <row r="91" spans="1:15" x14ac:dyDescent="0.35">
      <c r="A91">
        <v>52</v>
      </c>
      <c r="B91">
        <v>1.1641999999999999</v>
      </c>
      <c r="C91">
        <v>-1.7415</v>
      </c>
      <c r="D91">
        <v>0</v>
      </c>
      <c r="E91">
        <v>4.8489000000000004</v>
      </c>
      <c r="F91">
        <v>1.367</v>
      </c>
      <c r="G91">
        <v>2.1221000000000001</v>
      </c>
      <c r="H91">
        <v>6.2899999999999998E-2</v>
      </c>
      <c r="I91">
        <v>0.57069999999999999</v>
      </c>
      <c r="J91">
        <v>0.438</v>
      </c>
      <c r="K91">
        <v>2.9499999999999998E-2</v>
      </c>
      <c r="L91">
        <v>9.9000000000000008E-3</v>
      </c>
      <c r="M91">
        <v>-3.6200000000000003E-2</v>
      </c>
      <c r="N91">
        <v>0.12130000000000001</v>
      </c>
      <c r="O91">
        <v>0.33300000000000002</v>
      </c>
    </row>
    <row r="92" spans="1:15" x14ac:dyDescent="0.35">
      <c r="A92">
        <v>53</v>
      </c>
      <c r="B92">
        <v>1.3584000000000001</v>
      </c>
      <c r="C92">
        <v>-2.0318999999999998</v>
      </c>
      <c r="D92">
        <v>0</v>
      </c>
      <c r="E92">
        <v>4.7163000000000004</v>
      </c>
      <c r="F92">
        <v>1.4077999999999999</v>
      </c>
      <c r="G92">
        <v>2.1061000000000001</v>
      </c>
      <c r="H92">
        <v>6.25E-2</v>
      </c>
      <c r="I92">
        <v>0.58260000000000001</v>
      </c>
      <c r="J92">
        <v>0.44700000000000001</v>
      </c>
      <c r="K92">
        <v>2.86E-2</v>
      </c>
      <c r="L92">
        <v>1.01E-2</v>
      </c>
      <c r="M92">
        <v>-3.5400000000000001E-2</v>
      </c>
      <c r="N92">
        <v>0.12239999999999999</v>
      </c>
      <c r="O92">
        <v>0.32900000000000001</v>
      </c>
    </row>
    <row r="93" spans="1:15" x14ac:dyDescent="0.35">
      <c r="A93">
        <v>54</v>
      </c>
      <c r="B93">
        <v>1.5629999999999999</v>
      </c>
      <c r="C93">
        <v>-2.3380000000000001</v>
      </c>
      <c r="D93">
        <v>0</v>
      </c>
      <c r="E93">
        <v>4.5763999999999996</v>
      </c>
      <c r="F93">
        <v>1.4334</v>
      </c>
      <c r="G93">
        <v>2.0855999999999999</v>
      </c>
      <c r="H93">
        <v>6.2E-2</v>
      </c>
      <c r="I93">
        <v>0.59470000000000001</v>
      </c>
      <c r="J93">
        <v>0.45639999999999997</v>
      </c>
      <c r="K93">
        <v>2.7799999999999998E-2</v>
      </c>
      <c r="L93">
        <v>1.03E-2</v>
      </c>
      <c r="M93">
        <v>-3.4599999999999999E-2</v>
      </c>
      <c r="N93">
        <v>0.1237</v>
      </c>
      <c r="O93">
        <v>0.32600000000000001</v>
      </c>
    </row>
    <row r="94" spans="1:15" x14ac:dyDescent="0.35">
      <c r="A94">
        <v>55</v>
      </c>
      <c r="B94">
        <v>1.7767999999999999</v>
      </c>
      <c r="C94">
        <v>-2.6579000000000002</v>
      </c>
      <c r="D94">
        <v>0</v>
      </c>
      <c r="E94">
        <v>4.4302999999999999</v>
      </c>
      <c r="F94">
        <v>1.4443999999999999</v>
      </c>
      <c r="G94">
        <v>2.0604</v>
      </c>
      <c r="H94">
        <v>6.1400000000000003E-2</v>
      </c>
      <c r="I94">
        <v>0.60709999999999997</v>
      </c>
      <c r="J94">
        <v>0.46589999999999998</v>
      </c>
      <c r="K94">
        <v>2.7E-2</v>
      </c>
      <c r="L94">
        <v>1.04E-2</v>
      </c>
      <c r="M94">
        <v>-3.4000000000000002E-2</v>
      </c>
      <c r="N94">
        <v>0.12520000000000001</v>
      </c>
      <c r="O94">
        <v>0.32300000000000001</v>
      </c>
    </row>
    <row r="95" spans="1:15" x14ac:dyDescent="0.35">
      <c r="A95">
        <v>56</v>
      </c>
      <c r="B95">
        <v>1.9984999999999999</v>
      </c>
      <c r="C95">
        <v>-2.9895999999999998</v>
      </c>
      <c r="D95">
        <v>0</v>
      </c>
      <c r="E95">
        <v>4.2788000000000004</v>
      </c>
      <c r="F95">
        <v>1.4411</v>
      </c>
      <c r="G95">
        <v>2.0303</v>
      </c>
      <c r="H95">
        <v>6.0600000000000001E-2</v>
      </c>
      <c r="I95">
        <v>0.61960000000000004</v>
      </c>
      <c r="J95">
        <v>0.47539999999999999</v>
      </c>
      <c r="K95">
        <v>2.6200000000000001E-2</v>
      </c>
      <c r="L95">
        <v>1.06E-2</v>
      </c>
      <c r="M95">
        <v>-3.3500000000000002E-2</v>
      </c>
      <c r="N95">
        <v>0.12670000000000001</v>
      </c>
      <c r="O95">
        <v>0.32</v>
      </c>
    </row>
    <row r="96" spans="1:15" x14ac:dyDescent="0.35">
      <c r="A96">
        <v>57</v>
      </c>
      <c r="B96">
        <v>2.2267999999999999</v>
      </c>
      <c r="C96">
        <v>-3.331</v>
      </c>
      <c r="D96">
        <v>0</v>
      </c>
      <c r="E96">
        <v>4.1228999999999996</v>
      </c>
      <c r="F96">
        <v>1.4245000000000001</v>
      </c>
      <c r="G96">
        <v>1.9952000000000001</v>
      </c>
      <c r="H96">
        <v>5.9700000000000003E-2</v>
      </c>
      <c r="I96">
        <v>0.6321</v>
      </c>
      <c r="J96">
        <v>0.48509999999999998</v>
      </c>
      <c r="K96">
        <v>2.53E-2</v>
      </c>
      <c r="L96">
        <v>1.0800000000000001E-2</v>
      </c>
      <c r="M96">
        <v>-3.3000000000000002E-2</v>
      </c>
      <c r="N96">
        <v>0.12820000000000001</v>
      </c>
      <c r="O96">
        <v>0.318</v>
      </c>
    </row>
    <row r="97" spans="1:15" x14ac:dyDescent="0.35">
      <c r="A97">
        <v>58</v>
      </c>
      <c r="B97">
        <v>2.4601000000000002</v>
      </c>
      <c r="C97">
        <v>-3.68</v>
      </c>
      <c r="D97">
        <v>0</v>
      </c>
      <c r="E97">
        <v>3.9634</v>
      </c>
      <c r="F97">
        <v>1.3955</v>
      </c>
      <c r="G97">
        <v>1.9552</v>
      </c>
      <c r="H97">
        <v>5.8700000000000002E-2</v>
      </c>
      <c r="I97">
        <v>0.64449999999999996</v>
      </c>
      <c r="J97">
        <v>0.49459999999999998</v>
      </c>
      <c r="K97">
        <v>2.4500000000000001E-2</v>
      </c>
      <c r="L97">
        <v>1.09E-2</v>
      </c>
      <c r="M97">
        <v>-3.2599999999999997E-2</v>
      </c>
      <c r="N97">
        <v>0.12989999999999999</v>
      </c>
      <c r="O97">
        <v>0.316</v>
      </c>
    </row>
    <row r="98" spans="1:15" x14ac:dyDescent="0.35">
      <c r="A98">
        <v>59</v>
      </c>
      <c r="B98">
        <v>2.6972</v>
      </c>
      <c r="C98">
        <v>-4.0346000000000002</v>
      </c>
      <c r="D98">
        <v>0</v>
      </c>
      <c r="E98">
        <v>3.8014999999999999</v>
      </c>
      <c r="F98">
        <v>1.3552</v>
      </c>
      <c r="G98">
        <v>1.9101999999999999</v>
      </c>
      <c r="H98">
        <v>5.7700000000000001E-2</v>
      </c>
      <c r="I98">
        <v>0.65669999999999995</v>
      </c>
      <c r="J98">
        <v>0.50390000000000001</v>
      </c>
      <c r="K98">
        <v>2.3599999999999999E-2</v>
      </c>
      <c r="L98">
        <v>1.11E-2</v>
      </c>
      <c r="M98">
        <v>-3.2199999999999999E-2</v>
      </c>
      <c r="N98">
        <v>0.13150000000000001</v>
      </c>
      <c r="O98">
        <v>0.314</v>
      </c>
    </row>
    <row r="99" spans="1:15" x14ac:dyDescent="0.35">
      <c r="A99">
        <v>60</v>
      </c>
      <c r="B99">
        <v>2.9363999999999999</v>
      </c>
      <c r="C99">
        <v>-4.3925000000000001</v>
      </c>
      <c r="D99">
        <v>0</v>
      </c>
      <c r="E99">
        <v>3.6379999999999999</v>
      </c>
      <c r="F99">
        <v>1.3049999999999999</v>
      </c>
      <c r="G99">
        <v>1.8605</v>
      </c>
      <c r="H99">
        <v>5.67E-2</v>
      </c>
      <c r="I99">
        <v>0.66849999999999998</v>
      </c>
      <c r="J99">
        <v>0.51300000000000001</v>
      </c>
      <c r="K99">
        <v>2.2700000000000001E-2</v>
      </c>
      <c r="L99">
        <v>1.1299999999999999E-2</v>
      </c>
      <c r="M99">
        <v>-3.1899999999999998E-2</v>
      </c>
      <c r="N99">
        <v>0.13300000000000001</v>
      </c>
      <c r="O99">
        <v>0.312</v>
      </c>
    </row>
    <row r="100" spans="1:15" x14ac:dyDescent="0.35">
      <c r="A100">
        <v>61</v>
      </c>
      <c r="B100">
        <v>3.1764000000000001</v>
      </c>
      <c r="C100">
        <v>-4.7515000000000001</v>
      </c>
      <c r="D100">
        <v>0</v>
      </c>
      <c r="E100">
        <v>3.4740000000000002</v>
      </c>
      <c r="F100">
        <v>1.2462</v>
      </c>
      <c r="G100">
        <v>1.8062</v>
      </c>
      <c r="H100">
        <v>5.57E-2</v>
      </c>
      <c r="I100">
        <v>0.67979999999999996</v>
      </c>
      <c r="J100">
        <v>0.52159999999999995</v>
      </c>
      <c r="K100">
        <v>2.18E-2</v>
      </c>
      <c r="L100">
        <v>1.14E-2</v>
      </c>
      <c r="M100">
        <v>-3.1600000000000003E-2</v>
      </c>
      <c r="N100">
        <v>0.13450000000000001</v>
      </c>
      <c r="O100">
        <v>0.311</v>
      </c>
    </row>
    <row r="101" spans="1:15" x14ac:dyDescent="0.35">
      <c r="A101">
        <v>62</v>
      </c>
      <c r="B101">
        <v>3.4156</v>
      </c>
      <c r="C101">
        <v>-5.1093999999999999</v>
      </c>
      <c r="D101">
        <v>0</v>
      </c>
      <c r="E101">
        <v>3.3105000000000002</v>
      </c>
      <c r="F101">
        <v>1.1801999999999999</v>
      </c>
      <c r="G101">
        <v>1.7476</v>
      </c>
      <c r="H101">
        <v>5.4699999999999999E-2</v>
      </c>
      <c r="I101">
        <v>0.69040000000000001</v>
      </c>
      <c r="J101">
        <v>0.52980000000000005</v>
      </c>
      <c r="K101">
        <v>2.0899999999999998E-2</v>
      </c>
      <c r="L101">
        <v>1.1599999999999999E-2</v>
      </c>
      <c r="M101">
        <v>-3.1199999999999999E-2</v>
      </c>
      <c r="N101">
        <v>0.13589999999999999</v>
      </c>
      <c r="O101">
        <v>0.309</v>
      </c>
    </row>
    <row r="102" spans="1:15" x14ac:dyDescent="0.35">
      <c r="A102">
        <v>63</v>
      </c>
      <c r="B102">
        <v>3.6526999999999998</v>
      </c>
      <c r="C102">
        <v>-5.4640000000000004</v>
      </c>
      <c r="D102">
        <v>0</v>
      </c>
      <c r="E102">
        <v>3.1486000000000001</v>
      </c>
      <c r="F102">
        <v>1.1086</v>
      </c>
      <c r="G102">
        <v>1.6850000000000001</v>
      </c>
      <c r="H102">
        <v>5.3900000000000003E-2</v>
      </c>
      <c r="I102">
        <v>0.7</v>
      </c>
      <c r="J102">
        <v>0.53720000000000001</v>
      </c>
      <c r="K102">
        <v>1.9900000000000001E-2</v>
      </c>
      <c r="L102">
        <v>1.17E-2</v>
      </c>
      <c r="M102">
        <v>-3.0800000000000001E-2</v>
      </c>
      <c r="N102">
        <v>0.1371</v>
      </c>
      <c r="O102">
        <v>0.307</v>
      </c>
    </row>
    <row r="103" spans="1:15" x14ac:dyDescent="0.35">
      <c r="A103">
        <v>64</v>
      </c>
      <c r="B103">
        <v>3.8860000000000001</v>
      </c>
      <c r="C103">
        <v>-5.8129999999999997</v>
      </c>
      <c r="D103">
        <v>0</v>
      </c>
      <c r="E103">
        <v>2.9891000000000001</v>
      </c>
      <c r="F103">
        <v>1.0327999999999999</v>
      </c>
      <c r="G103">
        <v>1.6187</v>
      </c>
      <c r="H103">
        <v>5.3199999999999997E-2</v>
      </c>
      <c r="I103">
        <v>0.70860000000000001</v>
      </c>
      <c r="J103">
        <v>0.54369999999999996</v>
      </c>
      <c r="K103">
        <v>1.8800000000000001E-2</v>
      </c>
      <c r="L103">
        <v>1.1900000000000001E-2</v>
      </c>
      <c r="M103">
        <v>-3.0300000000000001E-2</v>
      </c>
      <c r="N103">
        <v>0.13800000000000001</v>
      </c>
      <c r="O103">
        <v>0.30599999999999999</v>
      </c>
    </row>
    <row r="104" spans="1:15" x14ac:dyDescent="0.35">
      <c r="A104">
        <v>65</v>
      </c>
      <c r="B104">
        <v>4.1143000000000001</v>
      </c>
      <c r="C104">
        <v>-6.1543999999999999</v>
      </c>
      <c r="D104">
        <v>0</v>
      </c>
      <c r="E104">
        <v>2.8332000000000002</v>
      </c>
      <c r="F104">
        <v>0.95420000000000005</v>
      </c>
      <c r="G104">
        <v>1.5489999999999999</v>
      </c>
      <c r="H104">
        <v>5.2699999999999997E-2</v>
      </c>
      <c r="I104">
        <v>0.71560000000000001</v>
      </c>
      <c r="J104">
        <v>0.54910000000000003</v>
      </c>
      <c r="K104">
        <v>1.77E-2</v>
      </c>
      <c r="L104">
        <v>1.2E-2</v>
      </c>
      <c r="M104">
        <v>-2.98E-2</v>
      </c>
      <c r="N104">
        <v>0.1386</v>
      </c>
      <c r="O104">
        <v>0.30399999999999999</v>
      </c>
    </row>
    <row r="105" spans="1:15" x14ac:dyDescent="0.35">
      <c r="A105">
        <v>66</v>
      </c>
      <c r="B105">
        <v>4.3360000000000003</v>
      </c>
      <c r="C105">
        <v>-6.4861000000000004</v>
      </c>
      <c r="D105">
        <v>0</v>
      </c>
      <c r="E105">
        <v>2.6817000000000002</v>
      </c>
      <c r="F105">
        <v>0.87429999999999997</v>
      </c>
      <c r="G105">
        <v>1.4762999999999999</v>
      </c>
      <c r="H105">
        <v>5.2600000000000001E-2</v>
      </c>
      <c r="I105">
        <v>0.72070000000000001</v>
      </c>
      <c r="J105">
        <v>0.55300000000000005</v>
      </c>
      <c r="K105">
        <v>1.66E-2</v>
      </c>
      <c r="L105">
        <v>1.2E-2</v>
      </c>
      <c r="M105">
        <v>-2.9100000000000001E-2</v>
      </c>
      <c r="N105">
        <v>0.13880000000000001</v>
      </c>
      <c r="O105">
        <v>0.30299999999999999</v>
      </c>
    </row>
    <row r="106" spans="1:15" x14ac:dyDescent="0.35">
      <c r="A106">
        <v>67</v>
      </c>
      <c r="B106">
        <v>4.5498000000000003</v>
      </c>
      <c r="C106">
        <v>-6.806</v>
      </c>
      <c r="D106">
        <v>0</v>
      </c>
      <c r="E106">
        <v>2.5356000000000001</v>
      </c>
      <c r="F106">
        <v>0.79420000000000002</v>
      </c>
      <c r="G106">
        <v>1.4007000000000001</v>
      </c>
      <c r="H106">
        <v>5.28E-2</v>
      </c>
      <c r="I106">
        <v>0.72330000000000005</v>
      </c>
      <c r="J106">
        <v>0.55510000000000004</v>
      </c>
      <c r="K106">
        <v>1.54E-2</v>
      </c>
      <c r="L106">
        <v>1.21E-2</v>
      </c>
      <c r="M106">
        <v>-2.81E-2</v>
      </c>
      <c r="N106">
        <v>0.13850000000000001</v>
      </c>
      <c r="O106">
        <v>0.30099999999999999</v>
      </c>
    </row>
    <row r="107" spans="1:15" x14ac:dyDescent="0.35">
      <c r="A107">
        <v>68</v>
      </c>
      <c r="B107">
        <v>4.7544000000000004</v>
      </c>
      <c r="C107">
        <v>-7.1120999999999999</v>
      </c>
      <c r="D107">
        <v>0</v>
      </c>
      <c r="E107">
        <v>2.3957000000000002</v>
      </c>
      <c r="F107">
        <v>0.71509999999999996</v>
      </c>
      <c r="G107">
        <v>1.3224</v>
      </c>
      <c r="H107">
        <v>5.3499999999999999E-2</v>
      </c>
      <c r="I107">
        <v>0.72289999999999999</v>
      </c>
      <c r="J107">
        <v>0.55469999999999997</v>
      </c>
      <c r="K107">
        <v>1.4200000000000001E-2</v>
      </c>
      <c r="L107">
        <v>1.21E-2</v>
      </c>
      <c r="M107">
        <v>-2.69E-2</v>
      </c>
      <c r="N107">
        <v>0.13739999999999999</v>
      </c>
      <c r="O107">
        <v>0.29899999999999999</v>
      </c>
    </row>
    <row r="108" spans="1:15" x14ac:dyDescent="0.35">
      <c r="A108">
        <v>69</v>
      </c>
      <c r="B108">
        <v>4.9485999999999999</v>
      </c>
      <c r="C108">
        <v>-7.4024999999999999</v>
      </c>
      <c r="D108">
        <v>0</v>
      </c>
      <c r="E108">
        <v>2.2631000000000001</v>
      </c>
      <c r="F108">
        <v>0.63800000000000001</v>
      </c>
      <c r="G108">
        <v>1.2413000000000001</v>
      </c>
      <c r="H108">
        <v>5.4800000000000001E-2</v>
      </c>
      <c r="I108">
        <v>0.71850000000000003</v>
      </c>
      <c r="J108">
        <v>0.5514</v>
      </c>
      <c r="K108">
        <v>1.2999999999999999E-2</v>
      </c>
      <c r="L108">
        <v>1.2E-2</v>
      </c>
      <c r="M108">
        <v>-2.5399999999999999E-2</v>
      </c>
      <c r="N108">
        <v>0.13539999999999999</v>
      </c>
      <c r="O108">
        <v>0.29599999999999999</v>
      </c>
    </row>
    <row r="109" spans="1:15" x14ac:dyDescent="0.35">
      <c r="A109">
        <v>70</v>
      </c>
      <c r="B109">
        <v>5.1311</v>
      </c>
      <c r="C109">
        <v>-7.6755000000000004</v>
      </c>
      <c r="D109">
        <v>0</v>
      </c>
      <c r="E109">
        <v>2.1383999999999999</v>
      </c>
      <c r="F109">
        <v>0.56369999999999998</v>
      </c>
      <c r="G109">
        <v>1.1573</v>
      </c>
      <c r="H109">
        <v>5.6800000000000003E-2</v>
      </c>
      <c r="I109">
        <v>0.70909999999999995</v>
      </c>
      <c r="J109">
        <v>0.54410000000000003</v>
      </c>
      <c r="K109">
        <v>1.17E-2</v>
      </c>
      <c r="L109">
        <v>1.1900000000000001E-2</v>
      </c>
      <c r="M109">
        <v>-2.3400000000000001E-2</v>
      </c>
      <c r="N109">
        <v>0.13220000000000001</v>
      </c>
      <c r="O109">
        <v>0.29299999999999998</v>
      </c>
    </row>
    <row r="110" spans="1:15" x14ac:dyDescent="0.35">
      <c r="A110">
        <v>71</v>
      </c>
      <c r="B110">
        <v>5.3007999999999997</v>
      </c>
      <c r="C110">
        <v>-7.9292999999999996</v>
      </c>
      <c r="D110">
        <v>0</v>
      </c>
      <c r="E110">
        <v>2.0224000000000002</v>
      </c>
      <c r="F110">
        <v>0.49280000000000002</v>
      </c>
      <c r="G110">
        <v>1.07</v>
      </c>
      <c r="H110">
        <v>5.9499999999999997E-2</v>
      </c>
      <c r="I110">
        <v>0.69340000000000002</v>
      </c>
      <c r="J110">
        <v>0.53210000000000002</v>
      </c>
      <c r="K110">
        <v>1.04E-2</v>
      </c>
      <c r="L110">
        <v>1.18E-2</v>
      </c>
      <c r="M110">
        <v>-2.0899999999999998E-2</v>
      </c>
      <c r="N110">
        <v>0.12759999999999999</v>
      </c>
      <c r="O110">
        <v>0.28899999999999998</v>
      </c>
    </row>
    <row r="111" spans="1:15" x14ac:dyDescent="0.35">
      <c r="A111">
        <v>72</v>
      </c>
      <c r="B111">
        <v>5.4565999999999999</v>
      </c>
      <c r="C111">
        <v>-8.1624999999999996</v>
      </c>
      <c r="D111">
        <v>0</v>
      </c>
      <c r="E111">
        <v>1.9158999999999999</v>
      </c>
      <c r="F111">
        <v>0.42580000000000001</v>
      </c>
      <c r="G111">
        <v>0.97909999999999997</v>
      </c>
      <c r="H111">
        <v>6.2799999999999995E-2</v>
      </c>
      <c r="I111">
        <v>0.66990000000000005</v>
      </c>
      <c r="J111">
        <v>0.5141</v>
      </c>
      <c r="K111">
        <v>8.9999999999999993E-3</v>
      </c>
      <c r="L111">
        <v>1.15E-2</v>
      </c>
      <c r="M111">
        <v>-1.7899999999999999E-2</v>
      </c>
      <c r="N111">
        <v>0.12130000000000001</v>
      </c>
      <c r="O111">
        <v>0.28499999999999998</v>
      </c>
    </row>
    <row r="112" spans="1:15" x14ac:dyDescent="0.35">
      <c r="A112">
        <v>73</v>
      </c>
      <c r="B112">
        <v>5.5976999999999997</v>
      </c>
      <c r="C112">
        <v>-8.3734999999999999</v>
      </c>
      <c r="D112">
        <v>0</v>
      </c>
      <c r="E112">
        <v>1.8196000000000001</v>
      </c>
      <c r="F112">
        <v>0.3629</v>
      </c>
      <c r="G112">
        <v>0.88400000000000001</v>
      </c>
      <c r="H112">
        <v>6.6799999999999998E-2</v>
      </c>
      <c r="I112">
        <v>0.63700000000000001</v>
      </c>
      <c r="J112">
        <v>0.48880000000000001</v>
      </c>
      <c r="K112">
        <v>7.7000000000000002E-3</v>
      </c>
      <c r="L112">
        <v>1.11E-2</v>
      </c>
      <c r="M112">
        <v>-1.43E-2</v>
      </c>
      <c r="N112">
        <v>0.11310000000000001</v>
      </c>
      <c r="O112">
        <v>0.27900000000000003</v>
      </c>
    </row>
    <row r="113" spans="1:15" x14ac:dyDescent="0.35">
      <c r="A113">
        <v>74</v>
      </c>
      <c r="B113">
        <v>5.7230999999999996</v>
      </c>
      <c r="C113">
        <v>-8.5610999999999997</v>
      </c>
      <c r="D113">
        <v>0</v>
      </c>
      <c r="E113">
        <v>1.7339</v>
      </c>
      <c r="F113">
        <v>0.30409999999999998</v>
      </c>
      <c r="G113">
        <v>0.78420000000000001</v>
      </c>
      <c r="H113">
        <v>7.1599999999999997E-2</v>
      </c>
      <c r="I113">
        <v>0.59319999999999995</v>
      </c>
      <c r="J113">
        <v>0.45519999999999999</v>
      </c>
      <c r="K113">
        <v>6.3E-3</v>
      </c>
      <c r="L113">
        <v>1.0699999999999999E-2</v>
      </c>
      <c r="M113">
        <v>-1.0500000000000001E-2</v>
      </c>
      <c r="N113">
        <v>0.10299999999999999</v>
      </c>
      <c r="O113">
        <v>0.27300000000000002</v>
      </c>
    </row>
    <row r="114" spans="1:15" x14ac:dyDescent="0.35">
      <c r="A114">
        <v>75</v>
      </c>
      <c r="B114">
        <v>5.8319999999999999</v>
      </c>
      <c r="C114">
        <v>-8.7240000000000002</v>
      </c>
      <c r="D114">
        <v>0</v>
      </c>
      <c r="E114">
        <v>1.6594</v>
      </c>
      <c r="F114">
        <v>0.24940000000000001</v>
      </c>
      <c r="G114">
        <v>0.67949999999999999</v>
      </c>
      <c r="H114">
        <v>7.7299999999999994E-2</v>
      </c>
      <c r="I114">
        <v>0.53720000000000001</v>
      </c>
      <c r="J114">
        <v>0.41220000000000001</v>
      </c>
      <c r="K114">
        <v>5.0000000000000001E-3</v>
      </c>
      <c r="L114">
        <v>1.01E-2</v>
      </c>
      <c r="M114">
        <v>-6.8999999999999999E-3</v>
      </c>
      <c r="N114">
        <v>9.11E-2</v>
      </c>
      <c r="O114">
        <v>0.26700000000000002</v>
      </c>
    </row>
    <row r="115" spans="1:15" x14ac:dyDescent="0.35">
      <c r="A115">
        <v>76</v>
      </c>
      <c r="B115">
        <v>5.9238999999999997</v>
      </c>
      <c r="C115">
        <v>-8.8613999999999997</v>
      </c>
      <c r="D115">
        <v>0</v>
      </c>
      <c r="E115">
        <v>1.5967</v>
      </c>
      <c r="F115">
        <v>0.19839999999999999</v>
      </c>
      <c r="G115">
        <v>0.56950000000000001</v>
      </c>
      <c r="H115">
        <v>8.4599999999999995E-2</v>
      </c>
      <c r="I115">
        <v>0.46810000000000002</v>
      </c>
      <c r="J115">
        <v>0.35920000000000002</v>
      </c>
      <c r="K115">
        <v>3.8E-3</v>
      </c>
      <c r="L115">
        <v>9.4999999999999998E-3</v>
      </c>
      <c r="M115">
        <v>-3.8999999999999998E-3</v>
      </c>
      <c r="N115">
        <v>7.7600000000000002E-2</v>
      </c>
      <c r="O115">
        <v>0.26100000000000001</v>
      </c>
    </row>
    <row r="116" spans="1:15" x14ac:dyDescent="0.35">
      <c r="A116">
        <v>77</v>
      </c>
      <c r="B116">
        <v>5.9980000000000002</v>
      </c>
      <c r="C116">
        <v>-8.9723000000000006</v>
      </c>
      <c r="D116">
        <v>0</v>
      </c>
      <c r="E116">
        <v>1.546</v>
      </c>
      <c r="F116">
        <v>0.1507</v>
      </c>
      <c r="G116">
        <v>0.45400000000000001</v>
      </c>
      <c r="H116">
        <v>9.4299999999999995E-2</v>
      </c>
      <c r="I116">
        <v>0.3856</v>
      </c>
      <c r="J116">
        <v>0.2959</v>
      </c>
      <c r="K116">
        <v>2.8999999999999998E-3</v>
      </c>
      <c r="L116">
        <v>8.8999999999999999E-3</v>
      </c>
      <c r="M116">
        <v>-2E-3</v>
      </c>
      <c r="N116">
        <v>6.2899999999999998E-2</v>
      </c>
      <c r="O116">
        <v>0.25700000000000001</v>
      </c>
    </row>
    <row r="117" spans="1:15" x14ac:dyDescent="0.35">
      <c r="A117">
        <v>78</v>
      </c>
      <c r="B117">
        <v>6.0541</v>
      </c>
      <c r="C117">
        <v>-9.0562000000000005</v>
      </c>
      <c r="D117">
        <v>0</v>
      </c>
      <c r="E117">
        <v>1.5077</v>
      </c>
      <c r="F117">
        <v>0.1056</v>
      </c>
      <c r="G117">
        <v>0.33250000000000002</v>
      </c>
      <c r="H117">
        <v>0.1079</v>
      </c>
      <c r="I117">
        <v>0.28970000000000001</v>
      </c>
      <c r="J117">
        <v>0.2223</v>
      </c>
      <c r="K117">
        <v>2.5999999999999999E-3</v>
      </c>
      <c r="L117">
        <v>8.3999999999999995E-3</v>
      </c>
      <c r="M117">
        <v>-1.2999999999999999E-3</v>
      </c>
      <c r="N117">
        <v>4.7100000000000003E-2</v>
      </c>
      <c r="O117">
        <v>0.25600000000000001</v>
      </c>
    </row>
    <row r="118" spans="1:15" x14ac:dyDescent="0.35">
      <c r="A118">
        <v>79</v>
      </c>
      <c r="B118">
        <v>6.0915999999999997</v>
      </c>
      <c r="C118">
        <v>-9.1122999999999994</v>
      </c>
      <c r="D118">
        <v>0</v>
      </c>
      <c r="E118">
        <v>1.4821</v>
      </c>
      <c r="F118">
        <v>6.25E-2</v>
      </c>
      <c r="G118">
        <v>0.20430000000000001</v>
      </c>
      <c r="H118">
        <v>0.12620000000000001</v>
      </c>
      <c r="I118">
        <v>0.1812</v>
      </c>
      <c r="J118">
        <v>0.1391</v>
      </c>
      <c r="K118">
        <v>3.0000000000000001E-3</v>
      </c>
      <c r="L118">
        <v>7.9000000000000008E-3</v>
      </c>
      <c r="M118">
        <v>-1.1000000000000001E-3</v>
      </c>
      <c r="N118">
        <v>2.98E-2</v>
      </c>
      <c r="O118">
        <v>0.25800000000000001</v>
      </c>
    </row>
    <row r="119" spans="1:15" x14ac:dyDescent="0.35">
      <c r="A119">
        <v>80</v>
      </c>
      <c r="B119">
        <v>6.1104000000000003</v>
      </c>
      <c r="C119">
        <v>-9.1404999999999994</v>
      </c>
      <c r="D119">
        <v>0</v>
      </c>
      <c r="E119">
        <v>1.4692000000000001</v>
      </c>
      <c r="F119">
        <v>2.07E-2</v>
      </c>
      <c r="G119">
        <v>6.93E-2</v>
      </c>
      <c r="H119">
        <v>0.1452</v>
      </c>
      <c r="I119">
        <v>6.2199999999999998E-2</v>
      </c>
      <c r="J119">
        <v>4.7699999999999999E-2</v>
      </c>
      <c r="K119">
        <v>4.4000000000000003E-3</v>
      </c>
      <c r="L119">
        <v>7.7000000000000002E-3</v>
      </c>
      <c r="M119">
        <v>-5.9999999999999995E-4</v>
      </c>
      <c r="N119">
        <v>1.0500000000000001E-2</v>
      </c>
      <c r="O119">
        <v>0.26300000000000001</v>
      </c>
    </row>
    <row r="120" spans="1:15" x14ac:dyDescent="0.35">
      <c r="A120" t="s">
        <v>93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0C395-80CA-4DE4-9312-9A2CB7C7B1DC}">
  <dimension ref="A1:J68"/>
  <sheetViews>
    <sheetView topLeftCell="A5" zoomScale="84" zoomScaleNormal="229" workbookViewId="0">
      <selection activeCell="F23" sqref="F23"/>
    </sheetView>
  </sheetViews>
  <sheetFormatPr defaultRowHeight="14.5" x14ac:dyDescent="0.35"/>
  <cols>
    <col min="1" max="1" width="10.08984375" bestFit="1" customWidth="1"/>
    <col min="5" max="5" width="9.90625" bestFit="1" customWidth="1"/>
  </cols>
  <sheetData>
    <row r="1" spans="1:10" x14ac:dyDescent="0.35">
      <c r="A1" t="s">
        <v>296</v>
      </c>
      <c r="B1">
        <f>BuildAVL!B3</f>
        <v>65.0321</v>
      </c>
      <c r="C1" t="s">
        <v>55</v>
      </c>
      <c r="E1" t="s">
        <v>298</v>
      </c>
      <c r="F1">
        <v>15.24</v>
      </c>
      <c r="G1" t="s">
        <v>58</v>
      </c>
    </row>
    <row r="2" spans="1:10" x14ac:dyDescent="0.35">
      <c r="A2" t="s">
        <v>294</v>
      </c>
      <c r="B2">
        <f>BuildAVL!B4</f>
        <v>3.9648472053133275</v>
      </c>
      <c r="C2" t="s">
        <v>58</v>
      </c>
      <c r="E2" t="s">
        <v>331</v>
      </c>
      <c r="F2">
        <f>(Variables!B9/6)*((1+2*Variables!B10)/(1+Variables!B10))</f>
        <v>3.6769523809523808</v>
      </c>
      <c r="G2" t="s">
        <v>58</v>
      </c>
    </row>
    <row r="3" spans="1:10" x14ac:dyDescent="0.35">
      <c r="A3" t="s">
        <v>295</v>
      </c>
      <c r="B3">
        <f>BuildAVL!B5</f>
        <v>18.288</v>
      </c>
      <c r="C3" t="s">
        <v>58</v>
      </c>
      <c r="E3" t="s">
        <v>332</v>
      </c>
      <c r="F3">
        <f>0.25*Variables!B12+'Tail Sizing'!F2*TAN(Variables!B11*PI()/180)</f>
        <v>3.4492784900708822</v>
      </c>
      <c r="G3" t="s">
        <v>58</v>
      </c>
    </row>
    <row r="5" spans="1:10" x14ac:dyDescent="0.35">
      <c r="A5" t="s">
        <v>290</v>
      </c>
      <c r="B5">
        <v>7.0000000000000007E-2</v>
      </c>
      <c r="E5" t="s">
        <v>289</v>
      </c>
      <c r="F5">
        <f>0.4*(1-0.2)</f>
        <v>0.32000000000000006</v>
      </c>
      <c r="I5" t="s">
        <v>289</v>
      </c>
      <c r="J5">
        <v>0.36000000000000004</v>
      </c>
    </row>
    <row r="6" spans="1:10" x14ac:dyDescent="0.35">
      <c r="A6" t="s">
        <v>299</v>
      </c>
      <c r="B6">
        <v>0.2</v>
      </c>
      <c r="E6" t="s">
        <v>300</v>
      </c>
      <c r="F6">
        <v>0.28000000000000003</v>
      </c>
      <c r="I6" t="s">
        <v>299</v>
      </c>
      <c r="J6">
        <v>0.36099999999999999</v>
      </c>
    </row>
    <row r="7" spans="1:10" x14ac:dyDescent="0.35">
      <c r="A7" t="s">
        <v>292</v>
      </c>
      <c r="B7">
        <f>F1*B6</f>
        <v>3.048</v>
      </c>
      <c r="C7" t="s">
        <v>58</v>
      </c>
      <c r="E7" t="s">
        <v>291</v>
      </c>
      <c r="F7">
        <f>F1*F6</f>
        <v>4.2672000000000008</v>
      </c>
      <c r="G7" t="s">
        <v>58</v>
      </c>
      <c r="I7" t="s">
        <v>300</v>
      </c>
      <c r="J7">
        <v>0.44600000000000001</v>
      </c>
    </row>
    <row r="8" spans="1:10" x14ac:dyDescent="0.35">
      <c r="A8" t="s">
        <v>297</v>
      </c>
      <c r="B8">
        <f>B5*B3*B1/B7</f>
        <v>27.313482</v>
      </c>
      <c r="C8" t="s">
        <v>55</v>
      </c>
      <c r="E8" t="s">
        <v>293</v>
      </c>
      <c r="F8">
        <f>F5*B2*B1/F7</f>
        <v>19.335758525733546</v>
      </c>
      <c r="G8" t="s">
        <v>55</v>
      </c>
    </row>
    <row r="10" spans="1:10" x14ac:dyDescent="0.35">
      <c r="A10" t="s">
        <v>301</v>
      </c>
      <c r="B10">
        <v>70</v>
      </c>
      <c r="C10" t="s">
        <v>88</v>
      </c>
      <c r="E10" t="s">
        <v>303</v>
      </c>
      <c r="F10">
        <f>F8/2</f>
        <v>9.6678792628667729</v>
      </c>
    </row>
    <row r="11" spans="1:10" x14ac:dyDescent="0.35">
      <c r="A11" t="s">
        <v>302</v>
      </c>
      <c r="B11">
        <f>(B8/SIN(B10*PI()/180)/2)</f>
        <v>14.533200216660463</v>
      </c>
      <c r="C11" t="s">
        <v>55</v>
      </c>
    </row>
    <row r="13" spans="1:10" x14ac:dyDescent="0.35">
      <c r="A13" t="s">
        <v>306</v>
      </c>
      <c r="B13">
        <v>1</v>
      </c>
      <c r="E13" t="s">
        <v>307</v>
      </c>
      <c r="F13">
        <v>3</v>
      </c>
    </row>
    <row r="14" spans="1:10" x14ac:dyDescent="0.35">
      <c r="A14" t="s">
        <v>304</v>
      </c>
      <c r="B14">
        <v>0.4</v>
      </c>
      <c r="E14" t="s">
        <v>305</v>
      </c>
      <c r="F14">
        <v>0.4</v>
      </c>
    </row>
    <row r="16" spans="1:10" x14ac:dyDescent="0.35">
      <c r="A16" t="s">
        <v>308</v>
      </c>
      <c r="B16">
        <f>SQRT(B13*B11)</f>
        <v>3.8122434624064163</v>
      </c>
      <c r="C16" t="s">
        <v>58</v>
      </c>
      <c r="E16" t="s">
        <v>309</v>
      </c>
      <c r="F16">
        <f>SQRT(F13*F8)</f>
        <v>7.6162507559297596</v>
      </c>
      <c r="G16" t="s">
        <v>58</v>
      </c>
    </row>
    <row r="17" spans="1:7" x14ac:dyDescent="0.35">
      <c r="E17" t="s">
        <v>310</v>
      </c>
      <c r="F17">
        <f>F16/2</f>
        <v>3.8081253779648798</v>
      </c>
      <c r="G17" t="s">
        <v>58</v>
      </c>
    </row>
    <row r="19" spans="1:7" x14ac:dyDescent="0.35">
      <c r="A19" t="s">
        <v>313</v>
      </c>
      <c r="B19">
        <f>(2*B11)/(B16*(1+B14))</f>
        <v>5.4460620891520239</v>
      </c>
      <c r="C19" t="s">
        <v>58</v>
      </c>
      <c r="E19" t="s">
        <v>311</v>
      </c>
      <c r="F19">
        <f>(2*F10)/(F17*(1+F14))</f>
        <v>3.6267860742522671</v>
      </c>
      <c r="G19" t="s">
        <v>58</v>
      </c>
    </row>
    <row r="20" spans="1:7" x14ac:dyDescent="0.35">
      <c r="A20" t="s">
        <v>314</v>
      </c>
      <c r="B20">
        <f>B19*B14</f>
        <v>2.1784248356608096</v>
      </c>
      <c r="C20" t="s">
        <v>58</v>
      </c>
      <c r="E20" t="s">
        <v>312</v>
      </c>
      <c r="F20">
        <f>F19*F14</f>
        <v>1.4507144297009069</v>
      </c>
      <c r="G20" t="s">
        <v>58</v>
      </c>
    </row>
    <row r="22" spans="1:7" x14ac:dyDescent="0.35">
      <c r="A22" t="s">
        <v>315</v>
      </c>
      <c r="B22">
        <v>30</v>
      </c>
      <c r="C22" t="s">
        <v>88</v>
      </c>
      <c r="E22" t="s">
        <v>316</v>
      </c>
      <c r="F22">
        <v>29</v>
      </c>
      <c r="G22" t="s">
        <v>88</v>
      </c>
    </row>
    <row r="24" spans="1:7" x14ac:dyDescent="0.35">
      <c r="A24" t="s">
        <v>327</v>
      </c>
      <c r="B24">
        <f>0.25*(B19-B20)+B16*TAN(B22*PI()/180)</f>
        <v>3.017909102609539</v>
      </c>
      <c r="C24" t="s">
        <v>58</v>
      </c>
      <c r="E24" t="s">
        <v>328</v>
      </c>
      <c r="F24">
        <f>0.25*(F19-F20)+(F17)*TAN(F22*PI()/180)</f>
        <v>2.6548962772107698</v>
      </c>
      <c r="G24" t="s">
        <v>58</v>
      </c>
    </row>
    <row r="26" spans="1:7" x14ac:dyDescent="0.35">
      <c r="A26" t="s">
        <v>335</v>
      </c>
      <c r="B26">
        <v>1.2192000000000001</v>
      </c>
      <c r="C26" t="s">
        <v>58</v>
      </c>
      <c r="E26" t="s">
        <v>330</v>
      </c>
      <c r="F26">
        <v>1.2192000000000001</v>
      </c>
      <c r="G26" t="s">
        <v>58</v>
      </c>
    </row>
    <row r="28" spans="1:7" x14ac:dyDescent="0.35">
      <c r="A28" t="s">
        <v>336</v>
      </c>
      <c r="B28">
        <f>(2/3)*((1+B14+B14^2)/(1+B14))*B19</f>
        <v>4.0456461233700747</v>
      </c>
      <c r="C28" t="s">
        <v>58</v>
      </c>
      <c r="E28" t="s">
        <v>333</v>
      </c>
      <c r="F28">
        <f>(2/3)*((1+F14+F14^2)/(1+F14))*F19</f>
        <v>2.694183940873113</v>
      </c>
      <c r="G28" t="s">
        <v>58</v>
      </c>
    </row>
    <row r="29" spans="1:7" x14ac:dyDescent="0.35">
      <c r="A29" t="s">
        <v>337</v>
      </c>
      <c r="B29">
        <f>(B16/3)*((1+2*B14)/(1+B14))</f>
        <v>1.6338186267456072</v>
      </c>
      <c r="C29" t="s">
        <v>58</v>
      </c>
      <c r="E29" t="s">
        <v>334</v>
      </c>
      <c r="F29">
        <f>(F16/6)*((1+2*F14)/(1+F14))</f>
        <v>1.6320537334135201</v>
      </c>
      <c r="G29" t="s">
        <v>58</v>
      </c>
    </row>
    <row r="33" spans="1:7" x14ac:dyDescent="0.35">
      <c r="A33" s="36" t="s">
        <v>329</v>
      </c>
      <c r="B33" s="36"/>
      <c r="C33" s="36"/>
      <c r="D33" s="36"/>
      <c r="E33" s="36"/>
      <c r="F33" s="36"/>
      <c r="G33" s="36"/>
    </row>
    <row r="34" spans="1:7" x14ac:dyDescent="0.35">
      <c r="A34" t="s">
        <v>64</v>
      </c>
      <c r="B34" t="s">
        <v>65</v>
      </c>
      <c r="C34" t="s">
        <v>66</v>
      </c>
    </row>
    <row r="35" spans="1:7" x14ac:dyDescent="0.35">
      <c r="A35">
        <v>1</v>
      </c>
      <c r="B35">
        <f>Variables!N4</f>
        <v>0</v>
      </c>
      <c r="C35">
        <f>Variables!O4</f>
        <v>0</v>
      </c>
    </row>
    <row r="36" spans="1:7" x14ac:dyDescent="0.35">
      <c r="A36">
        <v>2</v>
      </c>
      <c r="B36">
        <f>Variables!N5</f>
        <v>9.1440000000000001</v>
      </c>
      <c r="C36">
        <f>Variables!O5</f>
        <v>6.1128237391097633</v>
      </c>
    </row>
    <row r="37" spans="1:7" x14ac:dyDescent="0.35">
      <c r="A37">
        <v>3</v>
      </c>
      <c r="B37">
        <f>Variables!N6</f>
        <v>9.1440000000000001</v>
      </c>
      <c r="C37">
        <f>Variables!O6</f>
        <v>7.5803786627998573</v>
      </c>
    </row>
    <row r="38" spans="1:7" x14ac:dyDescent="0.35">
      <c r="A38">
        <v>4</v>
      </c>
      <c r="B38">
        <f>Variables!N7</f>
        <v>0</v>
      </c>
      <c r="C38">
        <f>Variables!O7</f>
        <v>5.6444420141926699</v>
      </c>
    </row>
    <row r="39" spans="1:7" x14ac:dyDescent="0.35">
      <c r="A39">
        <v>5</v>
      </c>
      <c r="B39">
        <f>Variables!N8</f>
        <v>0</v>
      </c>
      <c r="C39">
        <f>Variables!O8</f>
        <v>0</v>
      </c>
    </row>
    <row r="40" spans="1:7" x14ac:dyDescent="0.35">
      <c r="A40">
        <v>6</v>
      </c>
      <c r="B40">
        <f>Variables!N9</f>
        <v>-9.1440000000000001</v>
      </c>
      <c r="C40">
        <f>Variables!O9</f>
        <v>6.1128237391097633</v>
      </c>
    </row>
    <row r="41" spans="1:7" x14ac:dyDescent="0.35">
      <c r="A41">
        <v>7</v>
      </c>
      <c r="B41">
        <f>Variables!N10</f>
        <v>-9.1440000000000001</v>
      </c>
      <c r="C41">
        <f>Variables!O10</f>
        <v>7.5803786627998573</v>
      </c>
    </row>
    <row r="42" spans="1:7" x14ac:dyDescent="0.35">
      <c r="A42">
        <v>8</v>
      </c>
      <c r="B42">
        <f>Variables!N11</f>
        <v>0</v>
      </c>
      <c r="C42">
        <f>Variables!O11</f>
        <v>5.6444420141926699</v>
      </c>
    </row>
    <row r="43" spans="1:7" x14ac:dyDescent="0.35">
      <c r="B43" t="e">
        <f>NA()</f>
        <v>#N/A</v>
      </c>
      <c r="C43" t="e">
        <f>NA()</f>
        <v>#N/A</v>
      </c>
    </row>
    <row r="44" spans="1:7" x14ac:dyDescent="0.35">
      <c r="A44">
        <v>9</v>
      </c>
      <c r="B44">
        <f>F26</f>
        <v>1.2192000000000001</v>
      </c>
      <c r="C44">
        <f>F3+F7-F29*TAN(F22*PI()/180)-0.25*F19</f>
        <v>5.9051198146194182</v>
      </c>
    </row>
    <row r="45" spans="1:7" x14ac:dyDescent="0.35">
      <c r="A45">
        <v>10</v>
      </c>
      <c r="B45">
        <f>B44+F17</f>
        <v>5.0273253779648801</v>
      </c>
      <c r="C45">
        <f>C44+0.25*(F19-F20)+F17*TAN(F22*PI()/180)</f>
        <v>8.5600160918301889</v>
      </c>
    </row>
    <row r="46" spans="1:7" x14ac:dyDescent="0.35">
      <c r="A46">
        <v>11</v>
      </c>
      <c r="B46">
        <f>B45</f>
        <v>5.0273253779648801</v>
      </c>
      <c r="C46">
        <f>C45+F20</f>
        <v>10.010730521531096</v>
      </c>
    </row>
    <row r="47" spans="1:7" x14ac:dyDescent="0.35">
      <c r="A47">
        <v>12</v>
      </c>
      <c r="B47">
        <f>F26</f>
        <v>1.2192000000000001</v>
      </c>
      <c r="C47">
        <f>C44+F19</f>
        <v>9.5319058888716857</v>
      </c>
    </row>
    <row r="48" spans="1:7" x14ac:dyDescent="0.35">
      <c r="A48">
        <v>13</v>
      </c>
      <c r="B48">
        <f>B44</f>
        <v>1.2192000000000001</v>
      </c>
      <c r="C48">
        <f>C44</f>
        <v>5.9051198146194182</v>
      </c>
    </row>
    <row r="49" spans="1:3" x14ac:dyDescent="0.35">
      <c r="B49" t="e">
        <f>NA()</f>
        <v>#N/A</v>
      </c>
      <c r="C49" t="e">
        <f>NA()</f>
        <v>#N/A</v>
      </c>
    </row>
    <row r="50" spans="1:3" x14ac:dyDescent="0.35">
      <c r="A50">
        <v>14</v>
      </c>
      <c r="B50">
        <f>-1*B44</f>
        <v>-1.2192000000000001</v>
      </c>
      <c r="C50">
        <f>C44</f>
        <v>5.9051198146194182</v>
      </c>
    </row>
    <row r="51" spans="1:3" x14ac:dyDescent="0.35">
      <c r="A51">
        <v>15</v>
      </c>
      <c r="B51">
        <f t="shared" ref="B51:B54" si="0">-1*B45</f>
        <v>-5.0273253779648801</v>
      </c>
      <c r="C51">
        <f t="shared" ref="C51:C54" si="1">C45</f>
        <v>8.5600160918301889</v>
      </c>
    </row>
    <row r="52" spans="1:3" x14ac:dyDescent="0.35">
      <c r="A52">
        <v>16</v>
      </c>
      <c r="B52">
        <f t="shared" si="0"/>
        <v>-5.0273253779648801</v>
      </c>
      <c r="C52">
        <f t="shared" si="1"/>
        <v>10.010730521531096</v>
      </c>
    </row>
    <row r="53" spans="1:3" x14ac:dyDescent="0.35">
      <c r="A53">
        <v>17</v>
      </c>
      <c r="B53">
        <f t="shared" si="0"/>
        <v>-1.2192000000000001</v>
      </c>
      <c r="C53">
        <f t="shared" si="1"/>
        <v>9.5319058888716857</v>
      </c>
    </row>
    <row r="54" spans="1:3" x14ac:dyDescent="0.35">
      <c r="A54">
        <v>18</v>
      </c>
      <c r="B54">
        <f t="shared" si="0"/>
        <v>-1.2192000000000001</v>
      </c>
      <c r="C54">
        <f t="shared" si="1"/>
        <v>5.9051198146194182</v>
      </c>
    </row>
    <row r="55" spans="1:3" x14ac:dyDescent="0.35">
      <c r="B55" t="e">
        <f>NA()</f>
        <v>#N/A</v>
      </c>
      <c r="C55" t="e">
        <f>NA()</f>
        <v>#N/A</v>
      </c>
    </row>
    <row r="56" spans="1:3" x14ac:dyDescent="0.35">
      <c r="A56">
        <v>19</v>
      </c>
      <c r="B56">
        <f>B26</f>
        <v>1.2192000000000001</v>
      </c>
      <c r="C56">
        <f>F3+B7-B29*TAN(B22*PI()/180)-0.25*B19</f>
        <v>4.1924773438242759</v>
      </c>
    </row>
    <row r="57" spans="1:3" x14ac:dyDescent="0.35">
      <c r="A57">
        <v>20</v>
      </c>
      <c r="B57">
        <f>B56+B16*COS(B10*PI()/180)</f>
        <v>2.5230640554045864</v>
      </c>
      <c r="C57">
        <f>C56+0.25*(B19-B20)+B16*TAN(B22*PI()/180)</f>
        <v>7.2103864464338159</v>
      </c>
    </row>
    <row r="58" spans="1:3" x14ac:dyDescent="0.35">
      <c r="A58">
        <v>21</v>
      </c>
      <c r="B58">
        <f>B57</f>
        <v>2.5230640554045864</v>
      </c>
      <c r="C58">
        <f>C57+B20</f>
        <v>9.3888112820946255</v>
      </c>
    </row>
    <row r="59" spans="1:3" x14ac:dyDescent="0.35">
      <c r="A59">
        <v>22</v>
      </c>
      <c r="B59">
        <f>B56</f>
        <v>1.2192000000000001</v>
      </c>
      <c r="C59">
        <f>C56+B19</f>
        <v>9.6385394329762999</v>
      </c>
    </row>
    <row r="60" spans="1:3" x14ac:dyDescent="0.35">
      <c r="A60">
        <v>23</v>
      </c>
      <c r="B60">
        <f>B56</f>
        <v>1.2192000000000001</v>
      </c>
      <c r="C60">
        <f>C56</f>
        <v>4.1924773438242759</v>
      </c>
    </row>
    <row r="61" spans="1:3" x14ac:dyDescent="0.35">
      <c r="B61" t="e">
        <f>NA()</f>
        <v>#N/A</v>
      </c>
      <c r="C61" t="e">
        <f>NA()</f>
        <v>#N/A</v>
      </c>
    </row>
    <row r="62" spans="1:3" x14ac:dyDescent="0.35">
      <c r="A62">
        <v>24</v>
      </c>
      <c r="B62">
        <f>-1*B56</f>
        <v>-1.2192000000000001</v>
      </c>
      <c r="C62">
        <f>C56</f>
        <v>4.1924773438242759</v>
      </c>
    </row>
    <row r="63" spans="1:3" x14ac:dyDescent="0.35">
      <c r="A63">
        <v>25</v>
      </c>
      <c r="B63">
        <f t="shared" ref="B63:B66" si="2">-1*B57</f>
        <v>-2.5230640554045864</v>
      </c>
      <c r="C63">
        <f t="shared" ref="C63:C66" si="3">C57</f>
        <v>7.2103864464338159</v>
      </c>
    </row>
    <row r="64" spans="1:3" x14ac:dyDescent="0.35">
      <c r="A64">
        <v>26</v>
      </c>
      <c r="B64">
        <f t="shared" si="2"/>
        <v>-2.5230640554045864</v>
      </c>
      <c r="C64">
        <f t="shared" si="3"/>
        <v>9.3888112820946255</v>
      </c>
    </row>
    <row r="65" spans="1:3" x14ac:dyDescent="0.35">
      <c r="A65">
        <v>27</v>
      </c>
      <c r="B65">
        <f t="shared" si="2"/>
        <v>-1.2192000000000001</v>
      </c>
      <c r="C65">
        <f t="shared" si="3"/>
        <v>9.6385394329762999</v>
      </c>
    </row>
    <row r="66" spans="1:3" x14ac:dyDescent="0.35">
      <c r="A66">
        <v>28</v>
      </c>
      <c r="B66">
        <f t="shared" si="2"/>
        <v>-1.2192000000000001</v>
      </c>
      <c r="C66">
        <f t="shared" si="3"/>
        <v>4.1924773438242759</v>
      </c>
    </row>
    <row r="67" spans="1:3" x14ac:dyDescent="0.35">
      <c r="B67" t="e">
        <f>NA()</f>
        <v>#N/A</v>
      </c>
      <c r="C67" t="e">
        <f>NA()</f>
        <v>#N/A</v>
      </c>
    </row>
    <row r="68" spans="1:3" x14ac:dyDescent="0.35">
      <c r="A68">
        <v>30</v>
      </c>
      <c r="B68">
        <f>B36</f>
        <v>9.1440000000000001</v>
      </c>
      <c r="C68">
        <f>C36</f>
        <v>6.1128237391097633</v>
      </c>
    </row>
  </sheetData>
  <mergeCells count="1">
    <mergeCell ref="A33:G33"/>
  </mergeCells>
  <pageMargins left="0.7" right="0.7" top="0.75" bottom="0.75" header="0.3" footer="0.3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7073A-3B0F-4358-8F92-424BD181FABA}">
  <sheetPr codeName="Sheet6"/>
  <dimension ref="A1:O16"/>
  <sheetViews>
    <sheetView workbookViewId="0">
      <selection activeCell="N14" sqref="N14"/>
    </sheetView>
  </sheetViews>
  <sheetFormatPr defaultRowHeight="14.5" x14ac:dyDescent="0.35"/>
  <cols>
    <col min="1" max="1" width="8.7265625" style="6"/>
    <col min="3" max="3" width="8.7265625" style="6"/>
    <col min="5" max="5" width="8.7265625" style="10"/>
    <col min="7" max="7" width="8.7265625" style="6"/>
    <col min="9" max="9" width="8.7265625" style="10"/>
    <col min="11" max="11" width="8.7265625" style="6"/>
    <col min="13" max="13" width="8.7265625" style="10"/>
    <col min="15" max="15" width="8.7265625" style="6"/>
  </cols>
  <sheetData>
    <row r="1" spans="1:15" x14ac:dyDescent="0.35">
      <c r="A1" s="36" t="s">
        <v>75</v>
      </c>
      <c r="B1" s="36"/>
      <c r="C1" s="37"/>
      <c r="D1" s="10"/>
      <c r="E1" s="35" t="s">
        <v>76</v>
      </c>
      <c r="F1" s="36"/>
      <c r="G1" s="36"/>
      <c r="H1" s="11"/>
      <c r="I1" s="35" t="s">
        <v>338</v>
      </c>
      <c r="J1" s="36"/>
      <c r="K1" s="37"/>
      <c r="M1" s="35" t="s">
        <v>341</v>
      </c>
      <c r="N1" s="36"/>
      <c r="O1" s="37"/>
    </row>
    <row r="2" spans="1:15" x14ac:dyDescent="0.35">
      <c r="A2" s="14" t="s">
        <v>48</v>
      </c>
      <c r="B2" s="15" t="s">
        <v>49</v>
      </c>
      <c r="C2" s="14" t="s">
        <v>50</v>
      </c>
      <c r="E2" s="17" t="s">
        <v>48</v>
      </c>
      <c r="F2" s="15" t="s">
        <v>49</v>
      </c>
      <c r="G2" s="14" t="s">
        <v>50</v>
      </c>
      <c r="I2" s="17" t="s">
        <v>48</v>
      </c>
      <c r="J2" s="15" t="s">
        <v>49</v>
      </c>
      <c r="K2" s="14" t="s">
        <v>50</v>
      </c>
      <c r="M2" s="17" t="s">
        <v>48</v>
      </c>
      <c r="N2" s="15" t="s">
        <v>49</v>
      </c>
      <c r="O2" s="14" t="s">
        <v>50</v>
      </c>
    </row>
    <row r="3" spans="1:15" x14ac:dyDescent="0.35">
      <c r="A3" s="6" t="s">
        <v>79</v>
      </c>
      <c r="B3">
        <f>Variables!B8</f>
        <v>65.0321</v>
      </c>
      <c r="C3" s="6" t="s">
        <v>55</v>
      </c>
    </row>
    <row r="4" spans="1:15" x14ac:dyDescent="0.35">
      <c r="A4" s="6" t="s">
        <v>80</v>
      </c>
      <c r="B4">
        <f>(2/3)*Variables!B12*(1+Variables!B10+Variables!B10^2)/(1+Variables!B10)</f>
        <v>3.9648472053133275</v>
      </c>
      <c r="C4" s="6" t="s">
        <v>58</v>
      </c>
      <c r="E4" s="16" t="s">
        <v>77</v>
      </c>
      <c r="I4" s="16" t="s">
        <v>339</v>
      </c>
      <c r="M4" s="16" t="s">
        <v>339</v>
      </c>
    </row>
    <row r="5" spans="1:15" x14ac:dyDescent="0.35">
      <c r="A5" s="6" t="s">
        <v>81</v>
      </c>
      <c r="B5">
        <f>Variables!B9</f>
        <v>18.288</v>
      </c>
      <c r="C5" s="6" t="s">
        <v>58</v>
      </c>
      <c r="E5" s="10" t="s">
        <v>82</v>
      </c>
      <c r="F5">
        <v>0</v>
      </c>
      <c r="G5" s="6" t="s">
        <v>58</v>
      </c>
      <c r="I5" s="10" t="s">
        <v>82</v>
      </c>
      <c r="J5">
        <f>'Tail Sizing'!C44</f>
        <v>5.9051198146194182</v>
      </c>
      <c r="K5" s="6" t="s">
        <v>58</v>
      </c>
      <c r="M5" s="10" t="s">
        <v>82</v>
      </c>
      <c r="N5">
        <f>'Tail Sizing'!C56</f>
        <v>4.1924773438242759</v>
      </c>
      <c r="O5" s="6" t="s">
        <v>58</v>
      </c>
    </row>
    <row r="6" spans="1:15" x14ac:dyDescent="0.35">
      <c r="E6" s="10" t="s">
        <v>83</v>
      </c>
      <c r="F6">
        <v>0</v>
      </c>
      <c r="G6" s="6" t="s">
        <v>58</v>
      </c>
      <c r="I6" s="10" t="s">
        <v>83</v>
      </c>
      <c r="J6">
        <f>'Tail Sizing'!B44</f>
        <v>1.2192000000000001</v>
      </c>
      <c r="K6" s="6" t="s">
        <v>58</v>
      </c>
      <c r="M6" s="10" t="s">
        <v>83</v>
      </c>
      <c r="N6">
        <f>'Tail Sizing'!B56</f>
        <v>1.2192000000000001</v>
      </c>
      <c r="O6" s="6" t="s">
        <v>58</v>
      </c>
    </row>
    <row r="7" spans="1:15" x14ac:dyDescent="0.35">
      <c r="E7" s="10" t="s">
        <v>84</v>
      </c>
      <c r="F7">
        <v>0</v>
      </c>
      <c r="G7" s="6" t="s">
        <v>58</v>
      </c>
      <c r="I7" s="10" t="s">
        <v>84</v>
      </c>
      <c r="J7">
        <v>-0.05</v>
      </c>
      <c r="K7" s="6" t="s">
        <v>58</v>
      </c>
      <c r="M7" s="10" t="s">
        <v>84</v>
      </c>
      <c r="N7">
        <v>0</v>
      </c>
      <c r="O7" s="6" t="s">
        <v>58</v>
      </c>
    </row>
    <row r="8" spans="1:15" x14ac:dyDescent="0.35">
      <c r="E8" s="10" t="s">
        <v>86</v>
      </c>
      <c r="F8">
        <f>Variables!B12</f>
        <v>5.6444420141926699</v>
      </c>
      <c r="G8" s="6" t="s">
        <v>58</v>
      </c>
      <c r="I8" s="10" t="s">
        <v>86</v>
      </c>
      <c r="J8">
        <f>'Tail Sizing'!F19</f>
        <v>3.6267860742522671</v>
      </c>
      <c r="K8" s="6" t="s">
        <v>58</v>
      </c>
      <c r="M8" s="10" t="s">
        <v>86</v>
      </c>
      <c r="N8">
        <f>'Tail Sizing'!B19</f>
        <v>5.4460620891520239</v>
      </c>
      <c r="O8" s="6" t="s">
        <v>58</v>
      </c>
    </row>
    <row r="9" spans="1:15" x14ac:dyDescent="0.35">
      <c r="A9" s="9"/>
      <c r="E9" s="10" t="s">
        <v>87</v>
      </c>
      <c r="F9">
        <v>0</v>
      </c>
      <c r="G9" s="6" t="s">
        <v>88</v>
      </c>
      <c r="I9" s="10" t="s">
        <v>87</v>
      </c>
      <c r="J9">
        <v>0</v>
      </c>
      <c r="K9" s="6" t="s">
        <v>88</v>
      </c>
      <c r="M9" s="10" t="s">
        <v>87</v>
      </c>
      <c r="N9">
        <v>0</v>
      </c>
      <c r="O9" s="6" t="s">
        <v>88</v>
      </c>
    </row>
    <row r="11" spans="1:15" x14ac:dyDescent="0.35">
      <c r="E11" s="16" t="s">
        <v>78</v>
      </c>
      <c r="I11" s="16" t="s">
        <v>340</v>
      </c>
      <c r="M11" s="16" t="s">
        <v>340</v>
      </c>
    </row>
    <row r="12" spans="1:15" x14ac:dyDescent="0.35">
      <c r="E12" s="10" t="s">
        <v>82</v>
      </c>
      <c r="F12">
        <f>Variables!B14</f>
        <v>6.1128237391097633</v>
      </c>
      <c r="G12" s="6" t="s">
        <v>58</v>
      </c>
      <c r="I12" s="10" t="s">
        <v>82</v>
      </c>
      <c r="J12">
        <f>'Tail Sizing'!C45</f>
        <v>8.5600160918301889</v>
      </c>
      <c r="K12" s="6" t="s">
        <v>58</v>
      </c>
      <c r="M12" s="10" t="s">
        <v>82</v>
      </c>
      <c r="N12">
        <f>'Tail Sizing'!C57</f>
        <v>7.2103864464338159</v>
      </c>
      <c r="O12" s="6" t="s">
        <v>58</v>
      </c>
    </row>
    <row r="13" spans="1:15" x14ac:dyDescent="0.35">
      <c r="E13" s="10" t="s">
        <v>83</v>
      </c>
      <c r="F13">
        <f>Variables!B9/2</f>
        <v>9.1440000000000001</v>
      </c>
      <c r="G13" s="6" t="s">
        <v>58</v>
      </c>
      <c r="I13" s="10" t="s">
        <v>83</v>
      </c>
      <c r="J13">
        <f>'Tail Sizing'!B45</f>
        <v>5.0273253779648801</v>
      </c>
      <c r="K13" s="6" t="s">
        <v>58</v>
      </c>
      <c r="M13" s="10" t="s">
        <v>83</v>
      </c>
      <c r="N13">
        <f>'Tail Sizing'!B57</f>
        <v>2.5230640554045864</v>
      </c>
      <c r="O13" s="6" t="s">
        <v>58</v>
      </c>
    </row>
    <row r="14" spans="1:15" x14ac:dyDescent="0.35">
      <c r="E14" s="10" t="s">
        <v>84</v>
      </c>
      <c r="F14">
        <v>0</v>
      </c>
      <c r="G14" s="6" t="s">
        <v>58</v>
      </c>
      <c r="I14" s="10" t="s">
        <v>84</v>
      </c>
      <c r="J14">
        <v>-0.05</v>
      </c>
      <c r="K14" s="6" t="s">
        <v>58</v>
      </c>
      <c r="M14" s="10" t="s">
        <v>84</v>
      </c>
      <c r="N14">
        <f>'Tail Sizing'!B16*SIN('Tail Sizing'!B10*PI()/180)</f>
        <v>3.5823370502626308</v>
      </c>
      <c r="O14" s="6" t="s">
        <v>58</v>
      </c>
    </row>
    <row r="15" spans="1:15" x14ac:dyDescent="0.35">
      <c r="E15" s="10" t="s">
        <v>86</v>
      </c>
      <c r="F15">
        <f>Variables!B13</f>
        <v>1.4675549236900942</v>
      </c>
      <c r="G15" s="6" t="s">
        <v>58</v>
      </c>
      <c r="I15" s="10" t="s">
        <v>86</v>
      </c>
      <c r="J15">
        <f>'Tail Sizing'!F20</f>
        <v>1.4507144297009069</v>
      </c>
      <c r="K15" s="6" t="s">
        <v>58</v>
      </c>
      <c r="M15" s="10" t="s">
        <v>86</v>
      </c>
      <c r="N15">
        <f>'Tail Sizing'!B20</f>
        <v>2.1784248356608096</v>
      </c>
      <c r="O15" s="6" t="s">
        <v>58</v>
      </c>
    </row>
    <row r="16" spans="1:15" x14ac:dyDescent="0.35">
      <c r="E16" s="10" t="s">
        <v>87</v>
      </c>
      <c r="F16">
        <f>Variables!B15</f>
        <v>-1</v>
      </c>
      <c r="G16" s="6" t="s">
        <v>88</v>
      </c>
      <c r="I16" s="10" t="s">
        <v>87</v>
      </c>
      <c r="J16">
        <v>0</v>
      </c>
      <c r="K16" s="6" t="s">
        <v>88</v>
      </c>
      <c r="M16" s="10" t="s">
        <v>87</v>
      </c>
      <c r="N16">
        <v>0</v>
      </c>
      <c r="O16" s="6" t="s">
        <v>88</v>
      </c>
    </row>
  </sheetData>
  <mergeCells count="4">
    <mergeCell ref="A1:C1"/>
    <mergeCell ref="E1:G1"/>
    <mergeCell ref="I1:K1"/>
    <mergeCell ref="M1:O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22DD37-39C9-4952-8BA3-BF4D7FC37FD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43</vt:i4>
      </vt:variant>
    </vt:vector>
  </HeadingPairs>
  <TitlesOfParts>
    <vt:vector size="43" baseType="lpstr">
      <vt:lpstr>T1_Re200 000_M0 84_N5 0_XtrTop </vt:lpstr>
      <vt:lpstr>T1_Re160 000_M0 84_N5 0_XtrTop </vt:lpstr>
      <vt:lpstr>T1_Re120 000_M0 84_N5 0_XtrTop </vt:lpstr>
      <vt:lpstr>T1_Re100 000_M0 84_N5 0_XtrTop </vt:lpstr>
      <vt:lpstr>T1_Re80 000_M0 84_N5 0_XtrTop 5</vt:lpstr>
      <vt:lpstr>T1_Re60 000_M0 84_N5 0_XtrTop 5</vt:lpstr>
      <vt:lpstr>T1_Re40 000_M0 84_N5 0_XtrTop 5</vt:lpstr>
      <vt:lpstr>T1_Re20 000_M0 84_N5 0_XtrTop 5</vt:lpstr>
      <vt:lpstr>T1_Re10 000_M0 84_N5 0_XtrTop 5</vt:lpstr>
      <vt:lpstr>T1_Re5 000_M0 84_N5 0_XtrTop 5%</vt:lpstr>
      <vt:lpstr>T1_Re3 000_M0 84_N5 0_XtrTop 5%</vt:lpstr>
      <vt:lpstr>T1_Re2 000_M0 84_N5 0_XtrTop 5%</vt:lpstr>
      <vt:lpstr>T1_Re1 000_M0 84_N5 0_XtrTop 5%</vt:lpstr>
      <vt:lpstr>Study_9</vt:lpstr>
      <vt:lpstr>CDCL</vt:lpstr>
      <vt:lpstr>CDCL(Re)</vt:lpstr>
      <vt:lpstr>Study_1</vt:lpstr>
      <vt:lpstr>Study_2</vt:lpstr>
      <vt:lpstr>Study_3</vt:lpstr>
      <vt:lpstr>Study_4</vt:lpstr>
      <vt:lpstr>A_CDCL</vt:lpstr>
      <vt:lpstr>A_CDCL(Re)</vt:lpstr>
      <vt:lpstr>Study_5</vt:lpstr>
      <vt:lpstr>CDCL (2)</vt:lpstr>
      <vt:lpstr>CDCL(Re) XFOIL</vt:lpstr>
      <vt:lpstr>Study_6</vt:lpstr>
      <vt:lpstr>Study_7</vt:lpstr>
      <vt:lpstr>Study_8</vt:lpstr>
      <vt:lpstr>polar8</vt:lpstr>
      <vt:lpstr>polar7</vt:lpstr>
      <vt:lpstr>polar6</vt:lpstr>
      <vt:lpstr>polar5</vt:lpstr>
      <vt:lpstr>polar4</vt:lpstr>
      <vt:lpstr>polar3</vt:lpstr>
      <vt:lpstr>polar2</vt:lpstr>
      <vt:lpstr>polar1</vt:lpstr>
      <vt:lpstr>Variables</vt:lpstr>
      <vt:lpstr>BuildAVL</vt:lpstr>
      <vt:lpstr>CruiseCDCL</vt:lpstr>
      <vt:lpstr>CruiseST</vt:lpstr>
      <vt:lpstr>CruiseFS</vt:lpstr>
      <vt:lpstr>Tail Sizing</vt:lpstr>
      <vt:lpstr>BuildAVL2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Sheridan</dc:creator>
  <cp:lastModifiedBy>Sheridan, Thomas</cp:lastModifiedBy>
  <dcterms:created xsi:type="dcterms:W3CDTF">2025-07-12T21:32:17Z</dcterms:created>
  <dcterms:modified xsi:type="dcterms:W3CDTF">2025-10-06T22:46:14Z</dcterms:modified>
</cp:coreProperties>
</file>