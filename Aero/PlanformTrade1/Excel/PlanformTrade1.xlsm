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D703E641-905B-4041-88B7-30BAFE6F6CF3}" xr6:coauthVersionLast="47" xr6:coauthVersionMax="47" xr10:uidLastSave="{00000000-0000-0000-0000-000000000000}"/>
  <bookViews>
    <workbookView xWindow="-110" yWindow="-110" windowWidth="19420" windowHeight="11500" tabRatio="731" firstSheet="38" activeTab="40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Study_9" sheetId="79" state="hidden" r:id="rId14"/>
    <sheet name="CDCL" sheetId="16" state="hidden" r:id="rId15"/>
    <sheet name="CDCL(Re)" sheetId="6" state="hidden" r:id="rId16"/>
    <sheet name="Study_1" sheetId="39" state="hidden" r:id="rId17"/>
    <sheet name="Study_2" sheetId="57" state="hidden" r:id="rId18"/>
    <sheet name="Study_3" sheetId="56" state="hidden" r:id="rId19"/>
    <sheet name="Study_4" sheetId="65" state="hidden" r:id="rId20"/>
    <sheet name="A_CDCL" sheetId="64" state="hidden" r:id="rId21"/>
    <sheet name="A_CDCL(Re)" sheetId="58" state="hidden" r:id="rId22"/>
    <sheet name="Study_5" sheetId="66" state="hidden" r:id="rId23"/>
    <sheet name="CDCL (2)" sheetId="76" state="hidden" r:id="rId24"/>
    <sheet name="CDCL(Re) XFOIL" sheetId="72" state="hidden" r:id="rId25"/>
    <sheet name="Study_6" sheetId="74" state="hidden" r:id="rId26"/>
    <sheet name="Study_7" sheetId="75" state="hidden" r:id="rId27"/>
    <sheet name="Study_8" sheetId="77" state="hidden" r:id="rId28"/>
    <sheet name="polar8" sheetId="88" state="hidden" r:id="rId29"/>
    <sheet name="polar7" sheetId="87" state="hidden" r:id="rId30"/>
    <sheet name="polar6" sheetId="86" state="hidden" r:id="rId31"/>
    <sheet name="polar5" sheetId="85" state="hidden" r:id="rId32"/>
    <sheet name="polar4" sheetId="84" state="hidden" r:id="rId33"/>
    <sheet name="polar3" sheetId="83" state="hidden" r:id="rId34"/>
    <sheet name="polar2" sheetId="82" state="hidden" r:id="rId35"/>
    <sheet name="polar1" sheetId="81" state="hidden" r:id="rId36"/>
    <sheet name="Study_10A" sheetId="90" r:id="rId37"/>
    <sheet name="Study_10B" sheetId="89" r:id="rId38"/>
    <sheet name="Variables" sheetId="1" r:id="rId39"/>
    <sheet name="BuildAVL" sheetId="3" r:id="rId40"/>
    <sheet name="CruiseCDCL" sheetId="27" r:id="rId41"/>
    <sheet name="CruiseST" sheetId="4" r:id="rId42"/>
    <sheet name="CruiseFS" sheetId="5" r:id="rId43"/>
    <sheet name="Tail Sizing" sheetId="67" r:id="rId44"/>
    <sheet name="BuildAVL2" sheetId="80" r:id="rId45"/>
    <sheet name="Trim Data" sheetId="91" r:id="rId46"/>
  </sheets>
  <functionGroups builtInGroupCount="19"/>
  <definedNames>
    <definedName name="ExternalData_1" localSheetId="35" hidden="1">polar1!$A$1:$D$41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34" hidden="1">polar2!$A$1:$D$41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33" hidden="1">polar3!$A$1:$D$41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32" hidden="1">polar4!$A$1:$D$41</definedName>
    <definedName name="ExternalData_4" localSheetId="6" hidden="1">'T1_Re40 000_M0 84_N5 0_XtrTop 5'!$A$1:$L$79</definedName>
    <definedName name="ExternalData_5" localSheetId="31" hidden="1">polar5!$A$1:$D$41</definedName>
    <definedName name="ExternalData_5" localSheetId="5" hidden="1">'T1_Re60 000_M0 84_N5 0_XtrTop 5'!$A$1:$L$69</definedName>
    <definedName name="ExternalData_6" localSheetId="30" hidden="1">polar6!$A$1:$D$41</definedName>
    <definedName name="ExternalData_6" localSheetId="4" hidden="1">'T1_Re80 000_M0 84_N5 0_XtrTop 5'!$A$1:$L$70</definedName>
    <definedName name="ExternalData_7" localSheetId="29" hidden="1">polar7!$A$1:$D$41</definedName>
    <definedName name="ExternalData_7" localSheetId="3" hidden="1">'T1_Re100 000_M0 84_N5 0_XtrTop '!$A$1:$L$69</definedName>
    <definedName name="ExternalData_8" localSheetId="28" hidden="1">polar8!$A$1:$D$41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20" hidden="1">A_CDCL!$G$8,A_CDCL!$G$12</definedName>
    <definedName name="solver_adj" localSheetId="14" hidden="1">CDCL!$G$8,CDCL!$G$12</definedName>
    <definedName name="solver_adj" localSheetId="23" hidden="1">'CDCL (2)'!$G$8,'CDCL (2)'!$G$12</definedName>
    <definedName name="solver_adj" localSheetId="38" hidden="1">Variables!$B$15</definedName>
    <definedName name="solver_cvg" localSheetId="20" hidden="1">0.0001</definedName>
    <definedName name="solver_cvg" localSheetId="14" hidden="1">0.0001</definedName>
    <definedName name="solver_cvg" localSheetId="23" hidden="1">0.0001</definedName>
    <definedName name="solver_cvg" localSheetId="38" hidden="1">0.00001</definedName>
    <definedName name="solver_drv" localSheetId="20" hidden="1">2</definedName>
    <definedName name="solver_drv" localSheetId="14" hidden="1">2</definedName>
    <definedName name="solver_drv" localSheetId="23" hidden="1">2</definedName>
    <definedName name="solver_drv" localSheetId="38" hidden="1">1</definedName>
    <definedName name="solver_eng" localSheetId="20" hidden="1">3</definedName>
    <definedName name="solver_eng" localSheetId="14" hidden="1">3</definedName>
    <definedName name="solver_eng" localSheetId="23" hidden="1">3</definedName>
    <definedName name="solver_eng" localSheetId="38" hidden="1">3</definedName>
    <definedName name="solver_est" localSheetId="20" hidden="1">1</definedName>
    <definedName name="solver_est" localSheetId="14" hidden="1">1</definedName>
    <definedName name="solver_est" localSheetId="23" hidden="1">1</definedName>
    <definedName name="solver_est" localSheetId="38" hidden="1">1</definedName>
    <definedName name="solver_itr" localSheetId="20" hidden="1">2147483647</definedName>
    <definedName name="solver_itr" localSheetId="14" hidden="1">2147483647</definedName>
    <definedName name="solver_itr" localSheetId="23" hidden="1">2147483647</definedName>
    <definedName name="solver_itr" localSheetId="38" hidden="1">2147483647</definedName>
    <definedName name="solver_lhs1" localSheetId="20" hidden="1">A_CDCL!$G$12</definedName>
    <definedName name="solver_lhs1" localSheetId="14" hidden="1">CDCL!$G$12</definedName>
    <definedName name="solver_lhs1" localSheetId="23" hidden="1">'CDCL (2)'!$G$12</definedName>
    <definedName name="solver_lhs1" localSheetId="38" hidden="1">Variables!$B$15</definedName>
    <definedName name="solver_lhs2" localSheetId="20" hidden="1">A_CDCL!$G$12</definedName>
    <definedName name="solver_lhs2" localSheetId="14" hidden="1">CDCL!$G$12</definedName>
    <definedName name="solver_lhs2" localSheetId="23" hidden="1">'CDCL (2)'!$G$12</definedName>
    <definedName name="solver_lhs2" localSheetId="38" hidden="1">Variables!$B$15</definedName>
    <definedName name="solver_lhs3" localSheetId="20" hidden="1">A_CDCL!$G$8</definedName>
    <definedName name="solver_lhs3" localSheetId="14" hidden="1">CDCL!$G$8</definedName>
    <definedName name="solver_lhs3" localSheetId="23" hidden="1">'CDCL (2)'!$G$8</definedName>
    <definedName name="solver_lhs4" localSheetId="20" hidden="1">A_CDCL!$G$8</definedName>
    <definedName name="solver_lhs4" localSheetId="14" hidden="1">CDCL!$G$8</definedName>
    <definedName name="solver_lhs4" localSheetId="23" hidden="1">'CDCL (2)'!$G$8</definedName>
    <definedName name="solver_lhs5" localSheetId="20" hidden="1">A_CDCL!$G$8</definedName>
    <definedName name="solver_lhs5" localSheetId="14" hidden="1">CDCL!$G$8</definedName>
    <definedName name="solver_lhs5" localSheetId="23" hidden="1">'CDCL (2)'!$G$8</definedName>
    <definedName name="solver_lhs6" localSheetId="20" hidden="1">A_CDCL!$G$8</definedName>
    <definedName name="solver_lhs6" localSheetId="14" hidden="1">CDCL!$G$8</definedName>
    <definedName name="solver_lhs6" localSheetId="23" hidden="1">'CDCL (2)'!$G$8</definedName>
    <definedName name="solver_lhs7" localSheetId="20" hidden="1">A_CDCL!$G$8</definedName>
    <definedName name="solver_lhs7" localSheetId="14" hidden="1">CDCL!$G$8</definedName>
    <definedName name="solver_lhs7" localSheetId="23" hidden="1">'CDCL (2)'!$G$8</definedName>
    <definedName name="solver_lhs8" localSheetId="20" hidden="1">A_CDCL!$G$8</definedName>
    <definedName name="solver_lhs8" localSheetId="14" hidden="1">CDCL!$G$8</definedName>
    <definedName name="solver_lhs8" localSheetId="23" hidden="1">'CDCL (2)'!$G$8</definedName>
    <definedName name="solver_lhs9" localSheetId="20" hidden="1">A_CDCL!$G$8</definedName>
    <definedName name="solver_lhs9" localSheetId="14" hidden="1">CDCL!$G$8</definedName>
    <definedName name="solver_lhs9" localSheetId="23" hidden="1">'CDCL (2)'!$G$8</definedName>
    <definedName name="solver_mip" localSheetId="20" hidden="1">2147483647</definedName>
    <definedName name="solver_mip" localSheetId="14" hidden="1">2147483647</definedName>
    <definedName name="solver_mip" localSheetId="23" hidden="1">2147483647</definedName>
    <definedName name="solver_mip" localSheetId="38" hidden="1">2147483647</definedName>
    <definedName name="solver_mni" localSheetId="20" hidden="1">30</definedName>
    <definedName name="solver_mni" localSheetId="14" hidden="1">30</definedName>
    <definedName name="solver_mni" localSheetId="23" hidden="1">30</definedName>
    <definedName name="solver_mni" localSheetId="38" hidden="1">30</definedName>
    <definedName name="solver_mrt" localSheetId="20" hidden="1">0.075</definedName>
    <definedName name="solver_mrt" localSheetId="14" hidden="1">0.075</definedName>
    <definedName name="solver_mrt" localSheetId="23" hidden="1">0.075</definedName>
    <definedName name="solver_mrt" localSheetId="38" hidden="1">0.1</definedName>
    <definedName name="solver_msl" localSheetId="20" hidden="1">2</definedName>
    <definedName name="solver_msl" localSheetId="14" hidden="1">2</definedName>
    <definedName name="solver_msl" localSheetId="23" hidden="1">2</definedName>
    <definedName name="solver_msl" localSheetId="38" hidden="1">1</definedName>
    <definedName name="solver_neg" localSheetId="20" hidden="1">1</definedName>
    <definedName name="solver_neg" localSheetId="14" hidden="1">1</definedName>
    <definedName name="solver_neg" localSheetId="23" hidden="1">1</definedName>
    <definedName name="solver_neg" localSheetId="38" hidden="1">2</definedName>
    <definedName name="solver_nod" localSheetId="20" hidden="1">2147483647</definedName>
    <definedName name="solver_nod" localSheetId="14" hidden="1">2147483647</definedName>
    <definedName name="solver_nod" localSheetId="23" hidden="1">2147483647</definedName>
    <definedName name="solver_nod" localSheetId="38" hidden="1">2147483647</definedName>
    <definedName name="solver_num" localSheetId="20" hidden="1">5</definedName>
    <definedName name="solver_num" localSheetId="14" hidden="1">5</definedName>
    <definedName name="solver_num" localSheetId="23" hidden="1">5</definedName>
    <definedName name="solver_num" localSheetId="38" hidden="1">2</definedName>
    <definedName name="solver_nwt" localSheetId="20" hidden="1">1</definedName>
    <definedName name="solver_nwt" localSheetId="14" hidden="1">1</definedName>
    <definedName name="solver_nwt" localSheetId="23" hidden="1">1</definedName>
    <definedName name="solver_nwt" localSheetId="38" hidden="1">1</definedName>
    <definedName name="solver_opt" localSheetId="20" hidden="1">A_CDCL!$G$12</definedName>
    <definedName name="solver_opt" localSheetId="14" hidden="1">CDCL!$G$12</definedName>
    <definedName name="solver_opt" localSheetId="23" hidden="1">'CDCL (2)'!$G$12</definedName>
    <definedName name="solver_opt" localSheetId="38" hidden="1">Variables!$I$23</definedName>
    <definedName name="solver_pre" localSheetId="20" hidden="1">0.000001</definedName>
    <definedName name="solver_pre" localSheetId="14" hidden="1">0.000001</definedName>
    <definedName name="solver_pre" localSheetId="23" hidden="1">0.000001</definedName>
    <definedName name="solver_pre" localSheetId="38" hidden="1">0.000001</definedName>
    <definedName name="solver_rbv" localSheetId="20" hidden="1">2</definedName>
    <definedName name="solver_rbv" localSheetId="14" hidden="1">2</definedName>
    <definedName name="solver_rbv" localSheetId="23" hidden="1">2</definedName>
    <definedName name="solver_rbv" localSheetId="38" hidden="1">1</definedName>
    <definedName name="solver_rel1" localSheetId="20" hidden="1">1</definedName>
    <definedName name="solver_rel1" localSheetId="14" hidden="1">1</definedName>
    <definedName name="solver_rel1" localSheetId="23" hidden="1">1</definedName>
    <definedName name="solver_rel1" localSheetId="38" hidden="1">1</definedName>
    <definedName name="solver_rel2" localSheetId="20" hidden="1">4</definedName>
    <definedName name="solver_rel2" localSheetId="14" hidden="1">4</definedName>
    <definedName name="solver_rel2" localSheetId="23" hidden="1">4</definedName>
    <definedName name="solver_rel2" localSheetId="38" hidden="1">3</definedName>
    <definedName name="solver_rel3" localSheetId="20" hidden="1">1</definedName>
    <definedName name="solver_rel3" localSheetId="14" hidden="1">1</definedName>
    <definedName name="solver_rel3" localSheetId="23" hidden="1">1</definedName>
    <definedName name="solver_rel4" localSheetId="20" hidden="1">4</definedName>
    <definedName name="solver_rel4" localSheetId="14" hidden="1">4</definedName>
    <definedName name="solver_rel4" localSheetId="23" hidden="1">4</definedName>
    <definedName name="solver_rel5" localSheetId="20" hidden="1">3</definedName>
    <definedName name="solver_rel5" localSheetId="14" hidden="1">3</definedName>
    <definedName name="solver_rel5" localSheetId="23" hidden="1">3</definedName>
    <definedName name="solver_rel6" localSheetId="20" hidden="1">3</definedName>
    <definedName name="solver_rel6" localSheetId="14" hidden="1">3</definedName>
    <definedName name="solver_rel6" localSheetId="23" hidden="1">3</definedName>
    <definedName name="solver_rel7" localSheetId="20" hidden="1">3</definedName>
    <definedName name="solver_rel7" localSheetId="14" hidden="1">3</definedName>
    <definedName name="solver_rel7" localSheetId="23" hidden="1">3</definedName>
    <definedName name="solver_rel8" localSheetId="20" hidden="1">3</definedName>
    <definedName name="solver_rel8" localSheetId="14" hidden="1">3</definedName>
    <definedName name="solver_rel8" localSheetId="23" hidden="1">3</definedName>
    <definedName name="solver_rel9" localSheetId="20" hidden="1">3</definedName>
    <definedName name="solver_rel9" localSheetId="14" hidden="1">3</definedName>
    <definedName name="solver_rel9" localSheetId="23" hidden="1">3</definedName>
    <definedName name="solver_rhs1" localSheetId="20" hidden="1">A_CDCL!$G$28</definedName>
    <definedName name="solver_rhs1" localSheetId="14" hidden="1">CDCL!$G$28</definedName>
    <definedName name="solver_rhs1" localSheetId="23" hidden="1">'CDCL (2)'!$G$28</definedName>
    <definedName name="solver_rhs1" localSheetId="38" hidden="1">45</definedName>
    <definedName name="solver_rhs2" localSheetId="20" hidden="1">"integer"</definedName>
    <definedName name="solver_rhs2" localSheetId="14" hidden="1">"integer"</definedName>
    <definedName name="solver_rhs2" localSheetId="23" hidden="1">"integer"</definedName>
    <definedName name="solver_rhs2" localSheetId="38" hidden="1">-45</definedName>
    <definedName name="solver_rhs3" localSheetId="20" hidden="1">A_CDCL!$G$12-1</definedName>
    <definedName name="solver_rhs3" localSheetId="14" hidden="1">CDCL!$G$12-1</definedName>
    <definedName name="solver_rhs3" localSheetId="23" hidden="1">'CDCL (2)'!$G$12-1</definedName>
    <definedName name="solver_rhs4" localSheetId="20" hidden="1">"integer"</definedName>
    <definedName name="solver_rhs4" localSheetId="14" hidden="1">"integer"</definedName>
    <definedName name="solver_rhs4" localSheetId="23" hidden="1">"integer"</definedName>
    <definedName name="solver_rhs5" localSheetId="20" hidden="1">1</definedName>
    <definedName name="solver_rhs5" localSheetId="14" hidden="1">1</definedName>
    <definedName name="solver_rhs5" localSheetId="23" hidden="1">1</definedName>
    <definedName name="solver_rhs6" localSheetId="20" hidden="1">0</definedName>
    <definedName name="solver_rhs6" localSheetId="14" hidden="1">0</definedName>
    <definedName name="solver_rhs6" localSheetId="23" hidden="1">0</definedName>
    <definedName name="solver_rhs7" localSheetId="20" hidden="1">0</definedName>
    <definedName name="solver_rhs7" localSheetId="14" hidden="1">0</definedName>
    <definedName name="solver_rhs7" localSheetId="23" hidden="1">0</definedName>
    <definedName name="solver_rhs8" localSheetId="20" hidden="1">0</definedName>
    <definedName name="solver_rhs8" localSheetId="14" hidden="1">0</definedName>
    <definedName name="solver_rhs8" localSheetId="23" hidden="1">0</definedName>
    <definedName name="solver_rhs9" localSheetId="20" hidden="1">0</definedName>
    <definedName name="solver_rhs9" localSheetId="14" hidden="1">0</definedName>
    <definedName name="solver_rhs9" localSheetId="23" hidden="1">0</definedName>
    <definedName name="solver_rlx" localSheetId="20" hidden="1">2</definedName>
    <definedName name="solver_rlx" localSheetId="14" hidden="1">2</definedName>
    <definedName name="solver_rlx" localSheetId="23" hidden="1">2</definedName>
    <definedName name="solver_rlx" localSheetId="38" hidden="1">2</definedName>
    <definedName name="solver_rsd" localSheetId="20" hidden="1">0</definedName>
    <definedName name="solver_rsd" localSheetId="14" hidden="1">0</definedName>
    <definedName name="solver_rsd" localSheetId="23" hidden="1">0</definedName>
    <definedName name="solver_rsd" localSheetId="38" hidden="1">12</definedName>
    <definedName name="solver_scl" localSheetId="20" hidden="1">2</definedName>
    <definedName name="solver_scl" localSheetId="14" hidden="1">2</definedName>
    <definedName name="solver_scl" localSheetId="23" hidden="1">2</definedName>
    <definedName name="solver_scl" localSheetId="38" hidden="1">1</definedName>
    <definedName name="solver_sho" localSheetId="20" hidden="1">2</definedName>
    <definedName name="solver_sho" localSheetId="14" hidden="1">2</definedName>
    <definedName name="solver_sho" localSheetId="23" hidden="1">2</definedName>
    <definedName name="solver_sho" localSheetId="38" hidden="1">2</definedName>
    <definedName name="solver_ssz" localSheetId="20" hidden="1">100</definedName>
    <definedName name="solver_ssz" localSheetId="14" hidden="1">100</definedName>
    <definedName name="solver_ssz" localSheetId="23" hidden="1">100</definedName>
    <definedName name="solver_ssz" localSheetId="38" hidden="1">200</definedName>
    <definedName name="solver_tim" localSheetId="20" hidden="1">2147483647</definedName>
    <definedName name="solver_tim" localSheetId="14" hidden="1">2147483647</definedName>
    <definedName name="solver_tim" localSheetId="23" hidden="1">2147483647</definedName>
    <definedName name="solver_tim" localSheetId="38" hidden="1">300</definedName>
    <definedName name="solver_tol" localSheetId="20" hidden="1">0.01</definedName>
    <definedName name="solver_tol" localSheetId="14" hidden="1">0.01</definedName>
    <definedName name="solver_tol" localSheetId="23" hidden="1">0.01</definedName>
    <definedName name="solver_tol" localSheetId="38" hidden="1">0.01</definedName>
    <definedName name="solver_typ" localSheetId="20" hidden="1">1</definedName>
    <definedName name="solver_typ" localSheetId="14" hidden="1">1</definedName>
    <definedName name="solver_typ" localSheetId="23" hidden="1">1</definedName>
    <definedName name="solver_typ" localSheetId="38" hidden="1">1</definedName>
    <definedName name="solver_val" localSheetId="20" hidden="1">0</definedName>
    <definedName name="solver_val" localSheetId="14" hidden="1">0</definedName>
    <definedName name="solver_val" localSheetId="23" hidden="1">0</definedName>
    <definedName name="solver_val" localSheetId="38" hidden="1">0</definedName>
    <definedName name="solver_ver" localSheetId="20" hidden="1">3</definedName>
    <definedName name="solver_ver" localSheetId="14" hidden="1">3</definedName>
    <definedName name="solver_ver" localSheetId="23" hidden="1">3</definedName>
    <definedName name="solver_ver" localSheetId="38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7" l="1"/>
  <c r="F5" i="27"/>
  <c r="B4" i="3"/>
  <c r="G13" i="91"/>
  <c r="G14" i="91"/>
  <c r="G15" i="91"/>
  <c r="G16" i="91"/>
  <c r="G12" i="91"/>
  <c r="G6" i="91"/>
  <c r="G4" i="91"/>
  <c r="G5" i="91"/>
  <c r="G7" i="91"/>
  <c r="G3" i="91"/>
  <c r="B56" i="67"/>
  <c r="F3" i="67"/>
  <c r="AE15" i="89"/>
  <c r="AF15" i="89"/>
  <c r="AG15" i="89"/>
  <c r="AH15" i="89"/>
  <c r="AI15" i="89"/>
  <c r="AD15" i="89"/>
  <c r="AE14" i="89"/>
  <c r="AF14" i="89"/>
  <c r="AG14" i="89"/>
  <c r="AH14" i="89"/>
  <c r="AI14" i="89"/>
  <c r="AD14" i="89"/>
  <c r="AE13" i="89"/>
  <c r="AF13" i="89"/>
  <c r="AG13" i="89"/>
  <c r="AH13" i="89"/>
  <c r="AI13" i="89"/>
  <c r="AD13" i="89"/>
  <c r="AE12" i="89"/>
  <c r="AF12" i="89"/>
  <c r="AG12" i="89"/>
  <c r="AH12" i="89"/>
  <c r="AI12" i="89"/>
  <c r="AD12" i="89"/>
  <c r="AE11" i="89"/>
  <c r="AF11" i="89"/>
  <c r="AG11" i="89"/>
  <c r="AH11" i="89"/>
  <c r="AI11" i="89"/>
  <c r="AD11" i="89"/>
  <c r="AE10" i="89"/>
  <c r="AF10" i="89"/>
  <c r="AG10" i="89"/>
  <c r="AH10" i="89"/>
  <c r="AI10" i="89"/>
  <c r="AD10" i="89"/>
  <c r="V15" i="89"/>
  <c r="W15" i="89"/>
  <c r="X15" i="89"/>
  <c r="Y15" i="89"/>
  <c r="Z15" i="89"/>
  <c r="U15" i="89"/>
  <c r="V14" i="89"/>
  <c r="W14" i="89"/>
  <c r="X14" i="89"/>
  <c r="Y14" i="89"/>
  <c r="Z14" i="89"/>
  <c r="U14" i="89"/>
  <c r="V13" i="89"/>
  <c r="W13" i="89"/>
  <c r="X13" i="89"/>
  <c r="Y13" i="89"/>
  <c r="Z13" i="89"/>
  <c r="U13" i="89"/>
  <c r="V12" i="89"/>
  <c r="W12" i="89"/>
  <c r="X12" i="89"/>
  <c r="Y12" i="89"/>
  <c r="Z12" i="89"/>
  <c r="U12" i="89"/>
  <c r="V11" i="89"/>
  <c r="W11" i="89"/>
  <c r="X11" i="89"/>
  <c r="Y11" i="89"/>
  <c r="Z11" i="89"/>
  <c r="U11" i="89"/>
  <c r="V10" i="89"/>
  <c r="W10" i="89"/>
  <c r="X10" i="89"/>
  <c r="Y10" i="89"/>
  <c r="Z10" i="89"/>
  <c r="U10" i="89"/>
  <c r="AN15" i="89"/>
  <c r="AO15" i="89"/>
  <c r="AP15" i="89"/>
  <c r="AQ15" i="89"/>
  <c r="AR15" i="89"/>
  <c r="AM15" i="89"/>
  <c r="AN14" i="89"/>
  <c r="AO14" i="89"/>
  <c r="AP14" i="89"/>
  <c r="AQ14" i="89"/>
  <c r="AR14" i="89"/>
  <c r="AM14" i="89"/>
  <c r="AN13" i="89"/>
  <c r="AO13" i="89"/>
  <c r="AP13" i="89"/>
  <c r="AQ13" i="89"/>
  <c r="AR13" i="89"/>
  <c r="AM13" i="89"/>
  <c r="AN12" i="89"/>
  <c r="AO12" i="89"/>
  <c r="AP12" i="89"/>
  <c r="AQ12" i="89"/>
  <c r="AR12" i="89"/>
  <c r="AM12" i="89"/>
  <c r="AN11" i="89"/>
  <c r="AO11" i="89"/>
  <c r="AP11" i="89"/>
  <c r="AQ11" i="89"/>
  <c r="AR11" i="89"/>
  <c r="AM11" i="89"/>
  <c r="AN10" i="89"/>
  <c r="AO10" i="89"/>
  <c r="AP10" i="89"/>
  <c r="AQ10" i="89"/>
  <c r="AR10" i="89"/>
  <c r="AM10" i="89"/>
  <c r="S25" i="67"/>
  <c r="S23" i="67"/>
  <c r="S21" i="67"/>
  <c r="S19" i="67"/>
  <c r="D35" i="1"/>
  <c r="B7" i="67"/>
  <c r="F7" i="67"/>
  <c r="D40" i="1"/>
  <c r="E3" i="89"/>
  <c r="E2" i="89"/>
  <c r="I26" i="1"/>
  <c r="I27" i="1" s="1"/>
  <c r="Q15" i="89"/>
  <c r="P15" i="89"/>
  <c r="O15" i="89"/>
  <c r="N15" i="89"/>
  <c r="M15" i="89"/>
  <c r="L15" i="89"/>
  <c r="H15" i="89"/>
  <c r="G15" i="89"/>
  <c r="F15" i="89"/>
  <c r="E15" i="89"/>
  <c r="D15" i="89"/>
  <c r="C15" i="89"/>
  <c r="Q14" i="89"/>
  <c r="P14" i="89"/>
  <c r="O14" i="89"/>
  <c r="N14" i="89"/>
  <c r="M14" i="89"/>
  <c r="L14" i="89"/>
  <c r="H14" i="89"/>
  <c r="G14" i="89"/>
  <c r="F14" i="89"/>
  <c r="E14" i="89"/>
  <c r="D14" i="89"/>
  <c r="C14" i="89"/>
  <c r="Q13" i="89"/>
  <c r="P13" i="89"/>
  <c r="O13" i="89"/>
  <c r="N13" i="89"/>
  <c r="M13" i="89"/>
  <c r="L13" i="89"/>
  <c r="H13" i="89"/>
  <c r="G13" i="89"/>
  <c r="F13" i="89"/>
  <c r="E13" i="89"/>
  <c r="D13" i="89"/>
  <c r="C13" i="89"/>
  <c r="Q12" i="89"/>
  <c r="P12" i="89"/>
  <c r="O12" i="89"/>
  <c r="N12" i="89"/>
  <c r="M12" i="89"/>
  <c r="L12" i="89"/>
  <c r="H12" i="89"/>
  <c r="G12" i="89"/>
  <c r="F12" i="89"/>
  <c r="E12" i="89"/>
  <c r="D12" i="89"/>
  <c r="C12" i="89"/>
  <c r="Q11" i="89"/>
  <c r="P11" i="89"/>
  <c r="O11" i="89"/>
  <c r="N11" i="89"/>
  <c r="M11" i="89"/>
  <c r="L11" i="89"/>
  <c r="H11" i="89"/>
  <c r="G11" i="89"/>
  <c r="F11" i="89"/>
  <c r="E11" i="89"/>
  <c r="D11" i="89"/>
  <c r="C11" i="89"/>
  <c r="Q10" i="89"/>
  <c r="P10" i="89"/>
  <c r="O10" i="89"/>
  <c r="N10" i="89"/>
  <c r="M10" i="89"/>
  <c r="L10" i="89"/>
  <c r="H10" i="89"/>
  <c r="G10" i="89"/>
  <c r="F10" i="89"/>
  <c r="E10" i="89"/>
  <c r="D10" i="89"/>
  <c r="C10" i="89"/>
  <c r="H9" i="27"/>
  <c r="D9" i="27"/>
  <c r="H5" i="27"/>
  <c r="D5" i="27"/>
  <c r="D20" i="6"/>
  <c r="I20" i="6"/>
  <c r="A9" i="6"/>
  <c r="A8" i="6"/>
  <c r="A7" i="6"/>
  <c r="A6" i="6"/>
  <c r="A5" i="6"/>
  <c r="A4" i="6"/>
  <c r="A3" i="6"/>
  <c r="A2" i="6"/>
  <c r="N6" i="80"/>
  <c r="F16" i="80"/>
  <c r="F13" i="80"/>
  <c r="B5" i="80"/>
  <c r="B3" i="80"/>
  <c r="C43" i="67"/>
  <c r="B43" i="67"/>
  <c r="C49" i="67"/>
  <c r="B49" i="67"/>
  <c r="C55" i="67"/>
  <c r="B55" i="67"/>
  <c r="C61" i="67"/>
  <c r="B61" i="67"/>
  <c r="C67" i="67"/>
  <c r="B67" i="67"/>
  <c r="B62" i="67"/>
  <c r="B47" i="67"/>
  <c r="B53" i="67" s="1"/>
  <c r="B44" i="67"/>
  <c r="B50" i="67" s="1"/>
  <c r="F2" i="67"/>
  <c r="B12" i="1"/>
  <c r="C39" i="67"/>
  <c r="C35" i="67"/>
  <c r="B38" i="67"/>
  <c r="B39" i="67"/>
  <c r="B35" i="67"/>
  <c r="I25" i="1"/>
  <c r="C1000" i="76"/>
  <c r="C999" i="76"/>
  <c r="C998" i="76"/>
  <c r="C997" i="76"/>
  <c r="C996" i="76"/>
  <c r="C995" i="76"/>
  <c r="C994" i="76"/>
  <c r="C993" i="76"/>
  <c r="C992" i="76"/>
  <c r="C991" i="76"/>
  <c r="C990" i="76"/>
  <c r="C989" i="76"/>
  <c r="C988" i="76"/>
  <c r="C987" i="76"/>
  <c r="C986" i="76"/>
  <c r="C985" i="76"/>
  <c r="C984" i="76"/>
  <c r="C983" i="76"/>
  <c r="C982" i="76"/>
  <c r="C981" i="76"/>
  <c r="C980" i="76"/>
  <c r="C979" i="76"/>
  <c r="C978" i="76"/>
  <c r="C977" i="76"/>
  <c r="C976" i="76"/>
  <c r="C975" i="76"/>
  <c r="C974" i="76"/>
  <c r="C973" i="76"/>
  <c r="C972" i="76"/>
  <c r="C971" i="76"/>
  <c r="C970" i="76"/>
  <c r="C969" i="76"/>
  <c r="C968" i="76"/>
  <c r="C967" i="76"/>
  <c r="C966" i="76"/>
  <c r="C965" i="76"/>
  <c r="C964" i="76"/>
  <c r="C963" i="76"/>
  <c r="C962" i="76"/>
  <c r="C961" i="76"/>
  <c r="C960" i="76"/>
  <c r="C959" i="76"/>
  <c r="C958" i="76"/>
  <c r="C957" i="76"/>
  <c r="C956" i="76"/>
  <c r="C955" i="76"/>
  <c r="C954" i="76"/>
  <c r="C953" i="76"/>
  <c r="C952" i="76"/>
  <c r="C951" i="76"/>
  <c r="C950" i="76"/>
  <c r="C949" i="76"/>
  <c r="C948" i="76"/>
  <c r="C947" i="76"/>
  <c r="C946" i="76"/>
  <c r="C945" i="76"/>
  <c r="C944" i="76"/>
  <c r="C943" i="76"/>
  <c r="C942" i="76"/>
  <c r="C941" i="76"/>
  <c r="C940" i="76"/>
  <c r="C939" i="76"/>
  <c r="C938" i="76"/>
  <c r="C937" i="76"/>
  <c r="C936" i="76"/>
  <c r="C935" i="76"/>
  <c r="C934" i="76"/>
  <c r="C933" i="76"/>
  <c r="C932" i="76"/>
  <c r="C931" i="76"/>
  <c r="C930" i="76"/>
  <c r="C929" i="76"/>
  <c r="C928" i="76"/>
  <c r="C927" i="76"/>
  <c r="C926" i="76"/>
  <c r="C925" i="76"/>
  <c r="C924" i="76"/>
  <c r="C923" i="76"/>
  <c r="C922" i="76"/>
  <c r="C921" i="76"/>
  <c r="C920" i="76"/>
  <c r="C919" i="76"/>
  <c r="C918" i="76"/>
  <c r="C917" i="76"/>
  <c r="C916" i="76"/>
  <c r="C915" i="76"/>
  <c r="C914" i="76"/>
  <c r="C913" i="76"/>
  <c r="C912" i="76"/>
  <c r="C911" i="76"/>
  <c r="C910" i="76"/>
  <c r="C909" i="76"/>
  <c r="C908" i="76"/>
  <c r="C907" i="76"/>
  <c r="C906" i="76"/>
  <c r="C905" i="76"/>
  <c r="C904" i="76"/>
  <c r="C903" i="76"/>
  <c r="C902" i="76"/>
  <c r="C901" i="76"/>
  <c r="C900" i="76"/>
  <c r="C899" i="76"/>
  <c r="C898" i="76"/>
  <c r="C897" i="76"/>
  <c r="C896" i="76"/>
  <c r="C895" i="76"/>
  <c r="C894" i="76"/>
  <c r="C893" i="76"/>
  <c r="C892" i="76"/>
  <c r="C891" i="76"/>
  <c r="C890" i="76"/>
  <c r="C889" i="76"/>
  <c r="C888" i="76"/>
  <c r="C887" i="76"/>
  <c r="C886" i="76"/>
  <c r="C885" i="76"/>
  <c r="C884" i="76"/>
  <c r="C883" i="76"/>
  <c r="C882" i="76"/>
  <c r="C881" i="76"/>
  <c r="C880" i="76"/>
  <c r="C879" i="76"/>
  <c r="C878" i="76"/>
  <c r="C877" i="76"/>
  <c r="C876" i="76"/>
  <c r="C875" i="76"/>
  <c r="C874" i="76"/>
  <c r="C873" i="76"/>
  <c r="C872" i="76"/>
  <c r="C871" i="76"/>
  <c r="C870" i="76"/>
  <c r="C869" i="76"/>
  <c r="C868" i="76"/>
  <c r="C867" i="76"/>
  <c r="C866" i="76"/>
  <c r="C865" i="76"/>
  <c r="C864" i="76"/>
  <c r="C863" i="76"/>
  <c r="C862" i="76"/>
  <c r="C861" i="76"/>
  <c r="C860" i="76"/>
  <c r="C859" i="76"/>
  <c r="C858" i="76"/>
  <c r="C857" i="76"/>
  <c r="C856" i="76"/>
  <c r="C855" i="76"/>
  <c r="C854" i="76"/>
  <c r="C853" i="76"/>
  <c r="C852" i="76"/>
  <c r="C851" i="76"/>
  <c r="C850" i="76"/>
  <c r="C849" i="76"/>
  <c r="C848" i="76"/>
  <c r="C847" i="76"/>
  <c r="C846" i="76"/>
  <c r="C845" i="76"/>
  <c r="C844" i="76"/>
  <c r="C843" i="76"/>
  <c r="C842" i="76"/>
  <c r="C841" i="76"/>
  <c r="C840" i="76"/>
  <c r="C839" i="76"/>
  <c r="C838" i="76"/>
  <c r="C837" i="76"/>
  <c r="C836" i="76"/>
  <c r="C835" i="76"/>
  <c r="C834" i="76"/>
  <c r="C833" i="76"/>
  <c r="C832" i="76"/>
  <c r="C831" i="76"/>
  <c r="C830" i="76"/>
  <c r="C829" i="76"/>
  <c r="C828" i="76"/>
  <c r="C827" i="76"/>
  <c r="C826" i="76"/>
  <c r="C825" i="76"/>
  <c r="C824" i="76"/>
  <c r="C823" i="76"/>
  <c r="C822" i="76"/>
  <c r="C821" i="76"/>
  <c r="C820" i="76"/>
  <c r="C819" i="76"/>
  <c r="C818" i="76"/>
  <c r="C817" i="76"/>
  <c r="C816" i="76"/>
  <c r="C815" i="76"/>
  <c r="C814" i="76"/>
  <c r="C813" i="76"/>
  <c r="C812" i="76"/>
  <c r="C811" i="76"/>
  <c r="C810" i="76"/>
  <c r="C809" i="76"/>
  <c r="C808" i="76"/>
  <c r="C807" i="76"/>
  <c r="C806" i="76"/>
  <c r="C805" i="76"/>
  <c r="C804" i="76"/>
  <c r="C803" i="76"/>
  <c r="C802" i="76"/>
  <c r="C801" i="76"/>
  <c r="C800" i="76"/>
  <c r="C799" i="76"/>
  <c r="C798" i="76"/>
  <c r="C797" i="76"/>
  <c r="C796" i="76"/>
  <c r="C795" i="76"/>
  <c r="C794" i="76"/>
  <c r="C793" i="76"/>
  <c r="C792" i="76"/>
  <c r="C791" i="76"/>
  <c r="C790" i="76"/>
  <c r="C789" i="76"/>
  <c r="C788" i="76"/>
  <c r="C787" i="76"/>
  <c r="C786" i="76"/>
  <c r="C785" i="76"/>
  <c r="C784" i="76"/>
  <c r="C783" i="76"/>
  <c r="C782" i="76"/>
  <c r="C781" i="76"/>
  <c r="C780" i="76"/>
  <c r="C779" i="76"/>
  <c r="C778" i="76"/>
  <c r="C777" i="76"/>
  <c r="C776" i="76"/>
  <c r="C775" i="76"/>
  <c r="C774" i="76"/>
  <c r="C773" i="76"/>
  <c r="C772" i="76"/>
  <c r="C771" i="76"/>
  <c r="C770" i="76"/>
  <c r="C769" i="76"/>
  <c r="C768" i="76"/>
  <c r="C767" i="76"/>
  <c r="C766" i="76"/>
  <c r="C765" i="76"/>
  <c r="C764" i="76"/>
  <c r="C763" i="76"/>
  <c r="C762" i="76"/>
  <c r="C761" i="76"/>
  <c r="C760" i="76"/>
  <c r="C759" i="76"/>
  <c r="C758" i="76"/>
  <c r="C757" i="76"/>
  <c r="C756" i="76"/>
  <c r="C755" i="76"/>
  <c r="C754" i="76"/>
  <c r="C753" i="76"/>
  <c r="C752" i="76"/>
  <c r="C751" i="76"/>
  <c r="C750" i="76"/>
  <c r="C749" i="76"/>
  <c r="C748" i="76"/>
  <c r="C747" i="76"/>
  <c r="C746" i="76"/>
  <c r="C745" i="76"/>
  <c r="C744" i="76"/>
  <c r="C743" i="76"/>
  <c r="C742" i="76"/>
  <c r="C741" i="76"/>
  <c r="C740" i="76"/>
  <c r="C739" i="76"/>
  <c r="C738" i="76"/>
  <c r="C737" i="76"/>
  <c r="C736" i="76"/>
  <c r="C735" i="76"/>
  <c r="C734" i="76"/>
  <c r="C733" i="76"/>
  <c r="C732" i="76"/>
  <c r="C731" i="76"/>
  <c r="C730" i="76"/>
  <c r="C729" i="76"/>
  <c r="C728" i="76"/>
  <c r="C727" i="76"/>
  <c r="C726" i="76"/>
  <c r="C725" i="76"/>
  <c r="C724" i="76"/>
  <c r="C723" i="76"/>
  <c r="C722" i="76"/>
  <c r="C721" i="76"/>
  <c r="C720" i="76"/>
  <c r="C719" i="76"/>
  <c r="C718" i="76"/>
  <c r="C717" i="76"/>
  <c r="C716" i="76"/>
  <c r="C715" i="76"/>
  <c r="C714" i="76"/>
  <c r="C713" i="76"/>
  <c r="C712" i="76"/>
  <c r="C711" i="76"/>
  <c r="C710" i="76"/>
  <c r="C709" i="76"/>
  <c r="C708" i="76"/>
  <c r="C707" i="76"/>
  <c r="C706" i="76"/>
  <c r="C705" i="76"/>
  <c r="C704" i="76"/>
  <c r="C703" i="76"/>
  <c r="C702" i="76"/>
  <c r="C701" i="76"/>
  <c r="C700" i="76"/>
  <c r="C699" i="76"/>
  <c r="C698" i="76"/>
  <c r="C697" i="76"/>
  <c r="C696" i="76"/>
  <c r="C695" i="76"/>
  <c r="C694" i="76"/>
  <c r="C693" i="76"/>
  <c r="C692" i="76"/>
  <c r="C691" i="76"/>
  <c r="C690" i="76"/>
  <c r="C689" i="76"/>
  <c r="C688" i="76"/>
  <c r="C687" i="76"/>
  <c r="C686" i="76"/>
  <c r="C685" i="76"/>
  <c r="C684" i="76"/>
  <c r="C683" i="76"/>
  <c r="C682" i="76"/>
  <c r="C681" i="76"/>
  <c r="C680" i="76"/>
  <c r="C679" i="76"/>
  <c r="C678" i="76"/>
  <c r="C677" i="76"/>
  <c r="C676" i="76"/>
  <c r="C675" i="76"/>
  <c r="C674" i="76"/>
  <c r="C673" i="76"/>
  <c r="C672" i="76"/>
  <c r="C671" i="76"/>
  <c r="C670" i="76"/>
  <c r="C669" i="76"/>
  <c r="C668" i="76"/>
  <c r="C667" i="76"/>
  <c r="C666" i="76"/>
  <c r="C665" i="76"/>
  <c r="C664" i="76"/>
  <c r="C663" i="76"/>
  <c r="C662" i="76"/>
  <c r="C661" i="76"/>
  <c r="C660" i="76"/>
  <c r="C659" i="76"/>
  <c r="C658" i="76"/>
  <c r="C657" i="76"/>
  <c r="C656" i="76"/>
  <c r="C655" i="76"/>
  <c r="C654" i="76"/>
  <c r="C653" i="76"/>
  <c r="C652" i="76"/>
  <c r="C651" i="76"/>
  <c r="C650" i="76"/>
  <c r="C649" i="76"/>
  <c r="C648" i="76"/>
  <c r="C647" i="76"/>
  <c r="C646" i="76"/>
  <c r="C645" i="76"/>
  <c r="C644" i="76"/>
  <c r="C643" i="76"/>
  <c r="C642" i="76"/>
  <c r="C641" i="76"/>
  <c r="C640" i="76"/>
  <c r="C639" i="76"/>
  <c r="C638" i="76"/>
  <c r="C637" i="76"/>
  <c r="C636" i="76"/>
  <c r="C635" i="76"/>
  <c r="C634" i="76"/>
  <c r="C633" i="76"/>
  <c r="C632" i="76"/>
  <c r="C631" i="76"/>
  <c r="C630" i="76"/>
  <c r="C629" i="76"/>
  <c r="C628" i="76"/>
  <c r="C627" i="76"/>
  <c r="C626" i="76"/>
  <c r="C625" i="76"/>
  <c r="C624" i="76"/>
  <c r="C623" i="76"/>
  <c r="C622" i="76"/>
  <c r="C621" i="76"/>
  <c r="C620" i="76"/>
  <c r="C619" i="76"/>
  <c r="C618" i="76"/>
  <c r="C617" i="76"/>
  <c r="C616" i="76"/>
  <c r="C615" i="76"/>
  <c r="C614" i="76"/>
  <c r="C613" i="76"/>
  <c r="C612" i="76"/>
  <c r="C611" i="76"/>
  <c r="C610" i="76"/>
  <c r="C609" i="76"/>
  <c r="C608" i="76"/>
  <c r="C607" i="76"/>
  <c r="C606" i="76"/>
  <c r="C605" i="76"/>
  <c r="C604" i="76"/>
  <c r="C603" i="76"/>
  <c r="C602" i="76"/>
  <c r="C601" i="76"/>
  <c r="C600" i="76"/>
  <c r="C599" i="76"/>
  <c r="C598" i="76"/>
  <c r="C597" i="76"/>
  <c r="C596" i="76"/>
  <c r="C595" i="76"/>
  <c r="C594" i="76"/>
  <c r="C593" i="76"/>
  <c r="C592" i="76"/>
  <c r="C591" i="76"/>
  <c r="C590" i="76"/>
  <c r="C589" i="76"/>
  <c r="C588" i="76"/>
  <c r="C587" i="76"/>
  <c r="C586" i="76"/>
  <c r="C585" i="76"/>
  <c r="C584" i="76"/>
  <c r="C583" i="76"/>
  <c r="C582" i="76"/>
  <c r="C581" i="76"/>
  <c r="C580" i="76"/>
  <c r="C579" i="76"/>
  <c r="C578" i="76"/>
  <c r="C577" i="76"/>
  <c r="C576" i="76"/>
  <c r="C575" i="76"/>
  <c r="C574" i="76"/>
  <c r="C573" i="76"/>
  <c r="C572" i="76"/>
  <c r="C571" i="76"/>
  <c r="C570" i="76"/>
  <c r="C569" i="76"/>
  <c r="C568" i="76"/>
  <c r="C567" i="76"/>
  <c r="C566" i="76"/>
  <c r="C565" i="76"/>
  <c r="C564" i="76"/>
  <c r="C563" i="76"/>
  <c r="C562" i="76"/>
  <c r="C561" i="76"/>
  <c r="C560" i="76"/>
  <c r="C559" i="76"/>
  <c r="C558" i="76"/>
  <c r="C557" i="76"/>
  <c r="C556" i="76"/>
  <c r="C555" i="76"/>
  <c r="C554" i="76"/>
  <c r="C553" i="76"/>
  <c r="C552" i="76"/>
  <c r="C551" i="76"/>
  <c r="C550" i="76"/>
  <c r="C549" i="76"/>
  <c r="C548" i="76"/>
  <c r="C547" i="76"/>
  <c r="C546" i="76"/>
  <c r="C545" i="76"/>
  <c r="C544" i="76"/>
  <c r="C543" i="76"/>
  <c r="C542" i="76"/>
  <c r="C541" i="76"/>
  <c r="C540" i="76"/>
  <c r="C539" i="76"/>
  <c r="C538" i="76"/>
  <c r="C537" i="76"/>
  <c r="C536" i="76"/>
  <c r="C535" i="76"/>
  <c r="C534" i="76"/>
  <c r="C533" i="76"/>
  <c r="C532" i="76"/>
  <c r="C531" i="76"/>
  <c r="C530" i="76"/>
  <c r="C529" i="76"/>
  <c r="C528" i="76"/>
  <c r="C527" i="76"/>
  <c r="C526" i="76"/>
  <c r="C525" i="76"/>
  <c r="C524" i="76"/>
  <c r="C523" i="76"/>
  <c r="C522" i="76"/>
  <c r="C521" i="76"/>
  <c r="C520" i="76"/>
  <c r="C519" i="76"/>
  <c r="C518" i="76"/>
  <c r="C517" i="76"/>
  <c r="C516" i="76"/>
  <c r="C515" i="76"/>
  <c r="C514" i="76"/>
  <c r="C513" i="76"/>
  <c r="C512" i="76"/>
  <c r="C511" i="76"/>
  <c r="C510" i="76"/>
  <c r="C509" i="76"/>
  <c r="C508" i="76"/>
  <c r="C507" i="76"/>
  <c r="C506" i="76"/>
  <c r="C505" i="76"/>
  <c r="C504" i="76"/>
  <c r="C503" i="76"/>
  <c r="C502" i="76"/>
  <c r="C501" i="76"/>
  <c r="C500" i="76"/>
  <c r="C499" i="76"/>
  <c r="C498" i="76"/>
  <c r="C497" i="76"/>
  <c r="C496" i="76"/>
  <c r="C495" i="76"/>
  <c r="C494" i="76"/>
  <c r="C493" i="76"/>
  <c r="C492" i="76"/>
  <c r="C491" i="76"/>
  <c r="C490" i="76"/>
  <c r="C489" i="76"/>
  <c r="C488" i="76"/>
  <c r="C487" i="76"/>
  <c r="C486" i="76"/>
  <c r="C485" i="76"/>
  <c r="C484" i="76"/>
  <c r="C483" i="76"/>
  <c r="C482" i="76"/>
  <c r="C481" i="76"/>
  <c r="C480" i="76"/>
  <c r="C479" i="76"/>
  <c r="C478" i="76"/>
  <c r="C477" i="76"/>
  <c r="C476" i="76"/>
  <c r="C475" i="76"/>
  <c r="C474" i="76"/>
  <c r="C473" i="76"/>
  <c r="C472" i="76"/>
  <c r="C471" i="76"/>
  <c r="C470" i="76"/>
  <c r="C469" i="76"/>
  <c r="C468" i="76"/>
  <c r="C467" i="76"/>
  <c r="C466" i="76"/>
  <c r="C465" i="76"/>
  <c r="C464" i="76"/>
  <c r="C463" i="76"/>
  <c r="C462" i="76"/>
  <c r="C461" i="76"/>
  <c r="C460" i="76"/>
  <c r="C459" i="76"/>
  <c r="C458" i="76"/>
  <c r="C457" i="76"/>
  <c r="C456" i="76"/>
  <c r="C455" i="76"/>
  <c r="C454" i="76"/>
  <c r="C453" i="76"/>
  <c r="C452" i="76"/>
  <c r="C451" i="76"/>
  <c r="C450" i="76"/>
  <c r="C449" i="76"/>
  <c r="C448" i="76"/>
  <c r="C447" i="76"/>
  <c r="C446" i="76"/>
  <c r="C445" i="76"/>
  <c r="C444" i="76"/>
  <c r="C443" i="76"/>
  <c r="C442" i="76"/>
  <c r="C441" i="76"/>
  <c r="C440" i="76"/>
  <c r="C439" i="76"/>
  <c r="C438" i="76"/>
  <c r="C437" i="76"/>
  <c r="C436" i="76"/>
  <c r="C435" i="76"/>
  <c r="C434" i="76"/>
  <c r="C433" i="76"/>
  <c r="C432" i="76"/>
  <c r="C431" i="76"/>
  <c r="C430" i="76"/>
  <c r="C429" i="76"/>
  <c r="C428" i="76"/>
  <c r="C427" i="76"/>
  <c r="C426" i="76"/>
  <c r="C425" i="76"/>
  <c r="C424" i="76"/>
  <c r="C423" i="76"/>
  <c r="C422" i="76"/>
  <c r="C421" i="76"/>
  <c r="C420" i="76"/>
  <c r="C419" i="76"/>
  <c r="C418" i="76"/>
  <c r="C417" i="76"/>
  <c r="C416" i="76"/>
  <c r="C415" i="76"/>
  <c r="C414" i="76"/>
  <c r="C413" i="76"/>
  <c r="C412" i="76"/>
  <c r="C411" i="76"/>
  <c r="C410" i="76"/>
  <c r="C409" i="76"/>
  <c r="C408" i="76"/>
  <c r="C407" i="76"/>
  <c r="C406" i="76"/>
  <c r="C405" i="76"/>
  <c r="C404" i="76"/>
  <c r="C403" i="76"/>
  <c r="C402" i="76"/>
  <c r="C401" i="76"/>
  <c r="C400" i="76"/>
  <c r="C399" i="76"/>
  <c r="C398" i="76"/>
  <c r="C397" i="76"/>
  <c r="C396" i="76"/>
  <c r="C395" i="76"/>
  <c r="C394" i="76"/>
  <c r="C393" i="76"/>
  <c r="C392" i="76"/>
  <c r="C391" i="76"/>
  <c r="C390" i="76"/>
  <c r="C389" i="76"/>
  <c r="C388" i="76"/>
  <c r="C387" i="76"/>
  <c r="C386" i="76"/>
  <c r="C385" i="76"/>
  <c r="C384" i="76"/>
  <c r="C383" i="76"/>
  <c r="C382" i="76"/>
  <c r="C381" i="76"/>
  <c r="C380" i="76"/>
  <c r="C379" i="76"/>
  <c r="C378" i="76"/>
  <c r="C377" i="76"/>
  <c r="C376" i="76"/>
  <c r="C375" i="76"/>
  <c r="C374" i="76"/>
  <c r="C373" i="76"/>
  <c r="C372" i="76"/>
  <c r="C371" i="76"/>
  <c r="C370" i="76"/>
  <c r="C369" i="76"/>
  <c r="C368" i="76"/>
  <c r="C367" i="76"/>
  <c r="C366" i="76"/>
  <c r="C365" i="76"/>
  <c r="C364" i="76"/>
  <c r="C363" i="76"/>
  <c r="C362" i="76"/>
  <c r="C361" i="76"/>
  <c r="C360" i="76"/>
  <c r="C359" i="76"/>
  <c r="C358" i="76"/>
  <c r="C357" i="76"/>
  <c r="C356" i="76"/>
  <c r="C355" i="76"/>
  <c r="C354" i="76"/>
  <c r="C353" i="76"/>
  <c r="C352" i="76"/>
  <c r="C351" i="76"/>
  <c r="C350" i="76"/>
  <c r="C349" i="76"/>
  <c r="C348" i="76"/>
  <c r="C347" i="76"/>
  <c r="C346" i="76"/>
  <c r="C345" i="76"/>
  <c r="C344" i="76"/>
  <c r="C343" i="76"/>
  <c r="C342" i="76"/>
  <c r="C341" i="76"/>
  <c r="C340" i="76"/>
  <c r="C339" i="76"/>
  <c r="C338" i="76"/>
  <c r="C337" i="76"/>
  <c r="C336" i="76"/>
  <c r="C335" i="76"/>
  <c r="C334" i="76"/>
  <c r="C333" i="76"/>
  <c r="C332" i="76"/>
  <c r="C331" i="76"/>
  <c r="C330" i="76"/>
  <c r="C329" i="76"/>
  <c r="C328" i="76"/>
  <c r="C327" i="76"/>
  <c r="C326" i="76"/>
  <c r="C325" i="76"/>
  <c r="C324" i="76"/>
  <c r="C323" i="76"/>
  <c r="C322" i="76"/>
  <c r="C321" i="76"/>
  <c r="C320" i="76"/>
  <c r="C319" i="76"/>
  <c r="C318" i="76"/>
  <c r="C317" i="76"/>
  <c r="C316" i="76"/>
  <c r="C315" i="76"/>
  <c r="C314" i="76"/>
  <c r="C313" i="76"/>
  <c r="C312" i="76"/>
  <c r="C311" i="76"/>
  <c r="C310" i="76"/>
  <c r="C309" i="76"/>
  <c r="C308" i="76"/>
  <c r="C307" i="76"/>
  <c r="C306" i="76"/>
  <c r="C305" i="76"/>
  <c r="C304" i="76"/>
  <c r="C303" i="76"/>
  <c r="C302" i="76"/>
  <c r="C301" i="76"/>
  <c r="C300" i="76"/>
  <c r="C299" i="76"/>
  <c r="C298" i="76"/>
  <c r="C297" i="76"/>
  <c r="C296" i="76"/>
  <c r="C295" i="76"/>
  <c r="C294" i="76"/>
  <c r="C293" i="76"/>
  <c r="C292" i="76"/>
  <c r="C291" i="76"/>
  <c r="C290" i="76"/>
  <c r="C289" i="76"/>
  <c r="C288" i="76"/>
  <c r="C287" i="76"/>
  <c r="C286" i="76"/>
  <c r="C285" i="76"/>
  <c r="C284" i="76"/>
  <c r="C283" i="76"/>
  <c r="C282" i="76"/>
  <c r="C281" i="76"/>
  <c r="C280" i="76"/>
  <c r="C279" i="76"/>
  <c r="C278" i="76"/>
  <c r="C277" i="76"/>
  <c r="C276" i="76"/>
  <c r="C275" i="76"/>
  <c r="C274" i="76"/>
  <c r="C273" i="76"/>
  <c r="C272" i="76"/>
  <c r="C271" i="76"/>
  <c r="C270" i="76"/>
  <c r="C269" i="76"/>
  <c r="C268" i="76"/>
  <c r="C267" i="76"/>
  <c r="C266" i="76"/>
  <c r="C265" i="76"/>
  <c r="C264" i="76"/>
  <c r="C263" i="76"/>
  <c r="C262" i="76"/>
  <c r="C261" i="76"/>
  <c r="C260" i="76"/>
  <c r="C259" i="76"/>
  <c r="C258" i="76"/>
  <c r="C257" i="76"/>
  <c r="C256" i="76"/>
  <c r="C255" i="76"/>
  <c r="C254" i="76"/>
  <c r="C253" i="76"/>
  <c r="C252" i="76"/>
  <c r="C251" i="76"/>
  <c r="C250" i="76"/>
  <c r="C249" i="76"/>
  <c r="C248" i="76"/>
  <c r="C247" i="76"/>
  <c r="C246" i="76"/>
  <c r="C245" i="76"/>
  <c r="C244" i="76"/>
  <c r="C243" i="76"/>
  <c r="C242" i="76"/>
  <c r="C241" i="76"/>
  <c r="C240" i="76"/>
  <c r="C239" i="76"/>
  <c r="C238" i="76"/>
  <c r="C237" i="76"/>
  <c r="C236" i="76"/>
  <c r="C235" i="76"/>
  <c r="C234" i="76"/>
  <c r="C233" i="76"/>
  <c r="C232" i="76"/>
  <c r="C231" i="76"/>
  <c r="C230" i="76"/>
  <c r="C229" i="76"/>
  <c r="C228" i="76"/>
  <c r="C227" i="76"/>
  <c r="C226" i="76"/>
  <c r="C225" i="76"/>
  <c r="C224" i="76"/>
  <c r="C223" i="76"/>
  <c r="C222" i="76"/>
  <c r="C221" i="76"/>
  <c r="C220" i="76"/>
  <c r="C219" i="76"/>
  <c r="C218" i="76"/>
  <c r="C217" i="76"/>
  <c r="C216" i="76"/>
  <c r="C215" i="76"/>
  <c r="C214" i="76"/>
  <c r="C213" i="76"/>
  <c r="C212" i="76"/>
  <c r="C211" i="76"/>
  <c r="C210" i="76"/>
  <c r="C209" i="76"/>
  <c r="C208" i="76"/>
  <c r="C207" i="76"/>
  <c r="C206" i="76"/>
  <c r="C205" i="76"/>
  <c r="C204" i="76"/>
  <c r="C203" i="76"/>
  <c r="C202" i="76"/>
  <c r="C201" i="76"/>
  <c r="C200" i="76"/>
  <c r="C199" i="76"/>
  <c r="C198" i="76"/>
  <c r="C197" i="76"/>
  <c r="C196" i="76"/>
  <c r="C195" i="76"/>
  <c r="C194" i="76"/>
  <c r="C193" i="76"/>
  <c r="C192" i="76"/>
  <c r="C191" i="76"/>
  <c r="C190" i="76"/>
  <c r="C189" i="76"/>
  <c r="C188" i="76"/>
  <c r="C187" i="76"/>
  <c r="C186" i="76"/>
  <c r="C185" i="76"/>
  <c r="C184" i="76"/>
  <c r="C183" i="76"/>
  <c r="C182" i="76"/>
  <c r="C181" i="76"/>
  <c r="C180" i="76"/>
  <c r="C179" i="76"/>
  <c r="C178" i="76"/>
  <c r="C177" i="76"/>
  <c r="C176" i="76"/>
  <c r="C175" i="76"/>
  <c r="C174" i="76"/>
  <c r="C173" i="76"/>
  <c r="G23" i="76"/>
  <c r="E18" i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A4" i="64" a="1"/>
  <c r="D4" i="64" a="1"/>
  <c r="A4" i="76" a="1"/>
  <c r="B4" i="76" a="1"/>
  <c r="B4" i="64" a="1"/>
  <c r="D4" i="76" a="1"/>
  <c r="C56" i="67" l="1"/>
  <c r="E4" i="89"/>
  <c r="A5" i="27"/>
  <c r="B5" i="27" s="1"/>
  <c r="J6" i="80"/>
  <c r="F8" i="80"/>
  <c r="B4" i="80"/>
  <c r="B59" i="67"/>
  <c r="B65" i="67" s="1"/>
  <c r="B60" i="67"/>
  <c r="B66" i="67" s="1"/>
  <c r="B48" i="67"/>
  <c r="B54" i="67" s="1"/>
  <c r="G9" i="76" a="1"/>
  <c r="G9" i="76" s="1"/>
  <c r="G13" i="76" a="1"/>
  <c r="G13" i="76" s="1"/>
  <c r="G30" i="76"/>
  <c r="G31" i="76" s="1"/>
  <c r="G32" i="76" s="1"/>
  <c r="AC34" i="76" s="1"/>
  <c r="D4" i="76"/>
  <c r="A4" i="76"/>
  <c r="G10" i="76" a="1"/>
  <c r="G10" i="76" s="1"/>
  <c r="B4" i="76"/>
  <c r="G14" i="76" a="1"/>
  <c r="G14" i="76" s="1"/>
  <c r="E21" i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B42" i="67" s="1"/>
  <c r="N5" i="1"/>
  <c r="F13" i="3"/>
  <c r="B5" i="3"/>
  <c r="B3" i="67" s="1"/>
  <c r="F8" i="3"/>
  <c r="E5" i="27" l="1"/>
  <c r="C5" i="27"/>
  <c r="N9" i="1"/>
  <c r="B36" i="67"/>
  <c r="B68" i="67" s="1"/>
  <c r="X34" i="76"/>
  <c r="G26" i="76"/>
  <c r="G25" i="76"/>
  <c r="S65" i="76" s="1"/>
  <c r="W34" i="76"/>
  <c r="AB34" i="76"/>
  <c r="G5" i="76"/>
  <c r="G28" i="76"/>
  <c r="AA34" i="76"/>
  <c r="G26" i="64"/>
  <c r="G25" i="64"/>
  <c r="G28" i="64"/>
  <c r="G5" i="64"/>
  <c r="N6" i="1"/>
  <c r="B37" i="67" s="1"/>
  <c r="E22" i="1"/>
  <c r="E24" i="1" s="1"/>
  <c r="I21" i="1" s="1"/>
  <c r="I22" i="1" s="1"/>
  <c r="B2" i="67"/>
  <c r="O7" i="1"/>
  <c r="B13" i="1"/>
  <c r="F15" i="80" s="1"/>
  <c r="I24" i="1"/>
  <c r="B3" i="3"/>
  <c r="B1" i="67" s="1"/>
  <c r="B8" i="67" s="1"/>
  <c r="B11" i="67" s="1"/>
  <c r="B16" i="67" s="1"/>
  <c r="N14" i="80" s="1"/>
  <c r="F56" i="67" l="1"/>
  <c r="W5" i="67"/>
  <c r="F44" i="67"/>
  <c r="N10" i="1"/>
  <c r="B41" i="67" s="1"/>
  <c r="B40" i="67"/>
  <c r="F8" i="67"/>
  <c r="F16" i="67" s="1"/>
  <c r="B19" i="67"/>
  <c r="N8" i="80" s="1"/>
  <c r="B29" i="67"/>
  <c r="B57" i="67"/>
  <c r="N13" i="80" s="1"/>
  <c r="O11" i="1"/>
  <c r="C42" i="67" s="1"/>
  <c r="C38" i="67"/>
  <c r="S23" i="76"/>
  <c r="S28" i="76"/>
  <c r="S33" i="76"/>
  <c r="S15" i="76"/>
  <c r="S25" i="76"/>
  <c r="S79" i="76"/>
  <c r="S50" i="76"/>
  <c r="S81" i="76"/>
  <c r="S20" i="76"/>
  <c r="S29" i="76"/>
  <c r="S51" i="76"/>
  <c r="S100" i="76"/>
  <c r="S12" i="76"/>
  <c r="S83" i="76"/>
  <c r="S71" i="76"/>
  <c r="S88" i="76"/>
  <c r="S10" i="76"/>
  <c r="S60" i="76"/>
  <c r="S42" i="76"/>
  <c r="S92" i="76"/>
  <c r="S45" i="76"/>
  <c r="S69" i="76"/>
  <c r="S41" i="76"/>
  <c r="S101" i="76"/>
  <c r="S57" i="76"/>
  <c r="S67" i="76"/>
  <c r="S13" i="76"/>
  <c r="S61" i="76"/>
  <c r="S24" i="76"/>
  <c r="S9" i="76"/>
  <c r="S7" i="76"/>
  <c r="S66" i="76"/>
  <c r="S30" i="76"/>
  <c r="S16" i="76"/>
  <c r="S63" i="76"/>
  <c r="S44" i="76"/>
  <c r="S35" i="76"/>
  <c r="S19" i="76"/>
  <c r="S72" i="76"/>
  <c r="S85" i="76"/>
  <c r="S11" i="76"/>
  <c r="S39" i="76"/>
  <c r="S18" i="76"/>
  <c r="S8" i="76"/>
  <c r="S5" i="76"/>
  <c r="S70" i="76"/>
  <c r="S74" i="76"/>
  <c r="S89" i="76"/>
  <c r="S97" i="76"/>
  <c r="S82" i="76"/>
  <c r="S99" i="76"/>
  <c r="S36" i="76"/>
  <c r="S77" i="76"/>
  <c r="S14" i="76"/>
  <c r="S27" i="76"/>
  <c r="S102" i="76"/>
  <c r="S53" i="76"/>
  <c r="S84" i="76"/>
  <c r="S21" i="76"/>
  <c r="S22" i="76"/>
  <c r="S80" i="76"/>
  <c r="S32" i="76"/>
  <c r="S17" i="76"/>
  <c r="S64" i="76"/>
  <c r="S54" i="76"/>
  <c r="S59" i="76"/>
  <c r="S55" i="76"/>
  <c r="S48" i="76"/>
  <c r="S95" i="76"/>
  <c r="S26" i="76"/>
  <c r="S6" i="76"/>
  <c r="S56" i="76"/>
  <c r="S37" i="76"/>
  <c r="S52" i="76"/>
  <c r="S98" i="76"/>
  <c r="S103" i="76"/>
  <c r="S94" i="76"/>
  <c r="S38" i="76"/>
  <c r="S43" i="76"/>
  <c r="S96" i="76"/>
  <c r="S78" i="76"/>
  <c r="S49" i="76"/>
  <c r="S86" i="76"/>
  <c r="S68" i="76"/>
  <c r="S91" i="76"/>
  <c r="S46" i="76"/>
  <c r="S75" i="76"/>
  <c r="S93" i="76"/>
  <c r="S58" i="76"/>
  <c r="S73" i="76"/>
  <c r="S90" i="76"/>
  <c r="S40" i="76"/>
  <c r="S76" i="76"/>
  <c r="S87" i="76"/>
  <c r="S62" i="76"/>
  <c r="S4" i="76"/>
  <c r="S31" i="76"/>
  <c r="S47" i="76"/>
  <c r="S34" i="76"/>
  <c r="G6" i="76"/>
  <c r="G17" i="76" s="1"/>
  <c r="Z34" i="76"/>
  <c r="P98" i="76"/>
  <c r="P82" i="76"/>
  <c r="P66" i="76"/>
  <c r="P50" i="76"/>
  <c r="P80" i="76"/>
  <c r="P64" i="76"/>
  <c r="P103" i="76"/>
  <c r="P101" i="76"/>
  <c r="P85" i="76"/>
  <c r="P69" i="76"/>
  <c r="P53" i="76"/>
  <c r="P37" i="76"/>
  <c r="P21" i="76"/>
  <c r="P8" i="76"/>
  <c r="P92" i="76"/>
  <c r="P76" i="76"/>
  <c r="P60" i="76"/>
  <c r="P44" i="76"/>
  <c r="P11" i="76"/>
  <c r="P14" i="76"/>
  <c r="P6" i="76"/>
  <c r="P19" i="76"/>
  <c r="P99" i="76"/>
  <c r="P83" i="76"/>
  <c r="P67" i="76"/>
  <c r="P51" i="76"/>
  <c r="P35" i="76"/>
  <c r="P90" i="76"/>
  <c r="P74" i="76"/>
  <c r="P58" i="76"/>
  <c r="P42" i="76"/>
  <c r="P34" i="76"/>
  <c r="P29" i="76"/>
  <c r="P24" i="76"/>
  <c r="P97" i="76"/>
  <c r="P81" i="76"/>
  <c r="P65" i="76"/>
  <c r="P49" i="76"/>
  <c r="P88" i="76"/>
  <c r="P72" i="76"/>
  <c r="P56" i="76"/>
  <c r="P40" i="76"/>
  <c r="P32" i="76"/>
  <c r="P17" i="76"/>
  <c r="P9" i="76"/>
  <c r="P87" i="76"/>
  <c r="P71" i="76"/>
  <c r="P62" i="76"/>
  <c r="P95" i="76"/>
  <c r="P79" i="76"/>
  <c r="P63" i="76"/>
  <c r="P47" i="76"/>
  <c r="P27" i="76"/>
  <c r="P22" i="76"/>
  <c r="P4" i="76"/>
  <c r="P86" i="76"/>
  <c r="P70" i="76"/>
  <c r="P54" i="76"/>
  <c r="P102" i="76"/>
  <c r="P39" i="76"/>
  <c r="P46" i="76"/>
  <c r="P31" i="76"/>
  <c r="P26" i="76"/>
  <c r="P16" i="76"/>
  <c r="P93" i="76"/>
  <c r="P77" i="76"/>
  <c r="P61" i="76"/>
  <c r="P45" i="76"/>
  <c r="P12" i="76"/>
  <c r="P13" i="76"/>
  <c r="P55" i="76"/>
  <c r="P94" i="76"/>
  <c r="P78" i="76"/>
  <c r="P100" i="76"/>
  <c r="P84" i="76"/>
  <c r="P68" i="76"/>
  <c r="P52" i="76"/>
  <c r="P36" i="76"/>
  <c r="P30" i="76"/>
  <c r="P25" i="76"/>
  <c r="P15" i="76"/>
  <c r="P7" i="76"/>
  <c r="P41" i="76"/>
  <c r="P28" i="76"/>
  <c r="P23" i="76"/>
  <c r="P5" i="76"/>
  <c r="P48" i="76"/>
  <c r="P91" i="76"/>
  <c r="P75" i="76"/>
  <c r="P59" i="76"/>
  <c r="P43" i="76"/>
  <c r="P20" i="76"/>
  <c r="P10" i="76"/>
  <c r="P89" i="76"/>
  <c r="P73" i="76"/>
  <c r="P57" i="76"/>
  <c r="P33" i="76"/>
  <c r="P18" i="76"/>
  <c r="P96" i="76"/>
  <c r="P38" i="76"/>
  <c r="Z34" i="64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A9" i="27"/>
  <c r="I23" i="1"/>
  <c r="E40" i="1" s="1"/>
  <c r="F10" i="67" l="1"/>
  <c r="B28" i="67"/>
  <c r="G9" i="27"/>
  <c r="F9" i="27"/>
  <c r="B9" i="27"/>
  <c r="E9" i="27"/>
  <c r="C9" i="27"/>
  <c r="F12" i="3"/>
  <c r="F12" i="80"/>
  <c r="B20" i="67"/>
  <c r="N5" i="80"/>
  <c r="B63" i="67"/>
  <c r="B58" i="67"/>
  <c r="B64" i="67" s="1"/>
  <c r="F17" i="67"/>
  <c r="B45" i="67" s="1"/>
  <c r="J13" i="80" s="1"/>
  <c r="F29" i="67"/>
  <c r="G22" i="76"/>
  <c r="R63" i="76" s="1"/>
  <c r="C102" i="76"/>
  <c r="C130" i="76"/>
  <c r="C122" i="76"/>
  <c r="C116" i="76"/>
  <c r="C107" i="76"/>
  <c r="C111" i="76"/>
  <c r="C118" i="76"/>
  <c r="C110" i="76"/>
  <c r="C119" i="76"/>
  <c r="C131" i="76"/>
  <c r="C115" i="76"/>
  <c r="C109" i="76"/>
  <c r="C121" i="76"/>
  <c r="C133" i="76"/>
  <c r="C117" i="76"/>
  <c r="C132" i="76"/>
  <c r="C108" i="76"/>
  <c r="C103" i="76"/>
  <c r="C124" i="76"/>
  <c r="C112" i="76"/>
  <c r="C127" i="76"/>
  <c r="C101" i="76"/>
  <c r="C123" i="76"/>
  <c r="C114" i="76"/>
  <c r="C106" i="76"/>
  <c r="C128" i="76"/>
  <c r="C113" i="76"/>
  <c r="C129" i="76"/>
  <c r="C104" i="76"/>
  <c r="C105" i="76"/>
  <c r="C125" i="76"/>
  <c r="C126" i="76"/>
  <c r="C120" i="76"/>
  <c r="Y34" i="76"/>
  <c r="J89" i="76"/>
  <c r="J39" i="76"/>
  <c r="J8" i="76"/>
  <c r="J66" i="76"/>
  <c r="J65" i="76"/>
  <c r="J52" i="76"/>
  <c r="M7" i="76"/>
  <c r="L7" i="76" s="1"/>
  <c r="M35" i="76"/>
  <c r="L35" i="76" s="1"/>
  <c r="M23" i="76"/>
  <c r="L23" i="76" s="1"/>
  <c r="M88" i="76"/>
  <c r="L88" i="76" s="1"/>
  <c r="M73" i="76"/>
  <c r="L73" i="76" s="1"/>
  <c r="M20" i="76"/>
  <c r="L20" i="76" s="1"/>
  <c r="M53" i="76"/>
  <c r="L53" i="76" s="1"/>
  <c r="M90" i="76"/>
  <c r="L90" i="76" s="1"/>
  <c r="M72" i="76"/>
  <c r="L72" i="76" s="1"/>
  <c r="M95" i="76"/>
  <c r="L95" i="76" s="1"/>
  <c r="M75" i="76"/>
  <c r="L75" i="76" s="1"/>
  <c r="J62" i="76"/>
  <c r="J82" i="76"/>
  <c r="M58" i="76"/>
  <c r="L58" i="76" s="1"/>
  <c r="J46" i="76"/>
  <c r="J4" i="76"/>
  <c r="M101" i="76"/>
  <c r="L101" i="76" s="1"/>
  <c r="M89" i="76"/>
  <c r="L89" i="76" s="1"/>
  <c r="M77" i="76"/>
  <c r="L77" i="76" s="1"/>
  <c r="J86" i="76"/>
  <c r="J29" i="76"/>
  <c r="J93" i="76"/>
  <c r="M52" i="76"/>
  <c r="L52" i="76" s="1"/>
  <c r="M42" i="76"/>
  <c r="L42" i="76" s="1"/>
  <c r="M70" i="76"/>
  <c r="L70" i="76" s="1"/>
  <c r="J73" i="76"/>
  <c r="J26" i="76"/>
  <c r="J11" i="76"/>
  <c r="J99" i="76"/>
  <c r="J49" i="76"/>
  <c r="J95" i="76"/>
  <c r="M98" i="76"/>
  <c r="L98" i="76" s="1"/>
  <c r="M16" i="76"/>
  <c r="L16" i="76" s="1"/>
  <c r="M60" i="76"/>
  <c r="L60" i="76" s="1"/>
  <c r="M39" i="76"/>
  <c r="L39" i="76" s="1"/>
  <c r="M12" i="76"/>
  <c r="L12" i="76" s="1"/>
  <c r="M10" i="76"/>
  <c r="L10" i="76" s="1"/>
  <c r="J76" i="76"/>
  <c r="M21" i="76"/>
  <c r="L21" i="76" s="1"/>
  <c r="M64" i="76"/>
  <c r="L64" i="76" s="1"/>
  <c r="M102" i="76"/>
  <c r="L102" i="76" s="1"/>
  <c r="J23" i="76"/>
  <c r="J14" i="76"/>
  <c r="J22" i="76"/>
  <c r="M68" i="76"/>
  <c r="L68" i="76" s="1"/>
  <c r="M40" i="76"/>
  <c r="L40" i="76" s="1"/>
  <c r="J44" i="76"/>
  <c r="M11" i="76"/>
  <c r="L11" i="76" s="1"/>
  <c r="J31" i="76"/>
  <c r="M99" i="76"/>
  <c r="L99" i="76" s="1"/>
  <c r="M47" i="76"/>
  <c r="L47" i="76" s="1"/>
  <c r="J96" i="76"/>
  <c r="J16" i="76"/>
  <c r="J74" i="76"/>
  <c r="J77" i="76"/>
  <c r="M85" i="76"/>
  <c r="L85" i="76" s="1"/>
  <c r="M18" i="76"/>
  <c r="L18" i="76" s="1"/>
  <c r="J54" i="76"/>
  <c r="J101" i="76"/>
  <c r="J58" i="76"/>
  <c r="J61" i="76"/>
  <c r="J57" i="76"/>
  <c r="J103" i="76"/>
  <c r="J34" i="76"/>
  <c r="J83" i="76"/>
  <c r="J25" i="76"/>
  <c r="J79" i="76"/>
  <c r="M100" i="76"/>
  <c r="L100" i="76" s="1"/>
  <c r="M82" i="76"/>
  <c r="L82" i="76" s="1"/>
  <c r="J98" i="76"/>
  <c r="M8" i="76"/>
  <c r="L8" i="76" s="1"/>
  <c r="J18" i="76"/>
  <c r="J88" i="76"/>
  <c r="M24" i="76"/>
  <c r="L24" i="76" s="1"/>
  <c r="M86" i="76"/>
  <c r="L86" i="76" s="1"/>
  <c r="J5" i="76"/>
  <c r="J90" i="76"/>
  <c r="M103" i="76"/>
  <c r="L103" i="76" s="1"/>
  <c r="M19" i="76"/>
  <c r="L19" i="76" s="1"/>
  <c r="M57" i="76"/>
  <c r="L57" i="76" s="1"/>
  <c r="J56" i="76"/>
  <c r="M46" i="76"/>
  <c r="L46" i="76" s="1"/>
  <c r="M61" i="76"/>
  <c r="L61" i="76" s="1"/>
  <c r="J80" i="76"/>
  <c r="J91" i="76"/>
  <c r="J40" i="76"/>
  <c r="J41" i="76"/>
  <c r="J71" i="76"/>
  <c r="J24" i="76"/>
  <c r="J67" i="76"/>
  <c r="J15" i="76"/>
  <c r="J63" i="76"/>
  <c r="M94" i="76"/>
  <c r="L94" i="76" s="1"/>
  <c r="M44" i="76"/>
  <c r="L44" i="76" s="1"/>
  <c r="M14" i="76"/>
  <c r="L14" i="76" s="1"/>
  <c r="M33" i="76"/>
  <c r="L33" i="76" s="1"/>
  <c r="M96" i="76"/>
  <c r="L96" i="76" s="1"/>
  <c r="M50" i="76"/>
  <c r="L50" i="76" s="1"/>
  <c r="M91" i="76"/>
  <c r="L91" i="76" s="1"/>
  <c r="J33" i="76"/>
  <c r="J92" i="76"/>
  <c r="J51" i="76"/>
  <c r="J47" i="76"/>
  <c r="M66" i="76"/>
  <c r="L66" i="76" s="1"/>
  <c r="M37" i="76"/>
  <c r="L37" i="76" s="1"/>
  <c r="M6" i="76"/>
  <c r="L6" i="76" s="1"/>
  <c r="M56" i="76"/>
  <c r="L56" i="76" s="1"/>
  <c r="M78" i="76"/>
  <c r="L78" i="76" s="1"/>
  <c r="M59" i="76"/>
  <c r="L59" i="76" s="1"/>
  <c r="M62" i="76"/>
  <c r="L62" i="76" s="1"/>
  <c r="J72" i="76"/>
  <c r="M81" i="76"/>
  <c r="L81" i="76" s="1"/>
  <c r="J70" i="76"/>
  <c r="J19" i="76"/>
  <c r="J94" i="76"/>
  <c r="J7" i="76"/>
  <c r="M84" i="76"/>
  <c r="L84" i="76" s="1"/>
  <c r="M74" i="76"/>
  <c r="L74" i="76" s="1"/>
  <c r="M79" i="76"/>
  <c r="L79" i="76" s="1"/>
  <c r="M80" i="76"/>
  <c r="L80" i="76" s="1"/>
  <c r="J28" i="76"/>
  <c r="J78" i="76"/>
  <c r="J35" i="76"/>
  <c r="J27" i="76"/>
  <c r="M93" i="76"/>
  <c r="L93" i="76" s="1"/>
  <c r="J60" i="76"/>
  <c r="M29" i="76"/>
  <c r="L29" i="76" s="1"/>
  <c r="M97" i="76"/>
  <c r="L97" i="76" s="1"/>
  <c r="M63" i="76"/>
  <c r="L63" i="76" s="1"/>
  <c r="J102" i="76"/>
  <c r="J6" i="76"/>
  <c r="J69" i="76"/>
  <c r="J9" i="76"/>
  <c r="M54" i="76"/>
  <c r="L54" i="76" s="1"/>
  <c r="J84" i="76"/>
  <c r="M15" i="76"/>
  <c r="L15" i="76" s="1"/>
  <c r="M92" i="76"/>
  <c r="L92" i="76" s="1"/>
  <c r="M87" i="76"/>
  <c r="L87" i="76" s="1"/>
  <c r="J64" i="76"/>
  <c r="M71" i="76"/>
  <c r="L71" i="76" s="1"/>
  <c r="G16" i="76"/>
  <c r="C83" i="76" s="1"/>
  <c r="M55" i="76"/>
  <c r="L55" i="76" s="1"/>
  <c r="J53" i="76"/>
  <c r="J45" i="76"/>
  <c r="M31" i="76"/>
  <c r="L31" i="76" s="1"/>
  <c r="M43" i="76"/>
  <c r="L43" i="76" s="1"/>
  <c r="J59" i="76"/>
  <c r="M41" i="76"/>
  <c r="L41" i="76" s="1"/>
  <c r="M69" i="76"/>
  <c r="L69" i="76" s="1"/>
  <c r="M48" i="76"/>
  <c r="L48" i="76" s="1"/>
  <c r="M27" i="76"/>
  <c r="L27" i="76" s="1"/>
  <c r="J50" i="76"/>
  <c r="M22" i="76"/>
  <c r="L22" i="76" s="1"/>
  <c r="J48" i="76"/>
  <c r="M9" i="76"/>
  <c r="L9" i="76" s="1"/>
  <c r="J97" i="76"/>
  <c r="J87" i="76"/>
  <c r="G21" i="76"/>
  <c r="O39" i="76" s="1"/>
  <c r="J37" i="76"/>
  <c r="J100" i="76"/>
  <c r="M17" i="76"/>
  <c r="L17" i="76" s="1"/>
  <c r="M38" i="76"/>
  <c r="L38" i="76" s="1"/>
  <c r="M76" i="76"/>
  <c r="L76" i="76" s="1"/>
  <c r="M83" i="76"/>
  <c r="L83" i="76" s="1"/>
  <c r="J13" i="76"/>
  <c r="M65" i="76"/>
  <c r="L65" i="76" s="1"/>
  <c r="J55" i="76"/>
  <c r="J17" i="76"/>
  <c r="M51" i="76"/>
  <c r="L51" i="76" s="1"/>
  <c r="J21" i="76"/>
  <c r="J12" i="76"/>
  <c r="M36" i="76"/>
  <c r="L36" i="76" s="1"/>
  <c r="M26" i="76"/>
  <c r="L26" i="76" s="1"/>
  <c r="M5" i="76"/>
  <c r="L5" i="76" s="1"/>
  <c r="J75" i="76"/>
  <c r="J38" i="76"/>
  <c r="M30" i="76"/>
  <c r="L30" i="76" s="1"/>
  <c r="J20" i="76"/>
  <c r="M32" i="76"/>
  <c r="L32" i="76" s="1"/>
  <c r="M4" i="76"/>
  <c r="L4" i="76" s="1"/>
  <c r="J32" i="76"/>
  <c r="J85" i="76"/>
  <c r="M49" i="76"/>
  <c r="L49" i="76" s="1"/>
  <c r="J43" i="76"/>
  <c r="M25" i="76"/>
  <c r="L25" i="76" s="1"/>
  <c r="M28" i="76"/>
  <c r="L28" i="76" s="1"/>
  <c r="M45" i="76"/>
  <c r="L45" i="76" s="1"/>
  <c r="J68" i="76"/>
  <c r="M34" i="76"/>
  <c r="L34" i="76" s="1"/>
  <c r="J36" i="76"/>
  <c r="J10" i="76"/>
  <c r="M13" i="76"/>
  <c r="L13" i="76" s="1"/>
  <c r="J30" i="76"/>
  <c r="J42" i="76"/>
  <c r="J81" i="76"/>
  <c r="M67" i="76"/>
  <c r="L67" i="76" s="1"/>
  <c r="C29" i="64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D4" i="16" a="1"/>
  <c r="B4" i="16" a="1"/>
  <c r="A4" i="16" a="1"/>
  <c r="B24" i="67" l="1"/>
  <c r="O7" i="67" s="1"/>
  <c r="N15" i="80"/>
  <c r="C62" i="67"/>
  <c r="C59" i="67"/>
  <c r="C65" i="67" s="1"/>
  <c r="C57" i="67"/>
  <c r="C60" i="67"/>
  <c r="C66" i="67" s="1"/>
  <c r="F19" i="67"/>
  <c r="B46" i="67"/>
  <c r="B52" i="67" s="1"/>
  <c r="B51" i="67"/>
  <c r="O9" i="1"/>
  <c r="C40" i="67" s="1"/>
  <c r="C36" i="67"/>
  <c r="R48" i="76"/>
  <c r="R51" i="76"/>
  <c r="C172" i="76"/>
  <c r="R11" i="76"/>
  <c r="R75" i="76"/>
  <c r="R27" i="76"/>
  <c r="R53" i="76"/>
  <c r="R47" i="76"/>
  <c r="C135" i="76"/>
  <c r="C158" i="76"/>
  <c r="C170" i="76"/>
  <c r="C163" i="76"/>
  <c r="C152" i="76"/>
  <c r="R71" i="76"/>
  <c r="C165" i="76"/>
  <c r="C148" i="76"/>
  <c r="C167" i="76"/>
  <c r="R5" i="76"/>
  <c r="R76" i="76"/>
  <c r="R42" i="76"/>
  <c r="R81" i="76"/>
  <c r="R28" i="76"/>
  <c r="R18" i="76"/>
  <c r="R80" i="76"/>
  <c r="R13" i="76"/>
  <c r="R40" i="76"/>
  <c r="R16" i="76"/>
  <c r="R89" i="76"/>
  <c r="R44" i="76"/>
  <c r="C156" i="76"/>
  <c r="R102" i="76"/>
  <c r="R34" i="76"/>
  <c r="R25" i="76"/>
  <c r="R35" i="76"/>
  <c r="R64" i="76"/>
  <c r="R77" i="76"/>
  <c r="C149" i="76"/>
  <c r="C157" i="76"/>
  <c r="R72" i="76"/>
  <c r="R38" i="76"/>
  <c r="R85" i="76"/>
  <c r="R74" i="76"/>
  <c r="R57" i="76"/>
  <c r="C140" i="76"/>
  <c r="C146" i="76"/>
  <c r="R96" i="76"/>
  <c r="R4" i="76"/>
  <c r="C138" i="76"/>
  <c r="C141" i="76"/>
  <c r="R24" i="76"/>
  <c r="R92" i="76"/>
  <c r="R36" i="76"/>
  <c r="C160" i="76"/>
  <c r="R83" i="76"/>
  <c r="R68" i="76"/>
  <c r="R7" i="76"/>
  <c r="C155" i="76"/>
  <c r="R37" i="76"/>
  <c r="R100" i="76"/>
  <c r="R10" i="76"/>
  <c r="R95" i="76"/>
  <c r="C134" i="76"/>
  <c r="R58" i="76"/>
  <c r="R69" i="76"/>
  <c r="R79" i="76"/>
  <c r="R46" i="76"/>
  <c r="C145" i="76"/>
  <c r="R29" i="76"/>
  <c r="R70" i="76"/>
  <c r="R45" i="76"/>
  <c r="C169" i="76"/>
  <c r="R73" i="76"/>
  <c r="R32" i="76"/>
  <c r="R93" i="76"/>
  <c r="C144" i="76"/>
  <c r="R61" i="76"/>
  <c r="R94" i="76"/>
  <c r="R15" i="76"/>
  <c r="R6" i="76"/>
  <c r="C168" i="76"/>
  <c r="C171" i="76"/>
  <c r="R21" i="76"/>
  <c r="R87" i="76"/>
  <c r="R91" i="76"/>
  <c r="R99" i="76"/>
  <c r="C162" i="76"/>
  <c r="R9" i="76"/>
  <c r="R98" i="76"/>
  <c r="R67" i="76"/>
  <c r="R14" i="76"/>
  <c r="R55" i="76"/>
  <c r="C161" i="76"/>
  <c r="C166" i="76"/>
  <c r="R50" i="76"/>
  <c r="R101" i="76"/>
  <c r="R66" i="76"/>
  <c r="R90" i="76"/>
  <c r="R33" i="76"/>
  <c r="R26" i="76"/>
  <c r="R86" i="76"/>
  <c r="C147" i="76"/>
  <c r="R60" i="76"/>
  <c r="R82" i="76"/>
  <c r="C142" i="76"/>
  <c r="C139" i="76"/>
  <c r="R59" i="76"/>
  <c r="R20" i="76"/>
  <c r="R39" i="76"/>
  <c r="R8" i="76"/>
  <c r="R17" i="76"/>
  <c r="R41" i="76"/>
  <c r="R23" i="76"/>
  <c r="C150" i="76"/>
  <c r="R30" i="76"/>
  <c r="R84" i="76"/>
  <c r="R22" i="76"/>
  <c r="R43" i="76"/>
  <c r="R56" i="76"/>
  <c r="R88" i="76"/>
  <c r="C154" i="76"/>
  <c r="R97" i="76"/>
  <c r="R52" i="76"/>
  <c r="R103" i="76"/>
  <c r="R62" i="76"/>
  <c r="R19" i="76"/>
  <c r="R65" i="76"/>
  <c r="C143" i="76"/>
  <c r="C136" i="76"/>
  <c r="C164" i="76"/>
  <c r="R54" i="76"/>
  <c r="C151" i="76"/>
  <c r="C153" i="76"/>
  <c r="R78" i="76"/>
  <c r="C137" i="76"/>
  <c r="C159" i="76"/>
  <c r="R31" i="76"/>
  <c r="C29" i="76"/>
  <c r="R49" i="76"/>
  <c r="C31" i="76"/>
  <c r="R12" i="76"/>
  <c r="C82" i="76"/>
  <c r="C88" i="76"/>
  <c r="C80" i="76"/>
  <c r="C100" i="76"/>
  <c r="C99" i="76"/>
  <c r="C85" i="76"/>
  <c r="C95" i="76"/>
  <c r="C94" i="76"/>
  <c r="C98" i="76"/>
  <c r="C54" i="76"/>
  <c r="C42" i="76"/>
  <c r="C53" i="76"/>
  <c r="C56" i="76"/>
  <c r="C43" i="76"/>
  <c r="C78" i="76"/>
  <c r="C97" i="76"/>
  <c r="C35" i="76"/>
  <c r="C79" i="76"/>
  <c r="C90" i="76"/>
  <c r="C57" i="76"/>
  <c r="C84" i="76"/>
  <c r="C74" i="76"/>
  <c r="C73" i="76"/>
  <c r="C96" i="76"/>
  <c r="C69" i="76"/>
  <c r="C87" i="76"/>
  <c r="C48" i="76"/>
  <c r="C44" i="76"/>
  <c r="C72" i="76"/>
  <c r="C62" i="76"/>
  <c r="C93" i="76"/>
  <c r="C39" i="76"/>
  <c r="C61" i="76"/>
  <c r="C81" i="76"/>
  <c r="C89" i="76"/>
  <c r="C92" i="76"/>
  <c r="C91" i="76"/>
  <c r="C86" i="76"/>
  <c r="O80" i="76"/>
  <c r="O49" i="76"/>
  <c r="O65" i="76"/>
  <c r="O64" i="76"/>
  <c r="O93" i="76"/>
  <c r="O33" i="76"/>
  <c r="C19" i="76"/>
  <c r="O12" i="76"/>
  <c r="C38" i="76"/>
  <c r="O82" i="76"/>
  <c r="C50" i="76"/>
  <c r="C52" i="76"/>
  <c r="O94" i="76"/>
  <c r="C49" i="76"/>
  <c r="O32" i="76"/>
  <c r="C37" i="76"/>
  <c r="C41" i="76"/>
  <c r="O90" i="76"/>
  <c r="C66" i="76"/>
  <c r="O46" i="76"/>
  <c r="C47" i="76"/>
  <c r="C58" i="76"/>
  <c r="C51" i="76"/>
  <c r="O79" i="76"/>
  <c r="C71" i="76"/>
  <c r="C67" i="76"/>
  <c r="C40" i="76"/>
  <c r="C34" i="76"/>
  <c r="O40" i="76"/>
  <c r="O17" i="76"/>
  <c r="C76" i="76"/>
  <c r="O24" i="76"/>
  <c r="C32" i="76"/>
  <c r="O18" i="76"/>
  <c r="C77" i="76"/>
  <c r="C55" i="76"/>
  <c r="C63" i="76"/>
  <c r="O7" i="76"/>
  <c r="C36" i="76"/>
  <c r="O28" i="76"/>
  <c r="C46" i="76"/>
  <c r="C45" i="76"/>
  <c r="C64" i="76"/>
  <c r="O38" i="76"/>
  <c r="O59" i="76"/>
  <c r="C68" i="76"/>
  <c r="O102" i="76"/>
  <c r="C75" i="76"/>
  <c r="C59" i="76"/>
  <c r="O71" i="76"/>
  <c r="O45" i="76"/>
  <c r="C30" i="76"/>
  <c r="O29" i="76"/>
  <c r="C60" i="76"/>
  <c r="C33" i="76"/>
  <c r="O27" i="76"/>
  <c r="O95" i="76"/>
  <c r="C70" i="76"/>
  <c r="C65" i="76"/>
  <c r="C17" i="76"/>
  <c r="C21" i="76"/>
  <c r="C28" i="76"/>
  <c r="C18" i="76"/>
  <c r="O100" i="76"/>
  <c r="O19" i="76"/>
  <c r="C23" i="76"/>
  <c r="C16" i="76"/>
  <c r="C20" i="76"/>
  <c r="O53" i="76"/>
  <c r="O34" i="76"/>
  <c r="O98" i="76"/>
  <c r="O5" i="76"/>
  <c r="C22" i="76"/>
  <c r="C26" i="76"/>
  <c r="C27" i="76"/>
  <c r="C25" i="76"/>
  <c r="O60" i="76"/>
  <c r="C24" i="76"/>
  <c r="O88" i="76"/>
  <c r="O15" i="76"/>
  <c r="O11" i="76"/>
  <c r="O20" i="76"/>
  <c r="O13" i="76"/>
  <c r="O48" i="76"/>
  <c r="O97" i="76"/>
  <c r="O103" i="76"/>
  <c r="O101" i="76"/>
  <c r="O31" i="76"/>
  <c r="O51" i="76"/>
  <c r="O85" i="76"/>
  <c r="O61" i="76"/>
  <c r="O91" i="76"/>
  <c r="O74" i="76"/>
  <c r="O83" i="76"/>
  <c r="O63" i="76"/>
  <c r="O36" i="76"/>
  <c r="O70" i="76"/>
  <c r="O41" i="76"/>
  <c r="O67" i="76"/>
  <c r="O4" i="76"/>
  <c r="O89" i="76"/>
  <c r="O69" i="76"/>
  <c r="O96" i="76"/>
  <c r="O35" i="76"/>
  <c r="O92" i="76"/>
  <c r="O86" i="76"/>
  <c r="O9" i="76"/>
  <c r="O44" i="76"/>
  <c r="O75" i="76"/>
  <c r="O42" i="76"/>
  <c r="O56" i="76"/>
  <c r="O76" i="76"/>
  <c r="O77" i="76"/>
  <c r="O54" i="76"/>
  <c r="O8" i="76"/>
  <c r="O55" i="76"/>
  <c r="O30" i="76"/>
  <c r="O37" i="76"/>
  <c r="O16" i="76"/>
  <c r="O6" i="76"/>
  <c r="O14" i="76"/>
  <c r="C11" i="76"/>
  <c r="C7" i="76"/>
  <c r="C9" i="76"/>
  <c r="C15" i="76"/>
  <c r="C8" i="76"/>
  <c r="C5" i="76"/>
  <c r="C14" i="76"/>
  <c r="C4" i="76"/>
  <c r="C13" i="76"/>
  <c r="C10" i="76"/>
  <c r="C6" i="76"/>
  <c r="C12" i="76"/>
  <c r="O22" i="76"/>
  <c r="O50" i="76"/>
  <c r="I95" i="76"/>
  <c r="I79" i="76"/>
  <c r="I63" i="76"/>
  <c r="I47" i="76"/>
  <c r="I27" i="76"/>
  <c r="I22" i="76"/>
  <c r="I4" i="76"/>
  <c r="I102" i="76"/>
  <c r="I77" i="76"/>
  <c r="I61" i="76"/>
  <c r="I98" i="76"/>
  <c r="I82" i="76"/>
  <c r="I66" i="76"/>
  <c r="I50" i="76"/>
  <c r="I89" i="76"/>
  <c r="I73" i="76"/>
  <c r="I57" i="76"/>
  <c r="I41" i="76"/>
  <c r="I33" i="76"/>
  <c r="I28" i="76"/>
  <c r="I23" i="76"/>
  <c r="I18" i="76"/>
  <c r="I5" i="76"/>
  <c r="I13" i="76"/>
  <c r="I96" i="76"/>
  <c r="I80" i="76"/>
  <c r="I64" i="76"/>
  <c r="I48" i="76"/>
  <c r="I103" i="76"/>
  <c r="I87" i="76"/>
  <c r="I71" i="76"/>
  <c r="I55" i="76"/>
  <c r="I39" i="76"/>
  <c r="I94" i="76"/>
  <c r="I78" i="76"/>
  <c r="I62" i="76"/>
  <c r="I46" i="76"/>
  <c r="I31" i="76"/>
  <c r="I26" i="76"/>
  <c r="I16" i="76"/>
  <c r="I21" i="76"/>
  <c r="I8" i="76"/>
  <c r="I14" i="76"/>
  <c r="I6" i="76"/>
  <c r="I36" i="76"/>
  <c r="I101" i="76"/>
  <c r="I85" i="76"/>
  <c r="I69" i="76"/>
  <c r="I53" i="76"/>
  <c r="I37" i="76"/>
  <c r="I35" i="76"/>
  <c r="I100" i="76"/>
  <c r="I30" i="76"/>
  <c r="I25" i="76"/>
  <c r="I7" i="76"/>
  <c r="I59" i="76"/>
  <c r="I92" i="76"/>
  <c r="I76" i="76"/>
  <c r="I60" i="76"/>
  <c r="I44" i="76"/>
  <c r="I11" i="76"/>
  <c r="I99" i="76"/>
  <c r="I83" i="76"/>
  <c r="I67" i="76"/>
  <c r="I51" i="76"/>
  <c r="I84" i="76"/>
  <c r="I43" i="76"/>
  <c r="I20" i="76"/>
  <c r="I10" i="76"/>
  <c r="I90" i="76"/>
  <c r="I74" i="76"/>
  <c r="I58" i="76"/>
  <c r="I42" i="76"/>
  <c r="I34" i="76"/>
  <c r="I29" i="76"/>
  <c r="I24" i="76"/>
  <c r="I19" i="76"/>
  <c r="I12" i="76"/>
  <c r="I68" i="76"/>
  <c r="I52" i="76"/>
  <c r="I91" i="76"/>
  <c r="I97" i="76"/>
  <c r="I81" i="76"/>
  <c r="I65" i="76"/>
  <c r="I49" i="76"/>
  <c r="I86" i="76"/>
  <c r="I38" i="76"/>
  <c r="I93" i="76"/>
  <c r="I45" i="76"/>
  <c r="I88" i="76"/>
  <c r="I72" i="76"/>
  <c r="I56" i="76"/>
  <c r="I40" i="76"/>
  <c r="I32" i="76"/>
  <c r="I17" i="76"/>
  <c r="I9" i="76"/>
  <c r="I70" i="76"/>
  <c r="I54" i="76"/>
  <c r="I15" i="76"/>
  <c r="I75" i="76"/>
  <c r="O58" i="76"/>
  <c r="O72" i="76"/>
  <c r="O73" i="76"/>
  <c r="O68" i="76"/>
  <c r="O25" i="76"/>
  <c r="O23" i="76"/>
  <c r="O81" i="76"/>
  <c r="O21" i="76"/>
  <c r="O26" i="76"/>
  <c r="O84" i="76"/>
  <c r="O62" i="76"/>
  <c r="O43" i="76"/>
  <c r="O87" i="76"/>
  <c r="O78" i="76"/>
  <c r="O52" i="76"/>
  <c r="O57" i="76"/>
  <c r="O99" i="76"/>
  <c r="O66" i="76"/>
  <c r="O47" i="76"/>
  <c r="O10" i="76"/>
  <c r="C19" i="64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A4" i="16"/>
  <c r="B4" i="16"/>
  <c r="D4" i="16"/>
  <c r="C68" i="67" l="1"/>
  <c r="O5" i="67"/>
  <c r="C58" i="67"/>
  <c r="C64" i="67" s="1"/>
  <c r="N12" i="80"/>
  <c r="F20" i="67"/>
  <c r="J8" i="80"/>
  <c r="F28" i="67"/>
  <c r="C63" i="67"/>
  <c r="C44" i="67"/>
  <c r="J5" i="80" s="1"/>
  <c r="O10" i="1"/>
  <c r="C41" i="67" s="1"/>
  <c r="C37" i="67"/>
  <c r="U34" i="76"/>
  <c r="U34" i="64"/>
  <c r="F15" i="3"/>
  <c r="G5" i="16"/>
  <c r="Z34" i="16" s="1"/>
  <c r="G26" i="16"/>
  <c r="G25" i="16"/>
  <c r="C45" i="67" l="1"/>
  <c r="J12" i="80" s="1"/>
  <c r="J15" i="80"/>
  <c r="F24" i="67"/>
  <c r="C48" i="67"/>
  <c r="C54" i="67" s="1"/>
  <c r="C50" i="67"/>
  <c r="C47" i="67"/>
  <c r="C53" i="67" s="1"/>
  <c r="G6" i="16"/>
  <c r="Y34" i="16" s="1"/>
  <c r="C51" i="67" l="1"/>
  <c r="O6" i="67"/>
  <c r="C46" i="67"/>
  <c r="C52" i="67" s="1"/>
  <c r="C354" i="16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tc={63AEECDB-C046-4516-974E-533411165E55}</author>
    <author>tc={7B5CB482-35CC-4D2D-9A25-BD7B294630E5}</author>
  </authors>
  <commentList>
    <comment ref="G19" authorId="0" shapeId="0" xr:uid="{63AEECDB-C046-4516-974E-533411165E5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7B5CB482-35CC-4D2D-9A25-BD7B294630E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<sst xmlns="http://schemas.openxmlformats.org/spreadsheetml/2006/main" count="1380" uniqueCount="363">
  <si>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</si>
  <si>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</si>
  <si>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</si>
  <si>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</si>
  <si>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</si>
  <si>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</si>
  <si>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</si>
  <si>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</si>
  <si>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</si>
  <si>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</si>
  <si>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</si>
  <si>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</si>
  <si>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</si>
  <si>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</si>
  <si>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</si>
  <si>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</si>
  <si>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</si>
  <si>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</si>
  <si>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</si>
  <si>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</si>
  <si>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</si>
  <si>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</si>
  <si>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</si>
  <si>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</si>
  <si>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</si>
  <si>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</si>
  <si>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</si>
  <si>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</si>
  <si>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</si>
  <si>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</si>
  <si>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</si>
  <si>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</si>
  <si>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</si>
  <si>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</si>
  <si>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</si>
  <si>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</si>
  <si>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</si>
  <si>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</si>
  <si>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</si>
  <si>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</si>
  <si>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</si>
  <si>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</si>
  <si>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</si>
  <si>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</si>
  <si>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</si>
  <si>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</si>
  <si>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</si>
  <si>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</si>
  <si>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</si>
  <si>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</si>
  <si>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</si>
  <si>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</si>
  <si>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</si>
  <si>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</si>
  <si>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</si>
  <si>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</si>
  <si>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</si>
  <si>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</si>
  <si>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</si>
  <si>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</si>
  <si>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</si>
  <si>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</si>
  <si>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</si>
  <si>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</si>
  <si>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</si>
  <si>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</si>
  <si>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</si>
  <si>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</si>
  <si>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</si>
  <si>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</si>
  <si>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</si>
  <si>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</si>
  <si>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</si>
  <si>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</si>
  <si>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</si>
  <si>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</si>
  <si>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</si>
  <si>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</si>
  <si>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</si>
  <si>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</si>
  <si>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</si>
  <si>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</si>
  <si>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</si>
  <si>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</si>
  <si>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</si>
  <si>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</si>
  <si>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</si>
  <si>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</si>
  <si>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</si>
  <si>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</si>
  <si>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</si>
  <si>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</si>
  <si>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</si>
  <si>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</si>
  <si>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</si>
  <si>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</si>
  <si>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</si>
  <si>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</si>
  <si>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</si>
  <si>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</si>
  <si>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</si>
  <si>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</si>
  <si>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</si>
  <si>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</si>
  <si>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</si>
  <si>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</si>
  <si>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</si>
  <si>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</si>
  <si>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</si>
  <si>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</si>
  <si>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</si>
  <si>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</si>
  <si>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</si>
  <si>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</si>
  <si>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</si>
  <si>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</si>
  <si>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</si>
  <si>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</si>
  <si>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</si>
  <si>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</si>
  <si>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</si>
  <si>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</si>
  <si>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</si>
  <si>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</si>
  <si>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</si>
  <si>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</si>
  <si>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</si>
  <si>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</si>
  <si>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</si>
  <si>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</si>
  <si>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</si>
  <si>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</si>
  <si>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</si>
  <si>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</si>
  <si>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</si>
  <si>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</si>
  <si>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</si>
  <si>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</si>
  <si>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</si>
  <si>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</si>
  <si>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</si>
  <si>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</si>
  <si>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</si>
  <si>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</si>
  <si>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</si>
  <si>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</si>
  <si>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</si>
  <si>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</si>
  <si>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</si>
  <si>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</si>
  <si>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</si>
  <si>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</si>
  <si>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</si>
  <si>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</si>
  <si>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</si>
  <si>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</si>
  <si>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</si>
  <si>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</si>
  <si>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</si>
  <si>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</si>
  <si>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</si>
  <si>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</si>
  <si>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</si>
  <si>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</si>
  <si>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</si>
  <si>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</si>
  <si>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</si>
  <si>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</si>
  <si>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</si>
  <si>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</si>
  <si>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</si>
  <si>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</si>
  <si>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</si>
  <si>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</si>
  <si>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</si>
  <si>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</si>
  <si>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</si>
  <si>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</si>
  <si>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</si>
  <si>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</si>
  <si>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</si>
  <si>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</si>
  <si>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</si>
  <si>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</si>
  <si>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</si>
  <si>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</si>
  <si>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</si>
  <si>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</si>
  <si>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</si>
  <si>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</si>
  <si>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</si>
  <si>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</si>
  <si>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</si>
  <si>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</si>
  <si>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</si>
  <si>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</si>
  <si>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</si>
  <si>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</si>
  <si>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</si>
  <si>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</si>
  <si>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</si>
  <si>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</si>
  <si>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</si>
  <si>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</si>
  <si>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</si>
  <si>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</si>
  <si>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</si>
  <si>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</si>
  <si>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</si>
  <si>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</si>
  <si>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</si>
  <si>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</si>
  <si>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</si>
  <si>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</si>
  <si>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</si>
  <si>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</si>
  <si>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</si>
  <si>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</si>
  <si>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</si>
  <si>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</si>
  <si>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</si>
  <si>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</si>
  <si>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</si>
  <si>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</si>
  <si>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</si>
  <si>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</si>
  <si>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</si>
  <si>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</si>
  <si>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</si>
  <si>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</si>
  <si>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</si>
  <si>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</si>
  <si>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</si>
  <si>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</si>
  <si>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</si>
  <si>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</si>
  <si>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</si>
  <si>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</si>
  <si>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</si>
  <si>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</si>
  <si>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</si>
  <si>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</si>
  <si>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</si>
  <si>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</si>
  <si>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</si>
  <si>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</si>
  <si>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</si>
  <si>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</si>
  <si>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</si>
  <si>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</si>
  <si>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</si>
  <si>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</si>
  <si>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</si>
  <si>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</si>
  <si>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</si>
  <si>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</si>
  <si>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</si>
  <si>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</si>
  <si>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</si>
  <si>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</si>
  <si>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</si>
  <si>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</si>
  <si>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</si>
  <si>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</si>
  <si>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</si>
  <si>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</si>
  <si>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</si>
  <si>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</si>
  <si>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</si>
  <si>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</si>
  <si>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</si>
  <si>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</si>
  <si>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</si>
  <si>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</si>
  <si>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</si>
  <si>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</si>
  <si>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</si>
  <si>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</si>
  <si>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</si>
  <si>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</si>
  <si>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</si>
  <si>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</si>
  <si>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</si>
  <si>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</si>
  <si>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</si>
  <si>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</si>
  <si>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</si>
  <si>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</si>
  <si>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</si>
  <si>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</si>
  <si>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</si>
  <si>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</si>
  <si>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</si>
  <si>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</si>
  <si>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</si>
  <si>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</si>
  <si>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</si>
  <si>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</si>
  <si>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</si>
  <si>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</si>
  <si>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</si>
  <si>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</si>
  <si>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</si>
  <si>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</si>
  <si>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</si>
  <si>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</si>
  <si>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</si>
  <si>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</si>
  <si>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</si>
  <si>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</si>
  <si>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</si>
  <si>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</si>
  <si>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</si>
  <si>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</si>
  <si>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</si>
  <si>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</si>
  <si>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</si>
  <si>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</si>
  <si>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</si>
  <si>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</si>
  <si>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</si>
  <si>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</si>
  <si>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</si>
  <si>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T1_Re5 000_M0 84_N5 0_XtrTop 5%</t>
  </si>
  <si>
    <t>y_Clmax</t>
  </si>
  <si>
    <t>%yClmax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</si>
  <si>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</si>
  <si>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</si>
  <si>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</si>
  <si>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</si>
  <si>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</si>
  <si>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</si>
  <si>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</si>
  <si>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</si>
  <si>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</si>
  <si>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</si>
  <si>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</si>
  <si>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Horizontal Tail</t>
  </si>
  <si>
    <t>Section 3</t>
  </si>
  <si>
    <t>Section 4</t>
  </si>
  <si>
    <t>Vertical Tail</t>
  </si>
  <si>
    <t>CM</t>
  </si>
  <si>
    <t>x^1 / ln(x)</t>
  </si>
  <si>
    <t>ln</t>
  </si>
  <si>
    <t>poly</t>
  </si>
  <si>
    <t>Dash</t>
  </si>
  <si>
    <t>-1 deg twist</t>
  </si>
  <si>
    <t>Adflow parasitic polars, wave subtracted</t>
  </si>
  <si>
    <t>Previous</t>
  </si>
  <si>
    <t>LE sweep wing</t>
  </si>
  <si>
    <t>LE sweep h-tail</t>
  </si>
  <si>
    <t>LE sweep v-tail</t>
  </si>
  <si>
    <t>AR</t>
  </si>
  <si>
    <t>Elevator</t>
  </si>
  <si>
    <t>x_np</t>
  </si>
  <si>
    <t>SM</t>
  </si>
  <si>
    <t>Sweep (deg)</t>
  </si>
  <si>
    <t>CDwing</t>
  </si>
  <si>
    <t>LE_MAC</t>
  </si>
  <si>
    <t>x_MAC_VT</t>
  </si>
  <si>
    <t>x_MAC_HT</t>
  </si>
  <si>
    <t>Full Flaps</t>
  </si>
  <si>
    <t>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</si>
</sst>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%"/>
  </numFmts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11" fontId="0" fillId="0" borderId="7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" xfId="0" quotePrefix="1" applyBorder="1"/>
    <xf numFmtId="11" fontId="0" fillId="0" borderId="1" xfId="0" applyNumberFormat="1" applyBorder="1"/>
    <xf numFmtId="164" fontId="0" fillId="0" borderId="0" xfId="0" applyNumberFormat="1"/>
    <xf numFmtId="0" fontId="2" fillId="0" borderId="0" xfId="0" applyFont="1"/>
    <xf numFmtId="0" fontId="2" fillId="0" borderId="0" xfId="0" quotePrefix="1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7" xfId="0" applyFont="1" applyBorder="1"/>
    <xf numFmtId="11" fontId="2" fillId="0" borderId="7" xfId="0" applyNumberFormat="1" applyFont="1" applyBorder="1"/>
    <xf numFmtId="11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right" vertical="center" textRotation="90"/>
    </xf>
    <xf numFmtId="0" fontId="0" fillId="0" borderId="0" xfId="0" applyAlignment="1">
      <alignment horizontal="right" vertical="center" textRotation="90"/>
    </xf>
    <xf numFmtId="0" fontId="0" fillId="0" borderId="2" xfId="0" applyBorder="1" applyAlignment="1">
      <alignment horizontal="right" vertical="center" textRotation="90"/>
    </xf>
    <xf numFmtId="0" fontId="2" fillId="0" borderId="12" xfId="0" applyFont="1" applyBorder="1" applyAlignment="1">
      <alignment horizontal="right" vertical="center" textRotation="90"/>
    </xf>
    <xf numFmtId="0" fontId="2" fillId="0" borderId="0" xfId="0" applyFont="1" applyAlignment="1">
      <alignment horizontal="right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9.9585825554046915E-3</c:v>
                </c:pt>
                <c:pt idx="1">
                  <c:v>9.8896057142342474E-3</c:v>
                </c:pt>
                <c:pt idx="2">
                  <c:v>9.8213291455629959E-3</c:v>
                </c:pt>
                <c:pt idx="3">
                  <c:v>9.7537528493909353E-3</c:v>
                </c:pt>
                <c:pt idx="4">
                  <c:v>9.6868768257180691E-3</c:v>
                </c:pt>
                <c:pt idx="5">
                  <c:v>9.6207010745443938E-3</c:v>
                </c:pt>
                <c:pt idx="6">
                  <c:v>9.555225595869913E-3</c:v>
                </c:pt>
                <c:pt idx="7">
                  <c:v>9.4904503896946213E-3</c:v>
                </c:pt>
                <c:pt idx="8">
                  <c:v>9.426375456018524E-3</c:v>
                </c:pt>
                <c:pt idx="9">
                  <c:v>9.3630007948416194E-3</c:v>
                </c:pt>
                <c:pt idx="10">
                  <c:v>9.3003264061639057E-3</c:v>
                </c:pt>
                <c:pt idx="11">
                  <c:v>9.2383522899853847E-3</c:v>
                </c:pt>
                <c:pt idx="12">
                  <c:v>9.1770784463060563E-3</c:v>
                </c:pt>
                <c:pt idx="13">
                  <c:v>9.1165048751259206E-3</c:v>
                </c:pt>
                <c:pt idx="14">
                  <c:v>9.0566315764449776E-3</c:v>
                </c:pt>
                <c:pt idx="15">
                  <c:v>8.9974585502632255E-3</c:v>
                </c:pt>
                <c:pt idx="16">
                  <c:v>8.938985796580666E-3</c:v>
                </c:pt>
                <c:pt idx="17">
                  <c:v>8.8812133153972992E-3</c:v>
                </c:pt>
                <c:pt idx="18">
                  <c:v>8.8241411067131233E-3</c:v>
                </c:pt>
                <c:pt idx="19">
                  <c:v>8.7677691705281419E-3</c:v>
                </c:pt>
                <c:pt idx="20">
                  <c:v>8.7120975068423513E-3</c:v>
                </c:pt>
                <c:pt idx="21">
                  <c:v>8.6571261156557552E-3</c:v>
                </c:pt>
                <c:pt idx="22">
                  <c:v>8.6028549969683499E-3</c:v>
                </c:pt>
                <c:pt idx="23">
                  <c:v>8.5492841507801374E-3</c:v>
                </c:pt>
                <c:pt idx="24">
                  <c:v>8.4964135770911157E-3</c:v>
                </c:pt>
                <c:pt idx="25">
                  <c:v>8.4442432759012885E-3</c:v>
                </c:pt>
                <c:pt idx="26">
                  <c:v>8.3927732472106522E-3</c:v>
                </c:pt>
                <c:pt idx="27">
                  <c:v>8.3420034910192085E-3</c:v>
                </c:pt>
                <c:pt idx="28">
                  <c:v>8.2919340073269558E-3</c:v>
                </c:pt>
                <c:pt idx="29">
                  <c:v>8.2425647961338992E-3</c:v>
                </c:pt>
                <c:pt idx="30">
                  <c:v>8.1938958574400318E-3</c:v>
                </c:pt>
                <c:pt idx="31">
                  <c:v>8.1459271912453571E-3</c:v>
                </c:pt>
                <c:pt idx="32">
                  <c:v>8.098658797549875E-3</c:v>
                </c:pt>
                <c:pt idx="33">
                  <c:v>8.0520906763535856E-3</c:v>
                </c:pt>
                <c:pt idx="34">
                  <c:v>8.0062228276564888E-3</c:v>
                </c:pt>
                <c:pt idx="35">
                  <c:v>7.961055251458583E-3</c:v>
                </c:pt>
                <c:pt idx="36">
                  <c:v>7.9165879477598716E-3</c:v>
                </c:pt>
                <c:pt idx="37">
                  <c:v>7.872820916560351E-3</c:v>
                </c:pt>
                <c:pt idx="38">
                  <c:v>7.8297541578600232E-3</c:v>
                </c:pt>
                <c:pt idx="39">
                  <c:v>7.7873876716588863E-3</c:v>
                </c:pt>
                <c:pt idx="40">
                  <c:v>7.7457214579569438E-3</c:v>
                </c:pt>
                <c:pt idx="41">
                  <c:v>7.7047555167541922E-3</c:v>
                </c:pt>
                <c:pt idx="42">
                  <c:v>7.6644898480506332E-3</c:v>
                </c:pt>
                <c:pt idx="43">
                  <c:v>7.6249244518462669E-3</c:v>
                </c:pt>
                <c:pt idx="44">
                  <c:v>7.5860593281410933E-3</c:v>
                </c:pt>
                <c:pt idx="45">
                  <c:v>7.5478944769351115E-3</c:v>
                </c:pt>
                <c:pt idx="46">
                  <c:v>7.5104298982283223E-3</c:v>
                </c:pt>
                <c:pt idx="47">
                  <c:v>7.473665592020725E-3</c:v>
                </c:pt>
                <c:pt idx="48">
                  <c:v>7.4376015583123203E-3</c:v>
                </c:pt>
                <c:pt idx="49">
                  <c:v>7.4022377971031074E-3</c:v>
                </c:pt>
                <c:pt idx="50">
                  <c:v>7.367574308393088E-3</c:v>
                </c:pt>
                <c:pt idx="51">
                  <c:v>7.3336110921822604E-3</c:v>
                </c:pt>
                <c:pt idx="52">
                  <c:v>7.3003481484706246E-3</c:v>
                </c:pt>
                <c:pt idx="53">
                  <c:v>7.2677854772581815E-3</c:v>
                </c:pt>
                <c:pt idx="54">
                  <c:v>7.235923078544931E-3</c:v>
                </c:pt>
                <c:pt idx="55">
                  <c:v>7.2047609523308723E-3</c:v>
                </c:pt>
                <c:pt idx="56">
                  <c:v>7.1742990986160054E-3</c:v>
                </c:pt>
                <c:pt idx="57">
                  <c:v>7.1445375174003321E-3</c:v>
                </c:pt>
                <c:pt idx="58">
                  <c:v>7.1154762086838505E-3</c:v>
                </c:pt>
                <c:pt idx="59">
                  <c:v>7.0871151724665616E-3</c:v>
                </c:pt>
                <c:pt idx="60">
                  <c:v>7.0594544087484645E-3</c:v>
                </c:pt>
                <c:pt idx="61">
                  <c:v>7.03249391752956E-3</c:v>
                </c:pt>
                <c:pt idx="62">
                  <c:v>7.0062336988098483E-3</c:v>
                </c:pt>
                <c:pt idx="63">
                  <c:v>6.9806737525893283E-3</c:v>
                </c:pt>
                <c:pt idx="64">
                  <c:v>6.9558140788680009E-3</c:v>
                </c:pt>
                <c:pt idx="65">
                  <c:v>6.9316546776458654E-3</c:v>
                </c:pt>
                <c:pt idx="66">
                  <c:v>6.9081955489229225E-3</c:v>
                </c:pt>
                <c:pt idx="67">
                  <c:v>6.8854366926991723E-3</c:v>
                </c:pt>
                <c:pt idx="68">
                  <c:v>6.8633781089746139E-3</c:v>
                </c:pt>
                <c:pt idx="69">
                  <c:v>6.8420197977492481E-3</c:v>
                </c:pt>
                <c:pt idx="70">
                  <c:v>6.8213617590230742E-3</c:v>
                </c:pt>
                <c:pt idx="71">
                  <c:v>6.8014039927960929E-3</c:v>
                </c:pt>
                <c:pt idx="72">
                  <c:v>6.7821464990683042E-3</c:v>
                </c:pt>
                <c:pt idx="73">
                  <c:v>6.7635892778397074E-3</c:v>
                </c:pt>
                <c:pt idx="74">
                  <c:v>6.7457323291103032E-3</c:v>
                </c:pt>
                <c:pt idx="75">
                  <c:v>6.7285756528800908E-3</c:v>
                </c:pt>
                <c:pt idx="76">
                  <c:v>6.7121192491490711E-3</c:v>
                </c:pt>
                <c:pt idx="77">
                  <c:v>6.696363117917244E-3</c:v>
                </c:pt>
                <c:pt idx="78">
                  <c:v>6.6813072591846096E-3</c:v>
                </c:pt>
                <c:pt idx="79">
                  <c:v>6.6669516729511661E-3</c:v>
                </c:pt>
                <c:pt idx="80">
                  <c:v>6.6532963592169161E-3</c:v>
                </c:pt>
                <c:pt idx="81">
                  <c:v>6.640341317981858E-3</c:v>
                </c:pt>
                <c:pt idx="82">
                  <c:v>6.6280865492459925E-3</c:v>
                </c:pt>
                <c:pt idx="83">
                  <c:v>6.6165320530093188E-3</c:v>
                </c:pt>
                <c:pt idx="84">
                  <c:v>6.6056778292718377E-3</c:v>
                </c:pt>
                <c:pt idx="85">
                  <c:v>6.5955238780335494E-3</c:v>
                </c:pt>
                <c:pt idx="86">
                  <c:v>6.5860701992944528E-3</c:v>
                </c:pt>
                <c:pt idx="87">
                  <c:v>6.5773167930545488E-3</c:v>
                </c:pt>
                <c:pt idx="88">
                  <c:v>6.5692636593138367E-3</c:v>
                </c:pt>
                <c:pt idx="89">
                  <c:v>6.5619107980723181E-3</c:v>
                </c:pt>
                <c:pt idx="90">
                  <c:v>6.5552582093299904E-3</c:v>
                </c:pt>
                <c:pt idx="91">
                  <c:v>6.5493058930868563E-3</c:v>
                </c:pt>
                <c:pt idx="92">
                  <c:v>6.544053849342913E-3</c:v>
                </c:pt>
                <c:pt idx="93">
                  <c:v>6.5395020780981633E-3</c:v>
                </c:pt>
                <c:pt idx="94">
                  <c:v>6.5356505793526054E-3</c:v>
                </c:pt>
                <c:pt idx="95">
                  <c:v>6.5324993531062402E-3</c:v>
                </c:pt>
                <c:pt idx="96">
                  <c:v>6.5300483993590668E-3</c:v>
                </c:pt>
                <c:pt idx="97">
                  <c:v>6.528297718111086E-3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-0.25730083567386902</c:v>
                </c:pt>
                <c:pt idx="1">
                  <c:v>-0.25513963277687934</c:v>
                </c:pt>
                <c:pt idx="2">
                  <c:v>-0.25297842987988967</c:v>
                </c:pt>
                <c:pt idx="3">
                  <c:v>-0.25081722698289999</c:v>
                </c:pt>
                <c:pt idx="4">
                  <c:v>-0.24865602408591034</c:v>
                </c:pt>
                <c:pt idx="5">
                  <c:v>-0.24649482118892066</c:v>
                </c:pt>
                <c:pt idx="6">
                  <c:v>-0.24433361829193101</c:v>
                </c:pt>
                <c:pt idx="7">
                  <c:v>-0.24217241539494133</c:v>
                </c:pt>
                <c:pt idx="8">
                  <c:v>-0.24001121249795165</c:v>
                </c:pt>
                <c:pt idx="9">
                  <c:v>-0.23785000960096198</c:v>
                </c:pt>
                <c:pt idx="10">
                  <c:v>-0.23568880670397233</c:v>
                </c:pt>
                <c:pt idx="11">
                  <c:v>-0.23352760380698265</c:v>
                </c:pt>
                <c:pt idx="12">
                  <c:v>-0.23136640090999297</c:v>
                </c:pt>
                <c:pt idx="13">
                  <c:v>-0.22920519801300332</c:v>
                </c:pt>
                <c:pt idx="14">
                  <c:v>-0.22704399511601364</c:v>
                </c:pt>
                <c:pt idx="15">
                  <c:v>-0.22488279221902396</c:v>
                </c:pt>
                <c:pt idx="16">
                  <c:v>-0.22272158932203429</c:v>
                </c:pt>
                <c:pt idx="17">
                  <c:v>-0.22056038642504461</c:v>
                </c:pt>
                <c:pt idx="18">
                  <c:v>-0.21839918352805496</c:v>
                </c:pt>
                <c:pt idx="19">
                  <c:v>-0.21623798063106528</c:v>
                </c:pt>
                <c:pt idx="20">
                  <c:v>-0.2140767777340756</c:v>
                </c:pt>
                <c:pt idx="21">
                  <c:v>-0.21191557483708595</c:v>
                </c:pt>
                <c:pt idx="22">
                  <c:v>-0.20975437194009627</c:v>
                </c:pt>
                <c:pt idx="23">
                  <c:v>-0.2075931690431066</c:v>
                </c:pt>
                <c:pt idx="24">
                  <c:v>-0.20543196614611692</c:v>
                </c:pt>
                <c:pt idx="25">
                  <c:v>-0.20327076324912727</c:v>
                </c:pt>
                <c:pt idx="26">
                  <c:v>-0.20110956035213759</c:v>
                </c:pt>
                <c:pt idx="27">
                  <c:v>-0.19894835745514791</c:v>
                </c:pt>
                <c:pt idx="28">
                  <c:v>-0.19678715455815823</c:v>
                </c:pt>
                <c:pt idx="29">
                  <c:v>-0.19462595166116858</c:v>
                </c:pt>
                <c:pt idx="30">
                  <c:v>-0.19246474876417891</c:v>
                </c:pt>
                <c:pt idx="31">
                  <c:v>-0.19030354586718923</c:v>
                </c:pt>
                <c:pt idx="32">
                  <c:v>-0.18814234297019955</c:v>
                </c:pt>
                <c:pt idx="33">
                  <c:v>-0.18598114007320987</c:v>
                </c:pt>
                <c:pt idx="34">
                  <c:v>-0.18381993717622022</c:v>
                </c:pt>
                <c:pt idx="35">
                  <c:v>-0.18165873427923054</c:v>
                </c:pt>
                <c:pt idx="36">
                  <c:v>-0.17949753138224089</c:v>
                </c:pt>
                <c:pt idx="37">
                  <c:v>-0.17733632848525122</c:v>
                </c:pt>
                <c:pt idx="38">
                  <c:v>-0.17517512558826154</c:v>
                </c:pt>
                <c:pt idx="39">
                  <c:v>-0.17301392269127186</c:v>
                </c:pt>
                <c:pt idx="40">
                  <c:v>-0.17085271979428218</c:v>
                </c:pt>
                <c:pt idx="41">
                  <c:v>-0.1686915168972925</c:v>
                </c:pt>
                <c:pt idx="42">
                  <c:v>-0.16653031400030285</c:v>
                </c:pt>
                <c:pt idx="43">
                  <c:v>-0.16436911110331318</c:v>
                </c:pt>
                <c:pt idx="44">
                  <c:v>-0.1622079082063235</c:v>
                </c:pt>
                <c:pt idx="45">
                  <c:v>-0.16004670530933385</c:v>
                </c:pt>
                <c:pt idx="46">
                  <c:v>-0.15788550241234417</c:v>
                </c:pt>
                <c:pt idx="47">
                  <c:v>-0.15572429951535449</c:v>
                </c:pt>
                <c:pt idx="48">
                  <c:v>-0.15356309661836481</c:v>
                </c:pt>
                <c:pt idx="49">
                  <c:v>-0.15140189372137514</c:v>
                </c:pt>
                <c:pt idx="50">
                  <c:v>-0.14924069082438551</c:v>
                </c:pt>
                <c:pt idx="51">
                  <c:v>-0.14707948792739584</c:v>
                </c:pt>
                <c:pt idx="52">
                  <c:v>-0.14491828503040616</c:v>
                </c:pt>
                <c:pt idx="53">
                  <c:v>-0.14275708213341648</c:v>
                </c:pt>
                <c:pt idx="54">
                  <c:v>-0.1405958792364268</c:v>
                </c:pt>
                <c:pt idx="55">
                  <c:v>-0.13843467633943712</c:v>
                </c:pt>
                <c:pt idx="56">
                  <c:v>-0.13627347344244745</c:v>
                </c:pt>
                <c:pt idx="57">
                  <c:v>-0.13411227054545777</c:v>
                </c:pt>
                <c:pt idx="58">
                  <c:v>-0.13195106764846812</c:v>
                </c:pt>
                <c:pt idx="59">
                  <c:v>-0.12978986475147844</c:v>
                </c:pt>
                <c:pt idx="60">
                  <c:v>-0.12762866185448876</c:v>
                </c:pt>
                <c:pt idx="61">
                  <c:v>-0.12546745895749911</c:v>
                </c:pt>
                <c:pt idx="62">
                  <c:v>-0.12330625606050943</c:v>
                </c:pt>
                <c:pt idx="63">
                  <c:v>-0.12114505316351978</c:v>
                </c:pt>
                <c:pt idx="64">
                  <c:v>-0.11898385026653011</c:v>
                </c:pt>
                <c:pt idx="65">
                  <c:v>-0.11682264736954043</c:v>
                </c:pt>
                <c:pt idx="66">
                  <c:v>-0.11466144447255075</c:v>
                </c:pt>
                <c:pt idx="67">
                  <c:v>-0.1125002415755611</c:v>
                </c:pt>
                <c:pt idx="68">
                  <c:v>-0.11033903867857142</c:v>
                </c:pt>
                <c:pt idx="69">
                  <c:v>-0.10817783578158174</c:v>
                </c:pt>
                <c:pt idx="70">
                  <c:v>-0.10601663288459207</c:v>
                </c:pt>
                <c:pt idx="71">
                  <c:v>-0.10385542998760242</c:v>
                </c:pt>
                <c:pt idx="72">
                  <c:v>-0.10169422709061274</c:v>
                </c:pt>
                <c:pt idx="73">
                  <c:v>-9.953302419362306E-2</c:v>
                </c:pt>
                <c:pt idx="74">
                  <c:v>-9.737182129663341E-2</c:v>
                </c:pt>
                <c:pt idx="75">
                  <c:v>-9.5210618399643732E-2</c:v>
                </c:pt>
                <c:pt idx="76">
                  <c:v>-9.3049415502654054E-2</c:v>
                </c:pt>
                <c:pt idx="77">
                  <c:v>-9.0888212605664376E-2</c:v>
                </c:pt>
                <c:pt idx="78">
                  <c:v>-8.8727009708674726E-2</c:v>
                </c:pt>
                <c:pt idx="79">
                  <c:v>-8.6565806811685048E-2</c:v>
                </c:pt>
                <c:pt idx="80">
                  <c:v>-8.440460391469537E-2</c:v>
                </c:pt>
                <c:pt idx="81">
                  <c:v>-8.2243401017705692E-2</c:v>
                </c:pt>
                <c:pt idx="82">
                  <c:v>-8.0082198120716014E-2</c:v>
                </c:pt>
                <c:pt idx="83">
                  <c:v>-7.7920995223726364E-2</c:v>
                </c:pt>
                <c:pt idx="84">
                  <c:v>-7.5759792326736686E-2</c:v>
                </c:pt>
                <c:pt idx="85">
                  <c:v>-7.3598589429747008E-2</c:v>
                </c:pt>
                <c:pt idx="86">
                  <c:v>-7.143738653275733E-2</c:v>
                </c:pt>
                <c:pt idx="87">
                  <c:v>-6.9276183635767652E-2</c:v>
                </c:pt>
                <c:pt idx="88">
                  <c:v>-6.7114980738777974E-2</c:v>
                </c:pt>
                <c:pt idx="89">
                  <c:v>-6.4953777841788352E-2</c:v>
                </c:pt>
                <c:pt idx="90">
                  <c:v>-6.2792574944798674E-2</c:v>
                </c:pt>
                <c:pt idx="91">
                  <c:v>-6.0631372047808996E-2</c:v>
                </c:pt>
                <c:pt idx="92">
                  <c:v>-5.8470169150819318E-2</c:v>
                </c:pt>
                <c:pt idx="93">
                  <c:v>-5.630896625382964E-2</c:v>
                </c:pt>
                <c:pt idx="94">
                  <c:v>-5.414776335683999E-2</c:v>
                </c:pt>
                <c:pt idx="95">
                  <c:v>-5.1986560459850312E-2</c:v>
                </c:pt>
                <c:pt idx="96">
                  <c:v>-4.9825357562860634E-2</c:v>
                </c:pt>
                <c:pt idx="97">
                  <c:v>-4.7664154665870956E-2</c:v>
                </c:pt>
                <c:pt idx="98">
                  <c:v>-4.5502951768881278E-2</c:v>
                </c:pt>
                <c:pt idx="99">
                  <c:v>-4.3341748871891655E-2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1.4320977974459664E-2</c:v>
                </c:pt>
                <c:pt idx="2">
                  <c:v>1.4162726646235729E-2</c:v>
                </c:pt>
                <c:pt idx="3">
                  <c:v>1.4006098408557682E-2</c:v>
                </c:pt>
                <c:pt idx="4">
                  <c:v>1.385109326142552E-2</c:v>
                </c:pt>
                <c:pt idx="5">
                  <c:v>1.3697711204839248E-2</c:v>
                </c:pt>
                <c:pt idx="6">
                  <c:v>1.3545952238798859E-2</c:v>
                </c:pt>
                <c:pt idx="7">
                  <c:v>1.3395816363304358E-2</c:v>
                </c:pt>
                <c:pt idx="8">
                  <c:v>1.3247303578355744E-2</c:v>
                </c:pt>
                <c:pt idx="9">
                  <c:v>1.3100413883953017E-2</c:v>
                </c:pt>
                <c:pt idx="10">
                  <c:v>1.2955147280096176E-2</c:v>
                </c:pt>
                <c:pt idx="11">
                  <c:v>1.2811503766785221E-2</c:v>
                </c:pt>
                <c:pt idx="12">
                  <c:v>1.2669483344020151E-2</c:v>
                </c:pt>
                <c:pt idx="13">
                  <c:v>1.2529086011800968E-2</c:v>
                </c:pt>
                <c:pt idx="14">
                  <c:v>1.2390311770127675E-2</c:v>
                </c:pt>
                <c:pt idx="15">
                  <c:v>1.2253160619000263E-2</c:v>
                </c:pt>
                <c:pt idx="16">
                  <c:v>1.2117632558418742E-2</c:v>
                </c:pt>
                <c:pt idx="17">
                  <c:v>1.1983727588383107E-2</c:v>
                </c:pt>
                <c:pt idx="18">
                  <c:v>1.1851445708893356E-2</c:v>
                </c:pt>
                <c:pt idx="19">
                  <c:v>1.1720786919949494E-2</c:v>
                </c:pt>
                <c:pt idx="20">
                  <c:v>1.1591751221551518E-2</c:v>
                </c:pt>
                <c:pt idx="21">
                  <c:v>1.1464338613699427E-2</c:v>
                </c:pt>
                <c:pt idx="22">
                  <c:v>1.1338549096393223E-2</c:v>
                </c:pt>
                <c:pt idx="23">
                  <c:v>1.1214382669632907E-2</c:v>
                </c:pt>
                <c:pt idx="24">
                  <c:v>1.1091839333418476E-2</c:v>
                </c:pt>
                <c:pt idx="25">
                  <c:v>1.0970919087749931E-2</c:v>
                </c:pt>
                <c:pt idx="26">
                  <c:v>1.0851621932627273E-2</c:v>
                </c:pt>
                <c:pt idx="27">
                  <c:v>1.0733947868050504E-2</c:v>
                </c:pt>
                <c:pt idx="28">
                  <c:v>1.0617896894019617E-2</c:v>
                </c:pt>
                <c:pt idx="29">
                  <c:v>1.050346901053462E-2</c:v>
                </c:pt>
                <c:pt idx="30">
                  <c:v>1.0390664217595507E-2</c:v>
                </c:pt>
                <c:pt idx="31">
                  <c:v>1.0279482515202283E-2</c:v>
                </c:pt>
                <c:pt idx="32">
                  <c:v>1.0169923903354944E-2</c:v>
                </c:pt>
                <c:pt idx="33">
                  <c:v>1.0061988382053492E-2</c:v>
                </c:pt>
                <c:pt idx="34">
                  <c:v>9.9556759512979265E-3</c:v>
                </c:pt>
                <c:pt idx="35">
                  <c:v>9.8509866110882485E-3</c:v>
                </c:pt>
                <c:pt idx="36">
                  <c:v>9.7479203614244548E-3</c:v>
                </c:pt>
                <c:pt idx="37">
                  <c:v>9.6464772023065488E-3</c:v>
                </c:pt>
                <c:pt idx="38">
                  <c:v>9.5466571337345287E-3</c:v>
                </c:pt>
                <c:pt idx="39">
                  <c:v>9.4484601557083964E-3</c:v>
                </c:pt>
                <c:pt idx="40">
                  <c:v>9.35188626822815E-3</c:v>
                </c:pt>
                <c:pt idx="41">
                  <c:v>9.2569354712937896E-3</c:v>
                </c:pt>
                <c:pt idx="42">
                  <c:v>9.1636077649053169E-3</c:v>
                </c:pt>
                <c:pt idx="43">
                  <c:v>9.0719031490627284E-3</c:v>
                </c:pt>
                <c:pt idx="44">
                  <c:v>8.9818216237660276E-3</c:v>
                </c:pt>
                <c:pt idx="45">
                  <c:v>8.8933631890152146E-3</c:v>
                </c:pt>
                <c:pt idx="46">
                  <c:v>8.8065278448102857E-3</c:v>
                </c:pt>
                <c:pt idx="47">
                  <c:v>8.7213155911512463E-3</c:v>
                </c:pt>
                <c:pt idx="48">
                  <c:v>8.6377264280380912E-3</c:v>
                </c:pt>
                <c:pt idx="49">
                  <c:v>8.555760355470822E-3</c:v>
                </c:pt>
                <c:pt idx="50">
                  <c:v>8.4754173734494405E-3</c:v>
                </c:pt>
                <c:pt idx="51">
                  <c:v>8.3966974819739467E-3</c:v>
                </c:pt>
                <c:pt idx="52">
                  <c:v>8.3196006810443372E-3</c:v>
                </c:pt>
                <c:pt idx="53">
                  <c:v>8.2441269706606153E-3</c:v>
                </c:pt>
                <c:pt idx="54">
                  <c:v>8.1702763508227794E-3</c:v>
                </c:pt>
                <c:pt idx="55">
                  <c:v>8.0980488215308313E-3</c:v>
                </c:pt>
                <c:pt idx="56">
                  <c:v>8.0274443827847673E-3</c:v>
                </c:pt>
                <c:pt idx="57">
                  <c:v>7.9584630345845911E-3</c:v>
                </c:pt>
                <c:pt idx="58">
                  <c:v>7.8911047769303026E-3</c:v>
                </c:pt>
                <c:pt idx="59">
                  <c:v>7.8253696098218983E-3</c:v>
                </c:pt>
                <c:pt idx="60">
                  <c:v>7.7612575332593817E-3</c:v>
                </c:pt>
                <c:pt idx="61">
                  <c:v>7.6987685472427528E-3</c:v>
                </c:pt>
                <c:pt idx="62">
                  <c:v>7.637902651772009E-3</c:v>
                </c:pt>
                <c:pt idx="63">
                  <c:v>7.5786598468471512E-3</c:v>
                </c:pt>
                <c:pt idx="64">
                  <c:v>7.5210401324681811E-3</c:v>
                </c:pt>
                <c:pt idx="65">
                  <c:v>7.4650435086350969E-3</c:v>
                </c:pt>
                <c:pt idx="66">
                  <c:v>7.4106699753478987E-3</c:v>
                </c:pt>
                <c:pt idx="67">
                  <c:v>7.3579195326065874E-3</c:v>
                </c:pt>
                <c:pt idx="68">
                  <c:v>7.3067921804111629E-3</c:v>
                </c:pt>
                <c:pt idx="69">
                  <c:v>7.2572879187616252E-3</c:v>
                </c:pt>
                <c:pt idx="70">
                  <c:v>7.2094067476579735E-3</c:v>
                </c:pt>
                <c:pt idx="71">
                  <c:v>7.1631486671002087E-3</c:v>
                </c:pt>
                <c:pt idx="72">
                  <c:v>7.1185136770883289E-3</c:v>
                </c:pt>
                <c:pt idx="73">
                  <c:v>7.0755017776223377E-3</c:v>
                </c:pt>
                <c:pt idx="74">
                  <c:v>7.0341129687022316E-3</c:v>
                </c:pt>
                <c:pt idx="75">
                  <c:v>6.9943472503280132E-3</c:v>
                </c:pt>
                <c:pt idx="76">
                  <c:v>6.95620462249968E-3</c:v>
                </c:pt>
                <c:pt idx="77">
                  <c:v>6.9196850852172344E-3</c:v>
                </c:pt>
                <c:pt idx="78">
                  <c:v>6.8847886384806739E-3</c:v>
                </c:pt>
                <c:pt idx="79">
                  <c:v>6.8515152822900011E-3</c:v>
                </c:pt>
                <c:pt idx="80">
                  <c:v>6.8198650166452143E-3</c:v>
                </c:pt>
                <c:pt idx="81">
                  <c:v>6.7898378415463135E-3</c:v>
                </c:pt>
                <c:pt idx="82">
                  <c:v>6.7614337569933004E-3</c:v>
                </c:pt>
                <c:pt idx="83">
                  <c:v>6.7346527629861732E-3</c:v>
                </c:pt>
                <c:pt idx="84">
                  <c:v>6.709494859524932E-3</c:v>
                </c:pt>
                <c:pt idx="85">
                  <c:v>6.6859600466095776E-3</c:v>
                </c:pt>
                <c:pt idx="86">
                  <c:v>6.6640483242401101E-3</c:v>
                </c:pt>
                <c:pt idx="87">
                  <c:v>6.6437596924165294E-3</c:v>
                </c:pt>
                <c:pt idx="88">
                  <c:v>6.6250941511388347E-3</c:v>
                </c:pt>
                <c:pt idx="89">
                  <c:v>6.608051700407026E-3</c:v>
                </c:pt>
                <c:pt idx="90">
                  <c:v>6.5926323402211041E-3</c:v>
                </c:pt>
                <c:pt idx="91">
                  <c:v>6.578836070581069E-3</c:v>
                </c:pt>
                <c:pt idx="92">
                  <c:v>6.5666628914869208E-3</c:v>
                </c:pt>
                <c:pt idx="93">
                  <c:v>6.5561128029386585E-3</c:v>
                </c:pt>
                <c:pt idx="94">
                  <c:v>6.5471858049362831E-3</c:v>
                </c:pt>
                <c:pt idx="95">
                  <c:v>6.5398818974797936E-3</c:v>
                </c:pt>
                <c:pt idx="96">
                  <c:v>6.534201080569191E-3</c:v>
                </c:pt>
                <c:pt idx="97">
                  <c:v>6.5301433542044743E-3</c:v>
                </c:pt>
                <c:pt idx="98">
                  <c:v>6.5277087183856445E-3</c:v>
                </c:pt>
                <c:pt idx="99">
                  <c:v>6.5268971731127015E-3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0.6624988740323341</c:v>
                </c:pt>
                <c:pt idx="2">
                  <c:v>0.65529641869657662</c:v>
                </c:pt>
                <c:pt idx="3">
                  <c:v>0.64809396336081926</c:v>
                </c:pt>
                <c:pt idx="4">
                  <c:v>0.64089150802506178</c:v>
                </c:pt>
                <c:pt idx="5">
                  <c:v>0.63368905268930442</c:v>
                </c:pt>
                <c:pt idx="6">
                  <c:v>0.62648659735354706</c:v>
                </c:pt>
                <c:pt idx="7">
                  <c:v>0.61928414201778959</c:v>
                </c:pt>
                <c:pt idx="8">
                  <c:v>0.61208168668203222</c:v>
                </c:pt>
                <c:pt idx="9">
                  <c:v>0.60487923134627475</c:v>
                </c:pt>
                <c:pt idx="10">
                  <c:v>0.59767677601051739</c:v>
                </c:pt>
                <c:pt idx="11">
                  <c:v>0.59047432067476002</c:v>
                </c:pt>
                <c:pt idx="12">
                  <c:v>0.58327186533900255</c:v>
                </c:pt>
                <c:pt idx="13">
                  <c:v>0.57606941000324519</c:v>
                </c:pt>
                <c:pt idx="14">
                  <c:v>0.56886695466748782</c:v>
                </c:pt>
                <c:pt idx="15">
                  <c:v>0.56166449933173035</c:v>
                </c:pt>
                <c:pt idx="16">
                  <c:v>0.55446204399597299</c:v>
                </c:pt>
                <c:pt idx="17">
                  <c:v>0.54725958866021562</c:v>
                </c:pt>
                <c:pt idx="18">
                  <c:v>0.54005713332445815</c:v>
                </c:pt>
                <c:pt idx="19">
                  <c:v>0.53285467798870079</c:v>
                </c:pt>
                <c:pt idx="20">
                  <c:v>0.52565222265294331</c:v>
                </c:pt>
                <c:pt idx="21">
                  <c:v>0.51844976731718595</c:v>
                </c:pt>
                <c:pt idx="22">
                  <c:v>0.51124731198142848</c:v>
                </c:pt>
                <c:pt idx="23">
                  <c:v>0.50404485664567111</c:v>
                </c:pt>
                <c:pt idx="24">
                  <c:v>0.49684240130991375</c:v>
                </c:pt>
                <c:pt idx="25">
                  <c:v>0.48963994597415633</c:v>
                </c:pt>
                <c:pt idx="26">
                  <c:v>0.48243749063839891</c:v>
                </c:pt>
                <c:pt idx="27">
                  <c:v>0.47523503530264155</c:v>
                </c:pt>
                <c:pt idx="28">
                  <c:v>0.46803257996688408</c:v>
                </c:pt>
                <c:pt idx="29">
                  <c:v>0.46083012463112671</c:v>
                </c:pt>
                <c:pt idx="30">
                  <c:v>0.45362766929536924</c:v>
                </c:pt>
                <c:pt idx="31">
                  <c:v>0.44642521395961188</c:v>
                </c:pt>
                <c:pt idx="32">
                  <c:v>0.43922275862385451</c:v>
                </c:pt>
                <c:pt idx="33">
                  <c:v>0.43202030328809704</c:v>
                </c:pt>
                <c:pt idx="34">
                  <c:v>0.42481784795233968</c:v>
                </c:pt>
                <c:pt idx="35">
                  <c:v>0.41761539261658226</c:v>
                </c:pt>
                <c:pt idx="36">
                  <c:v>0.41041293728082484</c:v>
                </c:pt>
                <c:pt idx="37">
                  <c:v>0.40321048194506742</c:v>
                </c:pt>
                <c:pt idx="38">
                  <c:v>0.39600802660931006</c:v>
                </c:pt>
                <c:pt idx="39">
                  <c:v>0.38880557127355264</c:v>
                </c:pt>
                <c:pt idx="40">
                  <c:v>0.38160311593779522</c:v>
                </c:pt>
                <c:pt idx="41">
                  <c:v>0.37440066060203786</c:v>
                </c:pt>
                <c:pt idx="42">
                  <c:v>0.36719820526628044</c:v>
                </c:pt>
                <c:pt idx="43">
                  <c:v>0.35999574993052302</c:v>
                </c:pt>
                <c:pt idx="44">
                  <c:v>0.35279329459476561</c:v>
                </c:pt>
                <c:pt idx="45">
                  <c:v>0.34559083925900819</c:v>
                </c:pt>
                <c:pt idx="46">
                  <c:v>0.33838838392325077</c:v>
                </c:pt>
                <c:pt idx="47">
                  <c:v>0.33118592858749341</c:v>
                </c:pt>
                <c:pt idx="48">
                  <c:v>0.32398347325173599</c:v>
                </c:pt>
                <c:pt idx="49">
                  <c:v>0.31678101791597862</c:v>
                </c:pt>
                <c:pt idx="50">
                  <c:v>0.30957856258022121</c:v>
                </c:pt>
                <c:pt idx="51">
                  <c:v>0.30237610724446379</c:v>
                </c:pt>
                <c:pt idx="52">
                  <c:v>0.29517365190870637</c:v>
                </c:pt>
                <c:pt idx="53">
                  <c:v>0.28797119657294895</c:v>
                </c:pt>
                <c:pt idx="54">
                  <c:v>0.28076874123719159</c:v>
                </c:pt>
                <c:pt idx="55">
                  <c:v>0.27356628590143417</c:v>
                </c:pt>
                <c:pt idx="56">
                  <c:v>0.26636383056567675</c:v>
                </c:pt>
                <c:pt idx="57">
                  <c:v>0.25916137522991933</c:v>
                </c:pt>
                <c:pt idx="58">
                  <c:v>0.25195891989416191</c:v>
                </c:pt>
                <c:pt idx="59">
                  <c:v>0.2447564645584045</c:v>
                </c:pt>
                <c:pt idx="60">
                  <c:v>0.23755400922264708</c:v>
                </c:pt>
                <c:pt idx="61">
                  <c:v>0.23035155388688977</c:v>
                </c:pt>
                <c:pt idx="62">
                  <c:v>0.22314909855113235</c:v>
                </c:pt>
                <c:pt idx="63">
                  <c:v>0.21594664321537493</c:v>
                </c:pt>
                <c:pt idx="64">
                  <c:v>0.20874418787961752</c:v>
                </c:pt>
                <c:pt idx="65">
                  <c:v>0.2015417325438601</c:v>
                </c:pt>
                <c:pt idx="66">
                  <c:v>0.19433927720810268</c:v>
                </c:pt>
                <c:pt idx="67">
                  <c:v>0.18713682187234526</c:v>
                </c:pt>
                <c:pt idx="68">
                  <c:v>0.1799343665365879</c:v>
                </c:pt>
                <c:pt idx="69">
                  <c:v>0.17273191120083048</c:v>
                </c:pt>
                <c:pt idx="70">
                  <c:v>0.16552945586507306</c:v>
                </c:pt>
                <c:pt idx="71">
                  <c:v>0.1583270005293157</c:v>
                </c:pt>
                <c:pt idx="72">
                  <c:v>0.15112454519355822</c:v>
                </c:pt>
                <c:pt idx="73">
                  <c:v>0.14392208985780086</c:v>
                </c:pt>
                <c:pt idx="74">
                  <c:v>0.13671963452204339</c:v>
                </c:pt>
                <c:pt idx="75">
                  <c:v>0.12951717918628614</c:v>
                </c:pt>
                <c:pt idx="76">
                  <c:v>0.12231472385052866</c:v>
                </c:pt>
                <c:pt idx="77">
                  <c:v>0.1151122685147713</c:v>
                </c:pt>
                <c:pt idx="78">
                  <c:v>0.10790981317901382</c:v>
                </c:pt>
                <c:pt idx="79">
                  <c:v>0.10070735784325646</c:v>
                </c:pt>
                <c:pt idx="80">
                  <c:v>9.3504902507498988E-2</c:v>
                </c:pt>
                <c:pt idx="81">
                  <c:v>8.6302447171741625E-2</c:v>
                </c:pt>
                <c:pt idx="82">
                  <c:v>7.9099991835984262E-2</c:v>
                </c:pt>
                <c:pt idx="83">
                  <c:v>7.1897536500226789E-2</c:v>
                </c:pt>
                <c:pt idx="84">
                  <c:v>6.4695081164469426E-2</c:v>
                </c:pt>
                <c:pt idx="85">
                  <c:v>5.7492625828711952E-2</c:v>
                </c:pt>
                <c:pt idx="86">
                  <c:v>5.0290170492954589E-2</c:v>
                </c:pt>
                <c:pt idx="87">
                  <c:v>4.3087715157197115E-2</c:v>
                </c:pt>
                <c:pt idx="88">
                  <c:v>3.5885259821439752E-2</c:v>
                </c:pt>
                <c:pt idx="89">
                  <c:v>2.8682804485682389E-2</c:v>
                </c:pt>
                <c:pt idx="90">
                  <c:v>2.1480349149924916E-2</c:v>
                </c:pt>
                <c:pt idx="91">
                  <c:v>1.4277893814167553E-2</c:v>
                </c:pt>
                <c:pt idx="92">
                  <c:v>7.0754384784100788E-3</c:v>
                </c:pt>
                <c:pt idx="93">
                  <c:v>-1.2701685734728407E-4</c:v>
                </c:pt>
                <c:pt idx="94">
                  <c:v>-7.3294721931046469E-3</c:v>
                </c:pt>
                <c:pt idx="95">
                  <c:v>-1.4531927528862121E-2</c:v>
                </c:pt>
                <c:pt idx="96">
                  <c:v>-2.1734382864619484E-2</c:v>
                </c:pt>
                <c:pt idx="97">
                  <c:v>-2.8936838200376958E-2</c:v>
                </c:pt>
                <c:pt idx="98">
                  <c:v>-3.6139293536134209E-2</c:v>
                </c:pt>
                <c:pt idx="99">
                  <c:v>-4.3341748871891794E-2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0.19743764660351432</c:v>
                </c:pt>
                <c:pt idx="1">
                  <c:v>0.19416690508588386</c:v>
                </c:pt>
                <c:pt idx="2">
                  <c:v>0.19092426588657879</c:v>
                </c:pt>
                <c:pt idx="3">
                  <c:v>0.18770972900559943</c:v>
                </c:pt>
                <c:pt idx="4">
                  <c:v>0.1845232944429456</c:v>
                </c:pt>
                <c:pt idx="5">
                  <c:v>0.18136496219861728</c:v>
                </c:pt>
                <c:pt idx="6">
                  <c:v>0.1782347322726146</c:v>
                </c:pt>
                <c:pt idx="7">
                  <c:v>0.17513260466493752</c:v>
                </c:pt>
                <c:pt idx="8">
                  <c:v>0.17205857937558583</c:v>
                </c:pt>
                <c:pt idx="9">
                  <c:v>0.16901265640455984</c:v>
                </c:pt>
                <c:pt idx="10">
                  <c:v>0.16599483575185944</c:v>
                </c:pt>
                <c:pt idx="11">
                  <c:v>0.16300511741748447</c:v>
                </c:pt>
                <c:pt idx="12">
                  <c:v>0.16004350140143514</c:v>
                </c:pt>
                <c:pt idx="13">
                  <c:v>0.15710998770371146</c:v>
                </c:pt>
                <c:pt idx="14">
                  <c:v>0.1542045763243132</c:v>
                </c:pt>
                <c:pt idx="15">
                  <c:v>0.15132726726324058</c:v>
                </c:pt>
                <c:pt idx="16">
                  <c:v>0.14847806052049356</c:v>
                </c:pt>
                <c:pt idx="17">
                  <c:v>0.14565695609607199</c:v>
                </c:pt>
                <c:pt idx="18">
                  <c:v>0.14286395398997606</c:v>
                </c:pt>
                <c:pt idx="19">
                  <c:v>0.14009905420220575</c:v>
                </c:pt>
                <c:pt idx="20">
                  <c:v>0.13736225673276087</c:v>
                </c:pt>
                <c:pt idx="21">
                  <c:v>0.13465356158164163</c:v>
                </c:pt>
                <c:pt idx="22">
                  <c:v>0.1319729687488479</c:v>
                </c:pt>
                <c:pt idx="23">
                  <c:v>0.12932047823437984</c:v>
                </c:pt>
                <c:pt idx="24">
                  <c:v>0.12669609003823729</c:v>
                </c:pt>
                <c:pt idx="25">
                  <c:v>0.12409980416042024</c:v>
                </c:pt>
                <c:pt idx="26">
                  <c:v>0.12153162060092886</c:v>
                </c:pt>
                <c:pt idx="27">
                  <c:v>0.11899153935976302</c:v>
                </c:pt>
                <c:pt idx="28">
                  <c:v>0.1164795604369227</c:v>
                </c:pt>
                <c:pt idx="29">
                  <c:v>0.11399568383240799</c:v>
                </c:pt>
                <c:pt idx="30">
                  <c:v>0.11153990954621884</c:v>
                </c:pt>
                <c:pt idx="31">
                  <c:v>0.10911223757835523</c:v>
                </c:pt>
                <c:pt idx="32">
                  <c:v>0.10671266792881717</c:v>
                </c:pt>
                <c:pt idx="33">
                  <c:v>0.10434120059760472</c:v>
                </c:pt>
                <c:pt idx="34">
                  <c:v>0.1019978355847178</c:v>
                </c:pt>
                <c:pt idx="35">
                  <c:v>9.9682572890156473E-2</c:v>
                </c:pt>
                <c:pt idx="36">
                  <c:v>9.7395412513920698E-2</c:v>
                </c:pt>
                <c:pt idx="37">
                  <c:v>9.5136354456010486E-2</c:v>
                </c:pt>
                <c:pt idx="38">
                  <c:v>9.2905398716425808E-2</c:v>
                </c:pt>
                <c:pt idx="39">
                  <c:v>9.0702545295166748E-2</c:v>
                </c:pt>
                <c:pt idx="40">
                  <c:v>8.8527794192233222E-2</c:v>
                </c:pt>
                <c:pt idx="41">
                  <c:v>8.6381145407625259E-2</c:v>
                </c:pt>
                <c:pt idx="42">
                  <c:v>8.4262598941342887E-2</c:v>
                </c:pt>
                <c:pt idx="43">
                  <c:v>8.2172154793386049E-2</c:v>
                </c:pt>
                <c:pt idx="44">
                  <c:v>8.0109812963754787E-2</c:v>
                </c:pt>
                <c:pt idx="45">
                  <c:v>7.8075573452449087E-2</c:v>
                </c:pt>
                <c:pt idx="46">
                  <c:v>7.6069436259468964E-2</c:v>
                </c:pt>
                <c:pt idx="47">
                  <c:v>7.409140138481439E-2</c:v>
                </c:pt>
                <c:pt idx="48">
                  <c:v>7.2141468828485392E-2</c:v>
                </c:pt>
                <c:pt idx="49">
                  <c:v>7.0219638590481942E-2</c:v>
                </c:pt>
                <c:pt idx="50">
                  <c:v>6.8325910670804069E-2</c:v>
                </c:pt>
                <c:pt idx="51">
                  <c:v>6.6460285069451758E-2</c:v>
                </c:pt>
                <c:pt idx="52">
                  <c:v>6.4622761786425009E-2</c:v>
                </c:pt>
                <c:pt idx="53">
                  <c:v>6.2813340821723837E-2</c:v>
                </c:pt>
                <c:pt idx="54">
                  <c:v>6.1032022175348213E-2</c:v>
                </c:pt>
                <c:pt idx="55">
                  <c:v>5.9278805847298124E-2</c:v>
                </c:pt>
                <c:pt idx="56">
                  <c:v>5.7553691837573667E-2</c:v>
                </c:pt>
                <c:pt idx="57">
                  <c:v>5.5856680146174759E-2</c:v>
                </c:pt>
                <c:pt idx="58">
                  <c:v>5.4187770773101364E-2</c:v>
                </c:pt>
                <c:pt idx="59">
                  <c:v>5.2546963718353587E-2</c:v>
                </c:pt>
                <c:pt idx="60">
                  <c:v>5.0934258981931352E-2</c:v>
                </c:pt>
                <c:pt idx="61">
                  <c:v>4.93496565638347E-2</c:v>
                </c:pt>
                <c:pt idx="62">
                  <c:v>4.7793156464063596E-2</c:v>
                </c:pt>
                <c:pt idx="63">
                  <c:v>4.6264758682618069E-2</c:v>
                </c:pt>
                <c:pt idx="64">
                  <c:v>4.4764463219498063E-2</c:v>
                </c:pt>
                <c:pt idx="65">
                  <c:v>4.3292270074703681E-2</c:v>
                </c:pt>
                <c:pt idx="66">
                  <c:v>4.1848179248234849E-2</c:v>
                </c:pt>
                <c:pt idx="67">
                  <c:v>4.0432190740091536E-2</c:v>
                </c:pt>
                <c:pt idx="68">
                  <c:v>3.9044304550273842E-2</c:v>
                </c:pt>
                <c:pt idx="69">
                  <c:v>3.7684520678781683E-2</c:v>
                </c:pt>
                <c:pt idx="70">
                  <c:v>3.6352839125615113E-2</c:v>
                </c:pt>
                <c:pt idx="71">
                  <c:v>3.5049259890774086E-2</c:v>
                </c:pt>
                <c:pt idx="72">
                  <c:v>3.377378297425862E-2</c:v>
                </c:pt>
                <c:pt idx="73">
                  <c:v>3.2526408376068724E-2</c:v>
                </c:pt>
                <c:pt idx="74">
                  <c:v>3.1307136096204405E-2</c:v>
                </c:pt>
                <c:pt idx="75">
                  <c:v>3.0115966134665641E-2</c:v>
                </c:pt>
                <c:pt idx="76">
                  <c:v>2.8952898491452453E-2</c:v>
                </c:pt>
                <c:pt idx="77">
                  <c:v>2.7817933166564817E-2</c:v>
                </c:pt>
                <c:pt idx="78">
                  <c:v>2.6711070160002737E-2</c:v>
                </c:pt>
                <c:pt idx="79">
                  <c:v>2.5632309471766236E-2</c:v>
                </c:pt>
                <c:pt idx="80">
                  <c:v>2.4581651101855301E-2</c:v>
                </c:pt>
                <c:pt idx="81">
                  <c:v>2.3559095050269926E-2</c:v>
                </c:pt>
                <c:pt idx="82">
                  <c:v>2.2564641317010123E-2</c:v>
                </c:pt>
                <c:pt idx="83">
                  <c:v>2.1598289902075872E-2</c:v>
                </c:pt>
                <c:pt idx="84">
                  <c:v>2.066004080546718E-2</c:v>
                </c:pt>
                <c:pt idx="85">
                  <c:v>1.9749894027184078E-2</c:v>
                </c:pt>
                <c:pt idx="86">
                  <c:v>1.8867849567226515E-2</c:v>
                </c:pt>
                <c:pt idx="87">
                  <c:v>1.8013907425594521E-2</c:v>
                </c:pt>
                <c:pt idx="88">
                  <c:v>1.7188067602288096E-2</c:v>
                </c:pt>
                <c:pt idx="89">
                  <c:v>1.639033009730724E-2</c:v>
                </c:pt>
                <c:pt idx="90">
                  <c:v>1.5620694910651945E-2</c:v>
                </c:pt>
                <c:pt idx="91">
                  <c:v>1.4879162042322208E-2</c:v>
                </c:pt>
                <c:pt idx="92">
                  <c:v>1.4165731492318053E-2</c:v>
                </c:pt>
                <c:pt idx="93">
                  <c:v>1.3480403260639444E-2</c:v>
                </c:pt>
                <c:pt idx="94">
                  <c:v>1.2823177347286418E-2</c:v>
                </c:pt>
                <c:pt idx="95">
                  <c:v>1.2194053752258939E-2</c:v>
                </c:pt>
                <c:pt idx="96">
                  <c:v>1.1593032475557031E-2</c:v>
                </c:pt>
                <c:pt idx="97">
                  <c:v>1.1020113517180682E-2</c:v>
                </c:pt>
                <c:pt idx="98">
                  <c:v>1.0475296877129912E-2</c:v>
                </c:pt>
                <c:pt idx="99">
                  <c:v>9.9585825554046915E-3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-0.58587025920486135</c:v>
                </c:pt>
                <c:pt idx="2">
                  <c:v>-0.58251750998515728</c:v>
                </c:pt>
                <c:pt idx="3">
                  <c:v>-0.57916476076545331</c:v>
                </c:pt>
                <c:pt idx="4">
                  <c:v>-0.57581201154574935</c:v>
                </c:pt>
                <c:pt idx="5">
                  <c:v>-0.57245926232604527</c:v>
                </c:pt>
                <c:pt idx="6">
                  <c:v>-0.56910651310634131</c:v>
                </c:pt>
                <c:pt idx="7">
                  <c:v>-0.56575376388663734</c:v>
                </c:pt>
                <c:pt idx="8">
                  <c:v>-0.56240101466693326</c:v>
                </c:pt>
                <c:pt idx="9">
                  <c:v>-0.5590482654472293</c:v>
                </c:pt>
                <c:pt idx="10">
                  <c:v>-0.55569551622752533</c:v>
                </c:pt>
                <c:pt idx="11">
                  <c:v>-0.55234276700782126</c:v>
                </c:pt>
                <c:pt idx="12">
                  <c:v>-0.54899001778811729</c:v>
                </c:pt>
                <c:pt idx="13">
                  <c:v>-0.54563726856841333</c:v>
                </c:pt>
                <c:pt idx="14">
                  <c:v>-0.54228451934870925</c:v>
                </c:pt>
                <c:pt idx="15">
                  <c:v>-0.53893177012900528</c:v>
                </c:pt>
                <c:pt idx="16">
                  <c:v>-0.53557902090930132</c:v>
                </c:pt>
                <c:pt idx="17">
                  <c:v>-0.53222627168959724</c:v>
                </c:pt>
                <c:pt idx="18">
                  <c:v>-0.52887352246989328</c:v>
                </c:pt>
                <c:pt idx="19">
                  <c:v>-0.52552077325018931</c:v>
                </c:pt>
                <c:pt idx="20">
                  <c:v>-0.52216802403048523</c:v>
                </c:pt>
                <c:pt idx="21">
                  <c:v>-0.51881527481078127</c:v>
                </c:pt>
                <c:pt idx="22">
                  <c:v>-0.51546252559107719</c:v>
                </c:pt>
                <c:pt idx="23">
                  <c:v>-0.51210977637137323</c:v>
                </c:pt>
                <c:pt idx="24">
                  <c:v>-0.50875702715166926</c:v>
                </c:pt>
                <c:pt idx="25">
                  <c:v>-0.50540427793196518</c:v>
                </c:pt>
                <c:pt idx="26">
                  <c:v>-0.50205152871226122</c:v>
                </c:pt>
                <c:pt idx="27">
                  <c:v>-0.49869877949255725</c:v>
                </c:pt>
                <c:pt idx="28">
                  <c:v>-0.49534603027285323</c:v>
                </c:pt>
                <c:pt idx="29">
                  <c:v>-0.49199328105314921</c:v>
                </c:pt>
                <c:pt idx="30">
                  <c:v>-0.48864053183344525</c:v>
                </c:pt>
                <c:pt idx="31">
                  <c:v>-0.48528778261374123</c:v>
                </c:pt>
                <c:pt idx="32">
                  <c:v>-0.4819350333940372</c:v>
                </c:pt>
                <c:pt idx="33">
                  <c:v>-0.47858228417433324</c:v>
                </c:pt>
                <c:pt idx="34">
                  <c:v>-0.47522953495462922</c:v>
                </c:pt>
                <c:pt idx="35">
                  <c:v>-0.4718767857349252</c:v>
                </c:pt>
                <c:pt idx="36">
                  <c:v>-0.46852403651522123</c:v>
                </c:pt>
                <c:pt idx="37">
                  <c:v>-0.46517128729551721</c:v>
                </c:pt>
                <c:pt idx="38">
                  <c:v>-0.46181853807581319</c:v>
                </c:pt>
                <c:pt idx="39">
                  <c:v>-0.45846578885610922</c:v>
                </c:pt>
                <c:pt idx="40">
                  <c:v>-0.4551130396364052</c:v>
                </c:pt>
                <c:pt idx="41">
                  <c:v>-0.45176029041670118</c:v>
                </c:pt>
                <c:pt idx="42">
                  <c:v>-0.44840754119699722</c:v>
                </c:pt>
                <c:pt idx="43">
                  <c:v>-0.4450547919772932</c:v>
                </c:pt>
                <c:pt idx="44">
                  <c:v>-0.44170204275758918</c:v>
                </c:pt>
                <c:pt idx="45">
                  <c:v>-0.43834929353788521</c:v>
                </c:pt>
                <c:pt idx="46">
                  <c:v>-0.43499654431818119</c:v>
                </c:pt>
                <c:pt idx="47">
                  <c:v>-0.43164379509847717</c:v>
                </c:pt>
                <c:pt idx="48">
                  <c:v>-0.4282910458787732</c:v>
                </c:pt>
                <c:pt idx="49">
                  <c:v>-0.42493829665906918</c:v>
                </c:pt>
                <c:pt idx="50">
                  <c:v>-0.42158554743936516</c:v>
                </c:pt>
                <c:pt idx="51">
                  <c:v>-0.41823279821966119</c:v>
                </c:pt>
                <c:pt idx="52">
                  <c:v>-0.41488004899995717</c:v>
                </c:pt>
                <c:pt idx="53">
                  <c:v>-0.41152729978025315</c:v>
                </c:pt>
                <c:pt idx="54">
                  <c:v>-0.40817455056054919</c:v>
                </c:pt>
                <c:pt idx="55">
                  <c:v>-0.40482180134084511</c:v>
                </c:pt>
                <c:pt idx="56">
                  <c:v>-0.40146905212114115</c:v>
                </c:pt>
                <c:pt idx="57">
                  <c:v>-0.39811630290143718</c:v>
                </c:pt>
                <c:pt idx="58">
                  <c:v>-0.3947635536817331</c:v>
                </c:pt>
                <c:pt idx="59">
                  <c:v>-0.39141080446202914</c:v>
                </c:pt>
                <c:pt idx="60">
                  <c:v>-0.38805805524232512</c:v>
                </c:pt>
                <c:pt idx="61">
                  <c:v>-0.38470530602262115</c:v>
                </c:pt>
                <c:pt idx="62">
                  <c:v>-0.38135255680291713</c:v>
                </c:pt>
                <c:pt idx="63">
                  <c:v>-0.37799980758321317</c:v>
                </c:pt>
                <c:pt idx="64">
                  <c:v>-0.37464705836350909</c:v>
                </c:pt>
                <c:pt idx="65">
                  <c:v>-0.37129430914380512</c:v>
                </c:pt>
                <c:pt idx="66">
                  <c:v>-0.36794155992410116</c:v>
                </c:pt>
                <c:pt idx="67">
                  <c:v>-0.36458881070439708</c:v>
                </c:pt>
                <c:pt idx="68">
                  <c:v>-0.36123606148469312</c:v>
                </c:pt>
                <c:pt idx="69">
                  <c:v>-0.3578833122649891</c:v>
                </c:pt>
                <c:pt idx="70">
                  <c:v>-0.35453056304528513</c:v>
                </c:pt>
                <c:pt idx="71">
                  <c:v>-0.35117781382558111</c:v>
                </c:pt>
                <c:pt idx="72">
                  <c:v>-0.34782506460587709</c:v>
                </c:pt>
                <c:pt idx="73">
                  <c:v>-0.34447231538617307</c:v>
                </c:pt>
                <c:pt idx="74">
                  <c:v>-0.3411195661664691</c:v>
                </c:pt>
                <c:pt idx="75">
                  <c:v>-0.33776681694676508</c:v>
                </c:pt>
                <c:pt idx="76">
                  <c:v>-0.33441406772706112</c:v>
                </c:pt>
                <c:pt idx="77">
                  <c:v>-0.33106131850735709</c:v>
                </c:pt>
                <c:pt idx="78">
                  <c:v>-0.32770856928765307</c:v>
                </c:pt>
                <c:pt idx="79">
                  <c:v>-0.32435582006794905</c:v>
                </c:pt>
                <c:pt idx="80">
                  <c:v>-0.32100307084824509</c:v>
                </c:pt>
                <c:pt idx="81">
                  <c:v>-0.31765032162854107</c:v>
                </c:pt>
                <c:pt idx="82">
                  <c:v>-0.3142975724088371</c:v>
                </c:pt>
                <c:pt idx="83">
                  <c:v>-0.31094482318913308</c:v>
                </c:pt>
                <c:pt idx="84">
                  <c:v>-0.30759207396942906</c:v>
                </c:pt>
                <c:pt idx="85">
                  <c:v>-0.30423932474972509</c:v>
                </c:pt>
                <c:pt idx="86">
                  <c:v>-0.30088657553002107</c:v>
                </c:pt>
                <c:pt idx="87">
                  <c:v>-0.29753382631031705</c:v>
                </c:pt>
                <c:pt idx="88">
                  <c:v>-0.29418107709061303</c:v>
                </c:pt>
                <c:pt idx="89">
                  <c:v>-0.29082832787090906</c:v>
                </c:pt>
                <c:pt idx="90">
                  <c:v>-0.28747557865120504</c:v>
                </c:pt>
                <c:pt idx="91">
                  <c:v>-0.28412282943150102</c:v>
                </c:pt>
                <c:pt idx="92">
                  <c:v>-0.28077008021179706</c:v>
                </c:pt>
                <c:pt idx="93">
                  <c:v>-0.27741733099209304</c:v>
                </c:pt>
                <c:pt idx="94">
                  <c:v>-0.27406458177238907</c:v>
                </c:pt>
                <c:pt idx="95">
                  <c:v>-0.27071183255268505</c:v>
                </c:pt>
                <c:pt idx="96">
                  <c:v>-0.26735908333298103</c:v>
                </c:pt>
                <c:pt idx="97">
                  <c:v>-0.26400633411327701</c:v>
                </c:pt>
                <c:pt idx="98">
                  <c:v>-0.26065358489357304</c:v>
                </c:pt>
                <c:pt idx="99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1.4534324288934313E-2</c:v>
                </c:pt>
                <c:pt idx="2">
                  <c:v>1.4594244020643566E-2</c:v>
                </c:pt>
                <c:pt idx="3">
                  <c:v>1.4660611588357249E-2</c:v>
                </c:pt>
                <c:pt idx="4">
                  <c:v>1.4733426992075348E-2</c:v>
                </c:pt>
                <c:pt idx="5">
                  <c:v>1.4812690231797869E-2</c:v>
                </c:pt>
                <c:pt idx="6">
                  <c:v>1.4898401307524813E-2</c:v>
                </c:pt>
                <c:pt idx="7">
                  <c:v>1.499056021925619E-2</c:v>
                </c:pt>
                <c:pt idx="8">
                  <c:v>1.5089166966991981E-2</c:v>
                </c:pt>
                <c:pt idx="9">
                  <c:v>1.5194221550732192E-2</c:v>
                </c:pt>
                <c:pt idx="10">
                  <c:v>1.5305723970476829E-2</c:v>
                </c:pt>
                <c:pt idx="11">
                  <c:v>1.5423674226225885E-2</c:v>
                </c:pt>
                <c:pt idx="12">
                  <c:v>1.5548072317979379E-2</c:v>
                </c:pt>
                <c:pt idx="13">
                  <c:v>1.5678918245737281E-2</c:v>
                </c:pt>
                <c:pt idx="14">
                  <c:v>1.5816212009499609E-2</c:v>
                </c:pt>
                <c:pt idx="15">
                  <c:v>1.5959953609266365E-2</c:v>
                </c:pt>
                <c:pt idx="16">
                  <c:v>1.6110143045037544E-2</c:v>
                </c:pt>
                <c:pt idx="17">
                  <c:v>1.626678031681314E-2</c:v>
                </c:pt>
                <c:pt idx="18">
                  <c:v>1.6429865424593158E-2</c:v>
                </c:pt>
                <c:pt idx="19">
                  <c:v>1.6599398368377604E-2</c:v>
                </c:pt>
                <c:pt idx="20">
                  <c:v>1.6775379148166465E-2</c:v>
                </c:pt>
                <c:pt idx="21">
                  <c:v>1.6957807763959762E-2</c:v>
                </c:pt>
                <c:pt idx="22">
                  <c:v>1.7146684215757477E-2</c:v>
                </c:pt>
                <c:pt idx="23">
                  <c:v>1.734200850355961E-2</c:v>
                </c:pt>
                <c:pt idx="24">
                  <c:v>1.7543780627366164E-2</c:v>
                </c:pt>
                <c:pt idx="25">
                  <c:v>1.7752000587177158E-2</c:v>
                </c:pt>
                <c:pt idx="26">
                  <c:v>1.7966668382992559E-2</c:v>
                </c:pt>
                <c:pt idx="27">
                  <c:v>1.8187784014812379E-2</c:v>
                </c:pt>
                <c:pt idx="28">
                  <c:v>1.8415347482636627E-2</c:v>
                </c:pt>
                <c:pt idx="29">
                  <c:v>1.8649358786465311E-2</c:v>
                </c:pt>
                <c:pt idx="30">
                  <c:v>1.8889817926298406E-2</c:v>
                </c:pt>
                <c:pt idx="31">
                  <c:v>1.9136724902135919E-2</c:v>
                </c:pt>
                <c:pt idx="32">
                  <c:v>1.9390079713977861E-2</c:v>
                </c:pt>
                <c:pt idx="33">
                  <c:v>1.9649882361824217E-2</c:v>
                </c:pt>
                <c:pt idx="34">
                  <c:v>1.9916132845675023E-2</c:v>
                </c:pt>
                <c:pt idx="35">
                  <c:v>2.0188831165530226E-2</c:v>
                </c:pt>
                <c:pt idx="36">
                  <c:v>2.0467977321389854E-2</c:v>
                </c:pt>
                <c:pt idx="37">
                  <c:v>2.0753571313253907E-2</c:v>
                </c:pt>
                <c:pt idx="38">
                  <c:v>2.1045613141122382E-2</c:v>
                </c:pt>
                <c:pt idx="39">
                  <c:v>2.13441028049953E-2</c:v>
                </c:pt>
                <c:pt idx="40">
                  <c:v>2.1649040304872618E-2</c:v>
                </c:pt>
                <c:pt idx="41">
                  <c:v>2.1960425640754361E-2</c:v>
                </c:pt>
                <c:pt idx="42">
                  <c:v>2.2278258812640526E-2</c:v>
                </c:pt>
                <c:pt idx="43">
                  <c:v>2.2602539820531117E-2</c:v>
                </c:pt>
                <c:pt idx="44">
                  <c:v>2.2933268664426149E-2</c:v>
                </c:pt>
                <c:pt idx="45">
                  <c:v>2.3270445344325583E-2</c:v>
                </c:pt>
                <c:pt idx="46">
                  <c:v>2.3614069860229441E-2</c:v>
                </c:pt>
                <c:pt idx="47">
                  <c:v>2.3964142212137718E-2</c:v>
                </c:pt>
                <c:pt idx="48">
                  <c:v>2.4320662400050444E-2</c:v>
                </c:pt>
                <c:pt idx="49">
                  <c:v>2.4683630423967571E-2</c:v>
                </c:pt>
                <c:pt idx="50">
                  <c:v>2.5053046283889119E-2</c:v>
                </c:pt>
                <c:pt idx="51">
                  <c:v>2.542890997981509E-2</c:v>
                </c:pt>
                <c:pt idx="52">
                  <c:v>2.5811221511745489E-2</c:v>
                </c:pt>
                <c:pt idx="53">
                  <c:v>2.619998087968033E-2</c:v>
                </c:pt>
                <c:pt idx="54">
                  <c:v>2.6595188083619568E-2</c:v>
                </c:pt>
                <c:pt idx="55">
                  <c:v>2.6996843123563232E-2</c:v>
                </c:pt>
                <c:pt idx="56">
                  <c:v>2.7404945999511342E-2</c:v>
                </c:pt>
                <c:pt idx="57">
                  <c:v>2.7819496711463849E-2</c:v>
                </c:pt>
                <c:pt idx="58">
                  <c:v>2.8240495259420784E-2</c:v>
                </c:pt>
                <c:pt idx="59">
                  <c:v>2.8667941643382135E-2</c:v>
                </c:pt>
                <c:pt idx="60">
                  <c:v>2.9101835863347914E-2</c:v>
                </c:pt>
                <c:pt idx="61">
                  <c:v>2.9542177919318142E-2</c:v>
                </c:pt>
                <c:pt idx="62">
                  <c:v>2.9988967811292764E-2</c:v>
                </c:pt>
                <c:pt idx="63">
                  <c:v>3.0442205539271808E-2</c:v>
                </c:pt>
                <c:pt idx="64">
                  <c:v>3.0901891103255273E-2</c:v>
                </c:pt>
                <c:pt idx="65">
                  <c:v>3.1368024503243198E-2</c:v>
                </c:pt>
                <c:pt idx="66">
                  <c:v>3.1840605739235507E-2</c:v>
                </c:pt>
                <c:pt idx="67">
                  <c:v>3.2319634811232248E-2</c:v>
                </c:pt>
                <c:pt idx="68">
                  <c:v>3.2805111719233407E-2</c:v>
                </c:pt>
                <c:pt idx="69">
                  <c:v>3.3297036463238984E-2</c:v>
                </c:pt>
                <c:pt idx="70">
                  <c:v>3.3795409043248986E-2</c:v>
                </c:pt>
                <c:pt idx="71">
                  <c:v>3.4300229459263448E-2</c:v>
                </c:pt>
                <c:pt idx="72">
                  <c:v>3.4811497711282301E-2</c:v>
                </c:pt>
                <c:pt idx="73">
                  <c:v>3.5329213799305571E-2</c:v>
                </c:pt>
                <c:pt idx="74">
                  <c:v>3.5853377723333302E-2</c:v>
                </c:pt>
                <c:pt idx="75">
                  <c:v>3.6383989483365423E-2</c:v>
                </c:pt>
                <c:pt idx="76">
                  <c:v>3.6921049079401955E-2</c:v>
                </c:pt>
                <c:pt idx="77">
                  <c:v>3.7464556511442926E-2</c:v>
                </c:pt>
                <c:pt idx="78">
                  <c:v>3.8014511779488315E-2</c:v>
                </c:pt>
                <c:pt idx="79">
                  <c:v>3.8570914883538115E-2</c:v>
                </c:pt>
                <c:pt idx="80">
                  <c:v>3.9133765823592397E-2</c:v>
                </c:pt>
                <c:pt idx="81">
                  <c:v>3.970306459965104E-2</c:v>
                </c:pt>
                <c:pt idx="82">
                  <c:v>4.0278811211714123E-2</c:v>
                </c:pt>
                <c:pt idx="83">
                  <c:v>4.0861005659781666E-2</c:v>
                </c:pt>
                <c:pt idx="84">
                  <c:v>4.1449647943853592E-2</c:v>
                </c:pt>
                <c:pt idx="85">
                  <c:v>4.2044738063929936E-2</c:v>
                </c:pt>
                <c:pt idx="86">
                  <c:v>4.2646276020010698E-2</c:v>
                </c:pt>
                <c:pt idx="87">
                  <c:v>4.3254261812095893E-2</c:v>
                </c:pt>
                <c:pt idx="88">
                  <c:v>4.3868695440185505E-2</c:v>
                </c:pt>
                <c:pt idx="89">
                  <c:v>4.4489576904279585E-2</c:v>
                </c:pt>
                <c:pt idx="90">
                  <c:v>4.5116906204378047E-2</c:v>
                </c:pt>
                <c:pt idx="91">
                  <c:v>4.5750683340480935E-2</c:v>
                </c:pt>
                <c:pt idx="92">
                  <c:v>4.6390908312588276E-2</c:v>
                </c:pt>
                <c:pt idx="93">
                  <c:v>4.7037581120700007E-2</c:v>
                </c:pt>
                <c:pt idx="94">
                  <c:v>4.7690701764816164E-2</c:v>
                </c:pt>
                <c:pt idx="95">
                  <c:v>4.8350270244936731E-2</c:v>
                </c:pt>
                <c:pt idx="96">
                  <c:v>4.9016286561061731E-2</c:v>
                </c:pt>
                <c:pt idx="97">
                  <c:v>4.9688750713191149E-2</c:v>
                </c:pt>
                <c:pt idx="98">
                  <c:v>5.036766270132504E-2</c:v>
                </c:pt>
                <c:pt idx="99">
                  <c:v>5.1053022525463308E-2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0.67130729773694842</c:v>
                </c:pt>
                <c:pt idx="2">
                  <c:v>0.67291326610580537</c:v>
                </c:pt>
                <c:pt idx="3">
                  <c:v>0.67451923447466244</c:v>
                </c:pt>
                <c:pt idx="4">
                  <c:v>0.6761252028435194</c:v>
                </c:pt>
                <c:pt idx="5">
                  <c:v>0.67773117121237636</c:v>
                </c:pt>
                <c:pt idx="6">
                  <c:v>0.67933713958123332</c:v>
                </c:pt>
                <c:pt idx="7">
                  <c:v>0.68094310795009039</c:v>
                </c:pt>
                <c:pt idx="8">
                  <c:v>0.68254907631894735</c:v>
                </c:pt>
                <c:pt idx="9">
                  <c:v>0.6841550446878043</c:v>
                </c:pt>
                <c:pt idx="10">
                  <c:v>0.68576101305666126</c:v>
                </c:pt>
                <c:pt idx="11">
                  <c:v>0.68736698142551822</c:v>
                </c:pt>
                <c:pt idx="12">
                  <c:v>0.68897294979437529</c:v>
                </c:pt>
                <c:pt idx="13">
                  <c:v>0.69057891816323225</c:v>
                </c:pt>
                <c:pt idx="14">
                  <c:v>0.69218488653208921</c:v>
                </c:pt>
                <c:pt idx="15">
                  <c:v>0.69379085490094616</c:v>
                </c:pt>
                <c:pt idx="16">
                  <c:v>0.69539682326980323</c:v>
                </c:pt>
                <c:pt idx="17">
                  <c:v>0.69700279163866019</c:v>
                </c:pt>
                <c:pt idx="18">
                  <c:v>0.69860876000751715</c:v>
                </c:pt>
                <c:pt idx="19">
                  <c:v>0.70021472837637411</c:v>
                </c:pt>
                <c:pt idx="20">
                  <c:v>0.70182069674523107</c:v>
                </c:pt>
                <c:pt idx="21">
                  <c:v>0.70342666511408813</c:v>
                </c:pt>
                <c:pt idx="22">
                  <c:v>0.70503263348294509</c:v>
                </c:pt>
                <c:pt idx="23">
                  <c:v>0.70663860185180205</c:v>
                </c:pt>
                <c:pt idx="24">
                  <c:v>0.70824457022065901</c:v>
                </c:pt>
                <c:pt idx="25">
                  <c:v>0.70985053858951608</c:v>
                </c:pt>
                <c:pt idx="26">
                  <c:v>0.71145650695837304</c:v>
                </c:pt>
                <c:pt idx="27">
                  <c:v>0.71306247532722999</c:v>
                </c:pt>
                <c:pt idx="28">
                  <c:v>0.71466844369608695</c:v>
                </c:pt>
                <c:pt idx="29">
                  <c:v>0.71627441206494402</c:v>
                </c:pt>
                <c:pt idx="30">
                  <c:v>0.71788038043380098</c:v>
                </c:pt>
                <c:pt idx="31">
                  <c:v>0.71948634880265794</c:v>
                </c:pt>
                <c:pt idx="32">
                  <c:v>0.7210923171715149</c:v>
                </c:pt>
                <c:pt idx="33">
                  <c:v>0.72269828554037185</c:v>
                </c:pt>
                <c:pt idx="34">
                  <c:v>0.72430425390922892</c:v>
                </c:pt>
                <c:pt idx="35">
                  <c:v>0.72591022227808588</c:v>
                </c:pt>
                <c:pt idx="36">
                  <c:v>0.72751619064694284</c:v>
                </c:pt>
                <c:pt idx="37">
                  <c:v>0.7291221590157998</c:v>
                </c:pt>
                <c:pt idx="38">
                  <c:v>0.73072812738465676</c:v>
                </c:pt>
                <c:pt idx="39">
                  <c:v>0.73233409575351383</c:v>
                </c:pt>
                <c:pt idx="40">
                  <c:v>0.73394006412237078</c:v>
                </c:pt>
                <c:pt idx="41">
                  <c:v>0.73554603249122774</c:v>
                </c:pt>
                <c:pt idx="42">
                  <c:v>0.7371520008600847</c:v>
                </c:pt>
                <c:pt idx="43">
                  <c:v>0.73875796922894166</c:v>
                </c:pt>
                <c:pt idx="44">
                  <c:v>0.74036393759779873</c:v>
                </c:pt>
                <c:pt idx="45">
                  <c:v>0.74196990596665569</c:v>
                </c:pt>
                <c:pt idx="46">
                  <c:v>0.74357587433551264</c:v>
                </c:pt>
                <c:pt idx="47">
                  <c:v>0.7451818427043696</c:v>
                </c:pt>
                <c:pt idx="48">
                  <c:v>0.74678781107322667</c:v>
                </c:pt>
                <c:pt idx="49">
                  <c:v>0.74839377944208363</c:v>
                </c:pt>
                <c:pt idx="50">
                  <c:v>0.74999974781094059</c:v>
                </c:pt>
                <c:pt idx="51">
                  <c:v>0.75160571617979754</c:v>
                </c:pt>
                <c:pt idx="52">
                  <c:v>0.7532116845486545</c:v>
                </c:pt>
                <c:pt idx="53">
                  <c:v>0.75481765291751157</c:v>
                </c:pt>
                <c:pt idx="54">
                  <c:v>0.75642362128636853</c:v>
                </c:pt>
                <c:pt idx="55">
                  <c:v>0.75802958965522549</c:v>
                </c:pt>
                <c:pt idx="56">
                  <c:v>0.75963555802408256</c:v>
                </c:pt>
                <c:pt idx="57">
                  <c:v>0.76124152639293952</c:v>
                </c:pt>
                <c:pt idx="58">
                  <c:v>0.76284749476179647</c:v>
                </c:pt>
                <c:pt idx="59">
                  <c:v>0.76445346313065343</c:v>
                </c:pt>
                <c:pt idx="60">
                  <c:v>0.76605943149951039</c:v>
                </c:pt>
                <c:pt idx="61">
                  <c:v>0.76766539986836746</c:v>
                </c:pt>
                <c:pt idx="62">
                  <c:v>0.76927136823722442</c:v>
                </c:pt>
                <c:pt idx="63">
                  <c:v>0.77087733660608138</c:v>
                </c:pt>
                <c:pt idx="64">
                  <c:v>0.77248330497493833</c:v>
                </c:pt>
                <c:pt idx="65">
                  <c:v>0.7740892733437954</c:v>
                </c:pt>
                <c:pt idx="66">
                  <c:v>0.77569524171265236</c:v>
                </c:pt>
                <c:pt idx="67">
                  <c:v>0.77730121008150932</c:v>
                </c:pt>
                <c:pt idx="68">
                  <c:v>0.77890717845036628</c:v>
                </c:pt>
                <c:pt idx="69">
                  <c:v>0.78051314681922324</c:v>
                </c:pt>
                <c:pt idx="70">
                  <c:v>0.78211911518808019</c:v>
                </c:pt>
                <c:pt idx="71">
                  <c:v>0.78372508355693726</c:v>
                </c:pt>
                <c:pt idx="72">
                  <c:v>0.78533105192579422</c:v>
                </c:pt>
                <c:pt idx="73">
                  <c:v>0.78693702029465118</c:v>
                </c:pt>
                <c:pt idx="74">
                  <c:v>0.78854298866350825</c:v>
                </c:pt>
                <c:pt idx="75">
                  <c:v>0.79014895703236521</c:v>
                </c:pt>
                <c:pt idx="76">
                  <c:v>0.79175492540122216</c:v>
                </c:pt>
                <c:pt idx="77">
                  <c:v>0.79336089377007912</c:v>
                </c:pt>
                <c:pt idx="78">
                  <c:v>0.79496686213893608</c:v>
                </c:pt>
                <c:pt idx="79">
                  <c:v>0.79657283050779304</c:v>
                </c:pt>
                <c:pt idx="80">
                  <c:v>0.79817879887665011</c:v>
                </c:pt>
                <c:pt idx="81">
                  <c:v>0.79978476724550707</c:v>
                </c:pt>
                <c:pt idx="82">
                  <c:v>0.80139073561436402</c:v>
                </c:pt>
                <c:pt idx="83">
                  <c:v>0.80299670398322109</c:v>
                </c:pt>
                <c:pt idx="84">
                  <c:v>0.80460267235207805</c:v>
                </c:pt>
                <c:pt idx="85">
                  <c:v>0.80620864072093501</c:v>
                </c:pt>
                <c:pt idx="86">
                  <c:v>0.80781460908979197</c:v>
                </c:pt>
                <c:pt idx="87">
                  <c:v>0.80942057745864893</c:v>
                </c:pt>
                <c:pt idx="88">
                  <c:v>0.81102654582750588</c:v>
                </c:pt>
                <c:pt idx="89">
                  <c:v>0.81263251419636295</c:v>
                </c:pt>
                <c:pt idx="90">
                  <c:v>0.81423848256521991</c:v>
                </c:pt>
                <c:pt idx="91">
                  <c:v>0.81584445093407687</c:v>
                </c:pt>
                <c:pt idx="92">
                  <c:v>0.81745041930293394</c:v>
                </c:pt>
                <c:pt idx="93">
                  <c:v>0.8190563876717909</c:v>
                </c:pt>
                <c:pt idx="94">
                  <c:v>0.82066235604064786</c:v>
                </c:pt>
                <c:pt idx="95">
                  <c:v>0.82226832440950481</c:v>
                </c:pt>
                <c:pt idx="96">
                  <c:v>0.82387429277836177</c:v>
                </c:pt>
                <c:pt idx="97">
                  <c:v>0.82548026114721873</c:v>
                </c:pt>
                <c:pt idx="98">
                  <c:v>0.8270862295160758</c:v>
                </c:pt>
                <c:pt idx="9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  <c:pt idx="98">
                  <c:v>6.5262312311503388E-3</c:v>
                </c:pt>
                <c:pt idx="99">
                  <c:v>6.5268971731127015E-3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-3.6605460011967841</c:v>
                </c:pt>
                <c:pt idx="1">
                  <c:v>-3.627910143192957</c:v>
                </c:pt>
                <c:pt idx="2">
                  <c:v>-3.595185726941589</c:v>
                </c:pt>
                <c:pt idx="3">
                  <c:v>-3.5623727524426814</c:v>
                </c:pt>
                <c:pt idx="4">
                  <c:v>-3.5294712196962328</c:v>
                </c:pt>
                <c:pt idx="5">
                  <c:v>-3.4964811287022446</c:v>
                </c:pt>
                <c:pt idx="6">
                  <c:v>-3.4634024794607159</c:v>
                </c:pt>
                <c:pt idx="7">
                  <c:v>-3.4302352719716467</c:v>
                </c:pt>
                <c:pt idx="8">
                  <c:v>-3.3969795062350379</c:v>
                </c:pt>
                <c:pt idx="9">
                  <c:v>-3.363635182250889</c:v>
                </c:pt>
                <c:pt idx="10">
                  <c:v>-3.3302023000191987</c:v>
                </c:pt>
                <c:pt idx="11">
                  <c:v>-3.2966808595399684</c:v>
                </c:pt>
                <c:pt idx="12">
                  <c:v>-3.2630708608131984</c:v>
                </c:pt>
                <c:pt idx="13">
                  <c:v>-3.2293723038388875</c:v>
                </c:pt>
                <c:pt idx="14">
                  <c:v>-3.195585188617037</c:v>
                </c:pt>
                <c:pt idx="15">
                  <c:v>-3.1617095151476451</c:v>
                </c:pt>
                <c:pt idx="16">
                  <c:v>-3.1277452834307136</c:v>
                </c:pt>
                <c:pt idx="17">
                  <c:v>-3.0936924934662424</c:v>
                </c:pt>
                <c:pt idx="18">
                  <c:v>-3.0595511452542299</c:v>
                </c:pt>
                <c:pt idx="19">
                  <c:v>-3.0253212387946777</c:v>
                </c:pt>
                <c:pt idx="20">
                  <c:v>-2.9910027740875851</c:v>
                </c:pt>
                <c:pt idx="21">
                  <c:v>-2.9565957511329524</c:v>
                </c:pt>
                <c:pt idx="22">
                  <c:v>-2.9221001699307791</c:v>
                </c:pt>
                <c:pt idx="23">
                  <c:v>-2.8875160304810654</c:v>
                </c:pt>
                <c:pt idx="24">
                  <c:v>-2.8528433327838121</c:v>
                </c:pt>
                <c:pt idx="25">
                  <c:v>-2.8180820768390182</c:v>
                </c:pt>
                <c:pt idx="26">
                  <c:v>-2.7832322626466843</c:v>
                </c:pt>
                <c:pt idx="27">
                  <c:v>-2.748293890206809</c:v>
                </c:pt>
                <c:pt idx="28">
                  <c:v>-2.7132669595193946</c:v>
                </c:pt>
                <c:pt idx="29">
                  <c:v>-2.6781514705844396</c:v>
                </c:pt>
                <c:pt idx="30">
                  <c:v>-2.6429474234019437</c:v>
                </c:pt>
                <c:pt idx="31">
                  <c:v>-2.6076548179719081</c:v>
                </c:pt>
                <c:pt idx="32">
                  <c:v>-2.5722736542943325</c:v>
                </c:pt>
                <c:pt idx="33">
                  <c:v>-2.5368039323692164</c:v>
                </c:pt>
                <c:pt idx="34">
                  <c:v>-2.5012456521965603</c:v>
                </c:pt>
                <c:pt idx="35">
                  <c:v>-2.4655988137763631</c:v>
                </c:pt>
                <c:pt idx="36">
                  <c:v>-2.4298634171086264</c:v>
                </c:pt>
                <c:pt idx="37">
                  <c:v>-2.3940394621933492</c:v>
                </c:pt>
                <c:pt idx="38">
                  <c:v>-2.3581269490305314</c:v>
                </c:pt>
                <c:pt idx="39">
                  <c:v>-2.3221258776201741</c:v>
                </c:pt>
                <c:pt idx="40">
                  <c:v>-2.2860362479622749</c:v>
                </c:pt>
                <c:pt idx="41">
                  <c:v>-2.249858060056837</c:v>
                </c:pt>
                <c:pt idx="42">
                  <c:v>-2.2135913139038581</c:v>
                </c:pt>
                <c:pt idx="43">
                  <c:v>-2.1772360095033392</c:v>
                </c:pt>
                <c:pt idx="44">
                  <c:v>-2.1407921468552802</c:v>
                </c:pt>
                <c:pt idx="45">
                  <c:v>-2.1042597259596807</c:v>
                </c:pt>
                <c:pt idx="46">
                  <c:v>-2.0676387468165407</c:v>
                </c:pt>
                <c:pt idx="47">
                  <c:v>-2.0309292094258611</c:v>
                </c:pt>
                <c:pt idx="48">
                  <c:v>-1.9941311137876405</c:v>
                </c:pt>
                <c:pt idx="49">
                  <c:v>-1.9572444599018799</c:v>
                </c:pt>
                <c:pt idx="50">
                  <c:v>-1.9202692477685794</c:v>
                </c:pt>
                <c:pt idx="51">
                  <c:v>-1.883205477387738</c:v>
                </c:pt>
                <c:pt idx="52">
                  <c:v>-1.8460531487593568</c:v>
                </c:pt>
                <c:pt idx="53">
                  <c:v>-1.808812261883435</c:v>
                </c:pt>
                <c:pt idx="54">
                  <c:v>-1.7714828167599732</c:v>
                </c:pt>
                <c:pt idx="55">
                  <c:v>-1.7340648133889707</c:v>
                </c:pt>
                <c:pt idx="56">
                  <c:v>-1.6965582517704283</c:v>
                </c:pt>
                <c:pt idx="57">
                  <c:v>-1.6589631319043454</c:v>
                </c:pt>
                <c:pt idx="58">
                  <c:v>-1.6212794537907225</c:v>
                </c:pt>
                <c:pt idx="59">
                  <c:v>-1.5835072174295592</c:v>
                </c:pt>
                <c:pt idx="60">
                  <c:v>-1.5456464228208553</c:v>
                </c:pt>
                <c:pt idx="61">
                  <c:v>-1.5076970699646117</c:v>
                </c:pt>
                <c:pt idx="62">
                  <c:v>-1.4696591588608274</c:v>
                </c:pt>
                <c:pt idx="63">
                  <c:v>-1.4315326895095033</c:v>
                </c:pt>
                <c:pt idx="64">
                  <c:v>-1.3933176619106384</c:v>
                </c:pt>
                <c:pt idx="65">
                  <c:v>-1.3550140760642329</c:v>
                </c:pt>
                <c:pt idx="66">
                  <c:v>-1.3166219319702881</c:v>
                </c:pt>
                <c:pt idx="67">
                  <c:v>-1.2781412296288024</c:v>
                </c:pt>
                <c:pt idx="68">
                  <c:v>-1.2395719690397773</c:v>
                </c:pt>
                <c:pt idx="69">
                  <c:v>-1.2009141502032108</c:v>
                </c:pt>
                <c:pt idx="70">
                  <c:v>-1.162167773119104</c:v>
                </c:pt>
                <c:pt idx="71">
                  <c:v>-1.1233328377874576</c:v>
                </c:pt>
                <c:pt idx="72">
                  <c:v>-1.0844093442082707</c:v>
                </c:pt>
                <c:pt idx="73">
                  <c:v>-1.0453972923815438</c:v>
                </c:pt>
                <c:pt idx="74">
                  <c:v>-1.0062966823072759</c:v>
                </c:pt>
                <c:pt idx="75">
                  <c:v>-0.96710751398546801</c:v>
                </c:pt>
                <c:pt idx="76">
                  <c:v>-0.92782978741612032</c:v>
                </c:pt>
                <c:pt idx="77">
                  <c:v>-0.88846350259923179</c:v>
                </c:pt>
                <c:pt idx="78">
                  <c:v>-0.84900865953480387</c:v>
                </c:pt>
                <c:pt idx="79">
                  <c:v>-0.80946525822283477</c:v>
                </c:pt>
                <c:pt idx="80">
                  <c:v>-0.76983329866332539</c:v>
                </c:pt>
                <c:pt idx="81">
                  <c:v>-0.73011278085627618</c:v>
                </c:pt>
                <c:pt idx="82">
                  <c:v>-0.69030370480168624</c:v>
                </c:pt>
                <c:pt idx="83">
                  <c:v>-0.65040607049955657</c:v>
                </c:pt>
                <c:pt idx="84">
                  <c:v>-0.61041987794988606</c:v>
                </c:pt>
                <c:pt idx="85">
                  <c:v>-0.57034512715267627</c:v>
                </c:pt>
                <c:pt idx="86">
                  <c:v>-0.53018181810792486</c:v>
                </c:pt>
                <c:pt idx="87">
                  <c:v>-0.48992995081563401</c:v>
                </c:pt>
                <c:pt idx="88">
                  <c:v>-0.44958952527580293</c:v>
                </c:pt>
                <c:pt idx="89">
                  <c:v>-0.40916054148843078</c:v>
                </c:pt>
                <c:pt idx="90">
                  <c:v>-0.36864299945351903</c:v>
                </c:pt>
                <c:pt idx="91">
                  <c:v>-0.3280368991710671</c:v>
                </c:pt>
                <c:pt idx="92">
                  <c:v>-0.28734224064107411</c:v>
                </c:pt>
                <c:pt idx="93">
                  <c:v>-0.24655902386354236</c:v>
                </c:pt>
                <c:pt idx="94">
                  <c:v>-0.20568724883846881</c:v>
                </c:pt>
                <c:pt idx="95">
                  <c:v>-0.16472691556585575</c:v>
                </c:pt>
                <c:pt idx="96">
                  <c:v>-0.12367802404570241</c:v>
                </c:pt>
                <c:pt idx="97">
                  <c:v>-8.2540574278008053E-2</c:v>
                </c:pt>
                <c:pt idx="98">
                  <c:v>-4.1314566262774147E-2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-0.58327126086472125</c:v>
                </c:pt>
                <c:pt idx="2">
                  <c:v>-0.57731951330487719</c:v>
                </c:pt>
                <c:pt idx="3">
                  <c:v>-0.57136776574503301</c:v>
                </c:pt>
                <c:pt idx="4">
                  <c:v>-0.56541601818518894</c:v>
                </c:pt>
                <c:pt idx="5">
                  <c:v>-0.55946427062534487</c:v>
                </c:pt>
                <c:pt idx="6">
                  <c:v>-0.55351252306550081</c:v>
                </c:pt>
                <c:pt idx="7">
                  <c:v>-0.54756077550565663</c:v>
                </c:pt>
                <c:pt idx="8">
                  <c:v>-0.54160902794581256</c:v>
                </c:pt>
                <c:pt idx="9">
                  <c:v>-0.53565728038596849</c:v>
                </c:pt>
                <c:pt idx="10">
                  <c:v>-0.52970553282612443</c:v>
                </c:pt>
                <c:pt idx="11">
                  <c:v>-0.52375378526628025</c:v>
                </c:pt>
                <c:pt idx="12">
                  <c:v>-0.51780203770643618</c:v>
                </c:pt>
                <c:pt idx="13">
                  <c:v>-0.51185029014659211</c:v>
                </c:pt>
                <c:pt idx="14">
                  <c:v>-0.50589854258674805</c:v>
                </c:pt>
                <c:pt idx="15">
                  <c:v>-0.49994679502690387</c:v>
                </c:pt>
                <c:pt idx="16">
                  <c:v>-0.4939950474670598</c:v>
                </c:pt>
                <c:pt idx="17">
                  <c:v>-0.48804329990721573</c:v>
                </c:pt>
                <c:pt idx="18">
                  <c:v>-0.48209155234737161</c:v>
                </c:pt>
                <c:pt idx="19">
                  <c:v>-0.47613980478752754</c:v>
                </c:pt>
                <c:pt idx="20">
                  <c:v>-0.47018805722768342</c:v>
                </c:pt>
                <c:pt idx="21">
                  <c:v>-0.46423630966783935</c:v>
                </c:pt>
                <c:pt idx="22">
                  <c:v>-0.45828456210799529</c:v>
                </c:pt>
                <c:pt idx="23">
                  <c:v>-0.45233281454815111</c:v>
                </c:pt>
                <c:pt idx="24">
                  <c:v>-0.44638106698830704</c:v>
                </c:pt>
                <c:pt idx="25">
                  <c:v>-0.44042931942846297</c:v>
                </c:pt>
                <c:pt idx="26">
                  <c:v>-0.43447757186861891</c:v>
                </c:pt>
                <c:pt idx="27">
                  <c:v>-0.42852582430877478</c:v>
                </c:pt>
                <c:pt idx="28">
                  <c:v>-0.42257407674893066</c:v>
                </c:pt>
                <c:pt idx="29">
                  <c:v>-0.41662232918908659</c:v>
                </c:pt>
                <c:pt idx="30">
                  <c:v>-0.41067058162924247</c:v>
                </c:pt>
                <c:pt idx="31">
                  <c:v>-0.4047188340693984</c:v>
                </c:pt>
                <c:pt idx="32">
                  <c:v>-0.39876708650955428</c:v>
                </c:pt>
                <c:pt idx="33">
                  <c:v>-0.39281533894971021</c:v>
                </c:pt>
                <c:pt idx="34">
                  <c:v>-0.38686359138986615</c:v>
                </c:pt>
                <c:pt idx="35">
                  <c:v>-0.38091184383002197</c:v>
                </c:pt>
                <c:pt idx="36">
                  <c:v>-0.3749600962701779</c:v>
                </c:pt>
                <c:pt idx="37">
                  <c:v>-0.36900834871033383</c:v>
                </c:pt>
                <c:pt idx="38">
                  <c:v>-0.36305660115048977</c:v>
                </c:pt>
                <c:pt idx="39">
                  <c:v>-0.3571048535906457</c:v>
                </c:pt>
                <c:pt idx="40">
                  <c:v>-0.35115310603080152</c:v>
                </c:pt>
                <c:pt idx="41">
                  <c:v>-0.34520135847095745</c:v>
                </c:pt>
                <c:pt idx="42">
                  <c:v>-0.33924961091111339</c:v>
                </c:pt>
                <c:pt idx="43">
                  <c:v>-0.33329786335126926</c:v>
                </c:pt>
                <c:pt idx="44">
                  <c:v>-0.3273461157914252</c:v>
                </c:pt>
                <c:pt idx="45">
                  <c:v>-0.32139436823158107</c:v>
                </c:pt>
                <c:pt idx="46">
                  <c:v>-0.31544262067173695</c:v>
                </c:pt>
                <c:pt idx="47">
                  <c:v>-0.30949087311189288</c:v>
                </c:pt>
                <c:pt idx="48">
                  <c:v>-0.30353912555204882</c:v>
                </c:pt>
                <c:pt idx="49">
                  <c:v>-0.29758737799220469</c:v>
                </c:pt>
                <c:pt idx="50">
                  <c:v>-0.29163563043236063</c:v>
                </c:pt>
                <c:pt idx="51">
                  <c:v>-0.2856838828725165</c:v>
                </c:pt>
                <c:pt idx="52">
                  <c:v>-0.27973213531267244</c:v>
                </c:pt>
                <c:pt idx="53">
                  <c:v>-0.27378038775282831</c:v>
                </c:pt>
                <c:pt idx="54">
                  <c:v>-0.26782864019298425</c:v>
                </c:pt>
                <c:pt idx="55">
                  <c:v>-0.26187689263314012</c:v>
                </c:pt>
                <c:pt idx="56">
                  <c:v>-0.25592514507329606</c:v>
                </c:pt>
                <c:pt idx="57">
                  <c:v>-0.24997339751345193</c:v>
                </c:pt>
                <c:pt idx="58">
                  <c:v>-0.24402164995360787</c:v>
                </c:pt>
                <c:pt idx="59">
                  <c:v>-0.23806990239376374</c:v>
                </c:pt>
                <c:pt idx="60">
                  <c:v>-0.23211815483391962</c:v>
                </c:pt>
                <c:pt idx="61">
                  <c:v>-0.22616640727407561</c:v>
                </c:pt>
                <c:pt idx="62">
                  <c:v>-0.22021465971423149</c:v>
                </c:pt>
                <c:pt idx="63">
                  <c:v>-0.21426291215438742</c:v>
                </c:pt>
                <c:pt idx="64">
                  <c:v>-0.2083111645945433</c:v>
                </c:pt>
                <c:pt idx="65">
                  <c:v>-0.20235941703469917</c:v>
                </c:pt>
                <c:pt idx="66">
                  <c:v>-0.19640766947485511</c:v>
                </c:pt>
                <c:pt idx="67">
                  <c:v>-0.19045592191501098</c:v>
                </c:pt>
                <c:pt idx="68">
                  <c:v>-0.18450417435516697</c:v>
                </c:pt>
                <c:pt idx="69">
                  <c:v>-0.17855242679532285</c:v>
                </c:pt>
                <c:pt idx="70">
                  <c:v>-0.17260067923547867</c:v>
                </c:pt>
                <c:pt idx="71">
                  <c:v>-0.16664893167563466</c:v>
                </c:pt>
                <c:pt idx="72">
                  <c:v>-0.16069718411579054</c:v>
                </c:pt>
                <c:pt idx="73">
                  <c:v>-0.15474543655594647</c:v>
                </c:pt>
                <c:pt idx="74">
                  <c:v>-0.14879368899610235</c:v>
                </c:pt>
                <c:pt idx="75">
                  <c:v>-0.14284194143625822</c:v>
                </c:pt>
                <c:pt idx="76">
                  <c:v>-0.13689019387641416</c:v>
                </c:pt>
                <c:pt idx="77">
                  <c:v>-0.13093844631657003</c:v>
                </c:pt>
                <c:pt idx="78">
                  <c:v>-0.12498669875672602</c:v>
                </c:pt>
                <c:pt idx="79">
                  <c:v>-0.1190349511968819</c:v>
                </c:pt>
                <c:pt idx="80">
                  <c:v>-0.11308320363703778</c:v>
                </c:pt>
                <c:pt idx="81">
                  <c:v>-0.10713145607719371</c:v>
                </c:pt>
                <c:pt idx="82">
                  <c:v>-0.10117970851734959</c:v>
                </c:pt>
                <c:pt idx="83">
                  <c:v>-9.522796095750552E-2</c:v>
                </c:pt>
                <c:pt idx="84">
                  <c:v>-8.9276213397661397E-2</c:v>
                </c:pt>
                <c:pt idx="85">
                  <c:v>-8.3324465837817385E-2</c:v>
                </c:pt>
                <c:pt idx="86">
                  <c:v>-7.7372718277973207E-2</c:v>
                </c:pt>
                <c:pt idx="87">
                  <c:v>-7.142097071812914E-2</c:v>
                </c:pt>
                <c:pt idx="88">
                  <c:v>-6.5469223158285073E-2</c:v>
                </c:pt>
                <c:pt idx="89">
                  <c:v>-5.9517475598440894E-2</c:v>
                </c:pt>
                <c:pt idx="90">
                  <c:v>-5.3565728038596827E-2</c:v>
                </c:pt>
                <c:pt idx="91">
                  <c:v>-4.761398047875276E-2</c:v>
                </c:pt>
                <c:pt idx="92">
                  <c:v>-4.1662232918908582E-2</c:v>
                </c:pt>
                <c:pt idx="93">
                  <c:v>-3.5710485359064625E-2</c:v>
                </c:pt>
                <c:pt idx="94">
                  <c:v>-2.9758737799220447E-2</c:v>
                </c:pt>
                <c:pt idx="95">
                  <c:v>-2.380699023937638E-2</c:v>
                </c:pt>
                <c:pt idx="96">
                  <c:v>-1.7855242679532313E-2</c:v>
                </c:pt>
                <c:pt idx="97">
                  <c:v>-1.1903495119688134E-2</c:v>
                </c:pt>
                <c:pt idx="98">
                  <c:v>-5.9517475598440672E-3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-5.8080124720012921E-2</c:v>
                </c:pt>
                <c:pt idx="2">
                  <c:v>-0.11598508089629672</c:v>
                </c:pt>
                <c:pt idx="3">
                  <c:v>-0.17371486852885157</c:v>
                </c:pt>
                <c:pt idx="4">
                  <c:v>-0.23126948761767732</c:v>
                </c:pt>
                <c:pt idx="5">
                  <c:v>-0.28864893816277404</c:v>
                </c:pt>
                <c:pt idx="6">
                  <c:v>-0.34585322016414177</c:v>
                </c:pt>
                <c:pt idx="7">
                  <c:v>-0.40288233362178039</c:v>
                </c:pt>
                <c:pt idx="8">
                  <c:v>-0.45973627853568988</c:v>
                </c:pt>
                <c:pt idx="9">
                  <c:v>-0.51641505490587036</c:v>
                </c:pt>
                <c:pt idx="10">
                  <c:v>-0.57291866273232195</c:v>
                </c:pt>
                <c:pt idx="11">
                  <c:v>-0.6292471020150443</c:v>
                </c:pt>
                <c:pt idx="12">
                  <c:v>-0.68540037275403776</c:v>
                </c:pt>
                <c:pt idx="13">
                  <c:v>-0.74137847494930209</c:v>
                </c:pt>
                <c:pt idx="14">
                  <c:v>-0.79718140860083742</c:v>
                </c:pt>
                <c:pt idx="15">
                  <c:v>-0.8528091737086434</c:v>
                </c:pt>
                <c:pt idx="16">
                  <c:v>-0.9082617702727207</c:v>
                </c:pt>
                <c:pt idx="17">
                  <c:v>-0.963539198293069</c:v>
                </c:pt>
                <c:pt idx="18">
                  <c:v>-1.0186414577696881</c:v>
                </c:pt>
                <c:pt idx="19">
                  <c:v>-1.0735685487025777</c:v>
                </c:pt>
                <c:pt idx="20">
                  <c:v>-1.1283204710917392</c:v>
                </c:pt>
                <c:pt idx="21">
                  <c:v>-1.1828972249371712</c:v>
                </c:pt>
                <c:pt idx="22">
                  <c:v>-1.2372988102388738</c:v>
                </c:pt>
                <c:pt idx="23">
                  <c:v>-1.2915252269968476</c:v>
                </c:pt>
                <c:pt idx="24">
                  <c:v>-1.3455764752110926</c:v>
                </c:pt>
                <c:pt idx="25">
                  <c:v>-1.3994525548816081</c:v>
                </c:pt>
                <c:pt idx="26">
                  <c:v>-1.4531534660083949</c:v>
                </c:pt>
                <c:pt idx="27">
                  <c:v>-1.5066792085914524</c:v>
                </c:pt>
                <c:pt idx="28">
                  <c:v>-1.5600297826307814</c:v>
                </c:pt>
                <c:pt idx="29">
                  <c:v>-1.6132051881263807</c:v>
                </c:pt>
                <c:pt idx="30">
                  <c:v>-1.6662054250782512</c:v>
                </c:pt>
                <c:pt idx="31">
                  <c:v>-1.7190304934863927</c:v>
                </c:pt>
                <c:pt idx="32">
                  <c:v>-1.7716803933508047</c:v>
                </c:pt>
                <c:pt idx="33">
                  <c:v>-1.8241551246714887</c:v>
                </c:pt>
                <c:pt idx="34">
                  <c:v>-1.8764546874484429</c:v>
                </c:pt>
                <c:pt idx="35">
                  <c:v>-1.9285790816816679</c:v>
                </c:pt>
                <c:pt idx="36">
                  <c:v>-1.9805283073711639</c:v>
                </c:pt>
                <c:pt idx="37">
                  <c:v>-2.0323023645169314</c:v>
                </c:pt>
                <c:pt idx="38">
                  <c:v>-2.0839012531189698</c:v>
                </c:pt>
                <c:pt idx="39">
                  <c:v>-2.135324973177279</c:v>
                </c:pt>
                <c:pt idx="40">
                  <c:v>-2.1865735246918585</c:v>
                </c:pt>
                <c:pt idx="41">
                  <c:v>-2.2376469076627101</c:v>
                </c:pt>
                <c:pt idx="42">
                  <c:v>-2.2885451220898312</c:v>
                </c:pt>
                <c:pt idx="43">
                  <c:v>-2.3392681679732239</c:v>
                </c:pt>
                <c:pt idx="44">
                  <c:v>-2.3898160453128883</c:v>
                </c:pt>
                <c:pt idx="45">
                  <c:v>-2.4401887541088234</c:v>
                </c:pt>
                <c:pt idx="46">
                  <c:v>-2.4903862943610284</c:v>
                </c:pt>
                <c:pt idx="47">
                  <c:v>-2.5404086660695055</c:v>
                </c:pt>
                <c:pt idx="48">
                  <c:v>-2.5902558692342534</c:v>
                </c:pt>
                <c:pt idx="49">
                  <c:v>-2.6399279038552712</c:v>
                </c:pt>
                <c:pt idx="50">
                  <c:v>-2.6894247699325611</c:v>
                </c:pt>
                <c:pt idx="51">
                  <c:v>-2.7387464674661217</c:v>
                </c:pt>
                <c:pt idx="52">
                  <c:v>-2.7878929964559536</c:v>
                </c:pt>
                <c:pt idx="53">
                  <c:v>-2.8368643569020557</c:v>
                </c:pt>
                <c:pt idx="54">
                  <c:v>-2.8856605488044287</c:v>
                </c:pt>
                <c:pt idx="55">
                  <c:v>-2.9342815721630733</c:v>
                </c:pt>
                <c:pt idx="56">
                  <c:v>-2.9827274269779891</c:v>
                </c:pt>
                <c:pt idx="57">
                  <c:v>-3.0309981132491748</c:v>
                </c:pt>
                <c:pt idx="58">
                  <c:v>-3.0790936309766326</c:v>
                </c:pt>
                <c:pt idx="59">
                  <c:v>-3.1270139801603603</c:v>
                </c:pt>
                <c:pt idx="60">
                  <c:v>-3.1747591608003596</c:v>
                </c:pt>
                <c:pt idx="61">
                  <c:v>-3.2223291728966292</c:v>
                </c:pt>
                <c:pt idx="62">
                  <c:v>-3.2697240164491705</c:v>
                </c:pt>
                <c:pt idx="63">
                  <c:v>-3.3169436914579822</c:v>
                </c:pt>
                <c:pt idx="64">
                  <c:v>-3.3639881979230646</c:v>
                </c:pt>
                <c:pt idx="65">
                  <c:v>-3.4108575358444191</c:v>
                </c:pt>
                <c:pt idx="66">
                  <c:v>-3.4575517052220439</c:v>
                </c:pt>
                <c:pt idx="67">
                  <c:v>-3.5040707060559395</c:v>
                </c:pt>
                <c:pt idx="68">
                  <c:v>-3.5504145383461059</c:v>
                </c:pt>
                <c:pt idx="69">
                  <c:v>-3.5965832020925439</c:v>
                </c:pt>
                <c:pt idx="70">
                  <c:v>-3.6425766972952518</c:v>
                </c:pt>
                <c:pt idx="71">
                  <c:v>-3.6883950239542318</c:v>
                </c:pt>
                <c:pt idx="72">
                  <c:v>-3.7340381820694817</c:v>
                </c:pt>
                <c:pt idx="73">
                  <c:v>-3.7795061716410041</c:v>
                </c:pt>
                <c:pt idx="74">
                  <c:v>-3.824798992668796</c:v>
                </c:pt>
                <c:pt idx="75">
                  <c:v>-3.8699166451528595</c:v>
                </c:pt>
                <c:pt idx="76">
                  <c:v>-3.9148591290931942</c:v>
                </c:pt>
                <c:pt idx="77">
                  <c:v>-3.9596264444897988</c:v>
                </c:pt>
                <c:pt idx="78">
                  <c:v>-4.0042185913426751</c:v>
                </c:pt>
                <c:pt idx="79">
                  <c:v>-4.0486355696518226</c:v>
                </c:pt>
                <c:pt idx="80">
                  <c:v>-4.0928773794172413</c:v>
                </c:pt>
                <c:pt idx="81">
                  <c:v>-4.1369440206389294</c:v>
                </c:pt>
                <c:pt idx="82">
                  <c:v>-4.1808354933168896</c:v>
                </c:pt>
                <c:pt idx="83">
                  <c:v>-4.2245517974511193</c:v>
                </c:pt>
                <c:pt idx="84">
                  <c:v>-4.268092933041622</c:v>
                </c:pt>
                <c:pt idx="85">
                  <c:v>-4.3114589000883949</c:v>
                </c:pt>
                <c:pt idx="86">
                  <c:v>-4.3546496985914391</c:v>
                </c:pt>
                <c:pt idx="87">
                  <c:v>-4.3976653285507536</c:v>
                </c:pt>
                <c:pt idx="88">
                  <c:v>-4.4405057899663394</c:v>
                </c:pt>
                <c:pt idx="89">
                  <c:v>-4.4831710828381972</c:v>
                </c:pt>
                <c:pt idx="90">
                  <c:v>-4.5256612071663236</c:v>
                </c:pt>
                <c:pt idx="91">
                  <c:v>-4.5679761629507221</c:v>
                </c:pt>
                <c:pt idx="92">
                  <c:v>-4.6101159501913918</c:v>
                </c:pt>
                <c:pt idx="93">
                  <c:v>-4.6520805688883327</c:v>
                </c:pt>
                <c:pt idx="94">
                  <c:v>-4.6938700190415439</c:v>
                </c:pt>
                <c:pt idx="95">
                  <c:v>-4.7354843006510272</c:v>
                </c:pt>
                <c:pt idx="96">
                  <c:v>-4.77692341371678</c:v>
                </c:pt>
                <c:pt idx="97">
                  <c:v>-4.818187358238804</c:v>
                </c:pt>
                <c:pt idx="98">
                  <c:v>-4.8592761342171</c:v>
                </c:pt>
                <c:pt idx="99">
                  <c:v>-4.9001897416516655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8.3706282614639665E-3</c:v>
                </c:pt>
                <c:pt idx="2">
                  <c:v>1.6741256522927933E-2</c:v>
                </c:pt>
                <c:pt idx="3">
                  <c:v>2.5111884784391903E-2</c:v>
                </c:pt>
                <c:pt idx="4">
                  <c:v>3.3482513045855866E-2</c:v>
                </c:pt>
                <c:pt idx="5">
                  <c:v>4.185314130731984E-2</c:v>
                </c:pt>
                <c:pt idx="6">
                  <c:v>5.0223769568783806E-2</c:v>
                </c:pt>
                <c:pt idx="7">
                  <c:v>5.8594397830247773E-2</c:v>
                </c:pt>
                <c:pt idx="8">
                  <c:v>6.6965026091711732E-2</c:v>
                </c:pt>
                <c:pt idx="9">
                  <c:v>7.5335654353175699E-2</c:v>
                </c:pt>
                <c:pt idx="10">
                  <c:v>8.3706282614639679E-2</c:v>
                </c:pt>
                <c:pt idx="11">
                  <c:v>9.2076910876103632E-2</c:v>
                </c:pt>
                <c:pt idx="12">
                  <c:v>0.10044753913756761</c:v>
                </c:pt>
                <c:pt idx="13">
                  <c:v>0.10881816739903157</c:v>
                </c:pt>
                <c:pt idx="14">
                  <c:v>0.11718879566049555</c:v>
                </c:pt>
                <c:pt idx="15">
                  <c:v>0.12555942392195951</c:v>
                </c:pt>
                <c:pt idx="16">
                  <c:v>0.13393005218342346</c:v>
                </c:pt>
                <c:pt idx="17">
                  <c:v>0.14230068044488745</c:v>
                </c:pt>
                <c:pt idx="18">
                  <c:v>0.1506713087063514</c:v>
                </c:pt>
                <c:pt idx="19">
                  <c:v>0.15904193696781538</c:v>
                </c:pt>
                <c:pt idx="20">
                  <c:v>0.16741256522927936</c:v>
                </c:pt>
                <c:pt idx="21">
                  <c:v>0.17578319349074331</c:v>
                </c:pt>
                <c:pt idx="22">
                  <c:v>0.18415382175220726</c:v>
                </c:pt>
                <c:pt idx="23">
                  <c:v>0.19252445001367124</c:v>
                </c:pt>
                <c:pt idx="24">
                  <c:v>0.20089507827513522</c:v>
                </c:pt>
                <c:pt idx="25">
                  <c:v>0.20926570653659921</c:v>
                </c:pt>
                <c:pt idx="26">
                  <c:v>0.21763633479806313</c:v>
                </c:pt>
                <c:pt idx="27">
                  <c:v>0.22600696305952711</c:v>
                </c:pt>
                <c:pt idx="28">
                  <c:v>0.23437759132099109</c:v>
                </c:pt>
                <c:pt idx="29">
                  <c:v>0.24274821958245507</c:v>
                </c:pt>
                <c:pt idx="30">
                  <c:v>0.25111884784391902</c:v>
                </c:pt>
                <c:pt idx="31">
                  <c:v>0.25948947610538298</c:v>
                </c:pt>
                <c:pt idx="32">
                  <c:v>0.26786010436684693</c:v>
                </c:pt>
                <c:pt idx="33">
                  <c:v>0.27623073262831094</c:v>
                </c:pt>
                <c:pt idx="34">
                  <c:v>0.28460136088977489</c:v>
                </c:pt>
                <c:pt idx="35">
                  <c:v>0.29297198915123884</c:v>
                </c:pt>
                <c:pt idx="36">
                  <c:v>0.3013426174127028</c:v>
                </c:pt>
                <c:pt idx="37">
                  <c:v>0.3097132456741668</c:v>
                </c:pt>
                <c:pt idx="38">
                  <c:v>0.31808387393563076</c:v>
                </c:pt>
                <c:pt idx="39">
                  <c:v>0.32645450219709476</c:v>
                </c:pt>
                <c:pt idx="40">
                  <c:v>0.33482513045855872</c:v>
                </c:pt>
                <c:pt idx="41">
                  <c:v>0.34319575872002267</c:v>
                </c:pt>
                <c:pt idx="42">
                  <c:v>0.35156638698148662</c:v>
                </c:pt>
                <c:pt idx="43">
                  <c:v>0.35993701524295058</c:v>
                </c:pt>
                <c:pt idx="44">
                  <c:v>0.36830764350441453</c:v>
                </c:pt>
                <c:pt idx="45">
                  <c:v>0.37667827176587854</c:v>
                </c:pt>
                <c:pt idx="46">
                  <c:v>0.38504890002734249</c:v>
                </c:pt>
                <c:pt idx="47">
                  <c:v>0.3934195282888065</c:v>
                </c:pt>
                <c:pt idx="48">
                  <c:v>0.40179015655027045</c:v>
                </c:pt>
                <c:pt idx="49">
                  <c:v>0.4101607848117344</c:v>
                </c:pt>
                <c:pt idx="50">
                  <c:v>0.41853141307319841</c:v>
                </c:pt>
                <c:pt idx="51">
                  <c:v>0.42690204133466231</c:v>
                </c:pt>
                <c:pt idx="52">
                  <c:v>0.43527266959612626</c:v>
                </c:pt>
                <c:pt idx="53">
                  <c:v>0.44364329785759027</c:v>
                </c:pt>
                <c:pt idx="54">
                  <c:v>0.45201392611905422</c:v>
                </c:pt>
                <c:pt idx="55">
                  <c:v>0.46038455438051817</c:v>
                </c:pt>
                <c:pt idx="56">
                  <c:v>0.46875518264198218</c:v>
                </c:pt>
                <c:pt idx="57">
                  <c:v>0.47712581090344613</c:v>
                </c:pt>
                <c:pt idx="58">
                  <c:v>0.48549643916491014</c:v>
                </c:pt>
                <c:pt idx="59">
                  <c:v>0.4938670674263741</c:v>
                </c:pt>
                <c:pt idx="60">
                  <c:v>0.50223769568783805</c:v>
                </c:pt>
                <c:pt idx="61">
                  <c:v>0.510608323949302</c:v>
                </c:pt>
                <c:pt idx="62">
                  <c:v>0.51897895221076595</c:v>
                </c:pt>
                <c:pt idx="63">
                  <c:v>0.52734958047222991</c:v>
                </c:pt>
                <c:pt idx="64">
                  <c:v>0.53572020873369386</c:v>
                </c:pt>
                <c:pt idx="65">
                  <c:v>0.54409083699515792</c:v>
                </c:pt>
                <c:pt idx="66">
                  <c:v>0.55246146525662188</c:v>
                </c:pt>
                <c:pt idx="67">
                  <c:v>0.56083209351808583</c:v>
                </c:pt>
                <c:pt idx="68">
                  <c:v>0.56920272177954978</c:v>
                </c:pt>
                <c:pt idx="69">
                  <c:v>0.57757335004101373</c:v>
                </c:pt>
                <c:pt idx="70">
                  <c:v>0.58594397830247769</c:v>
                </c:pt>
                <c:pt idx="71">
                  <c:v>0.59431460656394164</c:v>
                </c:pt>
                <c:pt idx="72">
                  <c:v>0.60268523482540559</c:v>
                </c:pt>
                <c:pt idx="73">
                  <c:v>0.61105586308686966</c:v>
                </c:pt>
                <c:pt idx="74">
                  <c:v>0.61942649134833361</c:v>
                </c:pt>
                <c:pt idx="75">
                  <c:v>0.62779711960979756</c:v>
                </c:pt>
                <c:pt idx="76">
                  <c:v>0.63616774787126151</c:v>
                </c:pt>
                <c:pt idx="77">
                  <c:v>0.64453837613272547</c:v>
                </c:pt>
                <c:pt idx="78">
                  <c:v>0.65290900439418953</c:v>
                </c:pt>
                <c:pt idx="79">
                  <c:v>0.66127963265565348</c:v>
                </c:pt>
                <c:pt idx="80">
                  <c:v>0.66965026091711743</c:v>
                </c:pt>
                <c:pt idx="81">
                  <c:v>0.67802088917858139</c:v>
                </c:pt>
                <c:pt idx="82">
                  <c:v>0.68639151744004534</c:v>
                </c:pt>
                <c:pt idx="83">
                  <c:v>0.69476214570150918</c:v>
                </c:pt>
                <c:pt idx="84">
                  <c:v>0.70313277396297325</c:v>
                </c:pt>
                <c:pt idx="85">
                  <c:v>0.7115034022244372</c:v>
                </c:pt>
                <c:pt idx="86">
                  <c:v>0.71987403048590115</c:v>
                </c:pt>
                <c:pt idx="87">
                  <c:v>0.7282446587473651</c:v>
                </c:pt>
                <c:pt idx="88">
                  <c:v>0.73661528700882906</c:v>
                </c:pt>
                <c:pt idx="89">
                  <c:v>0.74498591527029312</c:v>
                </c:pt>
                <c:pt idx="90">
                  <c:v>0.75335654353175707</c:v>
                </c:pt>
                <c:pt idx="91">
                  <c:v>0.76172717179322103</c:v>
                </c:pt>
                <c:pt idx="92">
                  <c:v>0.77009780005468498</c:v>
                </c:pt>
                <c:pt idx="93">
                  <c:v>0.77846842831614893</c:v>
                </c:pt>
                <c:pt idx="94">
                  <c:v>0.78683905657761299</c:v>
                </c:pt>
                <c:pt idx="95">
                  <c:v>0.79520968483907695</c:v>
                </c:pt>
                <c:pt idx="96">
                  <c:v>0.8035803131005409</c:v>
                </c:pt>
                <c:pt idx="97">
                  <c:v>0.81195094136200485</c:v>
                </c:pt>
                <c:pt idx="98">
                  <c:v>0.8203215696234688</c:v>
                </c:pt>
                <c:pt idx="99">
                  <c:v>0.82869219788493287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'CDCL (2)'!$B$4:$B$247</c:f>
              <c:numCache>
                <c:formatCode>General</c:formatCode>
                <c:ptCount val="244"/>
                <c:pt idx="0">
                  <c:v>5.985E-2</c:v>
                </c:pt>
                <c:pt idx="1">
                  <c:v>5.8990000000000001E-2</c:v>
                </c:pt>
                <c:pt idx="2">
                  <c:v>5.8139999999999997E-2</c:v>
                </c:pt>
                <c:pt idx="3">
                  <c:v>5.7290000000000001E-2</c:v>
                </c:pt>
                <c:pt idx="4">
                  <c:v>5.6430000000000001E-2</c:v>
                </c:pt>
                <c:pt idx="5">
                  <c:v>5.5579999999999997E-2</c:v>
                </c:pt>
                <c:pt idx="6">
                  <c:v>5.4719999999999998E-2</c:v>
                </c:pt>
                <c:pt idx="7">
                  <c:v>5.3859999999999998E-2</c:v>
                </c:pt>
                <c:pt idx="8">
                  <c:v>5.2999999999999999E-2</c:v>
                </c:pt>
                <c:pt idx="9">
                  <c:v>5.2130000000000003E-2</c:v>
                </c:pt>
                <c:pt idx="10">
                  <c:v>5.126E-2</c:v>
                </c:pt>
                <c:pt idx="11">
                  <c:v>5.0389999999999997E-2</c:v>
                </c:pt>
                <c:pt idx="12">
                  <c:v>4.9509999999999998E-2</c:v>
                </c:pt>
                <c:pt idx="13">
                  <c:v>4.8640000000000003E-2</c:v>
                </c:pt>
                <c:pt idx="14">
                  <c:v>4.7780000000000003E-2</c:v>
                </c:pt>
                <c:pt idx="15">
                  <c:v>4.6949999999999999E-2</c:v>
                </c:pt>
                <c:pt idx="16">
                  <c:v>4.6059999999999997E-2</c:v>
                </c:pt>
                <c:pt idx="17">
                  <c:v>4.5060000000000003E-2</c:v>
                </c:pt>
                <c:pt idx="18">
                  <c:v>4.4130000000000003E-2</c:v>
                </c:pt>
                <c:pt idx="19">
                  <c:v>4.3240000000000001E-2</c:v>
                </c:pt>
                <c:pt idx="20">
                  <c:v>4.2349999999999999E-2</c:v>
                </c:pt>
                <c:pt idx="21">
                  <c:v>4.1480000000000003E-2</c:v>
                </c:pt>
                <c:pt idx="22">
                  <c:v>4.061E-2</c:v>
                </c:pt>
                <c:pt idx="23">
                  <c:v>3.9739999999999998E-2</c:v>
                </c:pt>
                <c:pt idx="24">
                  <c:v>3.8879999999999998E-2</c:v>
                </c:pt>
                <c:pt idx="25">
                  <c:v>3.8030000000000001E-2</c:v>
                </c:pt>
                <c:pt idx="26">
                  <c:v>3.7179999999999998E-2</c:v>
                </c:pt>
                <c:pt idx="27">
                  <c:v>3.6339999999999997E-2</c:v>
                </c:pt>
                <c:pt idx="28">
                  <c:v>3.5499999999999997E-2</c:v>
                </c:pt>
                <c:pt idx="29">
                  <c:v>3.4669999999999999E-2</c:v>
                </c:pt>
                <c:pt idx="30">
                  <c:v>3.3840000000000002E-2</c:v>
                </c:pt>
                <c:pt idx="31">
                  <c:v>3.3020000000000001E-2</c:v>
                </c:pt>
                <c:pt idx="32">
                  <c:v>3.2199999999999999E-2</c:v>
                </c:pt>
                <c:pt idx="33">
                  <c:v>3.1379999999999998E-2</c:v>
                </c:pt>
                <c:pt idx="34">
                  <c:v>3.057E-2</c:v>
                </c:pt>
                <c:pt idx="35">
                  <c:v>2.9770000000000001E-2</c:v>
                </c:pt>
                <c:pt idx="36">
                  <c:v>2.8969999999999999E-2</c:v>
                </c:pt>
                <c:pt idx="37">
                  <c:v>2.8170000000000001E-2</c:v>
                </c:pt>
                <c:pt idx="38">
                  <c:v>2.7380000000000002E-2</c:v>
                </c:pt>
                <c:pt idx="39">
                  <c:v>2.6589999999999999E-2</c:v>
                </c:pt>
                <c:pt idx="40">
                  <c:v>2.58E-2</c:v>
                </c:pt>
                <c:pt idx="41">
                  <c:v>2.5020000000000001E-2</c:v>
                </c:pt>
                <c:pt idx="42">
                  <c:v>2.4240000000000001E-2</c:v>
                </c:pt>
                <c:pt idx="43">
                  <c:v>2.3480000000000001E-2</c:v>
                </c:pt>
                <c:pt idx="44">
                  <c:v>2.2710000000000001E-2</c:v>
                </c:pt>
                <c:pt idx="45">
                  <c:v>2.196E-2</c:v>
                </c:pt>
                <c:pt idx="46">
                  <c:v>2.1229999999999999E-2</c:v>
                </c:pt>
                <c:pt idx="47">
                  <c:v>2.0500000000000001E-2</c:v>
                </c:pt>
                <c:pt idx="48">
                  <c:v>1.9789999999999999E-2</c:v>
                </c:pt>
                <c:pt idx="49">
                  <c:v>1.9099999999999999E-2</c:v>
                </c:pt>
                <c:pt idx="50">
                  <c:v>1.8419999999999999E-2</c:v>
                </c:pt>
                <c:pt idx="51">
                  <c:v>1.7760000000000001E-2</c:v>
                </c:pt>
                <c:pt idx="52">
                  <c:v>1.712E-2</c:v>
                </c:pt>
                <c:pt idx="53">
                  <c:v>1.6490000000000001E-2</c:v>
                </c:pt>
                <c:pt idx="54">
                  <c:v>1.5890000000000001E-2</c:v>
                </c:pt>
                <c:pt idx="55">
                  <c:v>1.5299999999999999E-2</c:v>
                </c:pt>
                <c:pt idx="56">
                  <c:v>1.473E-2</c:v>
                </c:pt>
                <c:pt idx="57">
                  <c:v>1.417E-2</c:v>
                </c:pt>
                <c:pt idx="58">
                  <c:v>1.363E-2</c:v>
                </c:pt>
                <c:pt idx="59">
                  <c:v>1.312E-2</c:v>
                </c:pt>
                <c:pt idx="60">
                  <c:v>1.2619999999999999E-2</c:v>
                </c:pt>
                <c:pt idx="61">
                  <c:v>1.2149999999999999E-2</c:v>
                </c:pt>
                <c:pt idx="62">
                  <c:v>1.1679999999999999E-2</c:v>
                </c:pt>
                <c:pt idx="63">
                  <c:v>1.124E-2</c:v>
                </c:pt>
                <c:pt idx="64">
                  <c:v>1.081E-2</c:v>
                </c:pt>
                <c:pt idx="65">
                  <c:v>1.0410000000000001E-2</c:v>
                </c:pt>
                <c:pt idx="66">
                  <c:v>1.0019999999999999E-2</c:v>
                </c:pt>
                <c:pt idx="67">
                  <c:v>9.6600000000000002E-3</c:v>
                </c:pt>
                <c:pt idx="68">
                  <c:v>9.3299999999999998E-3</c:v>
                </c:pt>
                <c:pt idx="69">
                  <c:v>9.0299999999999998E-3</c:v>
                </c:pt>
                <c:pt idx="70">
                  <c:v>8.77E-3</c:v>
                </c:pt>
                <c:pt idx="71">
                  <c:v>8.5500000000000003E-3</c:v>
                </c:pt>
                <c:pt idx="72">
                  <c:v>8.3700000000000007E-3</c:v>
                </c:pt>
                <c:pt idx="73">
                  <c:v>8.2299999999999995E-3</c:v>
                </c:pt>
                <c:pt idx="74">
                  <c:v>8.1099999999999992E-3</c:v>
                </c:pt>
                <c:pt idx="75">
                  <c:v>8.0199999999999994E-3</c:v>
                </c:pt>
                <c:pt idx="76">
                  <c:v>7.92E-3</c:v>
                </c:pt>
                <c:pt idx="77">
                  <c:v>7.8300000000000002E-3</c:v>
                </c:pt>
                <c:pt idx="78">
                  <c:v>7.7600000000000004E-3</c:v>
                </c:pt>
                <c:pt idx="79">
                  <c:v>7.7000000000000002E-3</c:v>
                </c:pt>
                <c:pt idx="80">
                  <c:v>7.6499999999999997E-3</c:v>
                </c:pt>
                <c:pt idx="81">
                  <c:v>7.62E-3</c:v>
                </c:pt>
                <c:pt idx="82">
                  <c:v>7.5799999999999999E-3</c:v>
                </c:pt>
                <c:pt idx="83">
                  <c:v>7.5500000000000003E-3</c:v>
                </c:pt>
                <c:pt idx="84">
                  <c:v>7.5300000000000002E-3</c:v>
                </c:pt>
                <c:pt idx="85">
                  <c:v>7.5199999999999998E-3</c:v>
                </c:pt>
                <c:pt idx="86">
                  <c:v>7.5100000000000002E-3</c:v>
                </c:pt>
                <c:pt idx="87">
                  <c:v>7.4999999999999997E-3</c:v>
                </c:pt>
                <c:pt idx="88">
                  <c:v>7.4900000000000001E-3</c:v>
                </c:pt>
                <c:pt idx="89">
                  <c:v>7.4799999999999997E-3</c:v>
                </c:pt>
                <c:pt idx="90">
                  <c:v>7.4799999999999997E-3</c:v>
                </c:pt>
                <c:pt idx="91">
                  <c:v>7.4700000000000001E-3</c:v>
                </c:pt>
                <c:pt idx="92">
                  <c:v>7.4700000000000001E-3</c:v>
                </c:pt>
                <c:pt idx="93">
                  <c:v>7.4700000000000001E-3</c:v>
                </c:pt>
                <c:pt idx="94">
                  <c:v>7.4700000000000001E-3</c:v>
                </c:pt>
                <c:pt idx="95">
                  <c:v>7.4599999999999996E-3</c:v>
                </c:pt>
                <c:pt idx="96">
                  <c:v>7.4599999999999996E-3</c:v>
                </c:pt>
                <c:pt idx="97">
                  <c:v>7.45E-3</c:v>
                </c:pt>
                <c:pt idx="98">
                  <c:v>7.4599999999999996E-3</c:v>
                </c:pt>
                <c:pt idx="99">
                  <c:v>7.4599999999999996E-3</c:v>
                </c:pt>
                <c:pt idx="100">
                  <c:v>7.4599999999999996E-3</c:v>
                </c:pt>
                <c:pt idx="101">
                  <c:v>7.4599999999999996E-3</c:v>
                </c:pt>
                <c:pt idx="102">
                  <c:v>7.4599999999999996E-3</c:v>
                </c:pt>
                <c:pt idx="103">
                  <c:v>7.45E-3</c:v>
                </c:pt>
                <c:pt idx="104">
                  <c:v>7.4599999999999996E-3</c:v>
                </c:pt>
                <c:pt idx="105">
                  <c:v>7.4700000000000001E-3</c:v>
                </c:pt>
                <c:pt idx="106">
                  <c:v>7.4799999999999997E-3</c:v>
                </c:pt>
                <c:pt idx="107">
                  <c:v>7.4900000000000001E-3</c:v>
                </c:pt>
                <c:pt idx="108">
                  <c:v>7.4999999999999997E-3</c:v>
                </c:pt>
                <c:pt idx="109">
                  <c:v>7.5100000000000002E-3</c:v>
                </c:pt>
                <c:pt idx="110">
                  <c:v>7.5199999999999998E-3</c:v>
                </c:pt>
                <c:pt idx="111">
                  <c:v>7.5399999999999998E-3</c:v>
                </c:pt>
                <c:pt idx="112">
                  <c:v>7.5700000000000003E-3</c:v>
                </c:pt>
                <c:pt idx="113">
                  <c:v>7.62E-3</c:v>
                </c:pt>
                <c:pt idx="114">
                  <c:v>7.6499999999999997E-3</c:v>
                </c:pt>
                <c:pt idx="115">
                  <c:v>7.6800000000000002E-3</c:v>
                </c:pt>
                <c:pt idx="116">
                  <c:v>7.7099999999999998E-3</c:v>
                </c:pt>
                <c:pt idx="117">
                  <c:v>7.7299999999999999E-3</c:v>
                </c:pt>
                <c:pt idx="118">
                  <c:v>7.7600000000000004E-3</c:v>
                </c:pt>
                <c:pt idx="119">
                  <c:v>7.7799999999999996E-3</c:v>
                </c:pt>
                <c:pt idx="120">
                  <c:v>7.8100000000000001E-3</c:v>
                </c:pt>
                <c:pt idx="121">
                  <c:v>7.8399999999999997E-3</c:v>
                </c:pt>
                <c:pt idx="122">
                  <c:v>7.8700000000000003E-3</c:v>
                </c:pt>
                <c:pt idx="123">
                  <c:v>7.9100000000000004E-3</c:v>
                </c:pt>
                <c:pt idx="124">
                  <c:v>7.9500000000000005E-3</c:v>
                </c:pt>
                <c:pt idx="125">
                  <c:v>7.9900000000000006E-3</c:v>
                </c:pt>
                <c:pt idx="126">
                  <c:v>8.0300000000000007E-3</c:v>
                </c:pt>
                <c:pt idx="127">
                  <c:v>8.0700000000000008E-3</c:v>
                </c:pt>
                <c:pt idx="128">
                  <c:v>8.1200000000000005E-3</c:v>
                </c:pt>
                <c:pt idx="129">
                  <c:v>8.1700000000000002E-3</c:v>
                </c:pt>
                <c:pt idx="130">
                  <c:v>8.2299999999999995E-3</c:v>
                </c:pt>
                <c:pt idx="131">
                  <c:v>8.3099999999999997E-3</c:v>
                </c:pt>
                <c:pt idx="132">
                  <c:v>8.3899999999999999E-3</c:v>
                </c:pt>
                <c:pt idx="133">
                  <c:v>8.4899999999999993E-3</c:v>
                </c:pt>
                <c:pt idx="134">
                  <c:v>8.6099999999999996E-3</c:v>
                </c:pt>
                <c:pt idx="135">
                  <c:v>8.7500000000000008E-3</c:v>
                </c:pt>
                <c:pt idx="136">
                  <c:v>8.9099999999999995E-3</c:v>
                </c:pt>
                <c:pt idx="137">
                  <c:v>9.0900000000000009E-3</c:v>
                </c:pt>
                <c:pt idx="138">
                  <c:v>9.2999999999999992E-3</c:v>
                </c:pt>
                <c:pt idx="139">
                  <c:v>9.5200000000000007E-3</c:v>
                </c:pt>
                <c:pt idx="140">
                  <c:v>9.7599999999999996E-3</c:v>
                </c:pt>
                <c:pt idx="141">
                  <c:v>1.0019999999999999E-2</c:v>
                </c:pt>
                <c:pt idx="142">
                  <c:v>1.0290000000000001E-2</c:v>
                </c:pt>
                <c:pt idx="143">
                  <c:v>1.0580000000000001E-2</c:v>
                </c:pt>
                <c:pt idx="144">
                  <c:v>1.0880000000000001E-2</c:v>
                </c:pt>
                <c:pt idx="145">
                  <c:v>1.12E-2</c:v>
                </c:pt>
                <c:pt idx="146">
                  <c:v>1.154E-2</c:v>
                </c:pt>
                <c:pt idx="147">
                  <c:v>1.1900000000000001E-2</c:v>
                </c:pt>
                <c:pt idx="148">
                  <c:v>1.2290000000000001E-2</c:v>
                </c:pt>
                <c:pt idx="149">
                  <c:v>1.269E-2</c:v>
                </c:pt>
                <c:pt idx="150">
                  <c:v>1.312E-2</c:v>
                </c:pt>
                <c:pt idx="151">
                  <c:v>1.358E-2</c:v>
                </c:pt>
                <c:pt idx="152">
                  <c:v>1.4069999999999999E-2</c:v>
                </c:pt>
                <c:pt idx="153">
                  <c:v>1.4579999999999999E-2</c:v>
                </c:pt>
                <c:pt idx="154">
                  <c:v>1.511E-2</c:v>
                </c:pt>
                <c:pt idx="155">
                  <c:v>1.567E-2</c:v>
                </c:pt>
                <c:pt idx="156">
                  <c:v>1.6250000000000001E-2</c:v>
                </c:pt>
                <c:pt idx="157">
                  <c:v>1.6840000000000001E-2</c:v>
                </c:pt>
                <c:pt idx="158">
                  <c:v>1.746E-2</c:v>
                </c:pt>
                <c:pt idx="159">
                  <c:v>1.8089999999999998E-2</c:v>
                </c:pt>
                <c:pt idx="160">
                  <c:v>1.873E-2</c:v>
                </c:pt>
                <c:pt idx="161">
                  <c:v>1.9390000000000001E-2</c:v>
                </c:pt>
                <c:pt idx="162">
                  <c:v>2.0070000000000001E-2</c:v>
                </c:pt>
                <c:pt idx="163">
                  <c:v>2.0760000000000001E-2</c:v>
                </c:pt>
                <c:pt idx="164">
                  <c:v>2.146E-2</c:v>
                </c:pt>
                <c:pt idx="165">
                  <c:v>2.2190000000000001E-2</c:v>
                </c:pt>
                <c:pt idx="166">
                  <c:v>2.2929999999999999E-2</c:v>
                </c:pt>
                <c:pt idx="167">
                  <c:v>2.3709999999999998E-2</c:v>
                </c:pt>
                <c:pt idx="168">
                  <c:v>2.4539999999999999E-2</c:v>
                </c:pt>
              </c:numCache>
            </c:numRef>
          </c:xVal>
          <c:yVal>
            <c:numRef>
              <c:f>'CDCL (2)'!$D$4:$D$247</c:f>
              <c:numCache>
                <c:formatCode>General</c:formatCode>
                <c:ptCount val="244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9-47E5-9536-A81DC872C33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'CDCL (2)'!$I$4:$I$101</c:f>
              <c:numCache>
                <c:formatCode>General</c:formatCode>
                <c:ptCount val="98"/>
                <c:pt idx="0">
                  <c:v>8.1099999999999992E-3</c:v>
                </c:pt>
                <c:pt idx="1">
                  <c:v>8.096734006734007E-3</c:v>
                </c:pt>
                <c:pt idx="2">
                  <c:v>8.0836026936026931E-3</c:v>
                </c:pt>
                <c:pt idx="3">
                  <c:v>8.0706060606060594E-3</c:v>
                </c:pt>
                <c:pt idx="4">
                  <c:v>8.0577441077441074E-3</c:v>
                </c:pt>
                <c:pt idx="5">
                  <c:v>8.0450168350168338E-3</c:v>
                </c:pt>
                <c:pt idx="6">
                  <c:v>8.032424242424242E-3</c:v>
                </c:pt>
                <c:pt idx="7">
                  <c:v>8.0199663299663285E-3</c:v>
                </c:pt>
                <c:pt idx="8">
                  <c:v>8.0076430976430968E-3</c:v>
                </c:pt>
                <c:pt idx="9">
                  <c:v>7.9954545454545452E-3</c:v>
                </c:pt>
                <c:pt idx="10">
                  <c:v>7.9834006734006736E-3</c:v>
                </c:pt>
                <c:pt idx="11">
                  <c:v>7.9714814814814804E-3</c:v>
                </c:pt>
                <c:pt idx="12">
                  <c:v>7.959696969696969E-3</c:v>
                </c:pt>
                <c:pt idx="13">
                  <c:v>7.9480471380471377E-3</c:v>
                </c:pt>
                <c:pt idx="14">
                  <c:v>7.9365319865319865E-3</c:v>
                </c:pt>
                <c:pt idx="15">
                  <c:v>7.9251515151515153E-3</c:v>
                </c:pt>
                <c:pt idx="16">
                  <c:v>7.9139057239057242E-3</c:v>
                </c:pt>
                <c:pt idx="17">
                  <c:v>7.9027946127946114E-3</c:v>
                </c:pt>
                <c:pt idx="18">
                  <c:v>7.8918181818181821E-3</c:v>
                </c:pt>
                <c:pt idx="19">
                  <c:v>7.8809764309764312E-3</c:v>
                </c:pt>
                <c:pt idx="20">
                  <c:v>7.8702693602693604E-3</c:v>
                </c:pt>
                <c:pt idx="21">
                  <c:v>7.8596969696969696E-3</c:v>
                </c:pt>
                <c:pt idx="22">
                  <c:v>7.849259259259259E-3</c:v>
                </c:pt>
                <c:pt idx="23">
                  <c:v>7.8389562289562283E-3</c:v>
                </c:pt>
                <c:pt idx="24">
                  <c:v>7.8287878787878778E-3</c:v>
                </c:pt>
                <c:pt idx="25">
                  <c:v>7.818754208754209E-3</c:v>
                </c:pt>
                <c:pt idx="26">
                  <c:v>7.8088552188552186E-3</c:v>
                </c:pt>
                <c:pt idx="27">
                  <c:v>7.7990909090909083E-3</c:v>
                </c:pt>
                <c:pt idx="28">
                  <c:v>7.7894612794612789E-3</c:v>
                </c:pt>
                <c:pt idx="29">
                  <c:v>7.7799663299663296E-3</c:v>
                </c:pt>
                <c:pt idx="30">
                  <c:v>7.7706060606060603E-3</c:v>
                </c:pt>
                <c:pt idx="31">
                  <c:v>7.7613804713804711E-3</c:v>
                </c:pt>
                <c:pt idx="32">
                  <c:v>7.752289562289562E-3</c:v>
                </c:pt>
                <c:pt idx="33">
                  <c:v>7.743333333333333E-3</c:v>
                </c:pt>
                <c:pt idx="34">
                  <c:v>7.734511784511784E-3</c:v>
                </c:pt>
                <c:pt idx="35">
                  <c:v>7.7258249158249151E-3</c:v>
                </c:pt>
                <c:pt idx="36">
                  <c:v>7.7172727272727271E-3</c:v>
                </c:pt>
                <c:pt idx="37">
                  <c:v>7.7088552188552184E-3</c:v>
                </c:pt>
                <c:pt idx="38">
                  <c:v>7.7005723905723905E-3</c:v>
                </c:pt>
                <c:pt idx="39">
                  <c:v>7.6924242424242419E-3</c:v>
                </c:pt>
                <c:pt idx="40">
                  <c:v>7.6844107744107742E-3</c:v>
                </c:pt>
                <c:pt idx="41">
                  <c:v>7.6765319865319866E-3</c:v>
                </c:pt>
                <c:pt idx="42">
                  <c:v>7.6687878787878782E-3</c:v>
                </c:pt>
                <c:pt idx="43">
                  <c:v>7.6611784511784508E-3</c:v>
                </c:pt>
                <c:pt idx="44">
                  <c:v>7.6537037037037034E-3</c:v>
                </c:pt>
                <c:pt idx="45">
                  <c:v>7.646363636363636E-3</c:v>
                </c:pt>
                <c:pt idx="46">
                  <c:v>7.6391582491582488E-3</c:v>
                </c:pt>
                <c:pt idx="47">
                  <c:v>7.6320875420875416E-3</c:v>
                </c:pt>
                <c:pt idx="48">
                  <c:v>7.6251515151515153E-3</c:v>
                </c:pt>
                <c:pt idx="49">
                  <c:v>7.6183501683501683E-3</c:v>
                </c:pt>
                <c:pt idx="50">
                  <c:v>7.6116835016835013E-3</c:v>
                </c:pt>
                <c:pt idx="51">
                  <c:v>7.6051515151515153E-3</c:v>
                </c:pt>
                <c:pt idx="52">
                  <c:v>7.5987542087542085E-3</c:v>
                </c:pt>
                <c:pt idx="53">
                  <c:v>7.5924915824915826E-3</c:v>
                </c:pt>
                <c:pt idx="54">
                  <c:v>7.5863636363636359E-3</c:v>
                </c:pt>
                <c:pt idx="55">
                  <c:v>7.5803703703703701E-3</c:v>
                </c:pt>
                <c:pt idx="56">
                  <c:v>7.5745117845117844E-3</c:v>
                </c:pt>
                <c:pt idx="57">
                  <c:v>7.5687878787878788E-3</c:v>
                </c:pt>
                <c:pt idx="58">
                  <c:v>7.5631986531986533E-3</c:v>
                </c:pt>
                <c:pt idx="59">
                  <c:v>7.5577441077441078E-3</c:v>
                </c:pt>
                <c:pt idx="60">
                  <c:v>7.5524242424242424E-3</c:v>
                </c:pt>
                <c:pt idx="61">
                  <c:v>7.5472390572390571E-3</c:v>
                </c:pt>
                <c:pt idx="62">
                  <c:v>7.5421885521885518E-3</c:v>
                </c:pt>
                <c:pt idx="63">
                  <c:v>7.5372727272727275E-3</c:v>
                </c:pt>
                <c:pt idx="64">
                  <c:v>7.5324915824915824E-3</c:v>
                </c:pt>
                <c:pt idx="65">
                  <c:v>7.5278451178451174E-3</c:v>
                </c:pt>
                <c:pt idx="66">
                  <c:v>7.5233333333333333E-3</c:v>
                </c:pt>
                <c:pt idx="67">
                  <c:v>7.5189562289562292E-3</c:v>
                </c:pt>
                <c:pt idx="68">
                  <c:v>7.5147138047138044E-3</c:v>
                </c:pt>
                <c:pt idx="69">
                  <c:v>7.5106060606060605E-3</c:v>
                </c:pt>
                <c:pt idx="70">
                  <c:v>7.5066329966329967E-3</c:v>
                </c:pt>
                <c:pt idx="71">
                  <c:v>7.5027946127946129E-3</c:v>
                </c:pt>
                <c:pt idx="72">
                  <c:v>7.4990909090909092E-3</c:v>
                </c:pt>
                <c:pt idx="73">
                  <c:v>7.4955218855218856E-3</c:v>
                </c:pt>
                <c:pt idx="74">
                  <c:v>7.4920875420875421E-3</c:v>
                </c:pt>
                <c:pt idx="75">
                  <c:v>7.4887878787878786E-3</c:v>
                </c:pt>
                <c:pt idx="76">
                  <c:v>7.4856228956228952E-3</c:v>
                </c:pt>
                <c:pt idx="77">
                  <c:v>7.4825925925925928E-3</c:v>
                </c:pt>
                <c:pt idx="78">
                  <c:v>7.4796969696969695E-3</c:v>
                </c:pt>
                <c:pt idx="79">
                  <c:v>7.4769360269360272E-3</c:v>
                </c:pt>
                <c:pt idx="80">
                  <c:v>7.4743097643097641E-3</c:v>
                </c:pt>
                <c:pt idx="81">
                  <c:v>7.4718181818181819E-3</c:v>
                </c:pt>
                <c:pt idx="82">
                  <c:v>7.4694612794612798E-3</c:v>
                </c:pt>
                <c:pt idx="83">
                  <c:v>7.4672390572390569E-3</c:v>
                </c:pt>
                <c:pt idx="84">
                  <c:v>7.4651515151515149E-3</c:v>
                </c:pt>
                <c:pt idx="85">
                  <c:v>7.463198653198653E-3</c:v>
                </c:pt>
                <c:pt idx="86">
                  <c:v>7.4613804713804712E-3</c:v>
                </c:pt>
                <c:pt idx="87">
                  <c:v>7.4596969696969695E-3</c:v>
                </c:pt>
                <c:pt idx="88">
                  <c:v>7.4581481481481478E-3</c:v>
                </c:pt>
                <c:pt idx="89">
                  <c:v>7.456734006734007E-3</c:v>
                </c:pt>
                <c:pt idx="90">
                  <c:v>7.4554545454545455E-3</c:v>
                </c:pt>
                <c:pt idx="91">
                  <c:v>7.454309764309764E-3</c:v>
                </c:pt>
                <c:pt idx="92">
                  <c:v>7.4532996632996635E-3</c:v>
                </c:pt>
                <c:pt idx="93">
                  <c:v>7.4524242424242422E-3</c:v>
                </c:pt>
                <c:pt idx="94">
                  <c:v>7.4516835016835018E-3</c:v>
                </c:pt>
                <c:pt idx="95">
                  <c:v>7.4510774410774415E-3</c:v>
                </c:pt>
                <c:pt idx="96">
                  <c:v>7.4506060606060603E-3</c:v>
                </c:pt>
                <c:pt idx="97">
                  <c:v>7.4502693602693602E-3</c:v>
                </c:pt>
              </c:numCache>
            </c:numRef>
          </c:xVal>
          <c:yVal>
            <c:numRef>
              <c:f>'CDCL (2)'!$J$4:$J$103</c:f>
              <c:numCache>
                <c:formatCode>General</c:formatCode>
                <c:ptCount val="100"/>
                <c:pt idx="0">
                  <c:v>8.3999999999999995E-3</c:v>
                </c:pt>
                <c:pt idx="1">
                  <c:v>1.0958585858585859E-2</c:v>
                </c:pt>
                <c:pt idx="2">
                  <c:v>1.3517171717171716E-2</c:v>
                </c:pt>
                <c:pt idx="3">
                  <c:v>1.6075757575757573E-2</c:v>
                </c:pt>
                <c:pt idx="4">
                  <c:v>1.8634343434343434E-2</c:v>
                </c:pt>
                <c:pt idx="5">
                  <c:v>2.1192929292929291E-2</c:v>
                </c:pt>
                <c:pt idx="6">
                  <c:v>2.3751515151515148E-2</c:v>
                </c:pt>
                <c:pt idx="7">
                  <c:v>2.6310101010101006E-2</c:v>
                </c:pt>
                <c:pt idx="8">
                  <c:v>2.8868686868686863E-2</c:v>
                </c:pt>
                <c:pt idx="9">
                  <c:v>3.142727272727272E-2</c:v>
                </c:pt>
                <c:pt idx="10">
                  <c:v>3.3985858585858578E-2</c:v>
                </c:pt>
                <c:pt idx="11">
                  <c:v>3.6544444444444442E-2</c:v>
                </c:pt>
                <c:pt idx="12">
                  <c:v>3.9103030303030299E-2</c:v>
                </c:pt>
                <c:pt idx="13">
                  <c:v>4.1661616161616156E-2</c:v>
                </c:pt>
                <c:pt idx="14">
                  <c:v>4.4220202020202014E-2</c:v>
                </c:pt>
                <c:pt idx="15">
                  <c:v>4.6778787878787871E-2</c:v>
                </c:pt>
                <c:pt idx="16">
                  <c:v>4.9337373737373728E-2</c:v>
                </c:pt>
                <c:pt idx="17">
                  <c:v>5.1895959595959593E-2</c:v>
                </c:pt>
                <c:pt idx="18">
                  <c:v>5.4454545454545443E-2</c:v>
                </c:pt>
                <c:pt idx="19">
                  <c:v>5.7013131313131307E-2</c:v>
                </c:pt>
                <c:pt idx="20">
                  <c:v>5.9571717171717158E-2</c:v>
                </c:pt>
                <c:pt idx="21">
                  <c:v>6.2130303030303022E-2</c:v>
                </c:pt>
                <c:pt idx="22">
                  <c:v>6.4688888888888879E-2</c:v>
                </c:pt>
                <c:pt idx="23">
                  <c:v>6.7247474747474736E-2</c:v>
                </c:pt>
                <c:pt idx="24">
                  <c:v>6.9806060606060594E-2</c:v>
                </c:pt>
                <c:pt idx="25">
                  <c:v>7.2364646464646465E-2</c:v>
                </c:pt>
                <c:pt idx="26">
                  <c:v>7.4923232323232322E-2</c:v>
                </c:pt>
                <c:pt idx="27">
                  <c:v>7.7481818181818179E-2</c:v>
                </c:pt>
                <c:pt idx="28">
                  <c:v>8.0040404040404037E-2</c:v>
                </c:pt>
                <c:pt idx="29">
                  <c:v>8.2598989898989894E-2</c:v>
                </c:pt>
                <c:pt idx="30">
                  <c:v>8.5157575757575751E-2</c:v>
                </c:pt>
                <c:pt idx="31">
                  <c:v>8.7716161616161609E-2</c:v>
                </c:pt>
                <c:pt idx="32">
                  <c:v>9.0274747474747466E-2</c:v>
                </c:pt>
                <c:pt idx="33">
                  <c:v>9.2833333333333323E-2</c:v>
                </c:pt>
                <c:pt idx="34">
                  <c:v>9.5391919191919194E-2</c:v>
                </c:pt>
                <c:pt idx="35">
                  <c:v>9.7950505050505052E-2</c:v>
                </c:pt>
                <c:pt idx="36">
                  <c:v>0.1005090909090909</c:v>
                </c:pt>
                <c:pt idx="37">
                  <c:v>0.10306767676767677</c:v>
                </c:pt>
                <c:pt idx="38">
                  <c:v>0.10562626262626262</c:v>
                </c:pt>
                <c:pt idx="39">
                  <c:v>0.10818484848484848</c:v>
                </c:pt>
                <c:pt idx="40">
                  <c:v>0.11074343434343432</c:v>
                </c:pt>
                <c:pt idx="41">
                  <c:v>0.1133020202020202</c:v>
                </c:pt>
                <c:pt idx="42">
                  <c:v>0.11586060606060605</c:v>
                </c:pt>
                <c:pt idx="43">
                  <c:v>0.1184191919191919</c:v>
                </c:pt>
                <c:pt idx="44">
                  <c:v>0.12097777777777777</c:v>
                </c:pt>
                <c:pt idx="45">
                  <c:v>0.12353636363636362</c:v>
                </c:pt>
                <c:pt idx="46">
                  <c:v>0.12609494949494948</c:v>
                </c:pt>
                <c:pt idx="47">
                  <c:v>0.12865353535353535</c:v>
                </c:pt>
                <c:pt idx="48">
                  <c:v>0.1312121212121212</c:v>
                </c:pt>
                <c:pt idx="49">
                  <c:v>0.13377070707070704</c:v>
                </c:pt>
                <c:pt idx="50">
                  <c:v>0.13632929292929291</c:v>
                </c:pt>
                <c:pt idx="51">
                  <c:v>0.13888787878787875</c:v>
                </c:pt>
                <c:pt idx="52">
                  <c:v>0.14144646464646463</c:v>
                </c:pt>
                <c:pt idx="53">
                  <c:v>0.1440050505050505</c:v>
                </c:pt>
                <c:pt idx="54">
                  <c:v>0.14656363636363634</c:v>
                </c:pt>
                <c:pt idx="55">
                  <c:v>0.14912222222222218</c:v>
                </c:pt>
                <c:pt idx="56">
                  <c:v>0.15168080808080805</c:v>
                </c:pt>
                <c:pt idx="57">
                  <c:v>0.15423939393939393</c:v>
                </c:pt>
                <c:pt idx="58">
                  <c:v>0.15679797979797977</c:v>
                </c:pt>
                <c:pt idx="59">
                  <c:v>0.15935656565656561</c:v>
                </c:pt>
                <c:pt idx="60">
                  <c:v>0.16191515151515148</c:v>
                </c:pt>
                <c:pt idx="61">
                  <c:v>0.16447373737373736</c:v>
                </c:pt>
                <c:pt idx="62">
                  <c:v>0.1670323232323232</c:v>
                </c:pt>
                <c:pt idx="63">
                  <c:v>0.16959090909090907</c:v>
                </c:pt>
                <c:pt idx="64">
                  <c:v>0.17214949494949491</c:v>
                </c:pt>
                <c:pt idx="65">
                  <c:v>0.17470808080808078</c:v>
                </c:pt>
                <c:pt idx="66">
                  <c:v>0.17726666666666663</c:v>
                </c:pt>
                <c:pt idx="67">
                  <c:v>0.17982525252525247</c:v>
                </c:pt>
                <c:pt idx="68">
                  <c:v>0.18238383838383837</c:v>
                </c:pt>
                <c:pt idx="69">
                  <c:v>0.18494242424242421</c:v>
                </c:pt>
                <c:pt idx="70">
                  <c:v>0.18750101010101008</c:v>
                </c:pt>
                <c:pt idx="71">
                  <c:v>0.19005959595959593</c:v>
                </c:pt>
                <c:pt idx="72">
                  <c:v>0.19261818181818177</c:v>
                </c:pt>
                <c:pt idx="73">
                  <c:v>0.19517676767676764</c:v>
                </c:pt>
                <c:pt idx="74">
                  <c:v>0.19773535353535351</c:v>
                </c:pt>
                <c:pt idx="75">
                  <c:v>0.20029393939393939</c:v>
                </c:pt>
                <c:pt idx="76">
                  <c:v>0.20285252525252523</c:v>
                </c:pt>
                <c:pt idx="77">
                  <c:v>0.20541111111111107</c:v>
                </c:pt>
                <c:pt idx="78">
                  <c:v>0.20796969696969694</c:v>
                </c:pt>
                <c:pt idx="79">
                  <c:v>0.21052828282828279</c:v>
                </c:pt>
                <c:pt idx="80">
                  <c:v>0.21308686868686863</c:v>
                </c:pt>
                <c:pt idx="81">
                  <c:v>0.21564545454545453</c:v>
                </c:pt>
                <c:pt idx="82">
                  <c:v>0.21820404040404037</c:v>
                </c:pt>
                <c:pt idx="83">
                  <c:v>0.22076262626262622</c:v>
                </c:pt>
                <c:pt idx="84">
                  <c:v>0.22332121212121209</c:v>
                </c:pt>
                <c:pt idx="85">
                  <c:v>0.22587979797979793</c:v>
                </c:pt>
                <c:pt idx="86">
                  <c:v>0.22843838383838377</c:v>
                </c:pt>
                <c:pt idx="87">
                  <c:v>0.23099696969696967</c:v>
                </c:pt>
                <c:pt idx="88">
                  <c:v>0.23355555555555552</c:v>
                </c:pt>
                <c:pt idx="89">
                  <c:v>0.23611414141414139</c:v>
                </c:pt>
                <c:pt idx="90">
                  <c:v>0.23867272727272723</c:v>
                </c:pt>
                <c:pt idx="91">
                  <c:v>0.24123131313131307</c:v>
                </c:pt>
                <c:pt idx="92">
                  <c:v>0.24378989898989895</c:v>
                </c:pt>
                <c:pt idx="93">
                  <c:v>0.24634848484848482</c:v>
                </c:pt>
                <c:pt idx="94">
                  <c:v>0.24890707070707069</c:v>
                </c:pt>
                <c:pt idx="95">
                  <c:v>0.25146565656565656</c:v>
                </c:pt>
                <c:pt idx="96">
                  <c:v>0.25402424242424237</c:v>
                </c:pt>
                <c:pt idx="97">
                  <c:v>0.25658282828282825</c:v>
                </c:pt>
                <c:pt idx="98">
                  <c:v>0.25914141414141412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49-47E5-9536-A81DC872C33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'CDCL (2)'!$L$4:$L$103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8.1555280073461883E-3</c:v>
                </c:pt>
                <c:pt idx="2">
                  <c:v>8.1412029384756654E-3</c:v>
                </c:pt>
                <c:pt idx="3">
                  <c:v>8.1270247933884297E-3</c:v>
                </c:pt>
                <c:pt idx="4">
                  <c:v>8.1129935720844811E-3</c:v>
                </c:pt>
                <c:pt idx="5">
                  <c:v>8.0991092745638198E-3</c:v>
                </c:pt>
                <c:pt idx="6">
                  <c:v>8.0853719008264456E-3</c:v>
                </c:pt>
                <c:pt idx="7">
                  <c:v>8.0717814508723604E-3</c:v>
                </c:pt>
                <c:pt idx="8">
                  <c:v>8.0583379247015606E-3</c:v>
                </c:pt>
                <c:pt idx="9">
                  <c:v>8.0450413223140498E-3</c:v>
                </c:pt>
                <c:pt idx="10">
                  <c:v>8.0318916437098261E-3</c:v>
                </c:pt>
                <c:pt idx="11">
                  <c:v>8.0188888888888896E-3</c:v>
                </c:pt>
                <c:pt idx="12">
                  <c:v>8.0060330578512404E-3</c:v>
                </c:pt>
                <c:pt idx="13">
                  <c:v>7.9933241505968783E-3</c:v>
                </c:pt>
                <c:pt idx="14">
                  <c:v>7.9807621671258034E-3</c:v>
                </c:pt>
                <c:pt idx="15">
                  <c:v>7.9683471074380174E-3</c:v>
                </c:pt>
                <c:pt idx="16">
                  <c:v>7.9560789715335169E-3</c:v>
                </c:pt>
                <c:pt idx="17">
                  <c:v>7.9439577594123054E-3</c:v>
                </c:pt>
                <c:pt idx="18">
                  <c:v>7.931983471074381E-3</c:v>
                </c:pt>
                <c:pt idx="19">
                  <c:v>7.9201561065197438E-3</c:v>
                </c:pt>
                <c:pt idx="20">
                  <c:v>7.9084756657483938E-3</c:v>
                </c:pt>
                <c:pt idx="21">
                  <c:v>7.896942148760331E-3</c:v>
                </c:pt>
                <c:pt idx="22">
                  <c:v>7.8855555555555554E-3</c:v>
                </c:pt>
                <c:pt idx="23">
                  <c:v>7.8743158861340687E-3</c:v>
                </c:pt>
                <c:pt idx="24">
                  <c:v>7.8632231404958675E-3</c:v>
                </c:pt>
                <c:pt idx="25">
                  <c:v>7.8522773186409552E-3</c:v>
                </c:pt>
                <c:pt idx="26">
                  <c:v>7.84147842056933E-3</c:v>
                </c:pt>
                <c:pt idx="27">
                  <c:v>7.8308264462809921E-3</c:v>
                </c:pt>
                <c:pt idx="28">
                  <c:v>7.8203213957759414E-3</c:v>
                </c:pt>
                <c:pt idx="29">
                  <c:v>7.8099632690541779E-3</c:v>
                </c:pt>
                <c:pt idx="30">
                  <c:v>7.7997520661157024E-3</c:v>
                </c:pt>
                <c:pt idx="31">
                  <c:v>7.7896877869605141E-3</c:v>
                </c:pt>
                <c:pt idx="32">
                  <c:v>7.7797704315886139E-3</c:v>
                </c:pt>
                <c:pt idx="33">
                  <c:v>7.77E-3</c:v>
                </c:pt>
                <c:pt idx="34">
                  <c:v>7.7603764921946742E-3</c:v>
                </c:pt>
                <c:pt idx="35">
                  <c:v>7.7508999081726355E-3</c:v>
                </c:pt>
                <c:pt idx="36">
                  <c:v>7.7415702479338841E-3</c:v>
                </c:pt>
                <c:pt idx="37">
                  <c:v>7.7323875114784207E-3</c:v>
                </c:pt>
                <c:pt idx="38">
                  <c:v>7.7233516988062445E-3</c:v>
                </c:pt>
                <c:pt idx="39">
                  <c:v>7.7144628099173555E-3</c:v>
                </c:pt>
                <c:pt idx="40">
                  <c:v>7.7057208448117536E-3</c:v>
                </c:pt>
                <c:pt idx="41">
                  <c:v>7.6971258034894399E-3</c:v>
                </c:pt>
                <c:pt idx="42">
                  <c:v>7.6886776859504133E-3</c:v>
                </c:pt>
                <c:pt idx="43">
                  <c:v>7.6803764921946739E-3</c:v>
                </c:pt>
                <c:pt idx="44">
                  <c:v>7.6722222222222226E-3</c:v>
                </c:pt>
                <c:pt idx="45">
                  <c:v>7.6642148760330576E-3</c:v>
                </c:pt>
                <c:pt idx="46">
                  <c:v>7.6563544536271807E-3</c:v>
                </c:pt>
                <c:pt idx="47">
                  <c:v>7.648640955004591E-3</c:v>
                </c:pt>
                <c:pt idx="48">
                  <c:v>7.6410743801652893E-3</c:v>
                </c:pt>
                <c:pt idx="49">
                  <c:v>7.6336547291092748E-3</c:v>
                </c:pt>
                <c:pt idx="50">
                  <c:v>7.6263820018365475E-3</c:v>
                </c:pt>
                <c:pt idx="51">
                  <c:v>7.6192561983471074E-3</c:v>
                </c:pt>
                <c:pt idx="52">
                  <c:v>7.6122773186409554E-3</c:v>
                </c:pt>
                <c:pt idx="53">
                  <c:v>7.6054453627180897E-3</c:v>
                </c:pt>
                <c:pt idx="54">
                  <c:v>7.5987603305785129E-3</c:v>
                </c:pt>
                <c:pt idx="55">
                  <c:v>7.5922222222222224E-3</c:v>
                </c:pt>
                <c:pt idx="56">
                  <c:v>7.5858310376492192E-3</c:v>
                </c:pt>
                <c:pt idx="57">
                  <c:v>7.5795867768595039E-3</c:v>
                </c:pt>
                <c:pt idx="58">
                  <c:v>7.5734894398530759E-3</c:v>
                </c:pt>
                <c:pt idx="59">
                  <c:v>7.567539026629936E-3</c:v>
                </c:pt>
                <c:pt idx="60">
                  <c:v>7.5617355371900823E-3</c:v>
                </c:pt>
                <c:pt idx="61">
                  <c:v>7.5560789715335168E-3</c:v>
                </c:pt>
                <c:pt idx="62">
                  <c:v>7.5505693296602392E-3</c:v>
                </c:pt>
                <c:pt idx="63">
                  <c:v>7.5452066115702481E-3</c:v>
                </c:pt>
                <c:pt idx="64">
                  <c:v>7.5399908172635449E-3</c:v>
                </c:pt>
                <c:pt idx="65">
                  <c:v>7.534921946740129E-3</c:v>
                </c:pt>
                <c:pt idx="66">
                  <c:v>7.5300000000000002E-3</c:v>
                </c:pt>
                <c:pt idx="67">
                  <c:v>7.5252249770431587E-3</c:v>
                </c:pt>
                <c:pt idx="68">
                  <c:v>7.5205968778696052E-3</c:v>
                </c:pt>
                <c:pt idx="69">
                  <c:v>7.5161157024793389E-3</c:v>
                </c:pt>
                <c:pt idx="70">
                  <c:v>7.5117814508723598E-3</c:v>
                </c:pt>
                <c:pt idx="71">
                  <c:v>7.5075941230486687E-3</c:v>
                </c:pt>
                <c:pt idx="72">
                  <c:v>7.5035537190082649E-3</c:v>
                </c:pt>
                <c:pt idx="73">
                  <c:v>7.4996602387511482E-3</c:v>
                </c:pt>
                <c:pt idx="74">
                  <c:v>7.4959136822773187E-3</c:v>
                </c:pt>
                <c:pt idx="75">
                  <c:v>7.4923140495867773E-3</c:v>
                </c:pt>
                <c:pt idx="76">
                  <c:v>7.4888613406795222E-3</c:v>
                </c:pt>
                <c:pt idx="77">
                  <c:v>7.4855555555555552E-3</c:v>
                </c:pt>
                <c:pt idx="78">
                  <c:v>7.4823966942148762E-3</c:v>
                </c:pt>
                <c:pt idx="79">
                  <c:v>7.4793847566574836E-3</c:v>
                </c:pt>
                <c:pt idx="80">
                  <c:v>7.476519742883379E-3</c:v>
                </c:pt>
                <c:pt idx="81">
                  <c:v>7.4738016528925616E-3</c:v>
                </c:pt>
                <c:pt idx="82">
                  <c:v>7.4712304866850323E-3</c:v>
                </c:pt>
                <c:pt idx="83">
                  <c:v>7.4688062442607901E-3</c:v>
                </c:pt>
                <c:pt idx="84">
                  <c:v>7.4665289256198343E-3</c:v>
                </c:pt>
                <c:pt idx="85">
                  <c:v>7.4643985307621674E-3</c:v>
                </c:pt>
                <c:pt idx="86">
                  <c:v>7.4624150596877869E-3</c:v>
                </c:pt>
                <c:pt idx="87">
                  <c:v>7.4605785123966943E-3</c:v>
                </c:pt>
                <c:pt idx="88">
                  <c:v>7.458888888888889E-3</c:v>
                </c:pt>
                <c:pt idx="89">
                  <c:v>7.4573461891643709E-3</c:v>
                </c:pt>
                <c:pt idx="90">
                  <c:v>7.4559504132231409E-3</c:v>
                </c:pt>
                <c:pt idx="91">
                  <c:v>7.4547015610651971E-3</c:v>
                </c:pt>
                <c:pt idx="92">
                  <c:v>7.4535996326905414E-3</c:v>
                </c:pt>
                <c:pt idx="93">
                  <c:v>7.4526446280991738E-3</c:v>
                </c:pt>
                <c:pt idx="94">
                  <c:v>7.4518365472910925E-3</c:v>
                </c:pt>
                <c:pt idx="95">
                  <c:v>7.4511753902662993E-3</c:v>
                </c:pt>
                <c:pt idx="96">
                  <c:v>7.4506611570247933E-3</c:v>
                </c:pt>
                <c:pt idx="97">
                  <c:v>7.4502938475665753E-3</c:v>
                </c:pt>
                <c:pt idx="98">
                  <c:v>7.4500734618916436E-3</c:v>
                </c:pt>
                <c:pt idx="99">
                  <c:v>7.45E-3</c:v>
                </c:pt>
              </c:numCache>
            </c:numRef>
          </c:xVal>
          <c:yVal>
            <c:numRef>
              <c:f>'CDCL (2)'!$M$4:$M$103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0.60371010101010092</c:v>
                </c:pt>
                <c:pt idx="2">
                  <c:v>0.60022020202020199</c:v>
                </c:pt>
                <c:pt idx="3">
                  <c:v>0.59673030303030294</c:v>
                </c:pt>
                <c:pt idx="4">
                  <c:v>0.59324040404040401</c:v>
                </c:pt>
                <c:pt idx="5">
                  <c:v>0.58975050505050497</c:v>
                </c:pt>
                <c:pt idx="6">
                  <c:v>0.58626060606060604</c:v>
                </c:pt>
                <c:pt idx="7">
                  <c:v>0.58277070707070699</c:v>
                </c:pt>
                <c:pt idx="8">
                  <c:v>0.57928080808080806</c:v>
                </c:pt>
                <c:pt idx="9">
                  <c:v>0.57579090909090902</c:v>
                </c:pt>
                <c:pt idx="10">
                  <c:v>0.57230101010101009</c:v>
                </c:pt>
                <c:pt idx="11">
                  <c:v>0.56881111111111105</c:v>
                </c:pt>
                <c:pt idx="12">
                  <c:v>0.56532121212121211</c:v>
                </c:pt>
                <c:pt idx="13">
                  <c:v>0.56183131313131307</c:v>
                </c:pt>
                <c:pt idx="14">
                  <c:v>0.55834141414141414</c:v>
                </c:pt>
                <c:pt idx="15">
                  <c:v>0.5548515151515151</c:v>
                </c:pt>
                <c:pt idx="16">
                  <c:v>0.55136161616161616</c:v>
                </c:pt>
                <c:pt idx="17">
                  <c:v>0.54787171717171712</c:v>
                </c:pt>
                <c:pt idx="18">
                  <c:v>0.54438181818181819</c:v>
                </c:pt>
                <c:pt idx="19">
                  <c:v>0.54089191919191915</c:v>
                </c:pt>
                <c:pt idx="20">
                  <c:v>0.53740202020202021</c:v>
                </c:pt>
                <c:pt idx="21">
                  <c:v>0.53391212121212117</c:v>
                </c:pt>
                <c:pt idx="22">
                  <c:v>0.53042222222222224</c:v>
                </c:pt>
                <c:pt idx="23">
                  <c:v>0.5269323232323232</c:v>
                </c:pt>
                <c:pt idx="24">
                  <c:v>0.52344242424242426</c:v>
                </c:pt>
                <c:pt idx="25">
                  <c:v>0.51995252525252522</c:v>
                </c:pt>
                <c:pt idx="26">
                  <c:v>0.51646262626262618</c:v>
                </c:pt>
                <c:pt idx="27">
                  <c:v>0.51297272727272725</c:v>
                </c:pt>
                <c:pt idx="28">
                  <c:v>0.5094828282828282</c:v>
                </c:pt>
                <c:pt idx="29">
                  <c:v>0.50599292929292927</c:v>
                </c:pt>
                <c:pt idx="30">
                  <c:v>0.50250303030303023</c:v>
                </c:pt>
                <c:pt idx="31">
                  <c:v>0.4990131313131313</c:v>
                </c:pt>
                <c:pt idx="32">
                  <c:v>0.49552323232323231</c:v>
                </c:pt>
                <c:pt idx="33">
                  <c:v>0.49203333333333332</c:v>
                </c:pt>
                <c:pt idx="34">
                  <c:v>0.48854343434343428</c:v>
                </c:pt>
                <c:pt idx="35">
                  <c:v>0.48505353535353535</c:v>
                </c:pt>
                <c:pt idx="36">
                  <c:v>0.4815636363636363</c:v>
                </c:pt>
                <c:pt idx="37">
                  <c:v>0.47807373737373737</c:v>
                </c:pt>
                <c:pt idx="38">
                  <c:v>0.47458383838383833</c:v>
                </c:pt>
                <c:pt idx="39">
                  <c:v>0.4710939393939394</c:v>
                </c:pt>
                <c:pt idx="40">
                  <c:v>0.46760404040404036</c:v>
                </c:pt>
                <c:pt idx="41">
                  <c:v>0.46411414141414137</c:v>
                </c:pt>
                <c:pt idx="42">
                  <c:v>0.46062424242424238</c:v>
                </c:pt>
                <c:pt idx="43">
                  <c:v>0.45713434343434345</c:v>
                </c:pt>
                <c:pt idx="44">
                  <c:v>0.45364444444444441</c:v>
                </c:pt>
                <c:pt idx="45">
                  <c:v>0.45015454545454542</c:v>
                </c:pt>
                <c:pt idx="46">
                  <c:v>0.44666464646464643</c:v>
                </c:pt>
                <c:pt idx="47">
                  <c:v>0.44317474747474744</c:v>
                </c:pt>
                <c:pt idx="48">
                  <c:v>0.43968484848484846</c:v>
                </c:pt>
                <c:pt idx="49">
                  <c:v>0.43619494949494952</c:v>
                </c:pt>
                <c:pt idx="50">
                  <c:v>0.43270505050505048</c:v>
                </c:pt>
                <c:pt idx="51">
                  <c:v>0.42921515151515144</c:v>
                </c:pt>
                <c:pt idx="52">
                  <c:v>0.42572525252525251</c:v>
                </c:pt>
                <c:pt idx="53">
                  <c:v>0.42223535353535352</c:v>
                </c:pt>
                <c:pt idx="54">
                  <c:v>0.41874545454545453</c:v>
                </c:pt>
                <c:pt idx="55">
                  <c:v>0.41525555555555554</c:v>
                </c:pt>
                <c:pt idx="56">
                  <c:v>0.41176565656565656</c:v>
                </c:pt>
                <c:pt idx="57">
                  <c:v>0.40827575757575751</c:v>
                </c:pt>
                <c:pt idx="58">
                  <c:v>0.40478585858585858</c:v>
                </c:pt>
                <c:pt idx="59">
                  <c:v>0.40129595959595954</c:v>
                </c:pt>
                <c:pt idx="60">
                  <c:v>0.39780606060606061</c:v>
                </c:pt>
                <c:pt idx="61">
                  <c:v>0.39431616161616156</c:v>
                </c:pt>
                <c:pt idx="62">
                  <c:v>0.39082626262626263</c:v>
                </c:pt>
                <c:pt idx="63">
                  <c:v>0.38733636363636359</c:v>
                </c:pt>
                <c:pt idx="64">
                  <c:v>0.38384646464646466</c:v>
                </c:pt>
                <c:pt idx="65">
                  <c:v>0.38035656565656562</c:v>
                </c:pt>
                <c:pt idx="66">
                  <c:v>0.37686666666666668</c:v>
                </c:pt>
                <c:pt idx="67">
                  <c:v>0.37337676767676764</c:v>
                </c:pt>
                <c:pt idx="68">
                  <c:v>0.36988686868686865</c:v>
                </c:pt>
                <c:pt idx="69">
                  <c:v>0.36639696969696967</c:v>
                </c:pt>
                <c:pt idx="70">
                  <c:v>0.36290707070707068</c:v>
                </c:pt>
                <c:pt idx="71">
                  <c:v>0.35941717171717169</c:v>
                </c:pt>
                <c:pt idx="72">
                  <c:v>0.3559272727272727</c:v>
                </c:pt>
                <c:pt idx="73">
                  <c:v>0.35243737373737372</c:v>
                </c:pt>
                <c:pt idx="74">
                  <c:v>0.34894747474747473</c:v>
                </c:pt>
                <c:pt idx="75">
                  <c:v>0.34545757575757574</c:v>
                </c:pt>
                <c:pt idx="76">
                  <c:v>0.34196767676767675</c:v>
                </c:pt>
                <c:pt idx="77">
                  <c:v>0.33847777777777777</c:v>
                </c:pt>
                <c:pt idx="78">
                  <c:v>0.33498787878787878</c:v>
                </c:pt>
                <c:pt idx="79">
                  <c:v>0.33149797979797979</c:v>
                </c:pt>
                <c:pt idx="80">
                  <c:v>0.3280080808080808</c:v>
                </c:pt>
                <c:pt idx="81">
                  <c:v>0.32451818181818182</c:v>
                </c:pt>
                <c:pt idx="82">
                  <c:v>0.32102828282828277</c:v>
                </c:pt>
                <c:pt idx="83">
                  <c:v>0.31753838383838384</c:v>
                </c:pt>
                <c:pt idx="84">
                  <c:v>0.3140484848484848</c:v>
                </c:pt>
                <c:pt idx="85">
                  <c:v>0.31055858585858587</c:v>
                </c:pt>
                <c:pt idx="86">
                  <c:v>0.30706868686868688</c:v>
                </c:pt>
                <c:pt idx="87">
                  <c:v>0.30357878787878784</c:v>
                </c:pt>
                <c:pt idx="88">
                  <c:v>0.30008888888888891</c:v>
                </c:pt>
                <c:pt idx="89">
                  <c:v>0.29659898989898986</c:v>
                </c:pt>
                <c:pt idx="90">
                  <c:v>0.29310909090909087</c:v>
                </c:pt>
                <c:pt idx="91">
                  <c:v>0.28961919191919194</c:v>
                </c:pt>
                <c:pt idx="92">
                  <c:v>0.2861292929292929</c:v>
                </c:pt>
                <c:pt idx="93">
                  <c:v>0.28263939393939397</c:v>
                </c:pt>
                <c:pt idx="94">
                  <c:v>0.27914949494949493</c:v>
                </c:pt>
                <c:pt idx="95">
                  <c:v>0.27565959595959594</c:v>
                </c:pt>
                <c:pt idx="96">
                  <c:v>0.27216969696969695</c:v>
                </c:pt>
                <c:pt idx="97">
                  <c:v>0.26867979797979796</c:v>
                </c:pt>
                <c:pt idx="98">
                  <c:v>0.26518989898989903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49-47E5-9536-A81DC872C33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'CDCL (2)'!$O$4:$O$103</c:f>
              <c:numCache>
                <c:formatCode>General</c:formatCode>
                <c:ptCount val="100"/>
                <c:pt idx="0">
                  <c:v>0.20576110533306388</c:v>
                </c:pt>
                <c:pt idx="1">
                  <c:v>0.20186844488484704</c:v>
                </c:pt>
                <c:pt idx="2">
                  <c:v>0.19801448208227862</c:v>
                </c:pt>
                <c:pt idx="3">
                  <c:v>0.19419921692535852</c:v>
                </c:pt>
                <c:pt idx="4">
                  <c:v>0.19042264941408693</c:v>
                </c:pt>
                <c:pt idx="5">
                  <c:v>0.18668477954846369</c:v>
                </c:pt>
                <c:pt idx="6">
                  <c:v>0.18298560732848884</c:v>
                </c:pt>
                <c:pt idx="7">
                  <c:v>0.17932513275416245</c:v>
                </c:pt>
                <c:pt idx="8">
                  <c:v>0.17570335582548438</c:v>
                </c:pt>
                <c:pt idx="9">
                  <c:v>0.17212027654245479</c:v>
                </c:pt>
                <c:pt idx="10">
                  <c:v>0.16857589490507358</c:v>
                </c:pt>
                <c:pt idx="11">
                  <c:v>0.1650702109133407</c:v>
                </c:pt>
                <c:pt idx="12">
                  <c:v>0.16160322456725634</c:v>
                </c:pt>
                <c:pt idx="13">
                  <c:v>0.15817493586682035</c:v>
                </c:pt>
                <c:pt idx="14">
                  <c:v>0.15478534481203274</c:v>
                </c:pt>
                <c:pt idx="15">
                  <c:v>0.15143445140289349</c:v>
                </c:pt>
                <c:pt idx="16">
                  <c:v>0.14812225563940271</c:v>
                </c:pt>
                <c:pt idx="17">
                  <c:v>0.14484875752156032</c:v>
                </c:pt>
                <c:pt idx="18">
                  <c:v>0.1416139570493663</c:v>
                </c:pt>
                <c:pt idx="19">
                  <c:v>0.13841785422282074</c:v>
                </c:pt>
                <c:pt idx="20">
                  <c:v>0.13526044904192355</c:v>
                </c:pt>
                <c:pt idx="21">
                  <c:v>0.13214174150667474</c:v>
                </c:pt>
                <c:pt idx="22">
                  <c:v>0.12906173161707438</c:v>
                </c:pt>
                <c:pt idx="23">
                  <c:v>0.12602041937312239</c:v>
                </c:pt>
                <c:pt idx="24">
                  <c:v>0.12301780477481883</c:v>
                </c:pt>
                <c:pt idx="25">
                  <c:v>0.12005388782216364</c:v>
                </c:pt>
                <c:pt idx="26">
                  <c:v>0.11712866851515687</c:v>
                </c:pt>
                <c:pt idx="27">
                  <c:v>0.11424214685379853</c:v>
                </c:pt>
                <c:pt idx="28">
                  <c:v>0.11139432283808855</c:v>
                </c:pt>
                <c:pt idx="29">
                  <c:v>0.10858519646802703</c:v>
                </c:pt>
                <c:pt idx="30">
                  <c:v>0.10581476774361387</c:v>
                </c:pt>
                <c:pt idx="31">
                  <c:v>0.10308303666484911</c:v>
                </c:pt>
                <c:pt idx="32">
                  <c:v>0.10039000323173278</c:v>
                </c:pt>
                <c:pt idx="33">
                  <c:v>9.773566744426479E-2</c:v>
                </c:pt>
                <c:pt idx="34">
                  <c:v>9.5120029302445272E-2</c:v>
                </c:pt>
                <c:pt idx="35">
                  <c:v>9.254308880627414E-2</c:v>
                </c:pt>
                <c:pt idx="36">
                  <c:v>9.0004845955751395E-2</c:v>
                </c:pt>
                <c:pt idx="37">
                  <c:v>8.7505300750877063E-2</c:v>
                </c:pt>
                <c:pt idx="38">
                  <c:v>8.5044453191651131E-2</c:v>
                </c:pt>
                <c:pt idx="39">
                  <c:v>8.26223032780736E-2</c:v>
                </c:pt>
                <c:pt idx="40">
                  <c:v>8.0238851010144469E-2</c:v>
                </c:pt>
                <c:pt idx="41">
                  <c:v>7.7894096387863779E-2</c:v>
                </c:pt>
                <c:pt idx="42">
                  <c:v>7.558803941123142E-2</c:v>
                </c:pt>
                <c:pt idx="43">
                  <c:v>7.3320680080247516E-2</c:v>
                </c:pt>
                <c:pt idx="44">
                  <c:v>7.1092018394912027E-2</c:v>
                </c:pt>
                <c:pt idx="45">
                  <c:v>6.8902054355224923E-2</c:v>
                </c:pt>
                <c:pt idx="46">
                  <c:v>6.6750787961186206E-2</c:v>
                </c:pt>
                <c:pt idx="47">
                  <c:v>6.4638219212795903E-2</c:v>
                </c:pt>
                <c:pt idx="48">
                  <c:v>6.2564348110053999E-2</c:v>
                </c:pt>
                <c:pt idx="49">
                  <c:v>6.0529174652960531E-2</c:v>
                </c:pt>
                <c:pt idx="50">
                  <c:v>5.8532698841515421E-2</c:v>
                </c:pt>
                <c:pt idx="51">
                  <c:v>5.6574920675718753E-2</c:v>
                </c:pt>
                <c:pt idx="52">
                  <c:v>5.4655840155570463E-2</c:v>
                </c:pt>
                <c:pt idx="53">
                  <c:v>5.2775457281070595E-2</c:v>
                </c:pt>
                <c:pt idx="54">
                  <c:v>5.0933772052219099E-2</c:v>
                </c:pt>
                <c:pt idx="55">
                  <c:v>4.9130784469016038E-2</c:v>
                </c:pt>
                <c:pt idx="56">
                  <c:v>4.736649453146137E-2</c:v>
                </c:pt>
                <c:pt idx="57">
                  <c:v>4.5640902239555102E-2</c:v>
                </c:pt>
                <c:pt idx="58">
                  <c:v>4.3954007593297234E-2</c:v>
                </c:pt>
                <c:pt idx="59">
                  <c:v>4.230581059268778E-2</c:v>
                </c:pt>
                <c:pt idx="60">
                  <c:v>4.0696311237726712E-2</c:v>
                </c:pt>
                <c:pt idx="61">
                  <c:v>3.9125509528414065E-2</c:v>
                </c:pt>
                <c:pt idx="62">
                  <c:v>3.7593405464749804E-2</c:v>
                </c:pt>
                <c:pt idx="63">
                  <c:v>3.6099999046733972E-2</c:v>
                </c:pt>
                <c:pt idx="64">
                  <c:v>3.4645290274366525E-2</c:v>
                </c:pt>
                <c:pt idx="65">
                  <c:v>3.3229279147647471E-2</c:v>
                </c:pt>
                <c:pt idx="66">
                  <c:v>3.1851965666576845E-2</c:v>
                </c:pt>
                <c:pt idx="67">
                  <c:v>3.0513349831154599E-2</c:v>
                </c:pt>
                <c:pt idx="68">
                  <c:v>2.9213431641380783E-2</c:v>
                </c:pt>
                <c:pt idx="69">
                  <c:v>2.7952211097255347E-2</c:v>
                </c:pt>
                <c:pt idx="70">
                  <c:v>2.6729688198778318E-2</c:v>
                </c:pt>
                <c:pt idx="71">
                  <c:v>2.5545862945949686E-2</c:v>
                </c:pt>
                <c:pt idx="72">
                  <c:v>2.4400735338769474E-2</c:v>
                </c:pt>
                <c:pt idx="73">
                  <c:v>2.3294305377237659E-2</c:v>
                </c:pt>
                <c:pt idx="74">
                  <c:v>2.2226573061354258E-2</c:v>
                </c:pt>
                <c:pt idx="75">
                  <c:v>2.1197538391119247E-2</c:v>
                </c:pt>
                <c:pt idx="76">
                  <c:v>2.0207201366532646E-2</c:v>
                </c:pt>
                <c:pt idx="77">
                  <c:v>1.9255561987594438E-2</c:v>
                </c:pt>
                <c:pt idx="78">
                  <c:v>1.8342620254304644E-2</c:v>
                </c:pt>
                <c:pt idx="79">
                  <c:v>1.7468376166663243E-2</c:v>
                </c:pt>
                <c:pt idx="80">
                  <c:v>1.6632829724670246E-2</c:v>
                </c:pt>
                <c:pt idx="81">
                  <c:v>1.5835980928325662E-2</c:v>
                </c:pt>
                <c:pt idx="82">
                  <c:v>1.5077829777629472E-2</c:v>
                </c:pt>
                <c:pt idx="83">
                  <c:v>1.4358376272581696E-2</c:v>
                </c:pt>
                <c:pt idx="84">
                  <c:v>1.3677620413182302E-2</c:v>
                </c:pt>
                <c:pt idx="85">
                  <c:v>1.303556219943133E-2</c:v>
                </c:pt>
                <c:pt idx="86">
                  <c:v>1.2432201631328762E-2</c:v>
                </c:pt>
                <c:pt idx="87">
                  <c:v>1.1867538708874595E-2</c:v>
                </c:pt>
                <c:pt idx="88">
                  <c:v>1.1341573432068817E-2</c:v>
                </c:pt>
                <c:pt idx="89">
                  <c:v>1.0854305800911459E-2</c:v>
                </c:pt>
                <c:pt idx="90">
                  <c:v>1.0405735815402503E-2</c:v>
                </c:pt>
                <c:pt idx="91">
                  <c:v>9.9958634755419416E-3</c:v>
                </c:pt>
                <c:pt idx="92">
                  <c:v>9.6246887813297866E-3</c:v>
                </c:pt>
                <c:pt idx="93">
                  <c:v>9.2922117327660387E-3</c:v>
                </c:pt>
                <c:pt idx="94">
                  <c:v>8.9984323298506891E-3</c:v>
                </c:pt>
                <c:pt idx="95">
                  <c:v>8.7433505725837465E-3</c:v>
                </c:pt>
                <c:pt idx="96">
                  <c:v>8.5269664609652004E-3</c:v>
                </c:pt>
                <c:pt idx="97">
                  <c:v>8.3492799949950649E-3</c:v>
                </c:pt>
                <c:pt idx="98">
                  <c:v>8.2102911746733311E-3</c:v>
                </c:pt>
                <c:pt idx="99">
                  <c:v>8.1099999999999974E-3</c:v>
                </c:pt>
              </c:numCache>
            </c:numRef>
          </c:xVal>
          <c:yVal>
            <c:numRef>
              <c:f>'CDCL (2)'!$P$4:$P$103</c:f>
              <c:numCache>
                <c:formatCode>General</c:formatCode>
                <c:ptCount val="100"/>
                <c:pt idx="0">
                  <c:v>-0.38109999999999999</c:v>
                </c:pt>
                <c:pt idx="1">
                  <c:v>-0.37716565656565654</c:v>
                </c:pt>
                <c:pt idx="2">
                  <c:v>-0.37323131313131314</c:v>
                </c:pt>
                <c:pt idx="3">
                  <c:v>-0.36929696969696968</c:v>
                </c:pt>
                <c:pt idx="4">
                  <c:v>-0.36536262626262628</c:v>
                </c:pt>
                <c:pt idx="5">
                  <c:v>-0.36142828282828282</c:v>
                </c:pt>
                <c:pt idx="6">
                  <c:v>-0.35749393939393936</c:v>
                </c:pt>
                <c:pt idx="7">
                  <c:v>-0.35355959595959596</c:v>
                </c:pt>
                <c:pt idx="8">
                  <c:v>-0.34962525252525251</c:v>
                </c:pt>
                <c:pt idx="9">
                  <c:v>-0.3456909090909091</c:v>
                </c:pt>
                <c:pt idx="10">
                  <c:v>-0.34175656565656565</c:v>
                </c:pt>
                <c:pt idx="11">
                  <c:v>-0.33782222222222219</c:v>
                </c:pt>
                <c:pt idx="12">
                  <c:v>-0.33388787878787879</c:v>
                </c:pt>
                <c:pt idx="13">
                  <c:v>-0.32995353535353533</c:v>
                </c:pt>
                <c:pt idx="14">
                  <c:v>-0.32601919191919193</c:v>
                </c:pt>
                <c:pt idx="15">
                  <c:v>-0.32208484848484847</c:v>
                </c:pt>
                <c:pt idx="16">
                  <c:v>-0.31815050505050502</c:v>
                </c:pt>
                <c:pt idx="17">
                  <c:v>-0.31421616161616162</c:v>
                </c:pt>
                <c:pt idx="18">
                  <c:v>-0.31028181818181816</c:v>
                </c:pt>
                <c:pt idx="19">
                  <c:v>-0.30634747474747476</c:v>
                </c:pt>
                <c:pt idx="20">
                  <c:v>-0.3024131313131313</c:v>
                </c:pt>
                <c:pt idx="21">
                  <c:v>-0.29847878787878784</c:v>
                </c:pt>
                <c:pt idx="22">
                  <c:v>-0.29454444444444444</c:v>
                </c:pt>
                <c:pt idx="23">
                  <c:v>-0.29061010101010099</c:v>
                </c:pt>
                <c:pt idx="24">
                  <c:v>-0.28667575757575758</c:v>
                </c:pt>
                <c:pt idx="25">
                  <c:v>-0.28274141414141413</c:v>
                </c:pt>
                <c:pt idx="26">
                  <c:v>-0.27880707070707067</c:v>
                </c:pt>
                <c:pt idx="27">
                  <c:v>-0.27487272727272727</c:v>
                </c:pt>
                <c:pt idx="28">
                  <c:v>-0.27093838383838381</c:v>
                </c:pt>
                <c:pt idx="29">
                  <c:v>-0.26700404040404041</c:v>
                </c:pt>
                <c:pt idx="30">
                  <c:v>-0.26306969696969695</c:v>
                </c:pt>
                <c:pt idx="31">
                  <c:v>-0.25913535353535355</c:v>
                </c:pt>
                <c:pt idx="32">
                  <c:v>-0.2552010101010101</c:v>
                </c:pt>
                <c:pt idx="33">
                  <c:v>-0.25126666666666664</c:v>
                </c:pt>
                <c:pt idx="34">
                  <c:v>-0.24733232323232324</c:v>
                </c:pt>
                <c:pt idx="35">
                  <c:v>-0.24339797979797978</c:v>
                </c:pt>
                <c:pt idx="36">
                  <c:v>-0.23946363636363635</c:v>
                </c:pt>
                <c:pt idx="37">
                  <c:v>-0.23552929292929292</c:v>
                </c:pt>
                <c:pt idx="38">
                  <c:v>-0.23159494949494949</c:v>
                </c:pt>
                <c:pt idx="39">
                  <c:v>-0.22766060606060606</c:v>
                </c:pt>
                <c:pt idx="40">
                  <c:v>-0.22372626262626261</c:v>
                </c:pt>
                <c:pt idx="41">
                  <c:v>-0.21979191919191918</c:v>
                </c:pt>
                <c:pt idx="42">
                  <c:v>-0.21585757575757572</c:v>
                </c:pt>
                <c:pt idx="43">
                  <c:v>-0.21192323232323232</c:v>
                </c:pt>
                <c:pt idx="44">
                  <c:v>-0.20798888888888886</c:v>
                </c:pt>
                <c:pt idx="45">
                  <c:v>-0.20405454545454546</c:v>
                </c:pt>
                <c:pt idx="46">
                  <c:v>-0.200120202020202</c:v>
                </c:pt>
                <c:pt idx="47">
                  <c:v>-0.19618585858585857</c:v>
                </c:pt>
                <c:pt idx="48">
                  <c:v>-0.19225151515151512</c:v>
                </c:pt>
                <c:pt idx="49">
                  <c:v>-0.18831717171717172</c:v>
                </c:pt>
                <c:pt idx="50">
                  <c:v>-0.18438282828282826</c:v>
                </c:pt>
                <c:pt idx="51">
                  <c:v>-0.18044848484848486</c:v>
                </c:pt>
                <c:pt idx="52">
                  <c:v>-0.1765141414141414</c:v>
                </c:pt>
                <c:pt idx="53">
                  <c:v>-0.17257979797979797</c:v>
                </c:pt>
                <c:pt idx="54">
                  <c:v>-0.16864545454545452</c:v>
                </c:pt>
                <c:pt idx="55">
                  <c:v>-0.16471111111111111</c:v>
                </c:pt>
                <c:pt idx="56">
                  <c:v>-0.16077676767676766</c:v>
                </c:pt>
                <c:pt idx="57">
                  <c:v>-0.15684242424242426</c:v>
                </c:pt>
                <c:pt idx="58">
                  <c:v>-0.1529080808080808</c:v>
                </c:pt>
                <c:pt idx="59">
                  <c:v>-0.14897373737373737</c:v>
                </c:pt>
                <c:pt idx="60">
                  <c:v>-0.14503939393939391</c:v>
                </c:pt>
                <c:pt idx="61">
                  <c:v>-0.14110505050505051</c:v>
                </c:pt>
                <c:pt idx="62">
                  <c:v>-0.13717070707070705</c:v>
                </c:pt>
                <c:pt idx="63">
                  <c:v>-0.13323636363636365</c:v>
                </c:pt>
                <c:pt idx="64">
                  <c:v>-0.1293020202020202</c:v>
                </c:pt>
                <c:pt idx="65">
                  <c:v>-0.12536767676767674</c:v>
                </c:pt>
                <c:pt idx="66">
                  <c:v>-0.12143333333333334</c:v>
                </c:pt>
                <c:pt idx="67">
                  <c:v>-0.11749898989898988</c:v>
                </c:pt>
                <c:pt idx="68">
                  <c:v>-0.11356464646464648</c:v>
                </c:pt>
                <c:pt idx="69">
                  <c:v>-0.10963030303030302</c:v>
                </c:pt>
                <c:pt idx="70">
                  <c:v>-0.10569595959595957</c:v>
                </c:pt>
                <c:pt idx="71">
                  <c:v>-0.10176161616161611</c:v>
                </c:pt>
                <c:pt idx="72">
                  <c:v>-9.7827272727272707E-2</c:v>
                </c:pt>
                <c:pt idx="73">
                  <c:v>-9.389292929292925E-2</c:v>
                </c:pt>
                <c:pt idx="74">
                  <c:v>-8.9958585858585849E-2</c:v>
                </c:pt>
                <c:pt idx="75">
                  <c:v>-8.6024242424242392E-2</c:v>
                </c:pt>
                <c:pt idx="76">
                  <c:v>-8.2089898989898991E-2</c:v>
                </c:pt>
                <c:pt idx="77">
                  <c:v>-7.8155555555555534E-2</c:v>
                </c:pt>
                <c:pt idx="78">
                  <c:v>-7.4221212121212132E-2</c:v>
                </c:pt>
                <c:pt idx="79">
                  <c:v>-7.0286868686868675E-2</c:v>
                </c:pt>
                <c:pt idx="80">
                  <c:v>-6.6352525252525218E-2</c:v>
                </c:pt>
                <c:pt idx="81">
                  <c:v>-6.2418181818181817E-2</c:v>
                </c:pt>
                <c:pt idx="82">
                  <c:v>-5.848383838383836E-2</c:v>
                </c:pt>
                <c:pt idx="83">
                  <c:v>-5.4549494949494959E-2</c:v>
                </c:pt>
                <c:pt idx="84">
                  <c:v>-5.0615151515151446E-2</c:v>
                </c:pt>
                <c:pt idx="85">
                  <c:v>-4.6680808080808045E-2</c:v>
                </c:pt>
                <c:pt idx="86">
                  <c:v>-4.2746464646464644E-2</c:v>
                </c:pt>
                <c:pt idx="87">
                  <c:v>-3.8812121212121242E-2</c:v>
                </c:pt>
                <c:pt idx="88">
                  <c:v>-3.487777777777773E-2</c:v>
                </c:pt>
                <c:pt idx="89">
                  <c:v>-3.0943434343434328E-2</c:v>
                </c:pt>
                <c:pt idx="90">
                  <c:v>-2.7009090909090927E-2</c:v>
                </c:pt>
                <c:pt idx="91">
                  <c:v>-2.307474747474747E-2</c:v>
                </c:pt>
                <c:pt idx="92">
                  <c:v>-1.9140404040404013E-2</c:v>
                </c:pt>
                <c:pt idx="93">
                  <c:v>-1.5206060606060612E-2</c:v>
                </c:pt>
                <c:pt idx="94">
                  <c:v>-1.1271717171717155E-2</c:v>
                </c:pt>
                <c:pt idx="95">
                  <c:v>-7.3373737373737535E-3</c:v>
                </c:pt>
                <c:pt idx="96">
                  <c:v>-3.4030303030302411E-3</c:v>
                </c:pt>
                <c:pt idx="97">
                  <c:v>5.3131313131316027E-4</c:v>
                </c:pt>
                <c:pt idx="98">
                  <c:v>4.4656565656565617E-3</c:v>
                </c:pt>
                <c:pt idx="99">
                  <c:v>8.4000000000000741E-3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49-47E5-9536-A81DC872C33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'CDCL (2)'!$R$4:$R$103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8.2171832453193164E-3</c:v>
                </c:pt>
                <c:pt idx="2">
                  <c:v>8.2866699520201207E-3</c:v>
                </c:pt>
                <c:pt idx="3">
                  <c:v>8.3784601201024201E-3</c:v>
                </c:pt>
                <c:pt idx="4">
                  <c:v>8.4925537495662076E-3</c:v>
                </c:pt>
                <c:pt idx="5">
                  <c:v>8.6289508404114885E-3</c:v>
                </c:pt>
                <c:pt idx="6">
                  <c:v>8.7876513926382627E-3</c:v>
                </c:pt>
                <c:pt idx="7">
                  <c:v>8.9686554062465285E-3</c:v>
                </c:pt>
                <c:pt idx="8">
                  <c:v>9.1719628812362876E-3</c:v>
                </c:pt>
                <c:pt idx="9">
                  <c:v>9.3975738176075366E-3</c:v>
                </c:pt>
                <c:pt idx="10">
                  <c:v>9.6454882153602668E-3</c:v>
                </c:pt>
                <c:pt idx="11">
                  <c:v>9.9157060744945007E-3</c:v>
                </c:pt>
                <c:pt idx="12">
                  <c:v>1.0208227395010226E-2</c:v>
                </c:pt>
                <c:pt idx="13">
                  <c:v>1.0523052176907443E-2</c:v>
                </c:pt>
                <c:pt idx="14">
                  <c:v>1.086018042018615E-2</c:v>
                </c:pt>
                <c:pt idx="15">
                  <c:v>1.1219612124846352E-2</c:v>
                </c:pt>
                <c:pt idx="16">
                  <c:v>1.1601347290888043E-2</c:v>
                </c:pt>
                <c:pt idx="17">
                  <c:v>1.2005385918311212E-2</c:v>
                </c:pt>
                <c:pt idx="18">
                  <c:v>1.2431728007115889E-2</c:v>
                </c:pt>
                <c:pt idx="19">
                  <c:v>1.2880373557302056E-2</c:v>
                </c:pt>
                <c:pt idx="20">
                  <c:v>1.3351322568869716E-2</c:v>
                </c:pt>
                <c:pt idx="21">
                  <c:v>1.3844575041818867E-2</c:v>
                </c:pt>
                <c:pt idx="22">
                  <c:v>1.4360130976149512E-2</c:v>
                </c:pt>
                <c:pt idx="23">
                  <c:v>1.4897990371861645E-2</c:v>
                </c:pt>
                <c:pt idx="24">
                  <c:v>1.5458153228955251E-2</c:v>
                </c:pt>
                <c:pt idx="25">
                  <c:v>1.6040619547430371E-2</c:v>
                </c:pt>
                <c:pt idx="26">
                  <c:v>1.6645389327286979E-2</c:v>
                </c:pt>
                <c:pt idx="27">
                  <c:v>1.7272462568525083E-2</c:v>
                </c:pt>
                <c:pt idx="28">
                  <c:v>1.7921839271144678E-2</c:v>
                </c:pt>
                <c:pt idx="29">
                  <c:v>1.8593519435145762E-2</c:v>
                </c:pt>
                <c:pt idx="30">
                  <c:v>1.9287503060528344E-2</c:v>
                </c:pt>
                <c:pt idx="31">
                  <c:v>2.0003790147292387E-2</c:v>
                </c:pt>
                <c:pt idx="32">
                  <c:v>2.0742380695437945E-2</c:v>
                </c:pt>
                <c:pt idx="33">
                  <c:v>2.1503274704964999E-2</c:v>
                </c:pt>
                <c:pt idx="34">
                  <c:v>2.2286472175873547E-2</c:v>
                </c:pt>
                <c:pt idx="35">
                  <c:v>2.3091973108163581E-2</c:v>
                </c:pt>
                <c:pt idx="36">
                  <c:v>2.391977750183508E-2</c:v>
                </c:pt>
                <c:pt idx="37">
                  <c:v>2.4769885356888097E-2</c:v>
                </c:pt>
                <c:pt idx="38">
                  <c:v>2.5642296673322611E-2</c:v>
                </c:pt>
                <c:pt idx="39">
                  <c:v>2.6537011451138615E-2</c:v>
                </c:pt>
                <c:pt idx="40">
                  <c:v>2.7454029690336109E-2</c:v>
                </c:pt>
                <c:pt idx="41">
                  <c:v>2.83933513909151E-2</c:v>
                </c:pt>
                <c:pt idx="42">
                  <c:v>2.935497655287558E-2</c:v>
                </c:pt>
                <c:pt idx="43">
                  <c:v>3.0338905176217516E-2</c:v>
                </c:pt>
                <c:pt idx="44">
                  <c:v>3.1345137260940979E-2</c:v>
                </c:pt>
                <c:pt idx="45">
                  <c:v>3.2373672807045929E-2</c:v>
                </c:pt>
                <c:pt idx="46">
                  <c:v>3.3424511814532376E-2</c:v>
                </c:pt>
                <c:pt idx="47">
                  <c:v>3.449765428340032E-2</c:v>
                </c:pt>
                <c:pt idx="48">
                  <c:v>3.5593100213649746E-2</c:v>
                </c:pt>
                <c:pt idx="49">
                  <c:v>3.671084960528067E-2</c:v>
                </c:pt>
                <c:pt idx="50">
                  <c:v>3.7850902458293041E-2</c:v>
                </c:pt>
                <c:pt idx="51">
                  <c:v>3.9013258772686944E-2</c:v>
                </c:pt>
                <c:pt idx="52">
                  <c:v>4.0197918548462337E-2</c:v>
                </c:pt>
                <c:pt idx="53">
                  <c:v>4.1404881785619241E-2</c:v>
                </c:pt>
                <c:pt idx="54">
                  <c:v>4.2634148484157627E-2</c:v>
                </c:pt>
                <c:pt idx="55">
                  <c:v>4.388571864407749E-2</c:v>
                </c:pt>
                <c:pt idx="56">
                  <c:v>4.5159592265378856E-2</c:v>
                </c:pt>
                <c:pt idx="57">
                  <c:v>4.6455769348061671E-2</c:v>
                </c:pt>
                <c:pt idx="58">
                  <c:v>4.7774249892126017E-2</c:v>
                </c:pt>
                <c:pt idx="59">
                  <c:v>4.9115033897571853E-2</c:v>
                </c:pt>
                <c:pt idx="60">
                  <c:v>5.0478121364399185E-2</c:v>
                </c:pt>
                <c:pt idx="61">
                  <c:v>5.1863512292608015E-2</c:v>
                </c:pt>
                <c:pt idx="62">
                  <c:v>5.3271206682198272E-2</c:v>
                </c:pt>
                <c:pt idx="63">
                  <c:v>5.4701204533170129E-2</c:v>
                </c:pt>
                <c:pt idx="64">
                  <c:v>5.6153505845523387E-2</c:v>
                </c:pt>
                <c:pt idx="65">
                  <c:v>5.7628110619258176E-2</c:v>
                </c:pt>
                <c:pt idx="66">
                  <c:v>5.9125018854374455E-2</c:v>
                </c:pt>
                <c:pt idx="67">
                  <c:v>6.064423055087223E-2</c:v>
                </c:pt>
                <c:pt idx="68">
                  <c:v>6.2185745708751503E-2</c:v>
                </c:pt>
                <c:pt idx="69">
                  <c:v>6.3749564328012195E-2</c:v>
                </c:pt>
                <c:pt idx="70">
                  <c:v>6.5335686408654503E-2</c:v>
                </c:pt>
                <c:pt idx="71">
                  <c:v>6.694411195067819E-2</c:v>
                </c:pt>
                <c:pt idx="72">
                  <c:v>6.8574840954083408E-2</c:v>
                </c:pt>
                <c:pt idx="73">
                  <c:v>7.0227873418870143E-2</c:v>
                </c:pt>
                <c:pt idx="74">
                  <c:v>7.1903209345038382E-2</c:v>
                </c:pt>
                <c:pt idx="75">
                  <c:v>7.360084873258807E-2</c:v>
                </c:pt>
                <c:pt idx="76">
                  <c:v>7.5320791581519206E-2</c:v>
                </c:pt>
                <c:pt idx="77">
                  <c:v>7.7063037891831887E-2</c:v>
                </c:pt>
                <c:pt idx="78">
                  <c:v>7.8827587663526086E-2</c:v>
                </c:pt>
                <c:pt idx="79">
                  <c:v>8.0614440896601788E-2</c:v>
                </c:pt>
                <c:pt idx="80">
                  <c:v>8.2423597591058939E-2</c:v>
                </c:pt>
                <c:pt idx="81">
                  <c:v>8.425505774689758E-2</c:v>
                </c:pt>
                <c:pt idx="82">
                  <c:v>8.6108821364117752E-2</c:v>
                </c:pt>
                <c:pt idx="83">
                  <c:v>8.7984888442719331E-2</c:v>
                </c:pt>
                <c:pt idx="84">
                  <c:v>8.9883258982702538E-2</c:v>
                </c:pt>
                <c:pt idx="85">
                  <c:v>9.1803932984067096E-2</c:v>
                </c:pt>
                <c:pt idx="86">
                  <c:v>9.37469104468132E-2</c:v>
                </c:pt>
                <c:pt idx="87">
                  <c:v>9.5712191370940822E-2</c:v>
                </c:pt>
                <c:pt idx="88">
                  <c:v>9.769977575644985E-2</c:v>
                </c:pt>
                <c:pt idx="89">
                  <c:v>9.970966360334052E-2</c:v>
                </c:pt>
                <c:pt idx="90">
                  <c:v>0.10174185491161253</c:v>
                </c:pt>
                <c:pt idx="91">
                  <c:v>0.1037963496812661</c:v>
                </c:pt>
                <c:pt idx="92">
                  <c:v>0.10587314791230118</c:v>
                </c:pt>
                <c:pt idx="93">
                  <c:v>0.10797224960471777</c:v>
                </c:pt>
                <c:pt idx="94">
                  <c:v>0.1100936547585158</c:v>
                </c:pt>
                <c:pt idx="95">
                  <c:v>0.11223736337369528</c:v>
                </c:pt>
                <c:pt idx="96">
                  <c:v>0.11440337545025639</c:v>
                </c:pt>
                <c:pt idx="97">
                  <c:v>0.11659169098819884</c:v>
                </c:pt>
                <c:pt idx="98">
                  <c:v>0.11880230998752286</c:v>
                </c:pt>
                <c:pt idx="99">
                  <c:v>0.12103523244822836</c:v>
                </c:pt>
              </c:numCache>
            </c:numRef>
          </c:xVal>
          <c:yVal>
            <c:numRef>
              <c:f>'CDCL (2)'!$S$4:$S$103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0.61018686868686867</c:v>
                </c:pt>
                <c:pt idx="2">
                  <c:v>0.61317373737373737</c:v>
                </c:pt>
                <c:pt idx="3">
                  <c:v>0.61616060606060608</c:v>
                </c:pt>
                <c:pt idx="4">
                  <c:v>0.61914747474747467</c:v>
                </c:pt>
                <c:pt idx="5">
                  <c:v>0.62213434343434337</c:v>
                </c:pt>
                <c:pt idx="6">
                  <c:v>0.62512121212121208</c:v>
                </c:pt>
                <c:pt idx="7">
                  <c:v>0.62810808080808078</c:v>
                </c:pt>
                <c:pt idx="8">
                  <c:v>0.63109494949494949</c:v>
                </c:pt>
                <c:pt idx="9">
                  <c:v>0.63408181818181819</c:v>
                </c:pt>
                <c:pt idx="10">
                  <c:v>0.63706868686868678</c:v>
                </c:pt>
                <c:pt idx="11">
                  <c:v>0.64005555555555549</c:v>
                </c:pt>
                <c:pt idx="12">
                  <c:v>0.64304242424242419</c:v>
                </c:pt>
                <c:pt idx="13">
                  <c:v>0.6460292929292929</c:v>
                </c:pt>
                <c:pt idx="14">
                  <c:v>0.6490161616161616</c:v>
                </c:pt>
                <c:pt idx="15">
                  <c:v>0.65200303030303031</c:v>
                </c:pt>
                <c:pt idx="16">
                  <c:v>0.65498989898989901</c:v>
                </c:pt>
                <c:pt idx="17">
                  <c:v>0.6579767676767676</c:v>
                </c:pt>
                <c:pt idx="18">
                  <c:v>0.66096363636363631</c:v>
                </c:pt>
                <c:pt idx="19">
                  <c:v>0.66395050505050501</c:v>
                </c:pt>
                <c:pt idx="20">
                  <c:v>0.66693737373737372</c:v>
                </c:pt>
                <c:pt idx="21">
                  <c:v>0.66992424242424242</c:v>
                </c:pt>
                <c:pt idx="22">
                  <c:v>0.67291111111111113</c:v>
                </c:pt>
                <c:pt idx="23">
                  <c:v>0.67589797979797983</c:v>
                </c:pt>
                <c:pt idx="24">
                  <c:v>0.67888484848484842</c:v>
                </c:pt>
                <c:pt idx="25">
                  <c:v>0.68187171717171713</c:v>
                </c:pt>
                <c:pt idx="26">
                  <c:v>0.68485858585858583</c:v>
                </c:pt>
                <c:pt idx="27">
                  <c:v>0.68784545454545454</c:v>
                </c:pt>
                <c:pt idx="28">
                  <c:v>0.69083232323232324</c:v>
                </c:pt>
                <c:pt idx="29">
                  <c:v>0.69381919191919195</c:v>
                </c:pt>
                <c:pt idx="30">
                  <c:v>0.69680606060606065</c:v>
                </c:pt>
                <c:pt idx="31">
                  <c:v>0.69979292929292924</c:v>
                </c:pt>
                <c:pt idx="32">
                  <c:v>0.70277979797979795</c:v>
                </c:pt>
                <c:pt idx="33">
                  <c:v>0.70576666666666665</c:v>
                </c:pt>
                <c:pt idx="34">
                  <c:v>0.70875353535353536</c:v>
                </c:pt>
                <c:pt idx="35">
                  <c:v>0.71174040404040406</c:v>
                </c:pt>
                <c:pt idx="36">
                  <c:v>0.71472727272727266</c:v>
                </c:pt>
                <c:pt idx="37">
                  <c:v>0.71771414141414136</c:v>
                </c:pt>
                <c:pt idx="38">
                  <c:v>0.72070101010101006</c:v>
                </c:pt>
                <c:pt idx="39">
                  <c:v>0.72368787878787877</c:v>
                </c:pt>
                <c:pt idx="40">
                  <c:v>0.72667474747474747</c:v>
                </c:pt>
                <c:pt idx="41">
                  <c:v>0.72966161616161618</c:v>
                </c:pt>
                <c:pt idx="42">
                  <c:v>0.73264848484848488</c:v>
                </c:pt>
                <c:pt idx="43">
                  <c:v>0.73563535353535348</c:v>
                </c:pt>
                <c:pt idx="44">
                  <c:v>0.73862222222222218</c:v>
                </c:pt>
                <c:pt idx="45">
                  <c:v>0.74160909090909088</c:v>
                </c:pt>
                <c:pt idx="46">
                  <c:v>0.74459595959595959</c:v>
                </c:pt>
                <c:pt idx="47">
                  <c:v>0.74758282828282829</c:v>
                </c:pt>
                <c:pt idx="48">
                  <c:v>0.750569696969697</c:v>
                </c:pt>
                <c:pt idx="49">
                  <c:v>0.7535565656565657</c:v>
                </c:pt>
                <c:pt idx="50">
                  <c:v>0.7565434343434343</c:v>
                </c:pt>
                <c:pt idx="51">
                  <c:v>0.759530303030303</c:v>
                </c:pt>
                <c:pt idx="52">
                  <c:v>0.7625171717171717</c:v>
                </c:pt>
                <c:pt idx="53">
                  <c:v>0.76550404040404041</c:v>
                </c:pt>
                <c:pt idx="54">
                  <c:v>0.76849090909090911</c:v>
                </c:pt>
                <c:pt idx="55">
                  <c:v>0.77147777777777782</c:v>
                </c:pt>
                <c:pt idx="56">
                  <c:v>0.77446464646464652</c:v>
                </c:pt>
                <c:pt idx="57">
                  <c:v>0.77745151515151512</c:v>
                </c:pt>
                <c:pt idx="58">
                  <c:v>0.78043838383838382</c:v>
                </c:pt>
                <c:pt idx="59">
                  <c:v>0.78342525252525252</c:v>
                </c:pt>
                <c:pt idx="60">
                  <c:v>0.78641212121212123</c:v>
                </c:pt>
                <c:pt idx="61">
                  <c:v>0.78939898989898993</c:v>
                </c:pt>
                <c:pt idx="62">
                  <c:v>0.79238585858585853</c:v>
                </c:pt>
                <c:pt idx="63">
                  <c:v>0.79537272727272734</c:v>
                </c:pt>
                <c:pt idx="64">
                  <c:v>0.79835959595959594</c:v>
                </c:pt>
                <c:pt idx="65">
                  <c:v>0.80134646464646464</c:v>
                </c:pt>
                <c:pt idx="66">
                  <c:v>0.80433333333333334</c:v>
                </c:pt>
                <c:pt idx="67">
                  <c:v>0.80732020202020205</c:v>
                </c:pt>
                <c:pt idx="68">
                  <c:v>0.81030707070707075</c:v>
                </c:pt>
                <c:pt idx="69">
                  <c:v>0.81329393939393935</c:v>
                </c:pt>
                <c:pt idx="70">
                  <c:v>0.81628080808080816</c:v>
                </c:pt>
                <c:pt idx="71">
                  <c:v>0.81926767676767676</c:v>
                </c:pt>
                <c:pt idx="72">
                  <c:v>0.82225454545454546</c:v>
                </c:pt>
                <c:pt idx="73">
                  <c:v>0.82524141414141416</c:v>
                </c:pt>
                <c:pt idx="74">
                  <c:v>0.82822828282828287</c:v>
                </c:pt>
                <c:pt idx="75">
                  <c:v>0.83121515151515157</c:v>
                </c:pt>
                <c:pt idx="76">
                  <c:v>0.83420202020202017</c:v>
                </c:pt>
                <c:pt idx="77">
                  <c:v>0.83718888888888887</c:v>
                </c:pt>
                <c:pt idx="78">
                  <c:v>0.84017575757575758</c:v>
                </c:pt>
                <c:pt idx="79">
                  <c:v>0.84316262626262628</c:v>
                </c:pt>
                <c:pt idx="80">
                  <c:v>0.84614949494949498</c:v>
                </c:pt>
                <c:pt idx="81">
                  <c:v>0.84913636363636369</c:v>
                </c:pt>
                <c:pt idx="82">
                  <c:v>0.85212323232323239</c:v>
                </c:pt>
                <c:pt idx="83">
                  <c:v>0.85511010101010099</c:v>
                </c:pt>
                <c:pt idx="84">
                  <c:v>0.8580969696969698</c:v>
                </c:pt>
                <c:pt idx="85">
                  <c:v>0.8610838383838384</c:v>
                </c:pt>
                <c:pt idx="86">
                  <c:v>0.8640707070707071</c:v>
                </c:pt>
                <c:pt idx="87">
                  <c:v>0.8670575757575758</c:v>
                </c:pt>
                <c:pt idx="88">
                  <c:v>0.8700444444444444</c:v>
                </c:pt>
                <c:pt idx="89">
                  <c:v>0.87303131313131321</c:v>
                </c:pt>
                <c:pt idx="90">
                  <c:v>0.87601818181818181</c:v>
                </c:pt>
                <c:pt idx="91">
                  <c:v>0.87900505050505051</c:v>
                </c:pt>
                <c:pt idx="92">
                  <c:v>0.88199191919191922</c:v>
                </c:pt>
                <c:pt idx="93">
                  <c:v>0.88497878787878792</c:v>
                </c:pt>
                <c:pt idx="94">
                  <c:v>0.88796565656565662</c:v>
                </c:pt>
                <c:pt idx="95">
                  <c:v>0.89095252525252522</c:v>
                </c:pt>
                <c:pt idx="96">
                  <c:v>0.89393939393939403</c:v>
                </c:pt>
                <c:pt idx="97">
                  <c:v>0.89692626262626263</c:v>
                </c:pt>
                <c:pt idx="98">
                  <c:v>0.89991313131313133</c:v>
                </c:pt>
                <c:pt idx="99">
                  <c:v>0.90290000000000004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49-47E5-9536-A81DC872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 (2)'!$D$3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 (2)'!$A$4:$A$1000</c:f>
              <c:numCache>
                <c:formatCode>General</c:formatCode>
                <c:ptCount val="997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</c:v>
                </c:pt>
                <c:pt idx="30">
                  <c:v>-3.5</c:v>
                </c:pt>
                <c:pt idx="31">
                  <c:v>-3.45</c:v>
                </c:pt>
                <c:pt idx="32">
                  <c:v>-3.4</c:v>
                </c:pt>
                <c:pt idx="33">
                  <c:v>-3.35</c:v>
                </c:pt>
                <c:pt idx="34">
                  <c:v>-3.3</c:v>
                </c:pt>
                <c:pt idx="35">
                  <c:v>-3.25</c:v>
                </c:pt>
                <c:pt idx="36">
                  <c:v>-3.2</c:v>
                </c:pt>
                <c:pt idx="37">
                  <c:v>-3.15</c:v>
                </c:pt>
                <c:pt idx="38">
                  <c:v>-3.1</c:v>
                </c:pt>
                <c:pt idx="39">
                  <c:v>-3.05</c:v>
                </c:pt>
                <c:pt idx="40">
                  <c:v>-3</c:v>
                </c:pt>
                <c:pt idx="41">
                  <c:v>-2.95</c:v>
                </c:pt>
                <c:pt idx="42">
                  <c:v>-2.9</c:v>
                </c:pt>
                <c:pt idx="43">
                  <c:v>-2.85</c:v>
                </c:pt>
                <c:pt idx="44">
                  <c:v>-2.8</c:v>
                </c:pt>
                <c:pt idx="45">
                  <c:v>-2.75</c:v>
                </c:pt>
                <c:pt idx="46">
                  <c:v>-2.7</c:v>
                </c:pt>
                <c:pt idx="47">
                  <c:v>-2.65</c:v>
                </c:pt>
                <c:pt idx="48">
                  <c:v>-2.6</c:v>
                </c:pt>
                <c:pt idx="49">
                  <c:v>-2.5499999999999998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-1.95</c:v>
                </c:pt>
                <c:pt idx="62">
                  <c:v>-1.9</c:v>
                </c:pt>
                <c:pt idx="63">
                  <c:v>-1.85</c:v>
                </c:pt>
                <c:pt idx="64">
                  <c:v>-1.8</c:v>
                </c:pt>
                <c:pt idx="65">
                  <c:v>-1.75</c:v>
                </c:pt>
                <c:pt idx="66">
                  <c:v>-1.7</c:v>
                </c:pt>
                <c:pt idx="67">
                  <c:v>-1.65</c:v>
                </c:pt>
                <c:pt idx="68">
                  <c:v>-1.6</c:v>
                </c:pt>
                <c:pt idx="69">
                  <c:v>-1.55</c:v>
                </c:pt>
                <c:pt idx="70">
                  <c:v>-1.5</c:v>
                </c:pt>
                <c:pt idx="71">
                  <c:v>-1.45</c:v>
                </c:pt>
                <c:pt idx="72">
                  <c:v>-1.4</c:v>
                </c:pt>
                <c:pt idx="73">
                  <c:v>-1.35</c:v>
                </c:pt>
                <c:pt idx="74">
                  <c:v>-1.3</c:v>
                </c:pt>
                <c:pt idx="75">
                  <c:v>-1.25</c:v>
                </c:pt>
                <c:pt idx="76">
                  <c:v>-1.2</c:v>
                </c:pt>
                <c:pt idx="77">
                  <c:v>-1.1499999999999999</c:v>
                </c:pt>
                <c:pt idx="78">
                  <c:v>-1.1000000000000001</c:v>
                </c:pt>
                <c:pt idx="79">
                  <c:v>-1.05</c:v>
                </c:pt>
                <c:pt idx="80">
                  <c:v>-1</c:v>
                </c:pt>
                <c:pt idx="81">
                  <c:v>-0.95</c:v>
                </c:pt>
                <c:pt idx="82">
                  <c:v>-0.9</c:v>
                </c:pt>
                <c:pt idx="83">
                  <c:v>-0.85</c:v>
                </c:pt>
                <c:pt idx="84">
                  <c:v>-0.8</c:v>
                </c:pt>
                <c:pt idx="85">
                  <c:v>-0.75</c:v>
                </c:pt>
                <c:pt idx="86">
                  <c:v>-0.7</c:v>
                </c:pt>
                <c:pt idx="87">
                  <c:v>-0.65</c:v>
                </c:pt>
                <c:pt idx="88">
                  <c:v>-0.6</c:v>
                </c:pt>
                <c:pt idx="89">
                  <c:v>-0.55000000000000004</c:v>
                </c:pt>
                <c:pt idx="90">
                  <c:v>-0.5</c:v>
                </c:pt>
                <c:pt idx="91">
                  <c:v>-0.45</c:v>
                </c:pt>
                <c:pt idx="92">
                  <c:v>-0.4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0.4</c:v>
                </c:pt>
                <c:pt idx="109">
                  <c:v>0.45</c:v>
                </c:pt>
                <c:pt idx="110">
                  <c:v>0.5</c:v>
                </c:pt>
                <c:pt idx="111">
                  <c:v>0.55000000000000004</c:v>
                </c:pt>
                <c:pt idx="112">
                  <c:v>0.6</c:v>
                </c:pt>
                <c:pt idx="113">
                  <c:v>0.65</c:v>
                </c:pt>
                <c:pt idx="114">
                  <c:v>0.7</c:v>
                </c:pt>
                <c:pt idx="115">
                  <c:v>0.75</c:v>
                </c:pt>
                <c:pt idx="116">
                  <c:v>0.8</c:v>
                </c:pt>
                <c:pt idx="117">
                  <c:v>0.85</c:v>
                </c:pt>
                <c:pt idx="118">
                  <c:v>0.9</c:v>
                </c:pt>
                <c:pt idx="119">
                  <c:v>0.95</c:v>
                </c:pt>
                <c:pt idx="120">
                  <c:v>1</c:v>
                </c:pt>
                <c:pt idx="121">
                  <c:v>1.05</c:v>
                </c:pt>
                <c:pt idx="122">
                  <c:v>1.1000000000000001</c:v>
                </c:pt>
                <c:pt idx="123">
                  <c:v>1.1499999999999999</c:v>
                </c:pt>
                <c:pt idx="124">
                  <c:v>1.2</c:v>
                </c:pt>
                <c:pt idx="125">
                  <c:v>1.25</c:v>
                </c:pt>
                <c:pt idx="126">
                  <c:v>1.3</c:v>
                </c:pt>
                <c:pt idx="127">
                  <c:v>1.35</c:v>
                </c:pt>
                <c:pt idx="128">
                  <c:v>1.4</c:v>
                </c:pt>
                <c:pt idx="129">
                  <c:v>1.45</c:v>
                </c:pt>
                <c:pt idx="130">
                  <c:v>1.5</c:v>
                </c:pt>
                <c:pt idx="131">
                  <c:v>1.55</c:v>
                </c:pt>
                <c:pt idx="132">
                  <c:v>1.6</c:v>
                </c:pt>
                <c:pt idx="133">
                  <c:v>1.65</c:v>
                </c:pt>
                <c:pt idx="134">
                  <c:v>1.7</c:v>
                </c:pt>
                <c:pt idx="135">
                  <c:v>1.75</c:v>
                </c:pt>
                <c:pt idx="136">
                  <c:v>1.8</c:v>
                </c:pt>
                <c:pt idx="137">
                  <c:v>1.85</c:v>
                </c:pt>
                <c:pt idx="138">
                  <c:v>1.9</c:v>
                </c:pt>
                <c:pt idx="139">
                  <c:v>1.95</c:v>
                </c:pt>
                <c:pt idx="140">
                  <c:v>2</c:v>
                </c:pt>
                <c:pt idx="141">
                  <c:v>2.0499999999999998</c:v>
                </c:pt>
                <c:pt idx="142">
                  <c:v>2.1</c:v>
                </c:pt>
                <c:pt idx="143">
                  <c:v>2.15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2.35</c:v>
                </c:pt>
                <c:pt idx="148">
                  <c:v>2.4</c:v>
                </c:pt>
                <c:pt idx="149">
                  <c:v>2.4500000000000002</c:v>
                </c:pt>
                <c:pt idx="150">
                  <c:v>2.5</c:v>
                </c:pt>
                <c:pt idx="151">
                  <c:v>2.5499999999999998</c:v>
                </c:pt>
                <c:pt idx="152">
                  <c:v>2.6</c:v>
                </c:pt>
                <c:pt idx="153">
                  <c:v>2.65</c:v>
                </c:pt>
                <c:pt idx="154">
                  <c:v>2.7</c:v>
                </c:pt>
                <c:pt idx="155">
                  <c:v>2.75</c:v>
                </c:pt>
                <c:pt idx="156">
                  <c:v>2.8</c:v>
                </c:pt>
                <c:pt idx="157">
                  <c:v>2.85</c:v>
                </c:pt>
                <c:pt idx="158">
                  <c:v>2.9</c:v>
                </c:pt>
                <c:pt idx="159">
                  <c:v>2.95</c:v>
                </c:pt>
                <c:pt idx="160">
                  <c:v>3</c:v>
                </c:pt>
                <c:pt idx="161">
                  <c:v>3.05</c:v>
                </c:pt>
                <c:pt idx="162">
                  <c:v>3.1</c:v>
                </c:pt>
                <c:pt idx="163">
                  <c:v>3.15</c:v>
                </c:pt>
                <c:pt idx="164">
                  <c:v>3.2</c:v>
                </c:pt>
                <c:pt idx="165">
                  <c:v>3.25</c:v>
                </c:pt>
                <c:pt idx="166">
                  <c:v>3.3</c:v>
                </c:pt>
                <c:pt idx="167">
                  <c:v>3.35</c:v>
                </c:pt>
                <c:pt idx="168">
                  <c:v>3.4</c:v>
                </c:pt>
              </c:numCache>
            </c:numRef>
          </c:xVal>
          <c:yVal>
            <c:numRef>
              <c:f>'CDCL (2)'!$D$4:$D$1000</c:f>
              <c:numCache>
                <c:formatCode>General</c:formatCode>
                <c:ptCount val="997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0-4621-A262-65E07AB91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5.9849552708787623</c:v>
                </c:pt>
                <c:pt idx="2">
                  <c:v>7.5558466498410075</c:v>
                </c:pt>
                <c:pt idx="3">
                  <c:v>5.2363045965408164</c:v>
                </c:pt>
                <c:pt idx="4">
                  <c:v>0</c:v>
                </c:pt>
                <c:pt idx="5">
                  <c:v>5.9849552708787623</c:v>
                </c:pt>
                <c:pt idx="6">
                  <c:v>7.5558466498410075</c:v>
                </c:pt>
                <c:pt idx="7">
                  <c:v>5.2363045965408164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  <c:pt idx="8">
                  <c:v>#N/A</c:v>
                </c:pt>
                <c:pt idx="9">
                  <c:v>1.6306799999999999</c:v>
                </c:pt>
                <c:pt idx="10">
                  <c:v>5.3347872430760344</c:v>
                </c:pt>
                <c:pt idx="11">
                  <c:v>5.3347872430760344</c:v>
                </c:pt>
                <c:pt idx="12">
                  <c:v>1.6306799999999999</c:v>
                </c:pt>
                <c:pt idx="13">
                  <c:v>1.6306799999999999</c:v>
                </c:pt>
                <c:pt idx="14">
                  <c:v>#N/A</c:v>
                </c:pt>
                <c:pt idx="15">
                  <c:v>-1.6306799999999999</c:v>
                </c:pt>
                <c:pt idx="16">
                  <c:v>-5.3347872430760344</c:v>
                </c:pt>
                <c:pt idx="17">
                  <c:v>-5.3347872430760344</c:v>
                </c:pt>
                <c:pt idx="18">
                  <c:v>-1.6306799999999999</c:v>
                </c:pt>
                <c:pt idx="19">
                  <c:v>-1.6306799999999999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2.1061474785662311</c:v>
                </c:pt>
                <c:pt idx="23">
                  <c:v>2.1061474785662311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-2.1061474785662311</c:v>
                </c:pt>
                <c:pt idx="29">
                  <c:v>-2.1061474785662311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9.1440000000000001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0</c:v>
                </c:pt>
                <c:pt idx="1">
                  <c:v>5.9849552708787623</c:v>
                </c:pt>
                <c:pt idx="2">
                  <c:v>7.5558466498410075</c:v>
                </c:pt>
                <c:pt idx="3">
                  <c:v>5.2363045965408164</c:v>
                </c:pt>
                <c:pt idx="4">
                  <c:v>0</c:v>
                </c:pt>
                <c:pt idx="5">
                  <c:v>5.9849552708787623</c:v>
                </c:pt>
                <c:pt idx="6">
                  <c:v>7.5558466498410075</c:v>
                </c:pt>
                <c:pt idx="7">
                  <c:v>5.2363045965408164</c:v>
                </c:pt>
                <c:pt idx="8">
                  <c:v>#N/A</c:v>
                </c:pt>
                <c:pt idx="9">
                  <c:v>6.0867797121748941</c:v>
                </c:pt>
                <c:pt idx="10">
                  <c:v>9.0037519784049973</c:v>
                </c:pt>
                <c:pt idx="11">
                  <c:v>10.143477283966854</c:v>
                </c:pt>
                <c:pt idx="12">
                  <c:v>9.88586406404775</c:v>
                </c:pt>
                <c:pt idx="13">
                  <c:v>6.0867797121748941</c:v>
                </c:pt>
                <c:pt idx="14">
                  <c:v>#N/A</c:v>
                </c:pt>
                <c:pt idx="15">
                  <c:v>6.0867797121748941</c:v>
                </c:pt>
                <c:pt idx="16">
                  <c:v>9.0037519784049973</c:v>
                </c:pt>
                <c:pt idx="17">
                  <c:v>10.143477283966854</c:v>
                </c:pt>
                <c:pt idx="18">
                  <c:v>9.88586406404775</c:v>
                </c:pt>
                <c:pt idx="19">
                  <c:v>6.0867797121748941</c:v>
                </c:pt>
                <c:pt idx="20">
                  <c:v>#N/A</c:v>
                </c:pt>
                <c:pt idx="21">
                  <c:v>5.1600863079933026</c:v>
                </c:pt>
                <c:pt idx="22">
                  <c:v>7.8005770574773425</c:v>
                </c:pt>
                <c:pt idx="23">
                  <c:v>10.02451522960196</c:v>
                </c:pt>
                <c:pt idx="24">
                  <c:v>9.6079626522425361</c:v>
                </c:pt>
                <c:pt idx="25">
                  <c:v>5.1600863079933026</c:v>
                </c:pt>
                <c:pt idx="26">
                  <c:v>#N/A</c:v>
                </c:pt>
                <c:pt idx="27">
                  <c:v>5.1600863079933026</c:v>
                </c:pt>
                <c:pt idx="28">
                  <c:v>7.8005770574773425</c:v>
                </c:pt>
                <c:pt idx="29">
                  <c:v>10.02451522960196</c:v>
                </c:pt>
                <c:pt idx="30">
                  <c:v>9.6079626522425361</c:v>
                </c:pt>
                <c:pt idx="31">
                  <c:v>5.1600863079933026</c:v>
                </c:pt>
                <c:pt idx="32">
                  <c:v>#N/A</c:v>
                </c:pt>
                <c:pt idx="33">
                  <c:v>5.9849552708787623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5-4797-9E1F-E37469696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8CF601-98BF-4B7F-89E7-1FFD39D26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D0D546-F448-4681-AD55-C933F124E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36371</xdr:colOff>
      <xdr:row>1</xdr:row>
      <xdr:rowOff>31527</xdr:rowOff>
    </xdr:from>
    <xdr:to>
      <xdr:col>27</xdr:col>
      <xdr:colOff>598404</xdr:colOff>
      <xdr:row>60</xdr:row>
      <xdr:rowOff>65839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99472</xdr:colOff>
      <xdr:row>11</xdr:row>
      <xdr:rowOff>168703</xdr:rowOff>
    </xdr:from>
    <xdr:to>
      <xdr:col>15</xdr:col>
      <xdr:colOff>420291</xdr:colOff>
      <xdr:row>27</xdr:row>
      <xdr:rowOff>110971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47219F-934A-156E-BD68-6C148784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4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1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0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9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0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9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6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5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6" xr16:uid="{4720DE74-E4A6-44B3-A002-A606A8D48766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E8922265-0FA9-4B5F-A96B-421EB9D83779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2" xr16:uid="{8D849317-8242-432B-8A2A-80439A1DBA23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" xr16:uid="{FFD09AD7-B5CC-4DFA-AED5-CF1672E6059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41D91986-97F1-440F-A21C-B4B6A417467E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E5F73852-661F-41F9-904B-48762CEBC951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3AB2BD9-8986-4105-A334-9A24E492BFB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5CA7BE6-4EF0-46FF-BECF-E225455454D7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7F1AD16-39F0-4F05-9C39-EEDF26565D9F}" name="polar8__3" displayName="polar8__3" ref="A1:D41" tableType="queryTable" totalsRowShown="0">
  <autoFilter ref="A1:D41" xr:uid="{F7F1AD16-39F0-4F05-9C39-EEDF26565D9F}"/>
  <tableColumns count="4">
    <tableColumn id="1" xr3:uid="{2040493B-D2D9-4AAF-9BE1-09A69D86F96E}" uniqueName="1" name="alpha" queryTableFieldId="1"/>
    <tableColumn id="2" xr3:uid="{6C8F8674-E33C-461A-B85B-B3F0A5CEAA40}" uniqueName="2" name="CL" queryTableFieldId="2"/>
    <tableColumn id="3" xr3:uid="{5270676E-9E83-45BA-BCBA-02428BC6B5F8}" uniqueName="3" name="CD" queryTableFieldId="3"/>
    <tableColumn id="4" xr3:uid="{8830902D-2484-4582-9E05-CF2DE6CD5477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C7C15EE-06EA-46BC-9FBF-2FA86B8BBD26}" name="polar7" displayName="polar7" ref="A1:D41" tableType="queryTable" totalsRowShown="0">
  <autoFilter ref="A1:D41" xr:uid="{7C7C15EE-06EA-46BC-9FBF-2FA86B8BBD26}"/>
  <tableColumns count="4">
    <tableColumn id="1" xr3:uid="{464CBBE4-C29F-4165-A092-50C9DFAD5533}" uniqueName="1" name="alpha" queryTableFieldId="1"/>
    <tableColumn id="2" xr3:uid="{E792C2D3-D07A-40D0-8B8D-27BE5863B0AD}" uniqueName="2" name="CL" queryTableFieldId="2"/>
    <tableColumn id="3" xr3:uid="{48B3D886-3FD4-434F-8625-F46134F27057}" uniqueName="3" name="CD" queryTableFieldId="3"/>
    <tableColumn id="4" xr3:uid="{C013D6A7-3DF5-455A-8DCB-50F93C4ABDBD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4812696-6EBE-415B-B2E5-02038EFAD765}" name="polar6" displayName="polar6" ref="A1:D41" tableType="queryTable" totalsRowShown="0">
  <autoFilter ref="A1:D41" xr:uid="{54812696-6EBE-415B-B2E5-02038EFAD765}"/>
  <tableColumns count="4">
    <tableColumn id="1" xr3:uid="{1DC55CE5-8DCA-45A6-8715-C86317E66C7C}" uniqueName="1" name="alpha" queryTableFieldId="1"/>
    <tableColumn id="2" xr3:uid="{7A4ED16A-299F-4F40-B69D-A1D47E7A74EE}" uniqueName="2" name="CL" queryTableFieldId="2"/>
    <tableColumn id="3" xr3:uid="{E872A4CD-8550-4713-839F-C0957B93A7A3}" uniqueName="3" name="CD" queryTableFieldId="3"/>
    <tableColumn id="4" xr3:uid="{A543D460-C58B-4282-8A34-9F97746426C5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E6A672-F331-491C-861D-524E5F117F51}" name="polar5" displayName="polar5" ref="A1:D41" tableType="queryTable" totalsRowShown="0">
  <autoFilter ref="A1:D41" xr:uid="{1CE6A672-F331-491C-861D-524E5F117F51}"/>
  <tableColumns count="4">
    <tableColumn id="1" xr3:uid="{5C87C7C8-DCC7-4824-B880-64B33DE0841F}" uniqueName="1" name="alpha" queryTableFieldId="1"/>
    <tableColumn id="2" xr3:uid="{0B439FFE-ED82-4A74-AFE8-BF556A6CBA7E}" uniqueName="2" name="CL" queryTableFieldId="2"/>
    <tableColumn id="3" xr3:uid="{82D52298-F761-409A-8106-9219C4E02120}" uniqueName="3" name="CD" queryTableFieldId="3"/>
    <tableColumn id="4" xr3:uid="{CFBC1BEC-18CB-4D49-A3A0-E40D87FAFA5D}" uniqueName="4" name="CM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083EBDA-DF3C-42FC-B3E6-4FD363A53FB8}" name="polar4__3" displayName="polar4__3" ref="A1:D41" tableType="queryTable" totalsRowShown="0">
  <autoFilter ref="A1:D41" xr:uid="{D083EBDA-DF3C-42FC-B3E6-4FD363A53FB8}"/>
  <tableColumns count="4">
    <tableColumn id="1" xr3:uid="{9523D261-1EDC-45E5-8810-EEEAB04344BC}" uniqueName="1" name="alpha" queryTableFieldId="1"/>
    <tableColumn id="2" xr3:uid="{04E4EDF4-3A07-46D1-AE00-6507DDCC7218}" uniqueName="2" name="CL" queryTableFieldId="2"/>
    <tableColumn id="3" xr3:uid="{341AE69A-858B-487A-BB14-72BFCDC0A8EA}" uniqueName="3" name="CD" queryTableFieldId="3"/>
    <tableColumn id="4" xr3:uid="{5D8E006D-916F-4BA0-9B68-5CB4727282A6}" uniqueName="4" name="CM" queryTableFieldId="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384CE3E-2463-4F14-B48F-9A7449F31050}" name="polar3" displayName="polar3" ref="A1:D41" tableType="queryTable" totalsRowShown="0">
  <autoFilter ref="A1:D41" xr:uid="{8384CE3E-2463-4F14-B48F-9A7449F31050}"/>
  <tableColumns count="4">
    <tableColumn id="1" xr3:uid="{CB9DAB1B-2A34-4631-A149-0FA98977486A}" uniqueName="1" name="alpha" queryTableFieldId="1"/>
    <tableColumn id="2" xr3:uid="{4889EF73-26DA-4AC0-B947-324716DFD897}" uniqueName="2" name="CL" queryTableFieldId="2"/>
    <tableColumn id="3" xr3:uid="{27651A2E-34AA-4E3C-9457-0114A87DE415}" uniqueName="3" name="CD" queryTableFieldId="3"/>
    <tableColumn id="4" xr3:uid="{4C29BD95-6D1F-4B3D-9E33-D32555BD0427}" uniqueName="4" name="CM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A7E5C8-C72C-45B9-952A-0D6D557B0525}" name="polar2__3" displayName="polar2__3" ref="A1:D41" tableType="queryTable" totalsRowShown="0">
  <autoFilter ref="A1:D41" xr:uid="{8AA7E5C8-C72C-45B9-952A-0D6D557B0525}"/>
  <tableColumns count="4">
    <tableColumn id="1" xr3:uid="{E38B5E69-3A98-484F-AB9D-7ADD19EB826B}" uniqueName="1" name="alpha" queryTableFieldId="1"/>
    <tableColumn id="2" xr3:uid="{D40CC95E-9818-4A4A-917E-8AB1AE32F5E1}" uniqueName="2" name="CL" queryTableFieldId="2"/>
    <tableColumn id="3" xr3:uid="{7809A406-9035-45B9-A306-2A4FF372EA44}" uniqueName="3" name="CD" queryTableFieldId="3"/>
    <tableColumn id="4" xr3:uid="{407279DE-6E40-4A8D-917E-1EDBC1A357D1}" uniqueName="4" name="CM" queryTableFieldId="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A809E-E1B3-4EC8-AB58-B5ED3B569878}" name="polar1__3" displayName="polar1__3" ref="A1:D41" tableType="queryTable" totalsRowShown="0">
  <autoFilter ref="A1:D41" xr:uid="{9F2A809E-E1B3-4EC8-AB58-B5ED3B569878}"/>
  <tableColumns count="4">
    <tableColumn id="1" xr3:uid="{F893874F-DD96-4783-9C52-7EDEA7D95D47}" uniqueName="1" name="alpha" queryTableFieldId="1"/>
    <tableColumn id="2" xr3:uid="{1547D0C7-5994-47FA-AB97-161263C4B15D}" uniqueName="2" name="CL" queryTableFieldId="2"/>
    <tableColumn id="3" xr3:uid="{AD6C5511-D691-4E96-90A1-1DC5BD374114}" uniqueName="3" name="CD" queryTableFieldId="3"/>
    <tableColumn id="4" xr3:uid="{55173D50-592E-43D4-B2EC-BEB3326A4621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63AEECDB-C046-4516-974E-533411165E55}">
    <text>Default 0.05</text>
  </threadedComment>
  <threadedComment ref="G20" dT="2025-07-13T04:05:13.47" personId="{C11C23B8-CB5D-42BA-AE8D-C435545CC870}" id="{7B5CB482-35CC-4D2D-9A25-BD7B294630E5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0A34-F44A-48D1-8104-1CA4D6C193D7}">
  <sheetPr codeName="Sheet42"/>
  <dimension ref="A1:F34"/>
  <sheetViews>
    <sheetView workbookViewId="0">
      <selection activeCell="B19" sqref="B19"/>
    </sheetView>
  </sheetViews>
  <sheetFormatPr defaultRowHeight="14.5" x14ac:dyDescent="0.35"/>
  <cols>
    <col min="1" max="1" width="9.90625" bestFit="1" customWidth="1"/>
  </cols>
  <sheetData>
    <row r="1" spans="1:6" x14ac:dyDescent="0.35">
      <c r="A1" t="s">
        <v>233</v>
      </c>
      <c r="B1">
        <v>0.27</v>
      </c>
    </row>
    <row r="2" spans="1:6" x14ac:dyDescent="0.35">
      <c r="A2" t="s">
        <v>263</v>
      </c>
      <c r="B2">
        <v>-0.7</v>
      </c>
    </row>
    <row r="4" spans="1:6" x14ac:dyDescent="0.35">
      <c r="A4" t="s">
        <v>262</v>
      </c>
    </row>
    <row r="6" spans="1:6" x14ac:dyDescent="0.35">
      <c r="A6" s="7" t="s">
        <v>236</v>
      </c>
      <c r="B6" s="8">
        <v>26</v>
      </c>
      <c r="C6" s="8">
        <v>27</v>
      </c>
      <c r="D6" s="8">
        <v>28</v>
      </c>
      <c r="E6" s="8">
        <v>29</v>
      </c>
      <c r="F6" s="8">
        <v>30</v>
      </c>
    </row>
    <row r="7" spans="1:6" x14ac:dyDescent="0.35">
      <c r="A7" s="23" t="s">
        <v>139</v>
      </c>
      <c r="B7" s="22">
        <v>1.39729E-2</v>
      </c>
      <c r="C7" s="22">
        <v>1.39734E-2</v>
      </c>
      <c r="D7" s="22">
        <v>1.39746E-2</v>
      </c>
      <c r="E7" s="22">
        <v>1.3976499999999999E-2</v>
      </c>
      <c r="F7" s="22">
        <v>1.39791E-2</v>
      </c>
    </row>
    <row r="8" spans="1:6" ht="14.5" customHeight="1" x14ac:dyDescent="0.35">
      <c r="A8" s="6" t="s">
        <v>136</v>
      </c>
      <c r="B8">
        <v>1.0630000000000001E-2</v>
      </c>
      <c r="C8">
        <v>1.0630000000000001E-2</v>
      </c>
      <c r="D8">
        <v>1.0630000000000001E-2</v>
      </c>
      <c r="E8">
        <v>1.0630000000000001E-2</v>
      </c>
      <c r="F8">
        <v>1.0630000000000001E-2</v>
      </c>
    </row>
    <row r="9" spans="1:6" x14ac:dyDescent="0.35">
      <c r="A9" s="6" t="s">
        <v>252</v>
      </c>
      <c r="B9">
        <v>0.01</v>
      </c>
      <c r="C9">
        <v>0.01</v>
      </c>
      <c r="D9">
        <v>0.01</v>
      </c>
      <c r="E9">
        <v>0.01</v>
      </c>
      <c r="F9">
        <v>0.01</v>
      </c>
    </row>
    <row r="10" spans="1:6" x14ac:dyDescent="0.35">
      <c r="A10" s="6" t="s">
        <v>258</v>
      </c>
      <c r="B10">
        <v>9.8511770047157308E-6</v>
      </c>
      <c r="C10">
        <v>3.3410195150462332E-6</v>
      </c>
      <c r="D10">
        <v>6.9444526794520699E-7</v>
      </c>
      <c r="E10">
        <v>4.2450558457528022E-8</v>
      </c>
      <c r="F10">
        <v>0</v>
      </c>
    </row>
    <row r="11" spans="1:6" x14ac:dyDescent="0.35">
      <c r="A11" s="6" t="s">
        <v>232</v>
      </c>
      <c r="B11">
        <v>3.3787356207394821E-2</v>
      </c>
      <c r="C11">
        <v>3.3781346049905153E-2</v>
      </c>
      <c r="D11">
        <v>3.377989947565805E-2</v>
      </c>
      <c r="E11">
        <v>3.3781147480948563E-2</v>
      </c>
      <c r="F11">
        <v>3.3783705030390111E-2</v>
      </c>
    </row>
    <row r="12" spans="1:6" x14ac:dyDescent="0.35">
      <c r="A12" s="6" t="s">
        <v>251</v>
      </c>
      <c r="B12">
        <v>14.007450576049807</v>
      </c>
      <c r="C12">
        <v>14.009942690599251</v>
      </c>
      <c r="D12">
        <v>14.010542645679468</v>
      </c>
      <c r="E12">
        <v>14.01002504244072</v>
      </c>
      <c r="F12">
        <v>14.00896443254932</v>
      </c>
    </row>
    <row r="13" spans="1:6" x14ac:dyDescent="0.35">
      <c r="A13" s="6" t="s">
        <v>143</v>
      </c>
      <c r="B13">
        <v>0.99216875674123162</v>
      </c>
      <c r="C13">
        <v>0.99213325468887703</v>
      </c>
      <c r="D13">
        <v>0.9920480601283439</v>
      </c>
      <c r="E13">
        <v>0.99191319865986149</v>
      </c>
      <c r="F13">
        <v>0.99172871079465452</v>
      </c>
    </row>
    <row r="14" spans="1:6" x14ac:dyDescent="0.35">
      <c r="A14" s="8" t="s">
        <v>33</v>
      </c>
      <c r="B14" s="20">
        <v>0.55079999999999996</v>
      </c>
      <c r="C14" s="8">
        <v>0.55230000000000001</v>
      </c>
      <c r="D14" s="8">
        <v>0.55389999999999995</v>
      </c>
      <c r="E14" s="8">
        <v>0.5554</v>
      </c>
      <c r="F14" s="8">
        <v>0.55700000000000005</v>
      </c>
    </row>
    <row r="16" spans="1:6" x14ac:dyDescent="0.35">
      <c r="A16" s="7" t="s">
        <v>233</v>
      </c>
      <c r="B16" s="8">
        <v>0.24</v>
      </c>
      <c r="C16" s="8">
        <v>0.25</v>
      </c>
      <c r="D16" s="8">
        <v>0.26</v>
      </c>
      <c r="E16" s="8">
        <v>0.27</v>
      </c>
      <c r="F16" s="8">
        <v>0.28000000000000003</v>
      </c>
    </row>
    <row r="17" spans="1:6" x14ac:dyDescent="0.35">
      <c r="A17" s="23" t="s">
        <v>139</v>
      </c>
      <c r="B17" s="22">
        <v>1.39746E-2</v>
      </c>
      <c r="C17" s="22">
        <v>1.3973899999999999E-2</v>
      </c>
      <c r="D17" s="22">
        <v>1.3973899999999999E-2</v>
      </c>
      <c r="E17" s="22">
        <v>1.39746E-2</v>
      </c>
      <c r="F17" s="22">
        <v>1.39761E-2</v>
      </c>
    </row>
    <row r="18" spans="1:6" x14ac:dyDescent="0.35">
      <c r="A18" s="6" t="s">
        <v>136</v>
      </c>
      <c r="B18">
        <v>1.064E-2</v>
      </c>
      <c r="C18">
        <v>1.064E-2</v>
      </c>
      <c r="D18">
        <v>1.0630000000000001E-2</v>
      </c>
      <c r="E18">
        <v>1.0630000000000001E-2</v>
      </c>
      <c r="F18">
        <v>1.064E-2</v>
      </c>
    </row>
    <row r="19" spans="1:6" x14ac:dyDescent="0.35">
      <c r="A19" s="6" t="s">
        <v>252</v>
      </c>
      <c r="B19">
        <v>0.01</v>
      </c>
      <c r="C19">
        <v>0.01</v>
      </c>
      <c r="D19">
        <v>0.01</v>
      </c>
      <c r="E19">
        <v>0.01</v>
      </c>
      <c r="F19">
        <v>0.01</v>
      </c>
    </row>
    <row r="20" spans="1:6" x14ac:dyDescent="0.35">
      <c r="A20" s="6" t="s">
        <v>258</v>
      </c>
      <c r="B20">
        <v>6.9444526794520699E-7</v>
      </c>
      <c r="C20">
        <v>6.9444526794520699E-7</v>
      </c>
      <c r="D20">
        <v>6.9444526794520699E-7</v>
      </c>
      <c r="E20">
        <v>6.9444526794520699E-7</v>
      </c>
      <c r="F20">
        <v>6.9444526794520699E-7</v>
      </c>
    </row>
    <row r="21" spans="1:6" x14ac:dyDescent="0.35">
      <c r="A21" s="6" t="s">
        <v>232</v>
      </c>
      <c r="B21">
        <v>3.3789899475658053E-2</v>
      </c>
      <c r="C21">
        <v>3.3789199475658054E-2</v>
      </c>
      <c r="D21">
        <v>3.377919947565805E-2</v>
      </c>
      <c r="E21">
        <v>3.377989947565805E-2</v>
      </c>
      <c r="F21">
        <v>3.3791399475658054E-2</v>
      </c>
    </row>
    <row r="22" spans="1:6" x14ac:dyDescent="0.35">
      <c r="A22" s="6" t="s">
        <v>251</v>
      </c>
      <c r="B22">
        <v>14.006396275650822</v>
      </c>
      <c r="C22">
        <v>14.006686441666741</v>
      </c>
      <c r="D22">
        <v>14.010832983520631</v>
      </c>
      <c r="E22">
        <v>14.010542645679468</v>
      </c>
      <c r="F22">
        <v>14.005774531812463</v>
      </c>
    </row>
    <row r="23" spans="1:6" x14ac:dyDescent="0.35">
      <c r="A23" s="6" t="s">
        <v>143</v>
      </c>
      <c r="B23">
        <v>0.9920480601283439</v>
      </c>
      <c r="C23">
        <v>0.99209775517711984</v>
      </c>
      <c r="D23">
        <v>0.99209775517711984</v>
      </c>
      <c r="E23">
        <v>0.9920480601283439</v>
      </c>
      <c r="F23">
        <v>0.9919415875007731</v>
      </c>
    </row>
    <row r="24" spans="1:6" x14ac:dyDescent="0.35">
      <c r="A24" s="8" t="s">
        <v>33</v>
      </c>
      <c r="B24" s="20">
        <v>0.56369999999999998</v>
      </c>
      <c r="C24" s="8">
        <v>0.56010000000000004</v>
      </c>
      <c r="D24" s="8">
        <v>0.55669999999999997</v>
      </c>
      <c r="E24" s="8">
        <v>0.55389999999999995</v>
      </c>
      <c r="F24" s="8">
        <v>0.55120000000000002</v>
      </c>
    </row>
    <row r="26" spans="1:6" x14ac:dyDescent="0.35">
      <c r="A26" s="7" t="s">
        <v>263</v>
      </c>
      <c r="B26" s="8">
        <v>-1</v>
      </c>
      <c r="C26" s="8">
        <v>-0.9</v>
      </c>
      <c r="D26" s="8">
        <v>-0.8</v>
      </c>
      <c r="E26" s="8">
        <v>-0.7</v>
      </c>
      <c r="F26" s="8">
        <v>-0.6</v>
      </c>
    </row>
    <row r="27" spans="1:6" x14ac:dyDescent="0.35">
      <c r="A27" s="23" t="s">
        <v>139</v>
      </c>
      <c r="B27" s="22">
        <v>1.39741E-2</v>
      </c>
      <c r="C27" s="22">
        <v>1.39738E-2</v>
      </c>
      <c r="D27" s="22">
        <v>1.39737E-2</v>
      </c>
      <c r="E27" s="22">
        <v>1.3973899999999999E-2</v>
      </c>
      <c r="F27" s="22">
        <v>1.39743E-2</v>
      </c>
    </row>
    <row r="28" spans="1:6" x14ac:dyDescent="0.35">
      <c r="A28" s="6" t="s">
        <v>136</v>
      </c>
      <c r="B28">
        <v>1.0630000000000001E-2</v>
      </c>
      <c r="C28">
        <v>1.0630000000000001E-2</v>
      </c>
      <c r="D28">
        <v>1.0630000000000001E-2</v>
      </c>
      <c r="E28">
        <v>1.0630000000000001E-2</v>
      </c>
      <c r="F28">
        <v>1.0630000000000001E-2</v>
      </c>
    </row>
    <row r="29" spans="1:6" x14ac:dyDescent="0.35">
      <c r="A29" s="6" t="s">
        <v>252</v>
      </c>
      <c r="B29">
        <v>0.01</v>
      </c>
      <c r="C29">
        <v>0.01</v>
      </c>
      <c r="D29">
        <v>0.01</v>
      </c>
      <c r="E29">
        <v>0.01</v>
      </c>
      <c r="F29">
        <v>0.01</v>
      </c>
    </row>
    <row r="30" spans="1:6" x14ac:dyDescent="0.35">
      <c r="A30" s="6" t="s">
        <v>258</v>
      </c>
      <c r="B30">
        <v>6.9444526794520699E-7</v>
      </c>
      <c r="C30">
        <v>6.9444526794520699E-7</v>
      </c>
      <c r="D30">
        <v>6.9444526794520699E-7</v>
      </c>
      <c r="E30">
        <v>6.9444526794520699E-7</v>
      </c>
      <c r="F30">
        <v>6.9444526794520699E-7</v>
      </c>
    </row>
    <row r="31" spans="1:6" x14ac:dyDescent="0.35">
      <c r="A31" s="6" t="s">
        <v>232</v>
      </c>
      <c r="B31">
        <v>3.3779399475658049E-2</v>
      </c>
      <c r="C31">
        <v>3.3779099475658055E-2</v>
      </c>
      <c r="D31">
        <v>3.3778999475658052E-2</v>
      </c>
      <c r="E31">
        <v>3.377919947565805E-2</v>
      </c>
      <c r="F31">
        <v>3.3779599475658055E-2</v>
      </c>
    </row>
    <row r="32" spans="1:6" x14ac:dyDescent="0.35">
      <c r="A32" s="6" t="s">
        <v>251</v>
      </c>
      <c r="B32">
        <v>14.010750028623853</v>
      </c>
      <c r="C32">
        <v>14.010874461337389</v>
      </c>
      <c r="D32">
        <v>14.010915939399734</v>
      </c>
      <c r="E32">
        <v>14.010832983520631</v>
      </c>
      <c r="F32">
        <v>14.010667074709382</v>
      </c>
    </row>
    <row r="33" spans="1:6" x14ac:dyDescent="0.35">
      <c r="A33" s="6" t="s">
        <v>143</v>
      </c>
      <c r="B33">
        <v>0.99208355608372312</v>
      </c>
      <c r="C33">
        <v>0.99210485487623656</v>
      </c>
      <c r="D33">
        <v>0.99211195467696844</v>
      </c>
      <c r="E33">
        <v>0.99209775517711984</v>
      </c>
      <c r="F33">
        <v>0.99206935739676083</v>
      </c>
    </row>
    <row r="34" spans="1:6" x14ac:dyDescent="0.35">
      <c r="A34" s="8" t="s">
        <v>33</v>
      </c>
      <c r="B34" s="20">
        <v>0.55349999999999999</v>
      </c>
      <c r="C34" s="8">
        <v>0.55459999999999998</v>
      </c>
      <c r="D34" s="8">
        <v>0.55559999999999998</v>
      </c>
      <c r="E34" s="8">
        <v>0.55669999999999997</v>
      </c>
      <c r="F34" s="8">
        <v>0.55789999999999995</v>
      </c>
    </row>
  </sheetData>
  <conditionalFormatting sqref="B12:A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F2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F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E18" sqref="E18"/>
    </sheetView>
  </sheetViews>
  <sheetFormatPr defaultRowHeight="14.5" x14ac:dyDescent="0.35"/>
  <sheetData>
    <row r="1" spans="1:19" x14ac:dyDescent="0.35">
      <c r="A1" t="s">
        <v>12</v>
      </c>
      <c r="B1" s="1" t="s">
        <v>269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7.3973398113675967E-2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9.9585825554046915E-3</v>
      </c>
      <c r="J4">
        <f ca="1">$G$9 + ($G$6 - $G$9) * (ROW(A1)-1)/99</f>
        <v>-0.25730083567386902</v>
      </c>
      <c r="L4">
        <f ca="1">$G$17 * (M4 - $G$6)^2 + $G$5</f>
        <v>1.4480852393229483E-2</v>
      </c>
      <c r="M4">
        <f ca="1">$G$13 + ($G$6 - $G$13) * (ROW(F1)-1)/99</f>
        <v>0.66970132936809146</v>
      </c>
      <c r="O4">
        <f ca="1">$G$10 + $G$19 * ($G$23 * (P4 - $G$9))^2 + $G$21 * (1 - (P4 - $G$6)/($G$9 - $G$6))</f>
        <v>0.19743764660351432</v>
      </c>
      <c r="P4">
        <f ca="1">$G$26 + ($G$9 - $G$26) * (ROW(A1)-1)/99</f>
        <v>-0.58922300842456532</v>
      </c>
      <c r="R4">
        <f ca="1">$G$14 + $G$19 * ($G$23 * (S4 - $G$13))^2 - $G$22 * (1 - (S4 - $G$6)/($G$13 - $G$6))</f>
        <v>1.4480852393229483E-2</v>
      </c>
      <c r="S4">
        <f ca="1">$G$13 + ($G$25 - $G$13) * (ROW(A1)-1)/99</f>
        <v>0.66970132936809146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0.19743764660351432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9.8896057142342474E-3</v>
      </c>
      <c r="J5">
        <f t="shared" ref="J5:J36" ca="1" si="2">$G$9 + ($G$6 - $G$9) * (ROW(B2)-1)/99</f>
        <v>-0.25513963277687934</v>
      </c>
      <c r="L5">
        <f t="shared" ref="L5:L68" ca="1" si="3">$G$17 * (M5 - $G$6)^2 + $G$5</f>
        <v>1.4320977974459664E-2</v>
      </c>
      <c r="M5">
        <f t="shared" ref="M5:M68" ca="1" si="4">$G$13 + ($G$6 - $G$13) * (ROW(F2)-1)/99</f>
        <v>0.6624988740323341</v>
      </c>
      <c r="O5">
        <f t="shared" ref="O5:O68" ca="1" si="5">$G$10 + $G$19 * ($G$23 * (P5 - $G$9))^2 + $G$21 * (1 - (P5 - $G$6)/($G$9 - $G$6))</f>
        <v>0.19416690508588386</v>
      </c>
      <c r="P5">
        <f t="shared" ref="P5:P36" ca="1" si="6">$G$26 + ($G$9 - $G$26) * (ROW(B2)-1)/99</f>
        <v>-0.58587025920486135</v>
      </c>
      <c r="R5">
        <f t="shared" ref="R5:R68" ca="1" si="7">$G$14 + $G$19 * ($G$23 * (S5 - $G$13))^2 - $G$22 * (1 - (S5 - $G$6)/($G$13 - $G$6))</f>
        <v>1.4534324288934313E-2</v>
      </c>
      <c r="S5">
        <f t="shared" ref="S5:S36" ca="1" si="8">$G$13 + ($G$25 - $G$13) * (ROW(B2)-1)/99</f>
        <v>0.67130729773694842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0.17376960800926033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9.8213291455629959E-3</v>
      </c>
      <c r="J6">
        <f t="shared" ca="1" si="2"/>
        <v>-0.25297842987988967</v>
      </c>
      <c r="L6">
        <f t="shared" ca="1" si="3"/>
        <v>1.4162726646235729E-2</v>
      </c>
      <c r="M6">
        <f t="shared" ca="1" si="4"/>
        <v>0.65529641869657662</v>
      </c>
      <c r="O6">
        <f t="shared" ca="1" si="5"/>
        <v>0.19092426588657879</v>
      </c>
      <c r="P6">
        <f t="shared" ca="1" si="6"/>
        <v>-0.58251750998515728</v>
      </c>
      <c r="R6">
        <f t="shared" ca="1" si="7"/>
        <v>1.4594244020643566E-2</v>
      </c>
      <c r="S6">
        <f t="shared" ca="1" si="8"/>
        <v>0.67291326610580537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0.13912538770264515</v>
      </c>
      <c r="D7">
        <f ca="1"/>
        <v>-0.52433190992430678</v>
      </c>
      <c r="I7">
        <f t="shared" ca="1" si="1"/>
        <v>9.7537528493909353E-3</v>
      </c>
      <c r="J7">
        <f t="shared" ca="1" si="2"/>
        <v>-0.25081722698289999</v>
      </c>
      <c r="L7">
        <f t="shared" ca="1" si="3"/>
        <v>1.4006098408557682E-2</v>
      </c>
      <c r="M7">
        <f t="shared" ca="1" si="4"/>
        <v>0.64809396336081926</v>
      </c>
      <c r="O7">
        <f t="shared" ca="1" si="5"/>
        <v>0.18770972900559943</v>
      </c>
      <c r="P7">
        <f t="shared" ca="1" si="6"/>
        <v>-0.57916476076545331</v>
      </c>
      <c r="R7">
        <f t="shared" ca="1" si="7"/>
        <v>1.4660611588357249E-2</v>
      </c>
      <c r="S7">
        <f t="shared" ca="1" si="8"/>
        <v>0.67451923447466244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0.10483548385346919</v>
      </c>
      <c r="D8">
        <f ca="1"/>
        <v>-0.47928438417741526</v>
      </c>
      <c r="F8" t="s">
        <v>15</v>
      </c>
      <c r="G8" s="5">
        <v>9</v>
      </c>
      <c r="I8">
        <f t="shared" ca="1" si="1"/>
        <v>9.6868768257180691E-3</v>
      </c>
      <c r="J8">
        <f t="shared" ca="1" si="2"/>
        <v>-0.24865602408591034</v>
      </c>
      <c r="L8">
        <f t="shared" ca="1" si="3"/>
        <v>1.385109326142552E-2</v>
      </c>
      <c r="M8">
        <f t="shared" ca="1" si="4"/>
        <v>0.64089150802506178</v>
      </c>
      <c r="O8">
        <f t="shared" ca="1" si="5"/>
        <v>0.1845232944429456</v>
      </c>
      <c r="P8">
        <f t="shared" ca="1" si="6"/>
        <v>-0.57581201154574935</v>
      </c>
      <c r="R8">
        <f t="shared" ca="1" si="7"/>
        <v>1.4733426992075348E-2</v>
      </c>
      <c r="S8">
        <f t="shared" ca="1" si="8"/>
        <v>0.6761252028435194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6.1837520137962482E-2</v>
      </c>
      <c r="D9">
        <f ca="1"/>
        <v>-0.40969719286116341</v>
      </c>
      <c r="F9" t="s">
        <v>17</v>
      </c>
      <c r="G9" cm="1">
        <f t="array" aca="1" ref="G9" ca="1">INDEX(D4:D1000, G8)</f>
        <v>-0.25730083567386902</v>
      </c>
      <c r="I9">
        <f t="shared" ca="1" si="1"/>
        <v>9.6207010745443938E-3</v>
      </c>
      <c r="J9">
        <f t="shared" ca="1" si="2"/>
        <v>-0.24649482118892066</v>
      </c>
      <c r="L9">
        <f t="shared" ca="1" si="3"/>
        <v>1.3697711204839248E-2</v>
      </c>
      <c r="M9">
        <f t="shared" ca="1" si="4"/>
        <v>0.63368905268930442</v>
      </c>
      <c r="O9">
        <f t="shared" ca="1" si="5"/>
        <v>0.18136496219861728</v>
      </c>
      <c r="P9">
        <f t="shared" ca="1" si="6"/>
        <v>-0.57245926232604527</v>
      </c>
      <c r="R9">
        <f t="shared" ca="1" si="7"/>
        <v>1.4812690231797869E-2</v>
      </c>
      <c r="S9">
        <f t="shared" ca="1" si="8"/>
        <v>0.67773117121237636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3.5627125472510623E-2</v>
      </c>
      <c r="D10">
        <f ca="1"/>
        <v>-0.35267298820868725</v>
      </c>
      <c r="F10" t="s">
        <v>18</v>
      </c>
      <c r="G10" cm="1">
        <f t="array" aca="1" ref="G10" ca="1">INDEX(B4:B1000, G8)</f>
        <v>9.9585825554046915E-3</v>
      </c>
      <c r="I10">
        <f t="shared" ca="1" si="1"/>
        <v>9.555225595869913E-3</v>
      </c>
      <c r="J10">
        <f t="shared" ca="1" si="2"/>
        <v>-0.24433361829193101</v>
      </c>
      <c r="L10">
        <f t="shared" ca="1" si="3"/>
        <v>1.3545952238798859E-2</v>
      </c>
      <c r="M10">
        <f t="shared" ca="1" si="4"/>
        <v>0.62648659735354706</v>
      </c>
      <c r="O10">
        <f t="shared" ca="1" si="5"/>
        <v>0.1782347322726146</v>
      </c>
      <c r="P10">
        <f t="shared" ca="1" si="6"/>
        <v>-0.56910651310634131</v>
      </c>
      <c r="R10">
        <f t="shared" ca="1" si="7"/>
        <v>1.4898401307524813E-2</v>
      </c>
      <c r="S10">
        <f t="shared" ca="1" si="8"/>
        <v>0.67933713958123332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3.0612773598879428E-2</v>
      </c>
      <c r="D11">
        <f ca="1"/>
        <v>-0.33917479943798506</v>
      </c>
      <c r="I11">
        <f t="shared" ca="1" si="1"/>
        <v>9.4904503896946213E-3</v>
      </c>
      <c r="J11">
        <f t="shared" ca="1" si="2"/>
        <v>-0.24217241539494133</v>
      </c>
      <c r="L11">
        <f t="shared" ca="1" si="3"/>
        <v>1.3395816363304358E-2</v>
      </c>
      <c r="M11">
        <f t="shared" ca="1" si="4"/>
        <v>0.61928414201778959</v>
      </c>
      <c r="O11">
        <f t="shared" ca="1" si="5"/>
        <v>0.17513260466493752</v>
      </c>
      <c r="P11">
        <f t="shared" ca="1" si="6"/>
        <v>-0.56575376388663734</v>
      </c>
      <c r="R11">
        <f t="shared" ca="1" si="7"/>
        <v>1.499056021925619E-2</v>
      </c>
      <c r="S11">
        <f t="shared" ca="1" si="8"/>
        <v>0.68094310795009039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9.9585825554046915E-3</v>
      </c>
      <c r="D12">
        <f ca="1"/>
        <v>-0.25730083567386902</v>
      </c>
      <c r="F12" t="s">
        <v>16</v>
      </c>
      <c r="G12" s="5">
        <v>31</v>
      </c>
      <c r="I12">
        <f t="shared" ca="1" si="1"/>
        <v>9.426375456018524E-3</v>
      </c>
      <c r="J12">
        <f t="shared" ca="1" si="2"/>
        <v>-0.24001121249795165</v>
      </c>
      <c r="L12">
        <f t="shared" ca="1" si="3"/>
        <v>1.3247303578355744E-2</v>
      </c>
      <c r="M12">
        <f t="shared" ca="1" si="4"/>
        <v>0.61208168668203222</v>
      </c>
      <c r="O12">
        <f t="shared" ca="1" si="5"/>
        <v>0.17205857937558583</v>
      </c>
      <c r="P12">
        <f t="shared" ca="1" si="6"/>
        <v>-0.56240101466693326</v>
      </c>
      <c r="R12">
        <f t="shared" ca="1" si="7"/>
        <v>1.5089166966991981E-2</v>
      </c>
      <c r="S12">
        <f t="shared" ca="1" si="8"/>
        <v>0.68254907631894735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8.7526455007146259E-3</v>
      </c>
      <c r="D13">
        <f ca="1"/>
        <v>-0.21565355359848665</v>
      </c>
      <c r="F13" t="s">
        <v>19</v>
      </c>
      <c r="G13" cm="1">
        <f t="array" aca="1" ref="G13" ca="1">INDEX(D4:D1000, G12)</f>
        <v>0.66970132936809146</v>
      </c>
      <c r="I13">
        <f t="shared" ca="1" si="1"/>
        <v>9.3630007948416194E-3</v>
      </c>
      <c r="J13">
        <f t="shared" ca="1" si="2"/>
        <v>-0.23785000960096198</v>
      </c>
      <c r="L13">
        <f t="shared" ca="1" si="3"/>
        <v>1.3100413883953017E-2</v>
      </c>
      <c r="M13">
        <f t="shared" ca="1" si="4"/>
        <v>0.60487923134627475</v>
      </c>
      <c r="O13">
        <f t="shared" ca="1" si="5"/>
        <v>0.16901265640455984</v>
      </c>
      <c r="P13">
        <f t="shared" ca="1" si="6"/>
        <v>-0.5590482654472293</v>
      </c>
      <c r="R13">
        <f t="shared" ca="1" si="7"/>
        <v>1.5194221550732192E-2</v>
      </c>
      <c r="S13">
        <f t="shared" ca="1" si="8"/>
        <v>0.6841550446878043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7.8316009956829347E-3</v>
      </c>
      <c r="D14">
        <f ca="1"/>
        <v>-0.17526853132933995</v>
      </c>
      <c r="F14" t="s">
        <v>20</v>
      </c>
      <c r="G14" cm="1">
        <f t="array" aca="1" ref="G14" ca="1">INDEX(B4:B1000, G12)</f>
        <v>1.4480852393229483E-2</v>
      </c>
      <c r="I14">
        <f t="shared" ca="1" si="1"/>
        <v>9.3003264061639057E-3</v>
      </c>
      <c r="J14">
        <f t="shared" ca="1" si="2"/>
        <v>-0.23568880670397233</v>
      </c>
      <c r="L14">
        <f t="shared" ca="1" si="3"/>
        <v>1.2955147280096176E-2</v>
      </c>
      <c r="M14">
        <f t="shared" ca="1" si="4"/>
        <v>0.59767677601051739</v>
      </c>
      <c r="O14">
        <f t="shared" ca="1" si="5"/>
        <v>0.16599483575185944</v>
      </c>
      <c r="P14">
        <f t="shared" ca="1" si="6"/>
        <v>-0.55569551622752533</v>
      </c>
      <c r="R14">
        <f t="shared" ca="1" si="7"/>
        <v>1.5305723970476829E-2</v>
      </c>
      <c r="S14">
        <f t="shared" ca="1" si="8"/>
        <v>0.68576101305666126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7.1637171200169894E-3</v>
      </c>
      <c r="D15">
        <f ca="1"/>
        <v>-0.13551084580648445</v>
      </c>
      <c r="I15">
        <f t="shared" ca="1" si="1"/>
        <v>9.2383522899853847E-3</v>
      </c>
      <c r="J15">
        <f t="shared" ca="1" si="2"/>
        <v>-0.23352760380698265</v>
      </c>
      <c r="L15">
        <f t="shared" ca="1" si="3"/>
        <v>1.2811503766785221E-2</v>
      </c>
      <c r="M15">
        <f t="shared" ca="1" si="4"/>
        <v>0.59047432067476002</v>
      </c>
      <c r="O15">
        <f t="shared" ca="1" si="5"/>
        <v>0.16300511741748447</v>
      </c>
      <c r="P15">
        <f t="shared" ca="1" si="6"/>
        <v>-0.55234276700782126</v>
      </c>
      <c r="R15">
        <f t="shared" ca="1" si="7"/>
        <v>1.5423674226225885E-2</v>
      </c>
      <c r="S15">
        <f t="shared" ca="1" si="8"/>
        <v>0.68736698142551822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6.7497121406970432E-3</v>
      </c>
      <c r="D16">
        <f ca="1"/>
        <v>-9.7860912382717866E-2</v>
      </c>
      <c r="F16" t="s">
        <v>21</v>
      </c>
      <c r="G16">
        <f ca="1">(G10 - G5) / (G9 - G6)^2</f>
        <v>7.4962833427608691E-2</v>
      </c>
      <c r="I16">
        <f t="shared" ca="1" si="1"/>
        <v>9.1770784463060563E-3</v>
      </c>
      <c r="J16">
        <f t="shared" ca="1" si="2"/>
        <v>-0.23136640090999297</v>
      </c>
      <c r="L16">
        <f t="shared" ca="1" si="3"/>
        <v>1.2669483344020151E-2</v>
      </c>
      <c r="M16">
        <f t="shared" ca="1" si="4"/>
        <v>0.58327186533900255</v>
      </c>
      <c r="O16">
        <f t="shared" ca="1" si="5"/>
        <v>0.16004350140143514</v>
      </c>
      <c r="P16">
        <f t="shared" ca="1" si="6"/>
        <v>-0.54899001778811729</v>
      </c>
      <c r="R16">
        <f t="shared" ca="1" si="7"/>
        <v>1.5548072317979379E-2</v>
      </c>
      <c r="S16">
        <f t="shared" ca="1" si="8"/>
        <v>0.68897294979437529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6.5869861235883873E-3</v>
      </c>
      <c r="D17">
        <f ca="1"/>
        <v>-7.1653994179530445E-2</v>
      </c>
      <c r="F17" t="s">
        <v>22</v>
      </c>
      <c r="G17">
        <f ca="1">(G14 - G5) / (G13 - G6)^2</f>
        <v>1.5644136795291762E-2</v>
      </c>
      <c r="I17">
        <f t="shared" ca="1" si="1"/>
        <v>9.1165048751259206E-3</v>
      </c>
      <c r="J17">
        <f t="shared" ca="1" si="2"/>
        <v>-0.22920519801300332</v>
      </c>
      <c r="L17">
        <f t="shared" ca="1" si="3"/>
        <v>1.2529086011800968E-2</v>
      </c>
      <c r="M17">
        <f t="shared" ca="1" si="4"/>
        <v>0.57606941000324519</v>
      </c>
      <c r="O17">
        <f t="shared" ca="1" si="5"/>
        <v>0.15710998770371146</v>
      </c>
      <c r="P17">
        <f t="shared" ca="1" si="6"/>
        <v>-0.54563726856841333</v>
      </c>
      <c r="R17">
        <f t="shared" ca="1" si="7"/>
        <v>1.5678918245737281E-2</v>
      </c>
      <c r="S17">
        <f t="shared" ca="1" si="8"/>
        <v>0.69057891816323225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6.5268971731127015E-3</v>
      </c>
      <c r="D18">
        <f ca="1"/>
        <v>-4.3341748871891642E-2</v>
      </c>
      <c r="I18">
        <f t="shared" ca="1" si="1"/>
        <v>9.0566315764449776E-3</v>
      </c>
      <c r="J18">
        <f t="shared" ca="1" si="2"/>
        <v>-0.22704399511601364</v>
      </c>
      <c r="L18">
        <f t="shared" ca="1" si="3"/>
        <v>1.2390311770127675E-2</v>
      </c>
      <c r="M18">
        <f t="shared" ca="1" si="4"/>
        <v>0.56886695466748782</v>
      </c>
      <c r="O18">
        <f t="shared" ca="1" si="5"/>
        <v>0.1542045763243132</v>
      </c>
      <c r="P18">
        <f t="shared" ca="1" si="6"/>
        <v>-0.54228451934870925</v>
      </c>
      <c r="R18">
        <f t="shared" ca="1" si="7"/>
        <v>1.5816212009499609E-2</v>
      </c>
      <c r="S18">
        <f t="shared" ca="1" si="8"/>
        <v>0.69218488653208921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6.5891776875446062E-3</v>
      </c>
      <c r="D19">
        <f ca="1"/>
        <v>1.9754028165769075E-2</v>
      </c>
      <c r="F19" t="s">
        <v>26</v>
      </c>
      <c r="G19" s="3">
        <v>0.05</v>
      </c>
      <c r="I19">
        <f t="shared" ca="1" si="1"/>
        <v>8.9974585502632255E-3</v>
      </c>
      <c r="J19">
        <f t="shared" ca="1" si="2"/>
        <v>-0.22488279221902396</v>
      </c>
      <c r="L19">
        <f t="shared" ca="1" si="3"/>
        <v>1.2253160619000263E-2</v>
      </c>
      <c r="M19">
        <f t="shared" ca="1" si="4"/>
        <v>0.56166449933173035</v>
      </c>
      <c r="O19">
        <f t="shared" ca="1" si="5"/>
        <v>0.15132726726324058</v>
      </c>
      <c r="P19">
        <f t="shared" ca="1" si="6"/>
        <v>-0.53893177012900528</v>
      </c>
      <c r="R19">
        <f t="shared" ca="1" si="7"/>
        <v>1.5959953609266365E-2</v>
      </c>
      <c r="S19">
        <f t="shared" ca="1" si="8"/>
        <v>0.69379085490094616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6.6848599894265654E-3</v>
      </c>
      <c r="D20">
        <f ca="1"/>
        <v>5.7143342476516784E-2</v>
      </c>
      <c r="F20" t="s">
        <v>27</v>
      </c>
      <c r="G20" s="3">
        <v>0.2</v>
      </c>
      <c r="I20">
        <f t="shared" ca="1" si="1"/>
        <v>8.938985796580666E-3</v>
      </c>
      <c r="J20">
        <f t="shared" ca="1" si="2"/>
        <v>-0.22272158932203429</v>
      </c>
      <c r="L20">
        <f t="shared" ca="1" si="3"/>
        <v>1.2117632558418742E-2</v>
      </c>
      <c r="M20">
        <f t="shared" ca="1" si="4"/>
        <v>0.55446204399597299</v>
      </c>
      <c r="O20">
        <f t="shared" ca="1" si="5"/>
        <v>0.14847806052049356</v>
      </c>
      <c r="P20">
        <f t="shared" ca="1" si="6"/>
        <v>-0.53557902090930132</v>
      </c>
      <c r="R20">
        <f t="shared" ca="1" si="7"/>
        <v>1.6110143045037544E-2</v>
      </c>
      <c r="S20">
        <f t="shared" ca="1" si="8"/>
        <v>0.69539682326980323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6.8223995894284442E-3</v>
      </c>
      <c r="D21">
        <f ca="1"/>
        <v>9.4095583116752798E-2</v>
      </c>
      <c r="F21" t="s">
        <v>28</v>
      </c>
      <c r="G21">
        <f ca="1">2 * (G10 - G5) * (G9 - G6) / (G9 - G6)^2</f>
        <v>-3.20779587685198E-2</v>
      </c>
      <c r="I21">
        <f t="shared" ca="1" si="1"/>
        <v>8.8812133153972992E-3</v>
      </c>
      <c r="J21">
        <f t="shared" ca="1" si="2"/>
        <v>-0.22056038642504461</v>
      </c>
      <c r="L21">
        <f t="shared" ca="1" si="3"/>
        <v>1.1983727588383107E-2</v>
      </c>
      <c r="M21">
        <f t="shared" ca="1" si="4"/>
        <v>0.54725958866021562</v>
      </c>
      <c r="O21">
        <f t="shared" ca="1" si="5"/>
        <v>0.14565695609607199</v>
      </c>
      <c r="P21">
        <f t="shared" ca="1" si="6"/>
        <v>-0.53222627168959724</v>
      </c>
      <c r="R21">
        <f t="shared" ca="1" si="7"/>
        <v>1.626678031681314E-2</v>
      </c>
      <c r="S21">
        <f t="shared" ca="1" si="8"/>
        <v>0.69700279163866019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9"/>
        <v>7.0009726537994966E-3</v>
      </c>
      <c r="D22">
        <f ca="1"/>
        <v>0.13073787698698214</v>
      </c>
      <c r="F22" t="s">
        <v>29</v>
      </c>
      <c r="G22">
        <f ca="1">2 * (G14 - G5) * (G13 - G6) / (G13 - G6)^2</f>
        <v>2.2309886913844449E-2</v>
      </c>
      <c r="I22">
        <f t="shared" ca="1" si="1"/>
        <v>8.8241411067131233E-3</v>
      </c>
      <c r="J22">
        <f t="shared" ca="1" si="2"/>
        <v>-0.21839918352805496</v>
      </c>
      <c r="L22">
        <f t="shared" ca="1" si="3"/>
        <v>1.1851445708893356E-2</v>
      </c>
      <c r="M22">
        <f t="shared" ca="1" si="4"/>
        <v>0.54005713332445815</v>
      </c>
      <c r="O22">
        <f t="shared" ca="1" si="5"/>
        <v>0.14286395398997606</v>
      </c>
      <c r="P22">
        <f t="shared" ca="1" si="6"/>
        <v>-0.52887352246989328</v>
      </c>
      <c r="R22">
        <f t="shared" ca="1" si="7"/>
        <v>1.6429865424593158E-2</v>
      </c>
      <c r="S22">
        <f t="shared" ca="1" si="8"/>
        <v>0.69860876000751715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9"/>
        <v>7.2194904371053904E-3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8.7677691705281419E-3</v>
      </c>
      <c r="J23">
        <f t="shared" ca="1" si="2"/>
        <v>-0.21623798063106528</v>
      </c>
      <c r="L23">
        <f t="shared" ca="1" si="3"/>
        <v>1.1720786919949494E-2</v>
      </c>
      <c r="M23">
        <f t="shared" ca="1" si="4"/>
        <v>0.53285467798870079</v>
      </c>
      <c r="O23">
        <f t="shared" ca="1" si="5"/>
        <v>0.14009905420220575</v>
      </c>
      <c r="P23">
        <f t="shared" ca="1" si="6"/>
        <v>-0.52552077325018931</v>
      </c>
      <c r="R23">
        <f t="shared" ca="1" si="7"/>
        <v>1.6599398368377604E-2</v>
      </c>
      <c r="S23">
        <f t="shared" ca="1" si="8"/>
        <v>0.70021472837637411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9"/>
        <v>7.4768223071260973E-3</v>
      </c>
      <c r="D24">
        <f ca="1"/>
        <v>0.20307424174172303</v>
      </c>
      <c r="I24">
        <f t="shared" ca="1" si="1"/>
        <v>8.7120975068423513E-3</v>
      </c>
      <c r="J24">
        <f t="shared" ca="1" si="2"/>
        <v>-0.2140767777340756</v>
      </c>
      <c r="L24">
        <f t="shared" ca="1" si="3"/>
        <v>1.1591751221551518E-2</v>
      </c>
      <c r="M24">
        <f t="shared" ca="1" si="4"/>
        <v>0.52565222265294331</v>
      </c>
      <c r="O24">
        <f t="shared" ca="1" si="5"/>
        <v>0.13736225673276087</v>
      </c>
      <c r="P24">
        <f t="shared" ca="1" si="6"/>
        <v>-0.52216802403048523</v>
      </c>
      <c r="R24">
        <f t="shared" ca="1" si="7"/>
        <v>1.6775379148166465E-2</v>
      </c>
      <c r="S24">
        <f t="shared" ca="1" si="8"/>
        <v>0.70182069674523107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9"/>
        <v>7.7723207029699367E-3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8.6571261156557552E-3</v>
      </c>
      <c r="J25">
        <f t="shared" ca="1" si="2"/>
        <v>-0.21191557483708595</v>
      </c>
      <c r="L25">
        <f t="shared" ca="1" si="3"/>
        <v>1.1464338613699427E-2</v>
      </c>
      <c r="M25">
        <f t="shared" ca="1" si="4"/>
        <v>0.51844976731718595</v>
      </c>
      <c r="O25">
        <f t="shared" ca="1" si="5"/>
        <v>0.13465356158164163</v>
      </c>
      <c r="P25">
        <f t="shared" ca="1" si="6"/>
        <v>-0.51881527481078127</v>
      </c>
      <c r="R25">
        <f t="shared" ca="1" si="7"/>
        <v>1.6957807763959762E-2</v>
      </c>
      <c r="S25">
        <f t="shared" ca="1" si="8"/>
        <v>0.70342666511408813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9"/>
        <v>8.1053131384972894E-3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8.6028549969683499E-3</v>
      </c>
      <c r="J26">
        <f t="shared" ca="1" si="2"/>
        <v>-0.20975437194009627</v>
      </c>
      <c r="L26">
        <f t="shared" ca="1" si="3"/>
        <v>1.1338549096393223E-2</v>
      </c>
      <c r="M26">
        <f t="shared" ca="1" si="4"/>
        <v>0.51124731198142848</v>
      </c>
      <c r="O26">
        <f t="shared" ca="1" si="5"/>
        <v>0.1319729687488479</v>
      </c>
      <c r="P26">
        <f t="shared" ca="1" si="6"/>
        <v>-0.51546252559107719</v>
      </c>
      <c r="R26">
        <f t="shared" ca="1" si="7"/>
        <v>1.7146684215757477E-2</v>
      </c>
      <c r="S26">
        <f t="shared" ca="1" si="8"/>
        <v>0.70503263348294509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9"/>
        <v>8.4770312579508476E-3</v>
      </c>
      <c r="D27">
        <f ca="1"/>
        <v>0.30972468750384707</v>
      </c>
      <c r="I27">
        <f t="shared" ca="1" si="1"/>
        <v>8.5492841507801374E-3</v>
      </c>
      <c r="J27">
        <f t="shared" ca="1" si="2"/>
        <v>-0.2075931690431066</v>
      </c>
      <c r="L27">
        <f t="shared" ca="1" si="3"/>
        <v>1.1214382669632907E-2</v>
      </c>
      <c r="M27">
        <f t="shared" ca="1" si="4"/>
        <v>0.50404485664567111</v>
      </c>
      <c r="O27">
        <f t="shared" ca="1" si="5"/>
        <v>0.12932047823437984</v>
      </c>
      <c r="P27">
        <f t="shared" ca="1" si="6"/>
        <v>-0.51210977637137323</v>
      </c>
      <c r="R27">
        <f t="shared" ca="1" si="7"/>
        <v>1.734200850355961E-2</v>
      </c>
      <c r="S27">
        <f t="shared" ca="1" si="8"/>
        <v>0.70663860185180205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9"/>
        <v>8.8957467953393217E-3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8.4964135770911157E-3</v>
      </c>
      <c r="J28">
        <f t="shared" ca="1" si="2"/>
        <v>-0.20543196614611692</v>
      </c>
      <c r="L28">
        <f t="shared" ca="1" si="3"/>
        <v>1.1091839333418476E-2</v>
      </c>
      <c r="M28">
        <f t="shared" ca="1" si="4"/>
        <v>0.49684240130991375</v>
      </c>
      <c r="O28">
        <f t="shared" ca="1" si="5"/>
        <v>0.12669609003823729</v>
      </c>
      <c r="P28">
        <f t="shared" ca="1" si="6"/>
        <v>-0.50875702715166926</v>
      </c>
      <c r="R28">
        <f t="shared" ca="1" si="7"/>
        <v>1.7543780627366164E-2</v>
      </c>
      <c r="S28">
        <f t="shared" ca="1" si="8"/>
        <v>0.70824457022065901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9"/>
        <v>9.3834862181212952E-3</v>
      </c>
      <c r="D29">
        <f ca="1"/>
        <v>0.38397319471285918</v>
      </c>
      <c r="I29">
        <f t="shared" ca="1" si="1"/>
        <v>8.4442432759012885E-3</v>
      </c>
      <c r="J29">
        <f t="shared" ca="1" si="2"/>
        <v>-0.20327076324912727</v>
      </c>
      <c r="L29">
        <f t="shared" ca="1" si="3"/>
        <v>1.0970919087749931E-2</v>
      </c>
      <c r="M29">
        <f t="shared" ca="1" si="4"/>
        <v>0.48963994597415633</v>
      </c>
      <c r="O29">
        <f t="shared" ca="1" si="5"/>
        <v>0.12409980416042024</v>
      </c>
      <c r="P29">
        <f t="shared" ca="1" si="6"/>
        <v>-0.50540427793196518</v>
      </c>
      <c r="R29">
        <f t="shared" ca="1" si="7"/>
        <v>1.7752000587177158E-2</v>
      </c>
      <c r="S29">
        <f t="shared" ca="1" si="8"/>
        <v>0.70985053858951608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9"/>
        <v>9.6785884534751308E-3</v>
      </c>
      <c r="D30">
        <f ca="1"/>
        <v>0.4055028801290273</v>
      </c>
      <c r="F30" t="s">
        <v>234</v>
      </c>
      <c r="G30" s="3">
        <f ca="1">(D30-D24)/(A30-A24)</f>
        <v>0.21929769158624632</v>
      </c>
      <c r="I30">
        <f t="shared" ca="1" si="1"/>
        <v>8.3927732472106522E-3</v>
      </c>
      <c r="J30">
        <f t="shared" ca="1" si="2"/>
        <v>-0.20110956035213759</v>
      </c>
      <c r="L30">
        <f t="shared" ca="1" si="3"/>
        <v>1.0851621932627273E-2</v>
      </c>
      <c r="M30">
        <f t="shared" ca="1" si="4"/>
        <v>0.48243749063839891</v>
      </c>
      <c r="O30">
        <f t="shared" ca="1" si="5"/>
        <v>0.12153162060092886</v>
      </c>
      <c r="P30">
        <f t="shared" ca="1" si="6"/>
        <v>-0.50205152871226122</v>
      </c>
      <c r="R30">
        <f t="shared" ca="1" si="7"/>
        <v>1.7966668382992559E-2</v>
      </c>
      <c r="S30">
        <f t="shared" ca="1" si="8"/>
        <v>0.71145650695837304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9"/>
        <v>9.9058596405570722E-3</v>
      </c>
      <c r="D31">
        <f ca="1"/>
        <v>0.42140448753238241</v>
      </c>
      <c r="F31" t="s">
        <v>235</v>
      </c>
      <c r="G31">
        <f ca="1">G30*180/PI()</f>
        <v>12.564832184853497</v>
      </c>
      <c r="I31">
        <f t="shared" ca="1" si="1"/>
        <v>8.3420034910192085E-3</v>
      </c>
      <c r="J31">
        <f t="shared" ca="1" si="2"/>
        <v>-0.19894835745514791</v>
      </c>
      <c r="L31">
        <f t="shared" ca="1" si="3"/>
        <v>1.0733947868050504E-2</v>
      </c>
      <c r="M31">
        <f t="shared" ca="1" si="4"/>
        <v>0.47523503530264155</v>
      </c>
      <c r="O31">
        <f t="shared" ca="1" si="5"/>
        <v>0.11899153935976302</v>
      </c>
      <c r="P31">
        <f t="shared" ca="1" si="6"/>
        <v>-0.49869877949255725</v>
      </c>
      <c r="R31">
        <f t="shared" ca="1" si="7"/>
        <v>1.8187784014812379E-2</v>
      </c>
      <c r="S31">
        <f t="shared" ca="1" si="8"/>
        <v>0.71306247532722999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9"/>
        <v>1.1649269031474861E-2</v>
      </c>
      <c r="D32">
        <f ca="1"/>
        <v>0.52887392418128387</v>
      </c>
      <c r="F32" t="s">
        <v>46</v>
      </c>
      <c r="G32">
        <f ca="1">G31/(2*PI())</f>
        <v>1.9997551513395733</v>
      </c>
      <c r="I32">
        <f t="shared" ca="1" si="1"/>
        <v>8.2919340073269558E-3</v>
      </c>
      <c r="J32">
        <f t="shared" ca="1" si="2"/>
        <v>-0.19678715455815823</v>
      </c>
      <c r="L32">
        <f t="shared" ca="1" si="3"/>
        <v>1.0617896894019617E-2</v>
      </c>
      <c r="M32">
        <f t="shared" ca="1" si="4"/>
        <v>0.46803257996688408</v>
      </c>
      <c r="O32">
        <f t="shared" ca="1" si="5"/>
        <v>0.1164795604369227</v>
      </c>
      <c r="P32">
        <f t="shared" ca="1" si="6"/>
        <v>-0.49534603027285323</v>
      </c>
      <c r="R32">
        <f t="shared" ca="1" si="7"/>
        <v>1.8415347482636627E-2</v>
      </c>
      <c r="S32">
        <f t="shared" ca="1" si="8"/>
        <v>0.71466844369608695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9"/>
        <v>1.2190098896319735E-2</v>
      </c>
      <c r="D33">
        <f ca="1"/>
        <v>0.55832389508419411</v>
      </c>
      <c r="I33">
        <f t="shared" ca="1" si="1"/>
        <v>8.2425647961338992E-3</v>
      </c>
      <c r="J33">
        <f t="shared" ca="1" si="2"/>
        <v>-0.19462595166116858</v>
      </c>
      <c r="L33">
        <f t="shared" ca="1" si="3"/>
        <v>1.050346901053462E-2</v>
      </c>
      <c r="M33">
        <f t="shared" ca="1" si="4"/>
        <v>0.46083012463112671</v>
      </c>
      <c r="O33">
        <f t="shared" ca="1" si="5"/>
        <v>0.11399568383240799</v>
      </c>
      <c r="P33">
        <f t="shared" ca="1" si="6"/>
        <v>-0.49199328105314921</v>
      </c>
      <c r="R33">
        <f t="shared" ca="1" si="7"/>
        <v>1.8649358786465311E-2</v>
      </c>
      <c r="S33">
        <f t="shared" ca="1" si="8"/>
        <v>0.71627441206494402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9"/>
        <v>1.4480852393229483E-2</v>
      </c>
      <c r="D34">
        <f ca="1"/>
        <v>0.66970132936809146</v>
      </c>
      <c r="I34">
        <f t="shared" ca="1" si="1"/>
        <v>8.1938958574400318E-3</v>
      </c>
      <c r="J34">
        <f t="shared" ca="1" si="2"/>
        <v>-0.19246474876417891</v>
      </c>
      <c r="L34">
        <f t="shared" ca="1" si="3"/>
        <v>1.0390664217595507E-2</v>
      </c>
      <c r="M34">
        <f t="shared" ca="1" si="4"/>
        <v>0.45362766929536924</v>
      </c>
      <c r="O34">
        <f t="shared" ca="1" si="5"/>
        <v>0.11153990954621884</v>
      </c>
      <c r="P34">
        <f t="shared" ca="1" si="6"/>
        <v>-0.48864053183344525</v>
      </c>
      <c r="R34">
        <f t="shared" ca="1" si="7"/>
        <v>1.8889817926298406E-2</v>
      </c>
      <c r="S34">
        <f t="shared" ca="1" si="8"/>
        <v>0.71788038043380098</v>
      </c>
      <c r="U34" s="4">
        <f ca="1">1 - SUMXMY2(B4:B1000, C4:C1000) / DEVSQ(_xlfn.ANCHORARRAY(B4))</f>
        <v>-18.116523055613165</v>
      </c>
      <c r="W34">
        <f ca="1">G9</f>
        <v>-0.25730083567386902</v>
      </c>
      <c r="X34">
        <f ca="1">G10</f>
        <v>9.9585825554046915E-3</v>
      </c>
      <c r="Y34">
        <f ca="1">G6</f>
        <v>-4.3341748871891642E-2</v>
      </c>
      <c r="Z34">
        <f ca="1">G5</f>
        <v>6.5268971731127015E-3</v>
      </c>
      <c r="AA34">
        <f ca="1">G13</f>
        <v>0.66970132936809146</v>
      </c>
      <c r="AB34">
        <f ca="1">G14</f>
        <v>1.4480852393229483E-2</v>
      </c>
      <c r="AC34">
        <f ca="1">G32</f>
        <v>1.9997551513395733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9"/>
        <v>1.6689386667655393E-2</v>
      </c>
      <c r="D35">
        <f ca="1"/>
        <v>0.70104329287290401</v>
      </c>
      <c r="I35">
        <f t="shared" ca="1" si="1"/>
        <v>8.1459271912453571E-3</v>
      </c>
      <c r="J35">
        <f t="shared" ca="1" si="2"/>
        <v>-0.19030354586718923</v>
      </c>
      <c r="L35">
        <f t="shared" ca="1" si="3"/>
        <v>1.0279482515202283E-2</v>
      </c>
      <c r="M35">
        <f t="shared" ca="1" si="4"/>
        <v>0.44642521395961188</v>
      </c>
      <c r="O35">
        <f t="shared" ca="1" si="5"/>
        <v>0.10911223757835523</v>
      </c>
      <c r="P35">
        <f t="shared" ca="1" si="6"/>
        <v>-0.48528778261374123</v>
      </c>
      <c r="R35">
        <f t="shared" ca="1" si="7"/>
        <v>1.9136724902135919E-2</v>
      </c>
      <c r="S35">
        <f t="shared" ca="1" si="8"/>
        <v>0.71948634880265794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9"/>
        <v>1.9876602832882759E-2</v>
      </c>
      <c r="D36">
        <f ca="1"/>
        <v>0.72406825465833302</v>
      </c>
      <c r="I36">
        <f t="shared" ca="1" si="1"/>
        <v>8.098658797549875E-3</v>
      </c>
      <c r="J36">
        <f t="shared" ca="1" si="2"/>
        <v>-0.18814234297019955</v>
      </c>
      <c r="L36">
        <f t="shared" ca="1" si="3"/>
        <v>1.0169923903354944E-2</v>
      </c>
      <c r="M36">
        <f t="shared" ca="1" si="4"/>
        <v>0.43922275862385451</v>
      </c>
      <c r="O36">
        <f t="shared" ca="1" si="5"/>
        <v>0.10671266792881717</v>
      </c>
      <c r="P36">
        <f t="shared" ca="1" si="6"/>
        <v>-0.4819350333940372</v>
      </c>
      <c r="R36">
        <f t="shared" ca="1" si="7"/>
        <v>1.9390079713977861E-2</v>
      </c>
      <c r="S36">
        <f t="shared" ca="1" si="8"/>
        <v>0.7210923171715149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9"/>
        <v>2.3481587626809127E-2</v>
      </c>
      <c r="D37">
        <f ca="1"/>
        <v>0.74296026523397884</v>
      </c>
      <c r="I37">
        <f t="shared" ca="1" si="1"/>
        <v>8.0520906763535856E-3</v>
      </c>
      <c r="J37">
        <f t="shared" ref="J37:J68" ca="1" si="10">$G$9 + ($G$6 - $G$9) * (ROW(B34)-1)/99</f>
        <v>-0.18598114007320987</v>
      </c>
      <c r="L37">
        <f t="shared" ca="1" si="3"/>
        <v>1.0061988382053492E-2</v>
      </c>
      <c r="M37">
        <f t="shared" ca="1" si="4"/>
        <v>0.43202030328809704</v>
      </c>
      <c r="O37">
        <f t="shared" ca="1" si="5"/>
        <v>0.10434120059760472</v>
      </c>
      <c r="P37">
        <f t="shared" ref="P37:P68" ca="1" si="11">$G$26 + ($G$9 - $G$26) * (ROW(B34)-1)/99</f>
        <v>-0.47858228417433324</v>
      </c>
      <c r="R37">
        <f t="shared" ca="1" si="7"/>
        <v>1.9649882361824217E-2</v>
      </c>
      <c r="S37">
        <f t="shared" ref="S37:S68" ca="1" si="12">$G$13 + ($G$25 - $G$13) * (ROW(B34)-1)/99</f>
        <v>0.72269828554037185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9"/>
        <v>2.7384082111511915E-2</v>
      </c>
      <c r="D38">
        <f ca="1"/>
        <v>0.75955406545833382</v>
      </c>
      <c r="I38">
        <f t="shared" ca="1" si="1"/>
        <v>8.0062228276564888E-3</v>
      </c>
      <c r="J38">
        <f t="shared" ca="1" si="10"/>
        <v>-0.18381993717622022</v>
      </c>
      <c r="L38">
        <f t="shared" ca="1" si="3"/>
        <v>9.9556759512979265E-3</v>
      </c>
      <c r="M38">
        <f t="shared" ca="1" si="4"/>
        <v>0.42481784795233968</v>
      </c>
      <c r="O38">
        <f t="shared" ca="1" si="5"/>
        <v>0.1019978355847178</v>
      </c>
      <c r="P38">
        <f t="shared" ca="1" si="11"/>
        <v>-0.47522953495462922</v>
      </c>
      <c r="R38">
        <f t="shared" ca="1" si="7"/>
        <v>1.9916132845675023E-2</v>
      </c>
      <c r="S38">
        <f t="shared" ca="1" si="12"/>
        <v>0.72430425390922892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9"/>
        <v>3.1559274960518871E-2</v>
      </c>
      <c r="D39">
        <f ca="1"/>
        <v>0.77474184081758102</v>
      </c>
      <c r="I39">
        <f t="shared" ca="1" si="1"/>
        <v>7.961055251458583E-3</v>
      </c>
      <c r="J39">
        <f t="shared" ca="1" si="10"/>
        <v>-0.18165873427923054</v>
      </c>
      <c r="L39">
        <f t="shared" ca="1" si="3"/>
        <v>9.8509866110882485E-3</v>
      </c>
      <c r="M39">
        <f t="shared" ca="1" si="4"/>
        <v>0.41761539261658226</v>
      </c>
      <c r="O39">
        <f t="shared" ca="1" si="5"/>
        <v>9.9682572890156473E-2</v>
      </c>
      <c r="P39">
        <f t="shared" ca="1" si="11"/>
        <v>-0.4718767857349252</v>
      </c>
      <c r="R39">
        <f t="shared" ca="1" si="7"/>
        <v>2.0188831165530226E-2</v>
      </c>
      <c r="S39">
        <f t="shared" ca="1" si="12"/>
        <v>0.72591022227808588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9"/>
        <v>3.601722490044109E-2</v>
      </c>
      <c r="D40">
        <f ca="1"/>
        <v>0.78904098182580407</v>
      </c>
      <c r="I40">
        <f t="shared" ca="1" si="1"/>
        <v>7.9165879477598716E-3</v>
      </c>
      <c r="J40">
        <f t="shared" ca="1" si="10"/>
        <v>-0.17949753138224089</v>
      </c>
      <c r="L40">
        <f t="shared" ca="1" si="3"/>
        <v>9.7479203614244548E-3</v>
      </c>
      <c r="M40">
        <f t="shared" ca="1" si="4"/>
        <v>0.41041293728082484</v>
      </c>
      <c r="O40">
        <f t="shared" ca="1" si="5"/>
        <v>9.7395412513920698E-2</v>
      </c>
      <c r="P40">
        <f t="shared" ca="1" si="11"/>
        <v>-0.46852403651522123</v>
      </c>
      <c r="R40">
        <f t="shared" ca="1" si="7"/>
        <v>2.0467977321389854E-2</v>
      </c>
      <c r="S40">
        <f t="shared" ca="1" si="12"/>
        <v>0.72751619064694284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9"/>
        <v>4.0743297441395918E-2</v>
      </c>
      <c r="D41">
        <f ca="1"/>
        <v>0.80267343866219987</v>
      </c>
      <c r="I41">
        <f t="shared" ca="1" si="1"/>
        <v>7.872820916560351E-3</v>
      </c>
      <c r="J41">
        <f t="shared" ca="1" si="10"/>
        <v>-0.17733632848525122</v>
      </c>
      <c r="L41">
        <f t="shared" ca="1" si="3"/>
        <v>9.6464772023065488E-3</v>
      </c>
      <c r="M41">
        <f t="shared" ca="1" si="4"/>
        <v>0.40321048194506742</v>
      </c>
      <c r="O41">
        <f t="shared" ca="1" si="5"/>
        <v>9.5136354456010486E-2</v>
      </c>
      <c r="P41">
        <f t="shared" ca="1" si="11"/>
        <v>-0.46517128729551721</v>
      </c>
      <c r="R41">
        <f t="shared" ca="1" si="7"/>
        <v>2.0753571313253907E-2</v>
      </c>
      <c r="S41">
        <f t="shared" ca="1" si="12"/>
        <v>0.7291221590157998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9"/>
        <v>4.5750717097335608E-2</v>
      </c>
      <c r="D42">
        <f ca="1"/>
        <v>0.81584453603978579</v>
      </c>
      <c r="I42">
        <f t="shared" ca="1" si="1"/>
        <v>7.8297541578600232E-3</v>
      </c>
      <c r="J42">
        <f t="shared" ca="1" si="10"/>
        <v>-0.17517512558826154</v>
      </c>
      <c r="L42">
        <f t="shared" ca="1" si="3"/>
        <v>9.5466571337345287E-3</v>
      </c>
      <c r="M42">
        <f t="shared" ca="1" si="4"/>
        <v>0.39600802660931006</v>
      </c>
      <c r="O42">
        <f t="shared" ca="1" si="5"/>
        <v>9.2905398716425808E-2</v>
      </c>
      <c r="P42">
        <f t="shared" ca="1" si="11"/>
        <v>-0.46181853807581319</v>
      </c>
      <c r="R42">
        <f t="shared" ca="1" si="7"/>
        <v>2.1045613141122382E-2</v>
      </c>
      <c r="S42">
        <f t="shared" ca="1" si="12"/>
        <v>0.73072812738465676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9"/>
        <v>5.1053022525463308E-2</v>
      </c>
      <c r="D43">
        <f ca="1"/>
        <v>0.82869219788493276</v>
      </c>
      <c r="I43">
        <f t="shared" ca="1" si="1"/>
        <v>7.7873876716588863E-3</v>
      </c>
      <c r="J43">
        <f t="shared" ca="1" si="10"/>
        <v>-0.17301392269127186</v>
      </c>
      <c r="L43">
        <f t="shared" ca="1" si="3"/>
        <v>9.4484601557083964E-3</v>
      </c>
      <c r="M43">
        <f t="shared" ca="1" si="4"/>
        <v>0.38880557127355264</v>
      </c>
      <c r="O43">
        <f t="shared" ca="1" si="5"/>
        <v>9.0702545295166748E-2</v>
      </c>
      <c r="P43">
        <f t="shared" ca="1" si="11"/>
        <v>-0.45846578885610922</v>
      </c>
      <c r="R43">
        <f t="shared" ca="1" si="7"/>
        <v>2.13441028049953E-2</v>
      </c>
      <c r="S43">
        <f t="shared" ca="1" si="12"/>
        <v>0.73233409575351383</v>
      </c>
    </row>
    <row r="44" spans="1:29" x14ac:dyDescent="0.35">
      <c r="C44" t="str">
        <f t="shared" si="9"/>
        <v/>
      </c>
      <c r="I44">
        <f t="shared" ca="1" si="1"/>
        <v>7.7457214579569438E-3</v>
      </c>
      <c r="J44">
        <f t="shared" ca="1" si="10"/>
        <v>-0.17085271979428218</v>
      </c>
      <c r="L44">
        <f t="shared" ca="1" si="3"/>
        <v>9.35188626822815E-3</v>
      </c>
      <c r="M44">
        <f t="shared" ca="1" si="4"/>
        <v>0.38160311593779522</v>
      </c>
      <c r="O44">
        <f t="shared" ca="1" si="5"/>
        <v>8.8527794192233222E-2</v>
      </c>
      <c r="P44">
        <f t="shared" ca="1" si="11"/>
        <v>-0.4551130396364052</v>
      </c>
      <c r="R44">
        <f t="shared" ca="1" si="7"/>
        <v>2.1649040304872618E-2</v>
      </c>
      <c r="S44">
        <f t="shared" ca="1" si="12"/>
        <v>0.73394006412237078</v>
      </c>
    </row>
    <row r="45" spans="1:29" x14ac:dyDescent="0.35">
      <c r="C45" t="str">
        <f t="shared" si="9"/>
        <v/>
      </c>
      <c r="I45">
        <f t="shared" ca="1" si="1"/>
        <v>7.7047555167541922E-3</v>
      </c>
      <c r="J45">
        <f t="shared" ca="1" si="10"/>
        <v>-0.1686915168972925</v>
      </c>
      <c r="L45">
        <f t="shared" ca="1" si="3"/>
        <v>9.2569354712937896E-3</v>
      </c>
      <c r="M45">
        <f t="shared" ca="1" si="4"/>
        <v>0.37440066060203786</v>
      </c>
      <c r="O45">
        <f t="shared" ca="1" si="5"/>
        <v>8.6381145407625259E-2</v>
      </c>
      <c r="P45">
        <f t="shared" ca="1" si="11"/>
        <v>-0.45176029041670118</v>
      </c>
      <c r="R45">
        <f t="shared" ca="1" si="7"/>
        <v>2.1960425640754361E-2</v>
      </c>
      <c r="S45">
        <f t="shared" ca="1" si="12"/>
        <v>0.73554603249122774</v>
      </c>
    </row>
    <row r="46" spans="1:29" x14ac:dyDescent="0.35">
      <c r="C46" t="str">
        <f t="shared" si="9"/>
        <v/>
      </c>
      <c r="I46">
        <f t="shared" ca="1" si="1"/>
        <v>7.6644898480506332E-3</v>
      </c>
      <c r="J46">
        <f t="shared" ca="1" si="10"/>
        <v>-0.16653031400030285</v>
      </c>
      <c r="L46">
        <f t="shared" ca="1" si="3"/>
        <v>9.1636077649053169E-3</v>
      </c>
      <c r="M46">
        <f t="shared" ca="1" si="4"/>
        <v>0.36719820526628044</v>
      </c>
      <c r="O46">
        <f t="shared" ca="1" si="5"/>
        <v>8.4262598941342887E-2</v>
      </c>
      <c r="P46">
        <f t="shared" ca="1" si="11"/>
        <v>-0.44840754119699722</v>
      </c>
      <c r="R46">
        <f t="shared" ca="1" si="7"/>
        <v>2.2278258812640526E-2</v>
      </c>
      <c r="S46">
        <f t="shared" ca="1" si="12"/>
        <v>0.7371520008600847</v>
      </c>
    </row>
    <row r="47" spans="1:29" x14ac:dyDescent="0.35">
      <c r="C47" t="str">
        <f t="shared" si="9"/>
        <v/>
      </c>
      <c r="I47">
        <f t="shared" ca="1" si="1"/>
        <v>7.6249244518462669E-3</v>
      </c>
      <c r="J47">
        <f t="shared" ca="1" si="10"/>
        <v>-0.16436911110331318</v>
      </c>
      <c r="L47">
        <f t="shared" ca="1" si="3"/>
        <v>9.0719031490627284E-3</v>
      </c>
      <c r="M47">
        <f t="shared" ca="1" si="4"/>
        <v>0.35999574993052302</v>
      </c>
      <c r="O47">
        <f t="shared" ca="1" si="5"/>
        <v>8.2172154793386049E-2</v>
      </c>
      <c r="P47">
        <f t="shared" ca="1" si="11"/>
        <v>-0.4450547919772932</v>
      </c>
      <c r="R47">
        <f t="shared" ca="1" si="7"/>
        <v>2.2602539820531117E-2</v>
      </c>
      <c r="S47">
        <f t="shared" ca="1" si="12"/>
        <v>0.73875796922894166</v>
      </c>
    </row>
    <row r="48" spans="1:29" x14ac:dyDescent="0.35">
      <c r="C48" t="str">
        <f t="shared" si="9"/>
        <v/>
      </c>
      <c r="I48">
        <f t="shared" ca="1" si="1"/>
        <v>7.5860593281410933E-3</v>
      </c>
      <c r="J48">
        <f t="shared" ca="1" si="10"/>
        <v>-0.1622079082063235</v>
      </c>
      <c r="L48">
        <f t="shared" ca="1" si="3"/>
        <v>8.9818216237660276E-3</v>
      </c>
      <c r="M48">
        <f t="shared" ca="1" si="4"/>
        <v>0.35279329459476561</v>
      </c>
      <c r="O48">
        <f t="shared" ca="1" si="5"/>
        <v>8.0109812963754787E-2</v>
      </c>
      <c r="P48">
        <f t="shared" ca="1" si="11"/>
        <v>-0.44170204275758918</v>
      </c>
      <c r="R48">
        <f t="shared" ca="1" si="7"/>
        <v>2.2933268664426149E-2</v>
      </c>
      <c r="S48">
        <f t="shared" ca="1" si="12"/>
        <v>0.74036393759779873</v>
      </c>
    </row>
    <row r="49" spans="3:19" x14ac:dyDescent="0.35">
      <c r="C49" t="str">
        <f t="shared" si="9"/>
        <v/>
      </c>
      <c r="I49">
        <f t="shared" ca="1" si="1"/>
        <v>7.5478944769351115E-3</v>
      </c>
      <c r="J49">
        <f t="shared" ca="1" si="10"/>
        <v>-0.16004670530933385</v>
      </c>
      <c r="L49">
        <f t="shared" ca="1" si="3"/>
        <v>8.8933631890152146E-3</v>
      </c>
      <c r="M49">
        <f t="shared" ca="1" si="4"/>
        <v>0.34559083925900819</v>
      </c>
      <c r="O49">
        <f t="shared" ca="1" si="5"/>
        <v>7.8075573452449087E-2</v>
      </c>
      <c r="P49">
        <f t="shared" ca="1" si="11"/>
        <v>-0.43834929353788521</v>
      </c>
      <c r="R49">
        <f t="shared" ca="1" si="7"/>
        <v>2.3270445344325583E-2</v>
      </c>
      <c r="S49">
        <f t="shared" ca="1" si="12"/>
        <v>0.74196990596665569</v>
      </c>
    </row>
    <row r="50" spans="3:19" x14ac:dyDescent="0.35">
      <c r="C50" t="str">
        <f t="shared" si="9"/>
        <v/>
      </c>
      <c r="I50">
        <f t="shared" ca="1" si="1"/>
        <v>7.5104298982283223E-3</v>
      </c>
      <c r="J50">
        <f t="shared" ca="1" si="10"/>
        <v>-0.15788550241234417</v>
      </c>
      <c r="L50">
        <f t="shared" ca="1" si="3"/>
        <v>8.8065278448102857E-3</v>
      </c>
      <c r="M50">
        <f t="shared" ca="1" si="4"/>
        <v>0.33838838392325077</v>
      </c>
      <c r="O50">
        <f t="shared" ca="1" si="5"/>
        <v>7.6069436259468964E-2</v>
      </c>
      <c r="P50">
        <f t="shared" ca="1" si="11"/>
        <v>-0.43499654431818119</v>
      </c>
      <c r="R50">
        <f t="shared" ca="1" si="7"/>
        <v>2.3614069860229441E-2</v>
      </c>
      <c r="S50">
        <f t="shared" ca="1" si="12"/>
        <v>0.74357587433551264</v>
      </c>
    </row>
    <row r="51" spans="3:19" x14ac:dyDescent="0.35">
      <c r="C51" t="str">
        <f t="shared" si="9"/>
        <v/>
      </c>
      <c r="I51">
        <f t="shared" ca="1" si="1"/>
        <v>7.473665592020725E-3</v>
      </c>
      <c r="J51">
        <f t="shared" ca="1" si="10"/>
        <v>-0.15572429951535449</v>
      </c>
      <c r="L51">
        <f t="shared" ca="1" si="3"/>
        <v>8.7213155911512463E-3</v>
      </c>
      <c r="M51">
        <f t="shared" ca="1" si="4"/>
        <v>0.33118592858749341</v>
      </c>
      <c r="O51">
        <f t="shared" ca="1" si="5"/>
        <v>7.409140138481439E-2</v>
      </c>
      <c r="P51">
        <f t="shared" ca="1" si="11"/>
        <v>-0.43164379509847717</v>
      </c>
      <c r="R51">
        <f t="shared" ca="1" si="7"/>
        <v>2.3964142212137718E-2</v>
      </c>
      <c r="S51">
        <f t="shared" ca="1" si="12"/>
        <v>0.7451818427043696</v>
      </c>
    </row>
    <row r="52" spans="3:19" x14ac:dyDescent="0.35">
      <c r="C52" t="str">
        <f t="shared" si="9"/>
        <v/>
      </c>
      <c r="I52">
        <f t="shared" ca="1" si="1"/>
        <v>7.4376015583123203E-3</v>
      </c>
      <c r="J52">
        <f t="shared" ca="1" si="10"/>
        <v>-0.15356309661836481</v>
      </c>
      <c r="L52">
        <f t="shared" ca="1" si="3"/>
        <v>8.6377264280380912E-3</v>
      </c>
      <c r="M52">
        <f t="shared" ca="1" si="4"/>
        <v>0.32398347325173599</v>
      </c>
      <c r="O52">
        <f t="shared" ca="1" si="5"/>
        <v>7.2141468828485392E-2</v>
      </c>
      <c r="P52">
        <f t="shared" ca="1" si="11"/>
        <v>-0.4282910458787732</v>
      </c>
      <c r="R52">
        <f t="shared" ca="1" si="7"/>
        <v>2.4320662400050444E-2</v>
      </c>
      <c r="S52">
        <f t="shared" ca="1" si="12"/>
        <v>0.74678781107322667</v>
      </c>
    </row>
    <row r="53" spans="3:19" x14ac:dyDescent="0.35">
      <c r="C53" t="str">
        <f t="shared" si="9"/>
        <v/>
      </c>
      <c r="I53">
        <f t="shared" ca="1" si="1"/>
        <v>7.4022377971031074E-3</v>
      </c>
      <c r="J53">
        <f t="shared" ca="1" si="10"/>
        <v>-0.15140189372137514</v>
      </c>
      <c r="L53">
        <f t="shared" ca="1" si="3"/>
        <v>8.555760355470822E-3</v>
      </c>
      <c r="M53">
        <f t="shared" ca="1" si="4"/>
        <v>0.31678101791597862</v>
      </c>
      <c r="O53">
        <f t="shared" ca="1" si="5"/>
        <v>7.0219638590481942E-2</v>
      </c>
      <c r="P53">
        <f t="shared" ca="1" si="11"/>
        <v>-0.42493829665906918</v>
      </c>
      <c r="R53">
        <f t="shared" ca="1" si="7"/>
        <v>2.4683630423967571E-2</v>
      </c>
      <c r="S53">
        <f t="shared" ca="1" si="12"/>
        <v>0.74839377944208363</v>
      </c>
    </row>
    <row r="54" spans="3:19" x14ac:dyDescent="0.35">
      <c r="C54" t="str">
        <f t="shared" si="9"/>
        <v/>
      </c>
      <c r="I54">
        <f t="shared" ca="1" si="1"/>
        <v>7.367574308393088E-3</v>
      </c>
      <c r="J54">
        <f t="shared" ca="1" si="10"/>
        <v>-0.14924069082438551</v>
      </c>
      <c r="L54">
        <f t="shared" ca="1" si="3"/>
        <v>8.4754173734494405E-3</v>
      </c>
      <c r="M54">
        <f t="shared" ca="1" si="4"/>
        <v>0.30957856258022121</v>
      </c>
      <c r="O54">
        <f t="shared" ca="1" si="5"/>
        <v>6.8325910670804069E-2</v>
      </c>
      <c r="P54">
        <f t="shared" ca="1" si="11"/>
        <v>-0.42158554743936516</v>
      </c>
      <c r="R54">
        <f t="shared" ca="1" si="7"/>
        <v>2.5053046283889119E-2</v>
      </c>
      <c r="S54">
        <f t="shared" ca="1" si="12"/>
        <v>0.74999974781094059</v>
      </c>
    </row>
    <row r="55" spans="3:19" x14ac:dyDescent="0.35">
      <c r="C55" t="str">
        <f t="shared" si="9"/>
        <v/>
      </c>
      <c r="I55">
        <f t="shared" ca="1" si="1"/>
        <v>7.3336110921822604E-3</v>
      </c>
      <c r="J55">
        <f t="shared" ca="1" si="10"/>
        <v>-0.14707948792739584</v>
      </c>
      <c r="L55">
        <f t="shared" ca="1" si="3"/>
        <v>8.3966974819739467E-3</v>
      </c>
      <c r="M55">
        <f t="shared" ca="1" si="4"/>
        <v>0.30237610724446379</v>
      </c>
      <c r="O55">
        <f t="shared" ca="1" si="5"/>
        <v>6.6460285069451758E-2</v>
      </c>
      <c r="P55">
        <f t="shared" ca="1" si="11"/>
        <v>-0.41823279821966119</v>
      </c>
      <c r="R55">
        <f t="shared" ca="1" si="7"/>
        <v>2.542890997981509E-2</v>
      </c>
      <c r="S55">
        <f t="shared" ca="1" si="12"/>
        <v>0.75160571617979754</v>
      </c>
    </row>
    <row r="56" spans="3:19" x14ac:dyDescent="0.35">
      <c r="C56" t="str">
        <f t="shared" si="9"/>
        <v/>
      </c>
      <c r="I56">
        <f t="shared" ca="1" si="1"/>
        <v>7.3003481484706246E-3</v>
      </c>
      <c r="J56">
        <f t="shared" ca="1" si="10"/>
        <v>-0.14491828503040616</v>
      </c>
      <c r="L56">
        <f t="shared" ca="1" si="3"/>
        <v>8.3196006810443372E-3</v>
      </c>
      <c r="M56">
        <f t="shared" ca="1" si="4"/>
        <v>0.29517365190870637</v>
      </c>
      <c r="O56">
        <f t="shared" ca="1" si="5"/>
        <v>6.4622761786425009E-2</v>
      </c>
      <c r="P56">
        <f t="shared" ca="1" si="11"/>
        <v>-0.41488004899995717</v>
      </c>
      <c r="R56">
        <f t="shared" ca="1" si="7"/>
        <v>2.5811221511745489E-2</v>
      </c>
      <c r="S56">
        <f t="shared" ca="1" si="12"/>
        <v>0.7532116845486545</v>
      </c>
    </row>
    <row r="57" spans="3:19" x14ac:dyDescent="0.35">
      <c r="C57" t="str">
        <f t="shared" si="9"/>
        <v/>
      </c>
      <c r="I57">
        <f t="shared" ca="1" si="1"/>
        <v>7.2677854772581815E-3</v>
      </c>
      <c r="J57">
        <f t="shared" ca="1" si="10"/>
        <v>-0.14275708213341648</v>
      </c>
      <c r="L57">
        <f t="shared" ca="1" si="3"/>
        <v>8.2441269706606153E-3</v>
      </c>
      <c r="M57">
        <f t="shared" ca="1" si="4"/>
        <v>0.28797119657294895</v>
      </c>
      <c r="O57">
        <f t="shared" ca="1" si="5"/>
        <v>6.2813340821723837E-2</v>
      </c>
      <c r="P57">
        <f t="shared" ca="1" si="11"/>
        <v>-0.41152729978025315</v>
      </c>
      <c r="R57">
        <f t="shared" ca="1" si="7"/>
        <v>2.619998087968033E-2</v>
      </c>
      <c r="S57">
        <f t="shared" ca="1" si="12"/>
        <v>0.75481765291751157</v>
      </c>
    </row>
    <row r="58" spans="3:19" x14ac:dyDescent="0.35">
      <c r="C58" t="str">
        <f t="shared" si="9"/>
        <v/>
      </c>
      <c r="I58">
        <f t="shared" ca="1" si="1"/>
        <v>7.235923078544931E-3</v>
      </c>
      <c r="J58">
        <f t="shared" ca="1" si="10"/>
        <v>-0.1405958792364268</v>
      </c>
      <c r="L58">
        <f t="shared" ca="1" si="3"/>
        <v>8.1702763508227794E-3</v>
      </c>
      <c r="M58">
        <f t="shared" ca="1" si="4"/>
        <v>0.28076874123719159</v>
      </c>
      <c r="O58">
        <f t="shared" ca="1" si="5"/>
        <v>6.1032022175348213E-2</v>
      </c>
      <c r="P58">
        <f t="shared" ca="1" si="11"/>
        <v>-0.40817455056054919</v>
      </c>
      <c r="R58">
        <f t="shared" ca="1" si="7"/>
        <v>2.6595188083619568E-2</v>
      </c>
      <c r="S58">
        <f t="shared" ca="1" si="12"/>
        <v>0.75642362128636853</v>
      </c>
    </row>
    <row r="59" spans="3:19" x14ac:dyDescent="0.35">
      <c r="C59" t="str">
        <f t="shared" si="9"/>
        <v/>
      </c>
      <c r="I59">
        <f t="shared" ca="1" si="1"/>
        <v>7.2047609523308723E-3</v>
      </c>
      <c r="J59">
        <f t="shared" ca="1" si="10"/>
        <v>-0.13843467633943712</v>
      </c>
      <c r="L59">
        <f t="shared" ca="1" si="3"/>
        <v>8.0980488215308313E-3</v>
      </c>
      <c r="M59">
        <f t="shared" ca="1" si="4"/>
        <v>0.27356628590143417</v>
      </c>
      <c r="O59">
        <f t="shared" ca="1" si="5"/>
        <v>5.9278805847298124E-2</v>
      </c>
      <c r="P59">
        <f t="shared" ca="1" si="11"/>
        <v>-0.40482180134084511</v>
      </c>
      <c r="R59">
        <f t="shared" ca="1" si="7"/>
        <v>2.6996843123563232E-2</v>
      </c>
      <c r="S59">
        <f t="shared" ca="1" si="12"/>
        <v>0.75802958965522549</v>
      </c>
    </row>
    <row r="60" spans="3:19" x14ac:dyDescent="0.35">
      <c r="C60" t="str">
        <f t="shared" si="9"/>
        <v/>
      </c>
      <c r="I60">
        <f t="shared" ca="1" si="1"/>
        <v>7.1742990986160054E-3</v>
      </c>
      <c r="J60">
        <f t="shared" ca="1" si="10"/>
        <v>-0.13627347344244745</v>
      </c>
      <c r="L60">
        <f t="shared" ca="1" si="3"/>
        <v>8.0274443827847673E-3</v>
      </c>
      <c r="M60">
        <f t="shared" ca="1" si="4"/>
        <v>0.26636383056567675</v>
      </c>
      <c r="O60">
        <f t="shared" ca="1" si="5"/>
        <v>5.7553691837573667E-2</v>
      </c>
      <c r="P60">
        <f t="shared" ca="1" si="11"/>
        <v>-0.40146905212114115</v>
      </c>
      <c r="R60">
        <f t="shared" ca="1" si="7"/>
        <v>2.7404945999511342E-2</v>
      </c>
      <c r="S60">
        <f t="shared" ca="1" si="12"/>
        <v>0.75963555802408256</v>
      </c>
    </row>
    <row r="61" spans="3:19" x14ac:dyDescent="0.35">
      <c r="C61" t="str">
        <f t="shared" si="9"/>
        <v/>
      </c>
      <c r="I61">
        <f t="shared" ca="1" si="1"/>
        <v>7.1445375174003321E-3</v>
      </c>
      <c r="J61">
        <f t="shared" ca="1" si="10"/>
        <v>-0.13411227054545777</v>
      </c>
      <c r="L61">
        <f t="shared" ca="1" si="3"/>
        <v>7.9584630345845911E-3</v>
      </c>
      <c r="M61">
        <f t="shared" ca="1" si="4"/>
        <v>0.25916137522991933</v>
      </c>
      <c r="O61">
        <f t="shared" ca="1" si="5"/>
        <v>5.5856680146174759E-2</v>
      </c>
      <c r="P61">
        <f t="shared" ca="1" si="11"/>
        <v>-0.39811630290143718</v>
      </c>
      <c r="R61">
        <f t="shared" ca="1" si="7"/>
        <v>2.7819496711463849E-2</v>
      </c>
      <c r="S61">
        <f t="shared" ca="1" si="12"/>
        <v>0.76124152639293952</v>
      </c>
    </row>
    <row r="62" spans="3:19" x14ac:dyDescent="0.35">
      <c r="C62" t="str">
        <f t="shared" si="9"/>
        <v/>
      </c>
      <c r="I62">
        <f t="shared" ca="1" si="1"/>
        <v>7.1154762086838505E-3</v>
      </c>
      <c r="J62">
        <f t="shared" ca="1" si="10"/>
        <v>-0.13195106764846812</v>
      </c>
      <c r="L62">
        <f t="shared" ca="1" si="3"/>
        <v>7.8911047769303026E-3</v>
      </c>
      <c r="M62">
        <f t="shared" ca="1" si="4"/>
        <v>0.25195891989416191</v>
      </c>
      <c r="O62">
        <f t="shared" ca="1" si="5"/>
        <v>5.4187770773101364E-2</v>
      </c>
      <c r="P62">
        <f t="shared" ca="1" si="11"/>
        <v>-0.3947635536817331</v>
      </c>
      <c r="R62">
        <f t="shared" ca="1" si="7"/>
        <v>2.8240495259420784E-2</v>
      </c>
      <c r="S62">
        <f t="shared" ca="1" si="12"/>
        <v>0.76284749476179647</v>
      </c>
    </row>
    <row r="63" spans="3:19" x14ac:dyDescent="0.35">
      <c r="C63" t="str">
        <f t="shared" si="9"/>
        <v/>
      </c>
      <c r="I63">
        <f t="shared" ca="1" si="1"/>
        <v>7.0871151724665616E-3</v>
      </c>
      <c r="J63">
        <f t="shared" ca="1" si="10"/>
        <v>-0.12978986475147844</v>
      </c>
      <c r="L63">
        <f t="shared" ca="1" si="3"/>
        <v>7.8253696098218983E-3</v>
      </c>
      <c r="M63">
        <f t="shared" ca="1" si="4"/>
        <v>0.2447564645584045</v>
      </c>
      <c r="O63">
        <f t="shared" ca="1" si="5"/>
        <v>5.2546963718353587E-2</v>
      </c>
      <c r="P63">
        <f t="shared" ca="1" si="11"/>
        <v>-0.39141080446202914</v>
      </c>
      <c r="R63">
        <f t="shared" ca="1" si="7"/>
        <v>2.8667941643382135E-2</v>
      </c>
      <c r="S63">
        <f t="shared" ca="1" si="12"/>
        <v>0.76445346313065343</v>
      </c>
    </row>
    <row r="64" spans="3:19" x14ac:dyDescent="0.35">
      <c r="C64" t="str">
        <f t="shared" si="9"/>
        <v/>
      </c>
      <c r="I64">
        <f t="shared" ca="1" si="1"/>
        <v>7.0594544087484645E-3</v>
      </c>
      <c r="J64">
        <f t="shared" ca="1" si="10"/>
        <v>-0.12762866185448876</v>
      </c>
      <c r="L64">
        <f t="shared" ca="1" si="3"/>
        <v>7.7612575332593817E-3</v>
      </c>
      <c r="M64">
        <f t="shared" ca="1" si="4"/>
        <v>0.23755400922264708</v>
      </c>
      <c r="O64">
        <f t="shared" ca="1" si="5"/>
        <v>5.0934258981931352E-2</v>
      </c>
      <c r="P64">
        <f t="shared" ca="1" si="11"/>
        <v>-0.38805805524232512</v>
      </c>
      <c r="R64">
        <f t="shared" ca="1" si="7"/>
        <v>2.9101835863347914E-2</v>
      </c>
      <c r="S64">
        <f t="shared" ca="1" si="12"/>
        <v>0.76605943149951039</v>
      </c>
    </row>
    <row r="65" spans="3:19" x14ac:dyDescent="0.35">
      <c r="C65" t="str">
        <f t="shared" si="9"/>
        <v/>
      </c>
      <c r="I65">
        <f t="shared" ca="1" si="1"/>
        <v>7.03249391752956E-3</v>
      </c>
      <c r="J65">
        <f t="shared" ca="1" si="10"/>
        <v>-0.12546745895749911</v>
      </c>
      <c r="L65">
        <f t="shared" ca="1" si="3"/>
        <v>7.6987685472427528E-3</v>
      </c>
      <c r="M65">
        <f t="shared" ca="1" si="4"/>
        <v>0.23035155388688977</v>
      </c>
      <c r="O65">
        <f t="shared" ca="1" si="5"/>
        <v>4.93496565638347E-2</v>
      </c>
      <c r="P65">
        <f t="shared" ca="1" si="11"/>
        <v>-0.38470530602262115</v>
      </c>
      <c r="R65">
        <f t="shared" ca="1" si="7"/>
        <v>2.9542177919318142E-2</v>
      </c>
      <c r="S65">
        <f t="shared" ca="1" si="12"/>
        <v>0.76766539986836746</v>
      </c>
    </row>
    <row r="66" spans="3:19" x14ac:dyDescent="0.35">
      <c r="C66" t="str">
        <f t="shared" si="9"/>
        <v/>
      </c>
      <c r="I66">
        <f t="shared" ca="1" si="1"/>
        <v>7.0062336988098483E-3</v>
      </c>
      <c r="J66">
        <f t="shared" ca="1" si="10"/>
        <v>-0.12330625606050943</v>
      </c>
      <c r="L66">
        <f t="shared" ca="1" si="3"/>
        <v>7.637902651772009E-3</v>
      </c>
      <c r="M66">
        <f t="shared" ca="1" si="4"/>
        <v>0.22314909855113235</v>
      </c>
      <c r="O66">
        <f t="shared" ca="1" si="5"/>
        <v>4.7793156464063596E-2</v>
      </c>
      <c r="P66">
        <f t="shared" ca="1" si="11"/>
        <v>-0.38135255680291713</v>
      </c>
      <c r="R66">
        <f t="shared" ca="1" si="7"/>
        <v>2.9988967811292764E-2</v>
      </c>
      <c r="S66">
        <f t="shared" ca="1" si="12"/>
        <v>0.76927136823722442</v>
      </c>
    </row>
    <row r="67" spans="3:19" x14ac:dyDescent="0.35">
      <c r="C67" t="str">
        <f t="shared" si="9"/>
        <v/>
      </c>
      <c r="I67">
        <f t="shared" ca="1" si="1"/>
        <v>6.9806737525893283E-3</v>
      </c>
      <c r="J67">
        <f t="shared" ca="1" si="10"/>
        <v>-0.12114505316351978</v>
      </c>
      <c r="L67">
        <f t="shared" ca="1" si="3"/>
        <v>7.5786598468471512E-3</v>
      </c>
      <c r="M67">
        <f t="shared" ca="1" si="4"/>
        <v>0.21594664321537493</v>
      </c>
      <c r="O67">
        <f t="shared" ca="1" si="5"/>
        <v>4.6264758682618069E-2</v>
      </c>
      <c r="P67">
        <f t="shared" ca="1" si="11"/>
        <v>-0.37799980758321317</v>
      </c>
      <c r="R67">
        <f t="shared" ca="1" si="7"/>
        <v>3.0442205539271808E-2</v>
      </c>
      <c r="S67">
        <f t="shared" ca="1" si="12"/>
        <v>0.77087733660608138</v>
      </c>
    </row>
    <row r="68" spans="3:19" x14ac:dyDescent="0.35">
      <c r="C68" t="str">
        <f t="shared" si="9"/>
        <v/>
      </c>
      <c r="I68">
        <f t="shared" ca="1" si="1"/>
        <v>6.9558140788680009E-3</v>
      </c>
      <c r="J68">
        <f t="shared" ca="1" si="10"/>
        <v>-0.11898385026653011</v>
      </c>
      <c r="L68">
        <f t="shared" ca="1" si="3"/>
        <v>7.5210401324681811E-3</v>
      </c>
      <c r="M68">
        <f t="shared" ca="1" si="4"/>
        <v>0.20874418787961752</v>
      </c>
      <c r="O68">
        <f t="shared" ca="1" si="5"/>
        <v>4.4764463219498063E-2</v>
      </c>
      <c r="P68">
        <f t="shared" ca="1" si="11"/>
        <v>-0.37464705836350909</v>
      </c>
      <c r="R68">
        <f t="shared" ca="1" si="7"/>
        <v>3.0901891103255273E-2</v>
      </c>
      <c r="S68">
        <f t="shared" ca="1" si="12"/>
        <v>0.77248330497493833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6.9316546776458654E-3</v>
      </c>
      <c r="J69">
        <f t="shared" ref="J69:J100" ca="1" si="15">$G$9 + ($G$6 - $G$9) * (ROW(B66)-1)/99</f>
        <v>-0.11682264736954043</v>
      </c>
      <c r="L69">
        <f t="shared" ref="L69:L103" ca="1" si="16">$G$17 * (M69 - $G$6)^2 + $G$5</f>
        <v>7.4650435086350969E-3</v>
      </c>
      <c r="M69">
        <f t="shared" ref="M69:M103" ca="1" si="17">$G$13 + ($G$6 - $G$13) * (ROW(F66)-1)/99</f>
        <v>0.2015417325438601</v>
      </c>
      <c r="O69">
        <f t="shared" ref="O69:O103" ca="1" si="18">$G$10 + $G$19 * ($G$23 * (P69 - $G$9))^2 + $G$21 * (1 - (P69 - $G$6)/($G$9 - $G$6))</f>
        <v>4.3292270074703681E-2</v>
      </c>
      <c r="P69">
        <f t="shared" ref="P69:P100" ca="1" si="19">$G$26 + ($G$9 - $G$26) * (ROW(B66)-1)/99</f>
        <v>-0.37129430914380512</v>
      </c>
      <c r="R69">
        <f t="shared" ref="R69:R103" ca="1" si="20">$G$14 + $G$19 * ($G$23 * (S69 - $G$13))^2 - $G$22 * (1 - (S69 - $G$6)/($G$13 - $G$6))</f>
        <v>3.1368024503243198E-2</v>
      </c>
      <c r="S69">
        <f t="shared" ref="S69:S100" ca="1" si="21">$G$13 + ($G$25 - $G$13) * (ROW(B66)-1)/99</f>
        <v>0.7740892733437954</v>
      </c>
    </row>
    <row r="70" spans="3:19" x14ac:dyDescent="0.35">
      <c r="C70" t="str">
        <f t="shared" si="13"/>
        <v/>
      </c>
      <c r="I70">
        <f t="shared" ca="1" si="14"/>
        <v>6.9081955489229225E-3</v>
      </c>
      <c r="J70">
        <f t="shared" ca="1" si="15"/>
        <v>-0.11466144447255075</v>
      </c>
      <c r="L70">
        <f t="shared" ca="1" si="16"/>
        <v>7.4106699753478987E-3</v>
      </c>
      <c r="M70">
        <f t="shared" ca="1" si="17"/>
        <v>0.19433927720810268</v>
      </c>
      <c r="O70">
        <f t="shared" ca="1" si="18"/>
        <v>4.1848179248234849E-2</v>
      </c>
      <c r="P70">
        <f t="shared" ca="1" si="19"/>
        <v>-0.36794155992410116</v>
      </c>
      <c r="R70">
        <f t="shared" ca="1" si="20"/>
        <v>3.1840605739235507E-2</v>
      </c>
      <c r="S70">
        <f t="shared" ca="1" si="21"/>
        <v>0.77569524171265236</v>
      </c>
    </row>
    <row r="71" spans="3:19" x14ac:dyDescent="0.35">
      <c r="C71" t="str">
        <f t="shared" si="13"/>
        <v/>
      </c>
      <c r="I71">
        <f t="shared" ca="1" si="14"/>
        <v>6.8854366926991723E-3</v>
      </c>
      <c r="J71">
        <f t="shared" ca="1" si="15"/>
        <v>-0.1125002415755611</v>
      </c>
      <c r="L71">
        <f t="shared" ca="1" si="16"/>
        <v>7.3579195326065874E-3</v>
      </c>
      <c r="M71">
        <f t="shared" ca="1" si="17"/>
        <v>0.18713682187234526</v>
      </c>
      <c r="O71">
        <f t="shared" ca="1" si="18"/>
        <v>4.0432190740091536E-2</v>
      </c>
      <c r="P71">
        <f t="shared" ca="1" si="19"/>
        <v>-0.36458881070439708</v>
      </c>
      <c r="R71">
        <f t="shared" ca="1" si="20"/>
        <v>3.2319634811232248E-2</v>
      </c>
      <c r="S71">
        <f t="shared" ca="1" si="21"/>
        <v>0.77730121008150932</v>
      </c>
    </row>
    <row r="72" spans="3:19" x14ac:dyDescent="0.35">
      <c r="C72" t="str">
        <f t="shared" si="13"/>
        <v/>
      </c>
      <c r="I72">
        <f t="shared" ca="1" si="14"/>
        <v>6.8633781089746139E-3</v>
      </c>
      <c r="J72">
        <f t="shared" ca="1" si="15"/>
        <v>-0.11033903867857142</v>
      </c>
      <c r="L72">
        <f t="shared" ca="1" si="16"/>
        <v>7.3067921804111629E-3</v>
      </c>
      <c r="M72">
        <f t="shared" ca="1" si="17"/>
        <v>0.1799343665365879</v>
      </c>
      <c r="O72">
        <f t="shared" ca="1" si="18"/>
        <v>3.9044304550273842E-2</v>
      </c>
      <c r="P72">
        <f t="shared" ca="1" si="19"/>
        <v>-0.36123606148469312</v>
      </c>
      <c r="R72">
        <f t="shared" ca="1" si="20"/>
        <v>3.2805111719233407E-2</v>
      </c>
      <c r="S72">
        <f t="shared" ca="1" si="21"/>
        <v>0.77890717845036628</v>
      </c>
    </row>
    <row r="73" spans="3:19" x14ac:dyDescent="0.35">
      <c r="C73" t="str">
        <f t="shared" si="13"/>
        <v/>
      </c>
      <c r="I73">
        <f t="shared" ca="1" si="14"/>
        <v>6.8420197977492481E-3</v>
      </c>
      <c r="J73">
        <f t="shared" ca="1" si="15"/>
        <v>-0.10817783578158174</v>
      </c>
      <c r="L73">
        <f t="shared" ca="1" si="16"/>
        <v>7.2572879187616252E-3</v>
      </c>
      <c r="M73">
        <f t="shared" ca="1" si="17"/>
        <v>0.17273191120083048</v>
      </c>
      <c r="O73">
        <f t="shared" ca="1" si="18"/>
        <v>3.7684520678781683E-2</v>
      </c>
      <c r="P73">
        <f t="shared" ca="1" si="19"/>
        <v>-0.3578833122649891</v>
      </c>
      <c r="R73">
        <f t="shared" ca="1" si="20"/>
        <v>3.3297036463238984E-2</v>
      </c>
      <c r="S73">
        <f t="shared" ca="1" si="21"/>
        <v>0.78051314681922324</v>
      </c>
    </row>
    <row r="74" spans="3:19" x14ac:dyDescent="0.35">
      <c r="C74" t="str">
        <f t="shared" si="13"/>
        <v/>
      </c>
      <c r="I74">
        <f t="shared" ca="1" si="14"/>
        <v>6.8213617590230742E-3</v>
      </c>
      <c r="J74">
        <f t="shared" ca="1" si="15"/>
        <v>-0.10601663288459207</v>
      </c>
      <c r="L74">
        <f t="shared" ca="1" si="16"/>
        <v>7.2094067476579735E-3</v>
      </c>
      <c r="M74">
        <f t="shared" ca="1" si="17"/>
        <v>0.16552945586507306</v>
      </c>
      <c r="O74">
        <f t="shared" ca="1" si="18"/>
        <v>3.6352839125615113E-2</v>
      </c>
      <c r="P74">
        <f t="shared" ca="1" si="19"/>
        <v>-0.35453056304528513</v>
      </c>
      <c r="R74">
        <f t="shared" ca="1" si="20"/>
        <v>3.3795409043248986E-2</v>
      </c>
      <c r="S74">
        <f t="shared" ca="1" si="21"/>
        <v>0.78211911518808019</v>
      </c>
    </row>
    <row r="75" spans="3:19" x14ac:dyDescent="0.35">
      <c r="C75" t="str">
        <f t="shared" si="13"/>
        <v/>
      </c>
      <c r="I75">
        <f t="shared" ca="1" si="14"/>
        <v>6.8014039927960929E-3</v>
      </c>
      <c r="J75">
        <f t="shared" ca="1" si="15"/>
        <v>-0.10385542998760242</v>
      </c>
      <c r="L75">
        <f t="shared" ca="1" si="16"/>
        <v>7.1631486671002087E-3</v>
      </c>
      <c r="M75">
        <f t="shared" ca="1" si="17"/>
        <v>0.1583270005293157</v>
      </c>
      <c r="O75">
        <f t="shared" ca="1" si="18"/>
        <v>3.5049259890774086E-2</v>
      </c>
      <c r="P75">
        <f t="shared" ca="1" si="19"/>
        <v>-0.35117781382558111</v>
      </c>
      <c r="R75">
        <f t="shared" ca="1" si="20"/>
        <v>3.4300229459263448E-2</v>
      </c>
      <c r="S75">
        <f t="shared" ca="1" si="21"/>
        <v>0.78372508355693726</v>
      </c>
    </row>
    <row r="76" spans="3:19" x14ac:dyDescent="0.35">
      <c r="C76" t="str">
        <f t="shared" si="13"/>
        <v/>
      </c>
      <c r="I76">
        <f t="shared" ca="1" si="14"/>
        <v>6.7821464990683042E-3</v>
      </c>
      <c r="J76">
        <f t="shared" ca="1" si="15"/>
        <v>-0.10169422709061274</v>
      </c>
      <c r="L76">
        <f t="shared" ca="1" si="16"/>
        <v>7.1185136770883289E-3</v>
      </c>
      <c r="M76">
        <f t="shared" ca="1" si="17"/>
        <v>0.15112454519355822</v>
      </c>
      <c r="O76">
        <f t="shared" ca="1" si="18"/>
        <v>3.377378297425862E-2</v>
      </c>
      <c r="P76">
        <f t="shared" ca="1" si="19"/>
        <v>-0.34782506460587709</v>
      </c>
      <c r="R76">
        <f t="shared" ca="1" si="20"/>
        <v>3.4811497711282301E-2</v>
      </c>
      <c r="S76">
        <f t="shared" ca="1" si="21"/>
        <v>0.78533105192579422</v>
      </c>
    </row>
    <row r="77" spans="3:19" x14ac:dyDescent="0.35">
      <c r="C77" t="str">
        <f t="shared" si="13"/>
        <v/>
      </c>
      <c r="I77">
        <f t="shared" ca="1" si="14"/>
        <v>6.7635892778397074E-3</v>
      </c>
      <c r="J77">
        <f t="shared" ca="1" si="15"/>
        <v>-9.953302419362306E-2</v>
      </c>
      <c r="L77">
        <f t="shared" ca="1" si="16"/>
        <v>7.0755017776223377E-3</v>
      </c>
      <c r="M77">
        <f t="shared" ca="1" si="17"/>
        <v>0.14392208985780086</v>
      </c>
      <c r="O77">
        <f t="shared" ca="1" si="18"/>
        <v>3.2526408376068724E-2</v>
      </c>
      <c r="P77">
        <f t="shared" ca="1" si="19"/>
        <v>-0.34447231538617307</v>
      </c>
      <c r="R77">
        <f t="shared" ca="1" si="20"/>
        <v>3.5329213799305571E-2</v>
      </c>
      <c r="S77">
        <f t="shared" ca="1" si="21"/>
        <v>0.78693702029465118</v>
      </c>
    </row>
    <row r="78" spans="3:19" x14ac:dyDescent="0.35">
      <c r="C78" t="str">
        <f t="shared" si="13"/>
        <v/>
      </c>
      <c r="I78">
        <f t="shared" ca="1" si="14"/>
        <v>6.7457323291103032E-3</v>
      </c>
      <c r="J78">
        <f t="shared" ca="1" si="15"/>
        <v>-9.737182129663341E-2</v>
      </c>
      <c r="L78">
        <f t="shared" ca="1" si="16"/>
        <v>7.0341129687022316E-3</v>
      </c>
      <c r="M78">
        <f t="shared" ca="1" si="17"/>
        <v>0.13671963452204339</v>
      </c>
      <c r="O78">
        <f t="shared" ca="1" si="18"/>
        <v>3.1307136096204405E-2</v>
      </c>
      <c r="P78">
        <f t="shared" ca="1" si="19"/>
        <v>-0.3411195661664691</v>
      </c>
      <c r="R78">
        <f t="shared" ca="1" si="20"/>
        <v>3.5853377723333302E-2</v>
      </c>
      <c r="S78">
        <f t="shared" ca="1" si="21"/>
        <v>0.78854298866350825</v>
      </c>
    </row>
    <row r="79" spans="3:19" x14ac:dyDescent="0.35">
      <c r="C79" t="str">
        <f t="shared" si="13"/>
        <v/>
      </c>
      <c r="I79">
        <f t="shared" ca="1" si="14"/>
        <v>6.7285756528800908E-3</v>
      </c>
      <c r="J79">
        <f t="shared" ca="1" si="15"/>
        <v>-9.5210618399643732E-2</v>
      </c>
      <c r="L79">
        <f t="shared" ca="1" si="16"/>
        <v>6.9943472503280132E-3</v>
      </c>
      <c r="M79">
        <f t="shared" ca="1" si="17"/>
        <v>0.12951717918628614</v>
      </c>
      <c r="O79">
        <f t="shared" ca="1" si="18"/>
        <v>3.0115966134665641E-2</v>
      </c>
      <c r="P79">
        <f t="shared" ca="1" si="19"/>
        <v>-0.33776681694676508</v>
      </c>
      <c r="R79">
        <f t="shared" ca="1" si="20"/>
        <v>3.6383989483365423E-2</v>
      </c>
      <c r="S79">
        <f t="shared" ca="1" si="21"/>
        <v>0.79014895703236521</v>
      </c>
    </row>
    <row r="80" spans="3:19" x14ac:dyDescent="0.35">
      <c r="C80" t="str">
        <f t="shared" si="13"/>
        <v/>
      </c>
      <c r="I80">
        <f t="shared" ca="1" si="14"/>
        <v>6.7121192491490711E-3</v>
      </c>
      <c r="J80">
        <f t="shared" ca="1" si="15"/>
        <v>-9.3049415502654054E-2</v>
      </c>
      <c r="L80">
        <f t="shared" ca="1" si="16"/>
        <v>6.95620462249968E-3</v>
      </c>
      <c r="M80">
        <f t="shared" ca="1" si="17"/>
        <v>0.12231472385052866</v>
      </c>
      <c r="O80">
        <f t="shared" ca="1" si="18"/>
        <v>2.8952898491452453E-2</v>
      </c>
      <c r="P80">
        <f t="shared" ca="1" si="19"/>
        <v>-0.33441406772706112</v>
      </c>
      <c r="R80">
        <f t="shared" ca="1" si="20"/>
        <v>3.6921049079401955E-2</v>
      </c>
      <c r="S80">
        <f t="shared" ca="1" si="21"/>
        <v>0.79175492540122216</v>
      </c>
    </row>
    <row r="81" spans="3:19" x14ac:dyDescent="0.35">
      <c r="C81" t="str">
        <f t="shared" si="13"/>
        <v/>
      </c>
      <c r="I81">
        <f t="shared" ca="1" si="14"/>
        <v>6.696363117917244E-3</v>
      </c>
      <c r="J81">
        <f t="shared" ca="1" si="15"/>
        <v>-9.0888212605664376E-2</v>
      </c>
      <c r="L81">
        <f t="shared" ca="1" si="16"/>
        <v>6.9196850852172344E-3</v>
      </c>
      <c r="M81">
        <f t="shared" ca="1" si="17"/>
        <v>0.1151122685147713</v>
      </c>
      <c r="O81">
        <f t="shared" ca="1" si="18"/>
        <v>2.7817933166564817E-2</v>
      </c>
      <c r="P81">
        <f t="shared" ca="1" si="19"/>
        <v>-0.33106131850735709</v>
      </c>
      <c r="R81">
        <f t="shared" ca="1" si="20"/>
        <v>3.7464556511442926E-2</v>
      </c>
      <c r="S81">
        <f t="shared" ca="1" si="21"/>
        <v>0.79336089377007912</v>
      </c>
    </row>
    <row r="82" spans="3:19" x14ac:dyDescent="0.35">
      <c r="C82" t="str">
        <f t="shared" si="13"/>
        <v/>
      </c>
      <c r="I82">
        <f t="shared" ca="1" si="14"/>
        <v>6.6813072591846096E-3</v>
      </c>
      <c r="J82">
        <f t="shared" ca="1" si="15"/>
        <v>-8.8727009708674726E-2</v>
      </c>
      <c r="L82">
        <f t="shared" ca="1" si="16"/>
        <v>6.8847886384806739E-3</v>
      </c>
      <c r="M82">
        <f t="shared" ca="1" si="17"/>
        <v>0.10790981317901382</v>
      </c>
      <c r="O82">
        <f t="shared" ca="1" si="18"/>
        <v>2.6711070160002737E-2</v>
      </c>
      <c r="P82">
        <f t="shared" ca="1" si="19"/>
        <v>-0.32770856928765307</v>
      </c>
      <c r="R82">
        <f t="shared" ca="1" si="20"/>
        <v>3.8014511779488315E-2</v>
      </c>
      <c r="S82">
        <f t="shared" ca="1" si="21"/>
        <v>0.79496686213893608</v>
      </c>
    </row>
    <row r="83" spans="3:19" x14ac:dyDescent="0.35">
      <c r="C83" t="str">
        <f t="shared" si="13"/>
        <v/>
      </c>
      <c r="I83">
        <f t="shared" ca="1" si="14"/>
        <v>6.6669516729511661E-3</v>
      </c>
      <c r="J83">
        <f t="shared" ca="1" si="15"/>
        <v>-8.6565806811685048E-2</v>
      </c>
      <c r="L83">
        <f t="shared" ca="1" si="16"/>
        <v>6.8515152822900011E-3</v>
      </c>
      <c r="M83">
        <f t="shared" ca="1" si="17"/>
        <v>0.10070735784325646</v>
      </c>
      <c r="O83">
        <f t="shared" ca="1" si="18"/>
        <v>2.5632309471766236E-2</v>
      </c>
      <c r="P83">
        <f t="shared" ca="1" si="19"/>
        <v>-0.32435582006794905</v>
      </c>
      <c r="R83">
        <f t="shared" ca="1" si="20"/>
        <v>3.8570914883538115E-2</v>
      </c>
      <c r="S83">
        <f t="shared" ca="1" si="21"/>
        <v>0.79657283050779304</v>
      </c>
    </row>
    <row r="84" spans="3:19" x14ac:dyDescent="0.35">
      <c r="C84" t="str">
        <f t="shared" si="13"/>
        <v/>
      </c>
      <c r="I84">
        <f t="shared" ca="1" si="14"/>
        <v>6.6532963592169161E-3</v>
      </c>
      <c r="J84">
        <f t="shared" ca="1" si="15"/>
        <v>-8.440460391469537E-2</v>
      </c>
      <c r="L84">
        <f t="shared" ca="1" si="16"/>
        <v>6.8198650166452143E-3</v>
      </c>
      <c r="M84">
        <f t="shared" ca="1" si="17"/>
        <v>9.3504902507498988E-2</v>
      </c>
      <c r="O84">
        <f t="shared" ca="1" si="18"/>
        <v>2.4581651101855301E-2</v>
      </c>
      <c r="P84">
        <f t="shared" ca="1" si="19"/>
        <v>-0.32100307084824509</v>
      </c>
      <c r="R84">
        <f t="shared" ca="1" si="20"/>
        <v>3.9133765823592397E-2</v>
      </c>
      <c r="S84">
        <f t="shared" ca="1" si="21"/>
        <v>0.79817879887665011</v>
      </c>
    </row>
    <row r="85" spans="3:19" x14ac:dyDescent="0.35">
      <c r="C85" t="str">
        <f t="shared" si="13"/>
        <v/>
      </c>
      <c r="I85">
        <f t="shared" ca="1" si="14"/>
        <v>6.640341317981858E-3</v>
      </c>
      <c r="J85">
        <f t="shared" ca="1" si="15"/>
        <v>-8.2243401017705692E-2</v>
      </c>
      <c r="L85">
        <f t="shared" ca="1" si="16"/>
        <v>6.7898378415463135E-3</v>
      </c>
      <c r="M85">
        <f t="shared" ca="1" si="17"/>
        <v>8.6302447171741625E-2</v>
      </c>
      <c r="O85">
        <f t="shared" ca="1" si="18"/>
        <v>2.3559095050269926E-2</v>
      </c>
      <c r="P85">
        <f t="shared" ca="1" si="19"/>
        <v>-0.31765032162854107</v>
      </c>
      <c r="R85">
        <f t="shared" ca="1" si="20"/>
        <v>3.970306459965104E-2</v>
      </c>
      <c r="S85">
        <f t="shared" ca="1" si="21"/>
        <v>0.79978476724550707</v>
      </c>
    </row>
    <row r="86" spans="3:19" x14ac:dyDescent="0.35">
      <c r="C86" t="str">
        <f t="shared" si="13"/>
        <v/>
      </c>
      <c r="I86">
        <f t="shared" ca="1" si="14"/>
        <v>6.6280865492459925E-3</v>
      </c>
      <c r="J86">
        <f t="shared" ca="1" si="15"/>
        <v>-8.0082198120716014E-2</v>
      </c>
      <c r="L86">
        <f t="shared" ca="1" si="16"/>
        <v>6.7614337569933004E-3</v>
      </c>
      <c r="M86">
        <f t="shared" ca="1" si="17"/>
        <v>7.9099991835984262E-2</v>
      </c>
      <c r="O86">
        <f t="shared" ca="1" si="18"/>
        <v>2.2564641317010123E-2</v>
      </c>
      <c r="P86">
        <f t="shared" ca="1" si="19"/>
        <v>-0.3142975724088371</v>
      </c>
      <c r="R86">
        <f t="shared" ca="1" si="20"/>
        <v>4.0278811211714123E-2</v>
      </c>
      <c r="S86">
        <f t="shared" ca="1" si="21"/>
        <v>0.80139073561436402</v>
      </c>
    </row>
    <row r="87" spans="3:19" x14ac:dyDescent="0.35">
      <c r="C87" t="str">
        <f t="shared" si="13"/>
        <v/>
      </c>
      <c r="I87">
        <f t="shared" ca="1" si="14"/>
        <v>6.6165320530093188E-3</v>
      </c>
      <c r="J87">
        <f t="shared" ca="1" si="15"/>
        <v>-7.7920995223726364E-2</v>
      </c>
      <c r="L87">
        <f t="shared" ca="1" si="16"/>
        <v>6.7346527629861732E-3</v>
      </c>
      <c r="M87">
        <f t="shared" ca="1" si="17"/>
        <v>7.1897536500226789E-2</v>
      </c>
      <c r="O87">
        <f t="shared" ca="1" si="18"/>
        <v>2.1598289902075872E-2</v>
      </c>
      <c r="P87">
        <f t="shared" ca="1" si="19"/>
        <v>-0.31094482318913308</v>
      </c>
      <c r="R87">
        <f t="shared" ca="1" si="20"/>
        <v>4.0861005659781666E-2</v>
      </c>
      <c r="S87">
        <f t="shared" ca="1" si="21"/>
        <v>0.80299670398322109</v>
      </c>
    </row>
    <row r="88" spans="3:19" x14ac:dyDescent="0.35">
      <c r="C88" t="str">
        <f t="shared" si="13"/>
        <v/>
      </c>
      <c r="I88">
        <f t="shared" ca="1" si="14"/>
        <v>6.6056778292718377E-3</v>
      </c>
      <c r="J88">
        <f t="shared" ca="1" si="15"/>
        <v>-7.5759792326736686E-2</v>
      </c>
      <c r="L88">
        <f t="shared" ca="1" si="16"/>
        <v>6.709494859524932E-3</v>
      </c>
      <c r="M88">
        <f t="shared" ca="1" si="17"/>
        <v>6.4695081164469426E-2</v>
      </c>
      <c r="O88">
        <f t="shared" ca="1" si="18"/>
        <v>2.066004080546718E-2</v>
      </c>
      <c r="P88">
        <f t="shared" ca="1" si="19"/>
        <v>-0.30759207396942906</v>
      </c>
      <c r="R88">
        <f t="shared" ca="1" si="20"/>
        <v>4.1449647943853592E-2</v>
      </c>
      <c r="S88">
        <f t="shared" ca="1" si="21"/>
        <v>0.80460267235207805</v>
      </c>
    </row>
    <row r="89" spans="3:19" x14ac:dyDescent="0.35">
      <c r="C89" t="str">
        <f t="shared" si="13"/>
        <v/>
      </c>
      <c r="I89">
        <f t="shared" ca="1" si="14"/>
        <v>6.5955238780335494E-3</v>
      </c>
      <c r="J89">
        <f t="shared" ca="1" si="15"/>
        <v>-7.3598589429747008E-2</v>
      </c>
      <c r="L89">
        <f t="shared" ca="1" si="16"/>
        <v>6.6859600466095776E-3</v>
      </c>
      <c r="M89">
        <f t="shared" ca="1" si="17"/>
        <v>5.7492625828711952E-2</v>
      </c>
      <c r="O89">
        <f t="shared" ca="1" si="18"/>
        <v>1.9749894027184078E-2</v>
      </c>
      <c r="P89">
        <f t="shared" ca="1" si="19"/>
        <v>-0.30423932474972509</v>
      </c>
      <c r="R89">
        <f t="shared" ca="1" si="20"/>
        <v>4.2044738063929936E-2</v>
      </c>
      <c r="S89">
        <f t="shared" ca="1" si="21"/>
        <v>0.80620864072093501</v>
      </c>
    </row>
    <row r="90" spans="3:19" x14ac:dyDescent="0.35">
      <c r="C90" t="str">
        <f t="shared" si="13"/>
        <v/>
      </c>
      <c r="I90">
        <f t="shared" ca="1" si="14"/>
        <v>6.5860701992944528E-3</v>
      </c>
      <c r="J90">
        <f t="shared" ca="1" si="15"/>
        <v>-7.143738653275733E-2</v>
      </c>
      <c r="L90">
        <f t="shared" ca="1" si="16"/>
        <v>6.6640483242401101E-3</v>
      </c>
      <c r="M90">
        <f t="shared" ca="1" si="17"/>
        <v>5.0290170492954589E-2</v>
      </c>
      <c r="O90">
        <f t="shared" ca="1" si="18"/>
        <v>1.8867849567226515E-2</v>
      </c>
      <c r="P90">
        <f t="shared" ca="1" si="19"/>
        <v>-0.30088657553002107</v>
      </c>
      <c r="R90">
        <f t="shared" ca="1" si="20"/>
        <v>4.2646276020010698E-2</v>
      </c>
      <c r="S90">
        <f t="shared" ca="1" si="21"/>
        <v>0.80781460908979197</v>
      </c>
    </row>
    <row r="91" spans="3:19" x14ac:dyDescent="0.35">
      <c r="C91" t="str">
        <f t="shared" si="13"/>
        <v/>
      </c>
      <c r="I91">
        <f t="shared" ca="1" si="14"/>
        <v>6.5773167930545488E-3</v>
      </c>
      <c r="J91">
        <f t="shared" ca="1" si="15"/>
        <v>-6.9276183635767652E-2</v>
      </c>
      <c r="L91">
        <f t="shared" ca="1" si="16"/>
        <v>6.6437596924165294E-3</v>
      </c>
      <c r="M91">
        <f t="shared" ca="1" si="17"/>
        <v>4.3087715157197115E-2</v>
      </c>
      <c r="O91">
        <f t="shared" ca="1" si="18"/>
        <v>1.8013907425594521E-2</v>
      </c>
      <c r="P91">
        <f t="shared" ca="1" si="19"/>
        <v>-0.29753382631031705</v>
      </c>
      <c r="R91">
        <f t="shared" ca="1" si="20"/>
        <v>4.3254261812095893E-2</v>
      </c>
      <c r="S91">
        <f t="shared" ca="1" si="21"/>
        <v>0.80942057745864893</v>
      </c>
    </row>
    <row r="92" spans="3:19" x14ac:dyDescent="0.35">
      <c r="C92" t="str">
        <f t="shared" si="13"/>
        <v/>
      </c>
      <c r="I92">
        <f t="shared" ca="1" si="14"/>
        <v>6.5692636593138367E-3</v>
      </c>
      <c r="J92">
        <f t="shared" ca="1" si="15"/>
        <v>-6.7114980738777974E-2</v>
      </c>
      <c r="L92">
        <f t="shared" ca="1" si="16"/>
        <v>6.6250941511388347E-3</v>
      </c>
      <c r="M92">
        <f t="shared" ca="1" si="17"/>
        <v>3.5885259821439752E-2</v>
      </c>
      <c r="O92">
        <f t="shared" ca="1" si="18"/>
        <v>1.7188067602288096E-2</v>
      </c>
      <c r="P92">
        <f t="shared" ca="1" si="19"/>
        <v>-0.29418107709061303</v>
      </c>
      <c r="R92">
        <f t="shared" ca="1" si="20"/>
        <v>4.3868695440185505E-2</v>
      </c>
      <c r="S92">
        <f t="shared" ca="1" si="21"/>
        <v>0.81102654582750588</v>
      </c>
    </row>
    <row r="93" spans="3:19" x14ac:dyDescent="0.35">
      <c r="C93" t="str">
        <f t="shared" si="13"/>
        <v/>
      </c>
      <c r="I93">
        <f t="shared" ca="1" si="14"/>
        <v>6.5619107980723181E-3</v>
      </c>
      <c r="J93">
        <f t="shared" ca="1" si="15"/>
        <v>-6.4953777841788352E-2</v>
      </c>
      <c r="L93">
        <f t="shared" ca="1" si="16"/>
        <v>6.608051700407026E-3</v>
      </c>
      <c r="M93">
        <f t="shared" ca="1" si="17"/>
        <v>2.8682804485682389E-2</v>
      </c>
      <c r="O93">
        <f t="shared" ca="1" si="18"/>
        <v>1.639033009730724E-2</v>
      </c>
      <c r="P93">
        <f t="shared" ca="1" si="19"/>
        <v>-0.29082832787090906</v>
      </c>
      <c r="R93">
        <f t="shared" ca="1" si="20"/>
        <v>4.4489576904279585E-2</v>
      </c>
      <c r="S93">
        <f t="shared" ca="1" si="21"/>
        <v>0.81263251419636295</v>
      </c>
    </row>
    <row r="94" spans="3:19" x14ac:dyDescent="0.35">
      <c r="C94" t="str">
        <f t="shared" si="13"/>
        <v/>
      </c>
      <c r="I94">
        <f t="shared" ca="1" si="14"/>
        <v>6.5552582093299904E-3</v>
      </c>
      <c r="J94">
        <f t="shared" ca="1" si="15"/>
        <v>-6.2792574944798674E-2</v>
      </c>
      <c r="L94">
        <f t="shared" ca="1" si="16"/>
        <v>6.5926323402211041E-3</v>
      </c>
      <c r="M94">
        <f t="shared" ca="1" si="17"/>
        <v>2.1480349149924916E-2</v>
      </c>
      <c r="O94">
        <f t="shared" ca="1" si="18"/>
        <v>1.5620694910651945E-2</v>
      </c>
      <c r="P94">
        <f t="shared" ca="1" si="19"/>
        <v>-0.28747557865120504</v>
      </c>
      <c r="R94">
        <f t="shared" ca="1" si="20"/>
        <v>4.5116906204378047E-2</v>
      </c>
      <c r="S94">
        <f t="shared" ca="1" si="21"/>
        <v>0.81423848256521991</v>
      </c>
    </row>
    <row r="95" spans="3:19" x14ac:dyDescent="0.35">
      <c r="C95" t="str">
        <f t="shared" si="13"/>
        <v/>
      </c>
      <c r="I95">
        <f t="shared" ca="1" si="14"/>
        <v>6.5493058930868563E-3</v>
      </c>
      <c r="J95">
        <f t="shared" ca="1" si="15"/>
        <v>-6.0631372047808996E-2</v>
      </c>
      <c r="L95">
        <f t="shared" ca="1" si="16"/>
        <v>6.578836070581069E-3</v>
      </c>
      <c r="M95">
        <f t="shared" ca="1" si="17"/>
        <v>1.4277893814167553E-2</v>
      </c>
      <c r="O95">
        <f t="shared" ca="1" si="18"/>
        <v>1.4879162042322208E-2</v>
      </c>
      <c r="P95">
        <f t="shared" ca="1" si="19"/>
        <v>-0.28412282943150102</v>
      </c>
      <c r="R95">
        <f t="shared" ca="1" si="20"/>
        <v>4.5750683340480935E-2</v>
      </c>
      <c r="S95">
        <f t="shared" ca="1" si="21"/>
        <v>0.81584445093407687</v>
      </c>
    </row>
    <row r="96" spans="3:19" x14ac:dyDescent="0.35">
      <c r="C96" t="str">
        <f t="shared" si="13"/>
        <v/>
      </c>
      <c r="I96">
        <f t="shared" ca="1" si="14"/>
        <v>6.544053849342913E-3</v>
      </c>
      <c r="J96">
        <f t="shared" ca="1" si="15"/>
        <v>-5.8470169150819318E-2</v>
      </c>
      <c r="L96">
        <f t="shared" ca="1" si="16"/>
        <v>6.5666628914869208E-3</v>
      </c>
      <c r="M96">
        <f t="shared" ca="1" si="17"/>
        <v>7.0754384784100788E-3</v>
      </c>
      <c r="O96">
        <f t="shared" ca="1" si="18"/>
        <v>1.4165731492318053E-2</v>
      </c>
      <c r="P96">
        <f t="shared" ca="1" si="19"/>
        <v>-0.28077008021179706</v>
      </c>
      <c r="R96">
        <f t="shared" ca="1" si="20"/>
        <v>4.6390908312588276E-2</v>
      </c>
      <c r="S96">
        <f t="shared" ca="1" si="21"/>
        <v>0.81745041930293394</v>
      </c>
    </row>
    <row r="97" spans="3:19" x14ac:dyDescent="0.35">
      <c r="C97" t="str">
        <f t="shared" si="13"/>
        <v/>
      </c>
      <c r="I97">
        <f t="shared" ca="1" si="14"/>
        <v>6.5395020780981633E-3</v>
      </c>
      <c r="J97">
        <f t="shared" ca="1" si="15"/>
        <v>-5.630896625382964E-2</v>
      </c>
      <c r="L97">
        <f t="shared" ca="1" si="16"/>
        <v>6.5561128029386585E-3</v>
      </c>
      <c r="M97">
        <f t="shared" ca="1" si="17"/>
        <v>-1.2701685734728407E-4</v>
      </c>
      <c r="O97">
        <f t="shared" ca="1" si="18"/>
        <v>1.3480403260639444E-2</v>
      </c>
      <c r="P97">
        <f t="shared" ca="1" si="19"/>
        <v>-0.27741733099209304</v>
      </c>
      <c r="R97">
        <f t="shared" ca="1" si="20"/>
        <v>4.7037581120700007E-2</v>
      </c>
      <c r="S97">
        <f t="shared" ca="1" si="21"/>
        <v>0.8190563876717909</v>
      </c>
    </row>
    <row r="98" spans="3:19" x14ac:dyDescent="0.35">
      <c r="C98" t="str">
        <f t="shared" si="13"/>
        <v/>
      </c>
      <c r="I98">
        <f t="shared" ca="1" si="14"/>
        <v>6.5356505793526054E-3</v>
      </c>
      <c r="J98">
        <f t="shared" ca="1" si="15"/>
        <v>-5.414776335683999E-2</v>
      </c>
      <c r="L98">
        <f t="shared" ca="1" si="16"/>
        <v>6.5471858049362831E-3</v>
      </c>
      <c r="M98">
        <f t="shared" ca="1" si="17"/>
        <v>-7.3294721931046469E-3</v>
      </c>
      <c r="O98">
        <f t="shared" ca="1" si="18"/>
        <v>1.2823177347286418E-2</v>
      </c>
      <c r="P98">
        <f t="shared" ca="1" si="19"/>
        <v>-0.27406458177238907</v>
      </c>
      <c r="R98">
        <f t="shared" ca="1" si="20"/>
        <v>4.7690701764816164E-2</v>
      </c>
      <c r="S98">
        <f t="shared" ca="1" si="21"/>
        <v>0.82066235604064786</v>
      </c>
    </row>
    <row r="99" spans="3:19" x14ac:dyDescent="0.35">
      <c r="C99" t="str">
        <f t="shared" si="13"/>
        <v/>
      </c>
      <c r="I99">
        <f t="shared" ca="1" si="14"/>
        <v>6.5324993531062402E-3</v>
      </c>
      <c r="J99">
        <f t="shared" ca="1" si="15"/>
        <v>-5.1986560459850312E-2</v>
      </c>
      <c r="L99">
        <f t="shared" ca="1" si="16"/>
        <v>6.5398818974797936E-3</v>
      </c>
      <c r="M99">
        <f t="shared" ca="1" si="17"/>
        <v>-1.4531927528862121E-2</v>
      </c>
      <c r="O99">
        <f t="shared" ca="1" si="18"/>
        <v>1.2194053752258939E-2</v>
      </c>
      <c r="P99">
        <f t="shared" ca="1" si="19"/>
        <v>-0.27071183255268505</v>
      </c>
      <c r="R99">
        <f t="shared" ca="1" si="20"/>
        <v>4.8350270244936731E-2</v>
      </c>
      <c r="S99">
        <f t="shared" ca="1" si="21"/>
        <v>0.82226832440950481</v>
      </c>
    </row>
    <row r="100" spans="3:19" x14ac:dyDescent="0.35">
      <c r="C100" t="str">
        <f t="shared" si="13"/>
        <v/>
      </c>
      <c r="I100">
        <f t="shared" ca="1" si="14"/>
        <v>6.5300483993590668E-3</v>
      </c>
      <c r="J100">
        <f t="shared" ca="1" si="15"/>
        <v>-4.9825357562860634E-2</v>
      </c>
      <c r="L100">
        <f t="shared" ca="1" si="16"/>
        <v>6.534201080569191E-3</v>
      </c>
      <c r="M100">
        <f t="shared" ca="1" si="17"/>
        <v>-2.1734382864619484E-2</v>
      </c>
      <c r="O100">
        <f t="shared" ca="1" si="18"/>
        <v>1.1593032475557031E-2</v>
      </c>
      <c r="P100">
        <f t="shared" ca="1" si="19"/>
        <v>-0.26735908333298103</v>
      </c>
      <c r="R100">
        <f t="shared" ca="1" si="20"/>
        <v>4.9016286561061731E-2</v>
      </c>
      <c r="S100">
        <f t="shared" ca="1" si="21"/>
        <v>0.82387429277836177</v>
      </c>
    </row>
    <row r="101" spans="3:19" x14ac:dyDescent="0.35">
      <c r="C101" t="str">
        <f t="shared" si="13"/>
        <v/>
      </c>
      <c r="I101">
        <f t="shared" ca="1" si="14"/>
        <v>6.528297718111086E-3</v>
      </c>
      <c r="J101">
        <f ca="1">$G$9 + ($G$6 - $G$9) * (ROW(B98)-1)/99</f>
        <v>-4.7664154665870956E-2</v>
      </c>
      <c r="L101">
        <f t="shared" ca="1" si="16"/>
        <v>6.5301433542044743E-3</v>
      </c>
      <c r="M101">
        <f t="shared" ca="1" si="17"/>
        <v>-2.8936838200376958E-2</v>
      </c>
      <c r="O101">
        <f t="shared" ca="1" si="18"/>
        <v>1.1020113517180682E-2</v>
      </c>
      <c r="P101">
        <f ca="1">$G$26 + ($G$9 - $G$26) * (ROW(B98)-1)/99</f>
        <v>-0.26400633411327701</v>
      </c>
      <c r="R101">
        <f t="shared" ca="1" si="20"/>
        <v>4.9688750713191149E-2</v>
      </c>
      <c r="S101">
        <f ca="1">$G$13 + ($G$25 - $G$13) * (ROW(B98)-1)/99</f>
        <v>0.82548026114721873</v>
      </c>
    </row>
    <row r="102" spans="3:19" x14ac:dyDescent="0.35">
      <c r="C102" t="str">
        <f t="shared" si="13"/>
        <v/>
      </c>
      <c r="I102">
        <f t="shared" ca="1" si="14"/>
        <v>6.5272473093622978E-3</v>
      </c>
      <c r="J102">
        <f ca="1">$G$9 + ($G$6 - $G$9) * (ROW(B99)-1)/99</f>
        <v>-4.5502951768881278E-2</v>
      </c>
      <c r="L102">
        <f t="shared" ca="1" si="16"/>
        <v>6.5277087183856445E-3</v>
      </c>
      <c r="M102">
        <f t="shared" ca="1" si="17"/>
        <v>-3.6139293536134209E-2</v>
      </c>
      <c r="O102">
        <f t="shared" ca="1" si="18"/>
        <v>1.0475296877129912E-2</v>
      </c>
      <c r="P102">
        <f ca="1">$G$26 + ($G$9 - $G$26) * (ROW(B99)-1)/99</f>
        <v>-0.26065358489357304</v>
      </c>
      <c r="R102">
        <f t="shared" ca="1" si="20"/>
        <v>5.036766270132504E-2</v>
      </c>
      <c r="S102">
        <f ca="1">$G$13 + ($G$25 - $G$13) * (ROW(B99)-1)/99</f>
        <v>0.8270862295160758</v>
      </c>
    </row>
    <row r="103" spans="3:19" x14ac:dyDescent="0.35">
      <c r="C103" t="str">
        <f t="shared" si="13"/>
        <v/>
      </c>
      <c r="I103">
        <f t="shared" ca="1" si="14"/>
        <v>6.5268971731127015E-3</v>
      </c>
      <c r="J103">
        <f ca="1">$G$9 + ($G$6 - $G$9) * (ROW(B100)-1)/99</f>
        <v>-4.3341748871891655E-2</v>
      </c>
      <c r="L103">
        <f t="shared" ca="1" si="16"/>
        <v>6.5268971731127015E-3</v>
      </c>
      <c r="M103">
        <f t="shared" ca="1" si="17"/>
        <v>-4.3341748871891794E-2</v>
      </c>
      <c r="O103">
        <f t="shared" ca="1" si="18"/>
        <v>9.9585825554046915E-3</v>
      </c>
      <c r="P103">
        <f ca="1">$G$26 + ($G$9 - $G$26) * (ROW(B100)-1)/99</f>
        <v>-0.25730083567386902</v>
      </c>
      <c r="R103">
        <f t="shared" ca="1" si="20"/>
        <v>5.1053022525463308E-2</v>
      </c>
      <c r="S103">
        <f ca="1">$G$13 + ($G$25 - $G$13) * (ROW(B100)-1)/99</f>
        <v>0.82869219788493276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H19" sqref="H19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8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8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8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8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8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8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8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343</v>
      </c>
      <c r="C15" t="s">
        <v>343</v>
      </c>
      <c r="D15" t="s">
        <v>344</v>
      </c>
      <c r="E15" t="s">
        <v>343</v>
      </c>
      <c r="F15" t="s">
        <v>344</v>
      </c>
      <c r="G15" t="s">
        <v>344</v>
      </c>
      <c r="I15" t="s">
        <v>344</v>
      </c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I18" s="18">
        <v>0</v>
      </c>
    </row>
    <row r="19" spans="1:9" x14ac:dyDescent="0.35">
      <c r="A19" t="s">
        <v>342</v>
      </c>
      <c r="B19" s="18">
        <v>7.6E-3</v>
      </c>
      <c r="C19" s="18">
        <v>-1E-3</v>
      </c>
      <c r="D19" s="18">
        <v>0</v>
      </c>
      <c r="E19" s="18">
        <v>-8.9999999999999998E-4</v>
      </c>
      <c r="F19" s="18">
        <v>2.0000000000000001E-9</v>
      </c>
      <c r="G19" s="18">
        <v>3E-11</v>
      </c>
      <c r="I19" s="18">
        <v>0</v>
      </c>
    </row>
    <row r="20" spans="1:9" x14ac:dyDescent="0.35">
      <c r="A20" t="s">
        <v>92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237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236</v>
      </c>
      <c r="B3">
        <v>10</v>
      </c>
      <c r="C3">
        <v>50</v>
      </c>
      <c r="D3">
        <v>10</v>
      </c>
    </row>
    <row r="5" spans="1:31" x14ac:dyDescent="0.35">
      <c r="A5" t="s">
        <v>262</v>
      </c>
    </row>
    <row r="7" spans="1:31" x14ac:dyDescent="0.35">
      <c r="A7" t="s">
        <v>251</v>
      </c>
      <c r="B7" s="6"/>
      <c r="C7" s="40" t="s">
        <v>236</v>
      </c>
      <c r="D7" s="40"/>
      <c r="E7" s="40"/>
      <c r="F7" s="40"/>
      <c r="G7" s="40"/>
      <c r="H7" s="40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41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42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42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42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42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233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236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252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258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232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251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236</v>
      </c>
      <c r="B2">
        <v>40</v>
      </c>
    </row>
    <row r="4" spans="1:10" x14ac:dyDescent="0.35">
      <c r="A4" t="s">
        <v>262</v>
      </c>
    </row>
    <row r="6" spans="1:10" x14ac:dyDescent="0.35">
      <c r="A6" s="7" t="s">
        <v>263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252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258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232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251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268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266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43" t="s">
        <v>236</v>
      </c>
      <c r="D8" s="40"/>
      <c r="E8" s="40"/>
      <c r="F8" s="40"/>
      <c r="G8" s="40"/>
      <c r="H8" s="40"/>
      <c r="J8" t="s">
        <v>143</v>
      </c>
      <c r="K8" s="6"/>
      <c r="L8" s="43" t="s">
        <v>236</v>
      </c>
      <c r="M8" s="40"/>
      <c r="N8" s="40"/>
      <c r="O8" s="40"/>
      <c r="P8" s="40"/>
      <c r="Q8" s="40"/>
      <c r="S8" t="s">
        <v>267</v>
      </c>
      <c r="T8" s="6"/>
      <c r="U8" s="43" t="s">
        <v>236</v>
      </c>
      <c r="V8" s="40"/>
      <c r="W8" s="40"/>
      <c r="X8" s="40"/>
      <c r="Y8" s="40"/>
      <c r="Z8" s="40"/>
      <c r="AB8" t="s">
        <v>258</v>
      </c>
      <c r="AC8" s="6"/>
      <c r="AD8" s="43" t="s">
        <v>236</v>
      </c>
      <c r="AE8" s="40"/>
      <c r="AF8" s="40"/>
      <c r="AG8" s="40"/>
      <c r="AH8" s="40"/>
      <c r="AI8" s="40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41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41" t="s">
        <v>56</v>
      </c>
      <c r="K10" s="6">
        <v>0.05</v>
      </c>
      <c r="L10">
        <f t="shared" ref="L10:Q10" si="1">IF(B26="","",B26)</f>
        <v>0.97544448409972417</v>
      </c>
      <c r="M10">
        <f t="shared" si="1"/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41" t="s">
        <v>56</v>
      </c>
      <c r="T10" s="6">
        <v>0.05</v>
      </c>
      <c r="U10">
        <f t="shared" ref="U10:Z10" si="2">IF(B21="","",B21)</f>
        <v>6.4799999999999996E-3</v>
      </c>
      <c r="V10">
        <f t="shared" si="2"/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41" t="s">
        <v>56</v>
      </c>
      <c r="AC10" s="6">
        <v>0.05</v>
      </c>
      <c r="AD10">
        <f t="shared" ref="AD10:AI10" si="3">IF(B23="","",B23)</f>
        <v>8.1566237076445197E-5</v>
      </c>
      <c r="AE10">
        <f t="shared" si="3"/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42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42"/>
      <c r="K11" s="6">
        <v>0.1</v>
      </c>
      <c r="L11">
        <f t="shared" ref="L11:Q11" si="5">IF(K26="","",K26)</f>
        <v>0.98682018123069393</v>
      </c>
      <c r="M11">
        <f t="shared" si="5"/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42"/>
      <c r="T11" s="6">
        <v>0.1</v>
      </c>
      <c r="U11">
        <f t="shared" ref="U11:Z11" si="6">IF(K21="","",K21)</f>
        <v>6.4900000000000001E-3</v>
      </c>
      <c r="V11">
        <f t="shared" si="6"/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42"/>
      <c r="AC11" s="6">
        <v>0.1</v>
      </c>
      <c r="AD11">
        <f t="shared" ref="AD11:AI11" si="7">IF(K23="","",K23)</f>
        <v>8.1566237076445197E-5</v>
      </c>
      <c r="AE11">
        <f t="shared" si="7"/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42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42"/>
      <c r="K12" s="6">
        <v>0.15</v>
      </c>
      <c r="L12">
        <f t="shared" ref="L12:Q12" si="9">IF(T26="","",T26)</f>
        <v>0.99243172227769771</v>
      </c>
      <c r="M12">
        <f t="shared" si="9"/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42"/>
      <c r="T12" s="6">
        <v>0.15</v>
      </c>
      <c r="U12">
        <f t="shared" ref="U12:Z12" si="10">IF(T21="","",T21)</f>
        <v>6.5300000000000002E-3</v>
      </c>
      <c r="V12">
        <f t="shared" si="10"/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42"/>
      <c r="AC12" s="6">
        <v>0.15</v>
      </c>
      <c r="AD12">
        <f t="shared" ref="AD12:AI12" si="11">IF(T23="","",T23)</f>
        <v>8.1566237076445197E-5</v>
      </c>
      <c r="AE12">
        <f t="shared" si="11"/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42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42"/>
      <c r="K13" s="6">
        <v>0.2</v>
      </c>
      <c r="L13">
        <f t="shared" ref="L13:Q13" si="13">IF(AC26="","",AC26)</f>
        <v>0.99541671208492255</v>
      </c>
      <c r="M13">
        <f t="shared" si="13"/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42"/>
      <c r="T13" s="6">
        <v>0.2</v>
      </c>
      <c r="U13">
        <f t="shared" ref="U13:Z13" si="14">IF(AC21="","",AC21)</f>
        <v>6.5100000000000002E-3</v>
      </c>
      <c r="V13">
        <f t="shared" si="14"/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42"/>
      <c r="AC13" s="6">
        <v>0.2</v>
      </c>
      <c r="AD13">
        <f t="shared" ref="AD13:AI13" si="15">IF(AC23="","",AC23)</f>
        <v>8.1566237076445197E-5</v>
      </c>
      <c r="AE13">
        <f t="shared" si="15"/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42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42"/>
      <c r="K14" s="6">
        <v>0.25</v>
      </c>
      <c r="L14">
        <f t="shared" ref="L14:Q14" si="17">IF(AL26="","",AL26)</f>
        <v>0.9967046737433557</v>
      </c>
      <c r="M14">
        <f t="shared" si="17"/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42"/>
      <c r="T14" s="6">
        <v>0.25</v>
      </c>
      <c r="U14">
        <f t="shared" ref="U14:Z14" si="18">IF(AL21="","",AL21)</f>
        <v>6.5799999999999999E-3</v>
      </c>
      <c r="V14">
        <f t="shared" si="18"/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42"/>
      <c r="AC14" s="6">
        <v>0.25</v>
      </c>
      <c r="AD14">
        <f t="shared" ref="AD14:AI14" si="19">IF(AL23="","",AL23)</f>
        <v>8.1566237076445197E-5</v>
      </c>
      <c r="AE14">
        <f t="shared" si="19"/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42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42"/>
      <c r="K15" s="6">
        <v>0.3</v>
      </c>
      <c r="L15">
        <f t="shared" ref="L15:Q15" si="21">IF(AU26="","",AU26)</f>
        <v>0.99677138311178781</v>
      </c>
      <c r="M15">
        <f t="shared" si="21"/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42"/>
      <c r="T15" s="6">
        <v>0.3</v>
      </c>
      <c r="U15">
        <f t="shared" ref="U15:Z15" si="22">IF(AU21="","",AU21)</f>
        <v>6.5399999999999998E-3</v>
      </c>
      <c r="V15">
        <f t="shared" si="22"/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42"/>
      <c r="AC15" s="6">
        <v>0.3</v>
      </c>
      <c r="AD15">
        <f t="shared" ref="AD15:AI15" si="23">IF(AU23="","",AU23)</f>
        <v>8.1566237076445197E-5</v>
      </c>
      <c r="AE15">
        <f t="shared" si="23"/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42"/>
      <c r="B16" s="6">
        <v>0.35</v>
      </c>
      <c r="C16">
        <f t="shared" ref="C16:I16" si="24">IF(BD25="","",BD25)</f>
        <v>11.848295208995218</v>
      </c>
      <c r="D16">
        <f t="shared" si="24"/>
        <v>11.891122032835241</v>
      </c>
      <c r="E16">
        <f t="shared" si="24"/>
        <v>11.887234107753379</v>
      </c>
      <c r="F16">
        <f t="shared" si="24"/>
        <v>11.880142056891954</v>
      </c>
      <c r="G16">
        <f t="shared" si="24"/>
        <v>11.869969066305138</v>
      </c>
      <c r="H16">
        <f t="shared" si="24"/>
        <v>11.85600261512776</v>
      </c>
      <c r="I16" t="str">
        <f t="shared" si="24"/>
        <v/>
      </c>
      <c r="J16" s="42"/>
      <c r="K16" s="6">
        <v>0.35</v>
      </c>
      <c r="L16">
        <f t="shared" ref="L16:Q16" si="25">IF(BD26="","",BD26)</f>
        <v>0.9962823883425056</v>
      </c>
      <c r="M16">
        <f t="shared" si="25"/>
        <v>0.99541671208492255</v>
      </c>
      <c r="N16">
        <f t="shared" si="25"/>
        <v>0.99357937387905948</v>
      </c>
      <c r="O16">
        <f t="shared" si="25"/>
        <v>0.99080308928702165</v>
      </c>
      <c r="P16">
        <f t="shared" si="25"/>
        <v>0.98684197785085637</v>
      </c>
      <c r="Q16">
        <f t="shared" si="25"/>
        <v>0.98144418656985855</v>
      </c>
      <c r="S16" s="42"/>
      <c r="T16" s="6">
        <v>0.35</v>
      </c>
      <c r="U16">
        <f t="shared" ref="U16:Z16" si="26">IF(BD21="","",BD21)</f>
        <v>6.6100000000000004E-3</v>
      </c>
      <c r="V16">
        <f t="shared" si="26"/>
        <v>6.6100000000000004E-3</v>
      </c>
      <c r="W16">
        <f t="shared" si="26"/>
        <v>6.6100000000000004E-3</v>
      </c>
      <c r="X16">
        <f t="shared" si="26"/>
        <v>6.6100000000000004E-3</v>
      </c>
      <c r="Y16">
        <f t="shared" si="26"/>
        <v>6.6100000000000004E-3</v>
      </c>
      <c r="Z16">
        <f t="shared" si="26"/>
        <v>6.6100000000000004E-3</v>
      </c>
      <c r="AB16" s="42"/>
      <c r="AC16" s="6">
        <v>0.35</v>
      </c>
      <c r="AD16">
        <f t="shared" ref="AD16:AI16" si="27">IF(BD23="","",BD23)</f>
        <v>8.1566237076445197E-5</v>
      </c>
      <c r="AE16">
        <f t="shared" si="27"/>
        <v>1.3989465839462357E-6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251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topLeftCell="W1" zoomScale="98" workbookViewId="0">
      <selection activeCell="G16" sqref="G16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279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43" t="s">
        <v>236</v>
      </c>
      <c r="D8" s="40"/>
      <c r="E8" s="40"/>
      <c r="F8" s="40"/>
      <c r="G8" s="40"/>
      <c r="H8" s="40"/>
      <c r="J8" t="s">
        <v>143</v>
      </c>
      <c r="K8" s="6"/>
      <c r="L8" s="43" t="s">
        <v>236</v>
      </c>
      <c r="M8" s="40"/>
      <c r="N8" s="40"/>
      <c r="O8" s="40"/>
      <c r="P8" s="40"/>
      <c r="Q8" s="40"/>
      <c r="S8" t="s">
        <v>267</v>
      </c>
      <c r="T8" s="6"/>
      <c r="U8" s="43" t="s">
        <v>236</v>
      </c>
      <c r="V8" s="40"/>
      <c r="W8" s="40"/>
      <c r="X8" s="40"/>
      <c r="Y8" s="40"/>
      <c r="Z8" s="40"/>
      <c r="AB8" t="s">
        <v>258</v>
      </c>
      <c r="AC8" s="6"/>
      <c r="AD8" s="43" t="s">
        <v>236</v>
      </c>
      <c r="AE8" s="40"/>
      <c r="AF8" s="40"/>
      <c r="AG8" s="40"/>
      <c r="AH8" s="40"/>
      <c r="AI8" s="40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41" t="s">
        <v>56</v>
      </c>
      <c r="B10" s="6">
        <v>0.05</v>
      </c>
      <c r="C10">
        <f t="shared" ref="C10:H10" si="0">IF(B25="","",B25)</f>
        <v>11.07588</v>
      </c>
      <c r="D10">
        <f t="shared" si="0"/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41" t="s">
        <v>56</v>
      </c>
      <c r="K10" s="6">
        <v>0.05</v>
      </c>
      <c r="L10">
        <f t="shared" ref="L10:Q10" si="1">IF(B26="","",B26)</f>
        <v>0.97696400000000005</v>
      </c>
      <c r="M10">
        <f t="shared" si="1"/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41" t="s">
        <v>56</v>
      </c>
      <c r="T10" s="6">
        <v>0.05</v>
      </c>
      <c r="U10">
        <f t="shared" ref="U10:Z10" si="2">IF(B21="","",B21)</f>
        <v>7.7200000000000003E-3</v>
      </c>
      <c r="V10">
        <f t="shared" si="2"/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41" t="s">
        <v>56</v>
      </c>
      <c r="AC10" s="6">
        <v>0.05</v>
      </c>
      <c r="AD10">
        <f t="shared" ref="AD10:AI10" si="3">IF(B23="","",B23)</f>
        <v>8.4599999999999996E-5</v>
      </c>
      <c r="AE10">
        <f t="shared" si="3"/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42"/>
      <c r="B11" s="6">
        <v>0.1</v>
      </c>
      <c r="C11">
        <f t="shared" ref="C11:H11" si="4">IF(K25="","",K25)</f>
        <v>11.078290000000001</v>
      </c>
      <c r="D11">
        <f t="shared" si="4"/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42"/>
      <c r="K11" s="6">
        <v>0.1</v>
      </c>
      <c r="L11">
        <f t="shared" ref="L11:Q11" si="5">IF(K26="","",K26)</f>
        <v>0.98750099999999996</v>
      </c>
      <c r="M11">
        <f t="shared" si="5"/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42"/>
      <c r="T11" s="6">
        <v>0.1</v>
      </c>
      <c r="U11">
        <f t="shared" ref="U11:Z11" si="6">IF(K21="","",K21)</f>
        <v>7.77E-3</v>
      </c>
      <c r="V11">
        <f t="shared" si="6"/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42"/>
      <c r="AC11" s="6">
        <v>0.1</v>
      </c>
      <c r="AD11">
        <f t="shared" ref="AD11:AI11" si="7">IF(K23="","",K23)</f>
        <v>8.4599999999999996E-5</v>
      </c>
      <c r="AE11">
        <f t="shared" si="7"/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42"/>
      <c r="B12" s="6">
        <v>0.15</v>
      </c>
      <c r="C12">
        <f t="shared" ref="C12:H12" si="8">IF(T25="","",T25)</f>
        <v>11.06711</v>
      </c>
      <c r="D12">
        <f t="shared" si="8"/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42"/>
      <c r="K12" s="6">
        <v>0.15</v>
      </c>
      <c r="L12">
        <f t="shared" ref="L12:Q12" si="9">IF(T26="","",T26)</f>
        <v>0.99271799999999999</v>
      </c>
      <c r="M12">
        <f t="shared" si="9"/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42"/>
      <c r="T12" s="6">
        <v>0.15</v>
      </c>
      <c r="U12">
        <f t="shared" ref="U12:Z12" si="10">IF(T21="","",T21)</f>
        <v>7.8200000000000006E-3</v>
      </c>
      <c r="V12">
        <f t="shared" si="10"/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42"/>
      <c r="AC12" s="6">
        <v>0.15</v>
      </c>
      <c r="AD12">
        <f t="shared" ref="AD12:AI12" si="11">IF(T23="","",T23)</f>
        <v>8.4599999999999996E-5</v>
      </c>
      <c r="AE12">
        <f t="shared" si="11"/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42"/>
      <c r="B13" s="6">
        <v>0.2</v>
      </c>
      <c r="C13">
        <f t="shared" ref="C13:H13" si="12">IF(AC25="","",AC25)</f>
        <v>11.053972949159292</v>
      </c>
      <c r="D13">
        <f t="shared" si="12"/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42"/>
      <c r="K13" s="6">
        <v>0.2</v>
      </c>
      <c r="L13">
        <f t="shared" ref="L13:Q13" si="13">IF(AC26="","",AC26)</f>
        <v>0.99520992729366564</v>
      </c>
      <c r="M13">
        <f t="shared" si="13"/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42"/>
      <c r="T13" s="6">
        <v>0.2</v>
      </c>
      <c r="U13">
        <f t="shared" ref="U13:Z13" si="14">IF(AC21="","",AC21)</f>
        <v>7.8600000000000007E-3</v>
      </c>
      <c r="V13">
        <f t="shared" si="14"/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42"/>
      <c r="AC13" s="6">
        <v>0.2</v>
      </c>
      <c r="AD13">
        <f t="shared" ref="AD13:AI13" si="15">IF(AC23="","",AC23)</f>
        <v>8.4573567284889573E-5</v>
      </c>
      <c r="AE13">
        <f t="shared" si="15"/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42"/>
      <c r="B14" s="6">
        <v>0.25</v>
      </c>
      <c r="C14">
        <f t="shared" ref="C14:H14" si="16">IF(AL25="","",AL25)</f>
        <v>11.02306644813352</v>
      </c>
      <c r="D14">
        <f t="shared" si="16"/>
        <v>11.063211915629093</v>
      </c>
      <c r="E14">
        <f t="shared" si="16"/>
        <v>11.063386332871454</v>
      </c>
      <c r="F14">
        <f t="shared" si="16"/>
        <v>11.060980192276483</v>
      </c>
      <c r="G14">
        <f t="shared" si="16"/>
        <v>11.056603701135577</v>
      </c>
      <c r="H14">
        <f t="shared" si="16"/>
        <v>11.049685336474278</v>
      </c>
      <c r="J14" s="42"/>
      <c r="K14" s="6">
        <v>0.25</v>
      </c>
      <c r="L14">
        <f t="shared" ref="L14:Q14" si="17">IF(AL26="","",AL26)</f>
        <v>0.99629287573465086</v>
      </c>
      <c r="M14">
        <f t="shared" si="17"/>
        <v>0.99643087462912683</v>
      </c>
      <c r="N14">
        <f t="shared" si="17"/>
        <v>0.9961943284957604</v>
      </c>
      <c r="O14">
        <f t="shared" si="17"/>
        <v>0.99520992729366564</v>
      </c>
      <c r="P14">
        <f t="shared" si="17"/>
        <v>0.99342330067335161</v>
      </c>
      <c r="Q14">
        <f t="shared" si="17"/>
        <v>0.99060918108219287</v>
      </c>
      <c r="S14" s="42"/>
      <c r="T14" s="6">
        <v>0.25</v>
      </c>
      <c r="U14">
        <f t="shared" ref="U14:Z14" si="18">IF(AL21="","",AL21)</f>
        <v>7.9299999999999995E-3</v>
      </c>
      <c r="V14">
        <f t="shared" si="18"/>
        <v>7.9299999999999995E-3</v>
      </c>
      <c r="W14">
        <f t="shared" si="18"/>
        <v>7.9299999999999995E-3</v>
      </c>
      <c r="X14">
        <f t="shared" si="18"/>
        <v>7.9299999999999995E-3</v>
      </c>
      <c r="Y14">
        <f t="shared" si="18"/>
        <v>7.9299999999999995E-3</v>
      </c>
      <c r="Z14">
        <f t="shared" si="18"/>
        <v>7.9299999999999995E-3</v>
      </c>
      <c r="AB14" s="42"/>
      <c r="AC14" s="6">
        <v>0.25</v>
      </c>
      <c r="AD14">
        <f t="shared" ref="AD14:AI14" si="19">IF(AL23="","",AL23)</f>
        <v>8.4573567284889573E-5</v>
      </c>
      <c r="AE14">
        <f t="shared" si="19"/>
        <v>1.5623688043353551E-6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42"/>
      <c r="B15" s="6">
        <v>0.3</v>
      </c>
      <c r="C15">
        <f t="shared" ref="C15:H15" si="20">IF(AU25="","",AU25)</f>
        <v>11.033062168083539</v>
      </c>
      <c r="D15">
        <f t="shared" si="20"/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42"/>
      <c r="K15" s="6">
        <v>0.3</v>
      </c>
      <c r="L15">
        <f t="shared" ref="L15:Q15" si="21">IF(AU26="","",AU26)</f>
        <v>0.99647030990664265</v>
      </c>
      <c r="M15">
        <f t="shared" si="21"/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42"/>
      <c r="T15" s="6">
        <v>0.3</v>
      </c>
      <c r="U15">
        <f t="shared" ref="U15:Z15" si="22">IF(AU21="","",AU21)</f>
        <v>7.9100000000000004E-3</v>
      </c>
      <c r="V15">
        <f t="shared" si="22"/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42"/>
      <c r="AC15" s="6">
        <v>0.3</v>
      </c>
      <c r="AD15">
        <f t="shared" ref="AD15:AI15" si="23">IF(AU23="","",AU23)</f>
        <v>8.4573567284889573E-5</v>
      </c>
      <c r="AE15">
        <f t="shared" si="23"/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42"/>
      <c r="B16" s="6">
        <v>0.35</v>
      </c>
      <c r="C16">
        <f t="shared" ref="C16:H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42"/>
      <c r="K16" s="6">
        <v>0.35</v>
      </c>
      <c r="L16">
        <f t="shared" ref="L16:Q16" si="25">IF(BD26="","",BD26)</f>
        <v>0.99635201343725266</v>
      </c>
      <c r="M16">
        <f t="shared" si="25"/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42"/>
      <c r="T16" s="6">
        <v>0.35</v>
      </c>
      <c r="U16">
        <f t="shared" ref="U16:Z16" si="26">IF(BD21="","",BD21)</f>
        <v>7.9399999999999991E-3</v>
      </c>
      <c r="V16">
        <f t="shared" si="26"/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42"/>
      <c r="AC16" s="6">
        <v>0.35</v>
      </c>
      <c r="AD16">
        <f t="shared" ref="AD16:AI16" si="27">IF(BD23="","",BD23)</f>
        <v>8.4573567284889573E-5</v>
      </c>
      <c r="AE16">
        <f t="shared" si="27"/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21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251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269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-2.7654252422056413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-3.6605460011967841</v>
      </c>
      <c r="P4">
        <f ca="1">$G$26 + ($G$9 - $G$26) * (ROW(A1)-1)/99</f>
        <v>-0.58922300842456532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-3.6605460011967841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1.3119056658537041E-4</v>
      </c>
      <c r="J5">
        <f t="shared" ref="J5:J68" ca="1" si="2">$G$9 + ($G$6 - $G$9) * (ROW(B2)-1)/99</f>
        <v>-4.3779544315042065E-4</v>
      </c>
      <c r="L5">
        <f t="shared" ref="L5:L68" ca="1" si="3">$G$17 * (M5 - $G$6)^2 + $G$5</f>
        <v>1.3119056658537041E-4</v>
      </c>
      <c r="M5">
        <f t="shared" ref="M5:M68" ca="1" si="4">$G$13 + ($G$6 - $G$13) * (ROW(F2)-1)/99</f>
        <v>-4.3779544315042065E-4</v>
      </c>
      <c r="O5">
        <f t="shared" ref="O5:O68" ca="1" si="5">$G$10 + $G$19 * ($G$23 * (P5 - $G$9))^2 + $G$21 * (1 - (P5 - $G$6)/($G$9 - $G$6))</f>
        <v>-3.627910143192957</v>
      </c>
      <c r="P5">
        <f t="shared" ref="P5:P68" ca="1" si="6">$G$26 + ($G$9 - $G$26) * (ROW(B2)-1)/99</f>
        <v>-0.58327126086472125</v>
      </c>
      <c r="R5">
        <f t="shared" ref="R5:R68" ca="1" si="7">$G$14 + $G$19 * ($G$23 * (S5 - $G$13))^2 - $G$22 * (1 - (S5 - $G$6)/($G$13 - $G$6))</f>
        <v>-5.8080124720012921E-2</v>
      </c>
      <c r="S5">
        <f t="shared" ref="S5:S68" ca="1" si="8">$G$13 + ($G$25 - $G$13) * (ROW(B2)-1)/99</f>
        <v>8.3706282614639665E-3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-3.5231311479194929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2.6104924924601289E-4</v>
      </c>
      <c r="J6">
        <f t="shared" ca="1" si="2"/>
        <v>-8.755908863008413E-4</v>
      </c>
      <c r="L6">
        <f t="shared" ca="1" si="3"/>
        <v>2.6104924924601289E-4</v>
      </c>
      <c r="M6">
        <f t="shared" ca="1" si="4"/>
        <v>-8.755908863008413E-4</v>
      </c>
      <c r="O6">
        <f t="shared" ca="1" si="5"/>
        <v>-3.595185726941589</v>
      </c>
      <c r="P6">
        <f t="shared" ca="1" si="6"/>
        <v>-0.57731951330487719</v>
      </c>
      <c r="R6">
        <f t="shared" ca="1" si="7"/>
        <v>-0.11598508089629672</v>
      </c>
      <c r="S6">
        <f t="shared" ca="1" si="8"/>
        <v>1.6741256522927933E-2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-3.2999408572834978</v>
      </c>
      <c r="D7">
        <f ca="1"/>
        <v>-0.52433190992430678</v>
      </c>
      <c r="I7">
        <f t="shared" ca="1" si="1"/>
        <v>3.8957604798193438E-4</v>
      </c>
      <c r="J7">
        <f t="shared" ca="1" si="2"/>
        <v>-1.313386329451262E-3</v>
      </c>
      <c r="L7">
        <f t="shared" ca="1" si="3"/>
        <v>3.8957604798193438E-4</v>
      </c>
      <c r="M7">
        <f t="shared" ca="1" si="4"/>
        <v>-1.313386329451262E-3</v>
      </c>
      <c r="O7">
        <f t="shared" ca="1" si="5"/>
        <v>-3.5623727524426814</v>
      </c>
      <c r="P7">
        <f t="shared" ca="1" si="6"/>
        <v>-0.57136776574503301</v>
      </c>
      <c r="R7">
        <f t="shared" ca="1" si="7"/>
        <v>-0.17371486852885157</v>
      </c>
      <c r="S7">
        <f t="shared" ca="1" si="8"/>
        <v>2.5111884784391903E-2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-3.0434174920520709</v>
      </c>
      <c r="D8">
        <f ca="1"/>
        <v>-0.47928438417741526</v>
      </c>
      <c r="F8" t="s">
        <v>15</v>
      </c>
      <c r="G8" s="5">
        <v>70</v>
      </c>
      <c r="I8">
        <f t="shared" ca="1" si="1"/>
        <v>5.1677096279312794E-4</v>
      </c>
      <c r="J8">
        <f t="shared" ca="1" si="2"/>
        <v>-1.7511817726016826E-3</v>
      </c>
      <c r="L8">
        <f t="shared" ca="1" si="3"/>
        <v>5.1677096279312794E-4</v>
      </c>
      <c r="M8">
        <f t="shared" ca="1" si="4"/>
        <v>-1.7511817726016826E-3</v>
      </c>
      <c r="O8">
        <f t="shared" ca="1" si="5"/>
        <v>-3.5294712196962328</v>
      </c>
      <c r="P8">
        <f t="shared" ca="1" si="6"/>
        <v>-0.56541601818518894</v>
      </c>
      <c r="R8">
        <f t="shared" ca="1" si="7"/>
        <v>-0.23126948761767732</v>
      </c>
      <c r="S8">
        <f t="shared" ca="1" si="8"/>
        <v>3.3482513045855866E-2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-2.6371814910317228</v>
      </c>
      <c r="D9">
        <f ca="1"/>
        <v>-0.40969719286116341</v>
      </c>
      <c r="F9" t="s">
        <v>17</v>
      </c>
      <c r="G9" cm="1">
        <f t="array" ref="G9">INDEX(D4:D1000, G8)</f>
        <v>0</v>
      </c>
      <c r="I9">
        <f t="shared" ca="1" si="1"/>
        <v>6.426339936796005E-4</v>
      </c>
      <c r="J9">
        <f t="shared" ca="1" si="2"/>
        <v>-2.1889772157521032E-3</v>
      </c>
      <c r="L9">
        <f t="shared" ca="1" si="3"/>
        <v>6.426339936796005E-4</v>
      </c>
      <c r="M9">
        <f t="shared" ca="1" si="4"/>
        <v>-2.1889772157521032E-3</v>
      </c>
      <c r="O9">
        <f t="shared" ca="1" si="5"/>
        <v>-3.4964811287022446</v>
      </c>
      <c r="P9">
        <f t="shared" ca="1" si="6"/>
        <v>-0.55946427062534487</v>
      </c>
      <c r="R9">
        <f t="shared" ca="1" si="7"/>
        <v>-0.28864893816277404</v>
      </c>
      <c r="S9">
        <f t="shared" ca="1" si="8"/>
        <v>4.185314130731984E-2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-2.2952607820071518</v>
      </c>
      <c r="D10">
        <f ca="1"/>
        <v>-0.35267298820868725</v>
      </c>
      <c r="F10" t="s">
        <v>18</v>
      </c>
      <c r="G10" cm="1">
        <f t="array" ref="G10">INDEX(B4:B1000, G8)</f>
        <v>0</v>
      </c>
      <c r="I10">
        <f t="shared" ca="1" si="1"/>
        <v>7.6716514064134513E-4</v>
      </c>
      <c r="J10">
        <f t="shared" ca="1" si="2"/>
        <v>-2.626772658902524E-3</v>
      </c>
      <c r="L10">
        <f t="shared" ca="1" si="3"/>
        <v>7.6716514064134513E-4</v>
      </c>
      <c r="M10">
        <f t="shared" ca="1" si="4"/>
        <v>-2.626772658902524E-3</v>
      </c>
      <c r="O10">
        <f t="shared" ca="1" si="5"/>
        <v>-3.4634024794607159</v>
      </c>
      <c r="P10">
        <f t="shared" ca="1" si="6"/>
        <v>-0.55351252306550081</v>
      </c>
      <c r="R10">
        <f t="shared" ca="1" si="7"/>
        <v>-0.34585322016414177</v>
      </c>
      <c r="S10">
        <f t="shared" ca="1" si="8"/>
        <v>5.0223769568783806E-2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-2.2131348894835448</v>
      </c>
      <c r="D11">
        <f ca="1"/>
        <v>-0.33917479943798506</v>
      </c>
      <c r="I11">
        <f t="shared" ca="1" si="1"/>
        <v>8.903644036783679E-4</v>
      </c>
      <c r="J11">
        <f t="shared" ca="1" si="2"/>
        <v>-3.0645681020529444E-3</v>
      </c>
      <c r="L11">
        <f t="shared" ca="1" si="3"/>
        <v>8.903644036783679E-4</v>
      </c>
      <c r="M11">
        <f t="shared" ca="1" si="4"/>
        <v>-3.0645681020529444E-3</v>
      </c>
      <c r="O11">
        <f t="shared" ca="1" si="5"/>
        <v>-3.4302352719716467</v>
      </c>
      <c r="P11">
        <f t="shared" ca="1" si="6"/>
        <v>-0.54756077550565663</v>
      </c>
      <c r="R11">
        <f t="shared" ca="1" si="7"/>
        <v>-0.40288233362178039</v>
      </c>
      <c r="S11">
        <f t="shared" ca="1" si="8"/>
        <v>5.8594397830247773E-2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-1.7052354105960481</v>
      </c>
      <c r="D12">
        <f ca="1"/>
        <v>-0.25730083567386902</v>
      </c>
      <c r="F12" t="s">
        <v>16</v>
      </c>
      <c r="G12" s="5">
        <v>140</v>
      </c>
      <c r="I12">
        <f t="shared" ca="1" si="1"/>
        <v>1.0122317827906645E-3</v>
      </c>
      <c r="J12">
        <f t="shared" ca="1" si="2"/>
        <v>-3.5023635452033652E-3</v>
      </c>
      <c r="L12">
        <f t="shared" ca="1" si="3"/>
        <v>1.0122317827906645E-3</v>
      </c>
      <c r="M12">
        <f t="shared" ca="1" si="4"/>
        <v>-3.5023635452033652E-3</v>
      </c>
      <c r="O12">
        <f t="shared" ca="1" si="5"/>
        <v>-3.3969795062350379</v>
      </c>
      <c r="P12">
        <f t="shared" ca="1" si="6"/>
        <v>-0.54160902794581256</v>
      </c>
      <c r="R12">
        <f t="shared" ca="1" si="7"/>
        <v>-0.45973627853568988</v>
      </c>
      <c r="S12">
        <f t="shared" ca="1" si="8"/>
        <v>6.6965026091711732E-2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-1.4404489677562244</v>
      </c>
      <c r="D13">
        <f ca="1"/>
        <v>-0.21565355359848665</v>
      </c>
      <c r="F13" t="s">
        <v>19</v>
      </c>
      <c r="G13" cm="1">
        <f t="array" ref="G13">INDEX(D4:D1000, G12)</f>
        <v>0</v>
      </c>
      <c r="I13">
        <f t="shared" ca="1" si="1"/>
        <v>1.1327672779782375E-3</v>
      </c>
      <c r="J13">
        <f t="shared" ca="1" si="2"/>
        <v>-3.9401589883537851E-3</v>
      </c>
      <c r="L13">
        <f t="shared" ca="1" si="3"/>
        <v>1.1327672779782375E-3</v>
      </c>
      <c r="M13">
        <f t="shared" ca="1" si="4"/>
        <v>-3.9401589883537851E-3</v>
      </c>
      <c r="O13">
        <f t="shared" ca="1" si="5"/>
        <v>-3.363635182250889</v>
      </c>
      <c r="P13">
        <f t="shared" ca="1" si="6"/>
        <v>-0.53565728038596849</v>
      </c>
      <c r="R13">
        <f t="shared" ca="1" si="7"/>
        <v>-0.51641505490587036</v>
      </c>
      <c r="S13">
        <f t="shared" ca="1" si="8"/>
        <v>7.5335654353175699E-2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-1.1795466657682709</v>
      </c>
      <c r="D14">
        <f ca="1"/>
        <v>-0.17526853132933995</v>
      </c>
      <c r="F14" t="s">
        <v>20</v>
      </c>
      <c r="G14" cm="1">
        <f t="array" ref="G14">INDEX(B4:B1000, G12)</f>
        <v>0</v>
      </c>
      <c r="I14">
        <f t="shared" ca="1" si="1"/>
        <v>1.2519708892410842E-3</v>
      </c>
      <c r="J14">
        <f t="shared" ca="1" si="2"/>
        <v>-4.3779544315042064E-3</v>
      </c>
      <c r="L14">
        <f t="shared" ca="1" si="3"/>
        <v>1.2519708892410842E-3</v>
      </c>
      <c r="M14">
        <f t="shared" ca="1" si="4"/>
        <v>-4.3779544315042064E-3</v>
      </c>
      <c r="O14">
        <f t="shared" ca="1" si="5"/>
        <v>-3.3302023000191987</v>
      </c>
      <c r="P14">
        <f t="shared" ca="1" si="6"/>
        <v>-0.52970553282612443</v>
      </c>
      <c r="R14">
        <f t="shared" ca="1" si="7"/>
        <v>-0.57291866273232195</v>
      </c>
      <c r="S14">
        <f t="shared" ca="1" si="8"/>
        <v>8.3706282614639679E-2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-0.91871433235609556</v>
      </c>
      <c r="D15">
        <f ca="1"/>
        <v>-0.13551084580648445</v>
      </c>
      <c r="I15">
        <f t="shared" ca="1" si="1"/>
        <v>1.3698426165792092E-3</v>
      </c>
      <c r="J15">
        <f t="shared" ca="1" si="2"/>
        <v>-4.8157498746546267E-3</v>
      </c>
      <c r="L15">
        <f t="shared" ca="1" si="3"/>
        <v>1.3698426165792092E-3</v>
      </c>
      <c r="M15">
        <f t="shared" ca="1" si="4"/>
        <v>-4.8157498746546267E-3</v>
      </c>
      <c r="O15">
        <f t="shared" ca="1" si="5"/>
        <v>-3.2966808595399684</v>
      </c>
      <c r="P15">
        <f t="shared" ca="1" si="6"/>
        <v>-0.52375378526628025</v>
      </c>
      <c r="R15">
        <f t="shared" ca="1" si="7"/>
        <v>-0.6292471020150443</v>
      </c>
      <c r="S15">
        <f t="shared" ca="1" si="8"/>
        <v>9.2076910876103632E-2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-0.66806702498527604</v>
      </c>
      <c r="D16">
        <f ca="1"/>
        <v>-9.7860912382717866E-2</v>
      </c>
      <c r="F16" t="s">
        <v>21</v>
      </c>
      <c r="G16">
        <f ca="1">(G10 - G5) / (G9 - G6)^2</f>
        <v>-3.4745127351829317</v>
      </c>
      <c r="I16">
        <f t="shared" ca="1" si="1"/>
        <v>1.486382459992607E-3</v>
      </c>
      <c r="J16">
        <f t="shared" ca="1" si="2"/>
        <v>-5.253545317805048E-3</v>
      </c>
      <c r="L16">
        <f t="shared" ca="1" si="3"/>
        <v>1.486382459992607E-3</v>
      </c>
      <c r="M16">
        <f t="shared" ca="1" si="4"/>
        <v>-5.253545317805048E-3</v>
      </c>
      <c r="O16">
        <f t="shared" ca="1" si="5"/>
        <v>-3.2630708608131984</v>
      </c>
      <c r="P16">
        <f t="shared" ca="1" si="6"/>
        <v>-0.51780203770643618</v>
      </c>
      <c r="R16">
        <f t="shared" ca="1" si="7"/>
        <v>-0.68540037275403776</v>
      </c>
      <c r="S16">
        <f t="shared" ca="1" si="8"/>
        <v>0.10044753913756761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-0.49150756200465412</v>
      </c>
      <c r="D17">
        <f ca="1"/>
        <v>-7.1653994179530445E-2</v>
      </c>
      <c r="F17" t="s">
        <v>22</v>
      </c>
      <c r="G17">
        <f ca="1">(G14 - G5) / (G13 - G6)^2</f>
        <v>-3.4745127351829317</v>
      </c>
      <c r="I17">
        <f t="shared" ca="1" si="1"/>
        <v>1.601590419481283E-3</v>
      </c>
      <c r="J17">
        <f t="shared" ca="1" si="2"/>
        <v>-5.6913407609554684E-3</v>
      </c>
      <c r="L17">
        <f t="shared" ca="1" si="3"/>
        <v>1.601590419481283E-3</v>
      </c>
      <c r="M17">
        <f t="shared" ca="1" si="4"/>
        <v>-5.6913407609554684E-3</v>
      </c>
      <c r="O17">
        <f t="shared" ca="1" si="5"/>
        <v>-3.2293723038388875</v>
      </c>
      <c r="P17">
        <f t="shared" ca="1" si="6"/>
        <v>-0.51185029014659211</v>
      </c>
      <c r="R17">
        <f t="shared" ca="1" si="7"/>
        <v>-0.74137847494930209</v>
      </c>
      <c r="S17">
        <f t="shared" ca="1" si="8"/>
        <v>0.10881816739903157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-0.29883478284688325</v>
      </c>
      <c r="D18">
        <f ca="1"/>
        <v>-4.3341748871891642E-2</v>
      </c>
      <c r="I18">
        <f t="shared" ca="1" si="1"/>
        <v>1.7154664950452328E-3</v>
      </c>
      <c r="J18">
        <f t="shared" ca="1" si="2"/>
        <v>-6.1291362041058887E-3</v>
      </c>
      <c r="L18">
        <f t="shared" ca="1" si="3"/>
        <v>1.7154664950452328E-3</v>
      </c>
      <c r="M18">
        <f t="shared" ca="1" si="4"/>
        <v>-6.1291362041058887E-3</v>
      </c>
      <c r="O18">
        <f t="shared" ca="1" si="5"/>
        <v>-3.195585188617037</v>
      </c>
      <c r="P18">
        <f t="shared" ca="1" si="6"/>
        <v>-0.50589854258674805</v>
      </c>
      <c r="R18">
        <f t="shared" ca="1" si="7"/>
        <v>-0.79718140860083742</v>
      </c>
      <c r="S18">
        <f t="shared" ca="1" si="8"/>
        <v>0.11718879566049555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-0.13678346783028641</v>
      </c>
      <c r="D19">
        <f ca="1"/>
        <v>1.9754028165769075E-2</v>
      </c>
      <c r="F19" t="s">
        <v>26</v>
      </c>
      <c r="G19" s="3">
        <v>0.05</v>
      </c>
      <c r="I19">
        <f t="shared" ca="1" si="1"/>
        <v>1.8280106866844573E-3</v>
      </c>
      <c r="J19">
        <f t="shared" ca="1" si="2"/>
        <v>-6.5669316472563091E-3</v>
      </c>
      <c r="L19">
        <f t="shared" ca="1" si="3"/>
        <v>1.8280106866844573E-3</v>
      </c>
      <c r="M19">
        <f t="shared" ca="1" si="4"/>
        <v>-6.5669316472563091E-3</v>
      </c>
      <c r="O19">
        <f t="shared" ca="1" si="5"/>
        <v>-3.1617095151476451</v>
      </c>
      <c r="P19">
        <f t="shared" ca="1" si="6"/>
        <v>-0.49994679502690387</v>
      </c>
      <c r="R19">
        <f t="shared" ca="1" si="7"/>
        <v>-0.8528091737086434</v>
      </c>
      <c r="S19">
        <f t="shared" ca="1" si="8"/>
        <v>0.12555942392195951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-0.39300884034441907</v>
      </c>
      <c r="D20">
        <f ca="1"/>
        <v>5.7143342476516784E-2</v>
      </c>
      <c r="F20" t="s">
        <v>27</v>
      </c>
      <c r="G20" s="3">
        <v>0.2</v>
      </c>
      <c r="I20">
        <f t="shared" ca="1" si="1"/>
        <v>1.939222994398959E-3</v>
      </c>
      <c r="J20">
        <f t="shared" ca="1" si="2"/>
        <v>-7.0047270904067304E-3</v>
      </c>
      <c r="L20">
        <f t="shared" ca="1" si="3"/>
        <v>1.939222994398959E-3</v>
      </c>
      <c r="M20">
        <f t="shared" ca="1" si="4"/>
        <v>-7.0047270904067304E-3</v>
      </c>
      <c r="O20">
        <f t="shared" ca="1" si="5"/>
        <v>-3.1277452834307136</v>
      </c>
      <c r="P20">
        <f t="shared" ca="1" si="6"/>
        <v>-0.4939950474670598</v>
      </c>
      <c r="R20">
        <f t="shared" ca="1" si="7"/>
        <v>-0.9082617702727207</v>
      </c>
      <c r="S20">
        <f t="shared" ca="1" si="8"/>
        <v>0.13393005218342346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ca="1" si="0"/>
        <v>-0.64280513027464103</v>
      </c>
      <c r="D21">
        <f ca="1"/>
        <v>9.4095583116752798E-2</v>
      </c>
      <c r="F21" t="s">
        <v>28</v>
      </c>
      <c r="G21">
        <f ca="1">2 * (G10 - G5) * (G9 - G6) / (G9 - G6)^2</f>
        <v>-0.30118291684097592</v>
      </c>
      <c r="I21">
        <f t="shared" ca="1" si="1"/>
        <v>2.0491034181887337E-3</v>
      </c>
      <c r="J21">
        <f t="shared" ca="1" si="2"/>
        <v>-7.4425225335571507E-3</v>
      </c>
      <c r="L21">
        <f t="shared" ca="1" si="3"/>
        <v>2.0491034181887337E-3</v>
      </c>
      <c r="M21">
        <f t="shared" ca="1" si="4"/>
        <v>-7.4425225335571507E-3</v>
      </c>
      <c r="O21">
        <f t="shared" ca="1" si="5"/>
        <v>-3.0936924934662424</v>
      </c>
      <c r="P21">
        <f t="shared" ca="1" si="6"/>
        <v>-0.48804329990721573</v>
      </c>
      <c r="R21">
        <f t="shared" ca="1" si="7"/>
        <v>-0.963539198293069</v>
      </c>
      <c r="S21">
        <f t="shared" ca="1" si="8"/>
        <v>0.14230068044488745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0"/>
        <v>-0.88713534652526882</v>
      </c>
      <c r="D22">
        <f ca="1"/>
        <v>0.13073787698698214</v>
      </c>
      <c r="F22" t="s">
        <v>29</v>
      </c>
      <c r="G22">
        <f ca="1">2 * (G14 - G5) * (G13 - G6) / (G13 - G6)^2</f>
        <v>-0.30118291684097592</v>
      </c>
      <c r="I22">
        <f t="shared" ca="1" si="1"/>
        <v>2.1576519580537865E-3</v>
      </c>
      <c r="J22">
        <f t="shared" ca="1" si="2"/>
        <v>-7.8803179767075703E-3</v>
      </c>
      <c r="L22">
        <f t="shared" ca="1" si="3"/>
        <v>2.1576519580537865E-3</v>
      </c>
      <c r="M22">
        <f t="shared" ca="1" si="4"/>
        <v>-7.8803179767075703E-3</v>
      </c>
      <c r="O22">
        <f t="shared" ca="1" si="5"/>
        <v>-3.0595511452542299</v>
      </c>
      <c r="P22">
        <f t="shared" ca="1" si="6"/>
        <v>-0.48209155234737161</v>
      </c>
      <c r="R22">
        <f t="shared" ca="1" si="7"/>
        <v>-1.0186414577696881</v>
      </c>
      <c r="S22">
        <f t="shared" ca="1" si="8"/>
        <v>0.1506713087063514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0"/>
        <v>-1.1260621396400881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2.2648686139941122E-3</v>
      </c>
      <c r="J23">
        <f t="shared" ca="1" si="2"/>
        <v>-8.3181134198579924E-3</v>
      </c>
      <c r="L23">
        <f t="shared" ca="1" si="3"/>
        <v>2.2648686139941122E-3</v>
      </c>
      <c r="M23">
        <f t="shared" ca="1" si="4"/>
        <v>-8.3181134198579924E-3</v>
      </c>
      <c r="O23">
        <f t="shared" ca="1" si="5"/>
        <v>-3.0253212387946777</v>
      </c>
      <c r="P23">
        <f t="shared" ca="1" si="6"/>
        <v>-0.47613980478752754</v>
      </c>
      <c r="R23">
        <f t="shared" ca="1" si="7"/>
        <v>-1.0735685487025777</v>
      </c>
      <c r="S23">
        <f t="shared" ca="1" si="8"/>
        <v>0.15904193696781538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0"/>
        <v>-1.3596191436647485</v>
      </c>
      <c r="D24">
        <f ca="1"/>
        <v>0.20307424174172303</v>
      </c>
      <c r="I24">
        <f t="shared" ca="1" si="1"/>
        <v>2.3707533860097153E-3</v>
      </c>
      <c r="J24">
        <f t="shared" ca="1" si="2"/>
        <v>-8.7559088630084127E-3</v>
      </c>
      <c r="L24">
        <f t="shared" ca="1" si="3"/>
        <v>2.3707533860097153E-3</v>
      </c>
      <c r="M24">
        <f t="shared" ca="1" si="4"/>
        <v>-8.7559088630084127E-3</v>
      </c>
      <c r="O24">
        <f t="shared" ca="1" si="5"/>
        <v>-2.9910027740875851</v>
      </c>
      <c r="P24">
        <f t="shared" ca="1" si="6"/>
        <v>-0.47018805722768342</v>
      </c>
      <c r="R24">
        <f t="shared" ca="1" si="7"/>
        <v>-1.1283204710917392</v>
      </c>
      <c r="S24">
        <f t="shared" ca="1" si="8"/>
        <v>0.16741256522927936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0"/>
        <v>-1.5882089379241422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2.475306274100593E-3</v>
      </c>
      <c r="J25">
        <f t="shared" ca="1" si="2"/>
        <v>-9.1937043061588331E-3</v>
      </c>
      <c r="L25">
        <f t="shared" ca="1" si="3"/>
        <v>2.475306274100593E-3</v>
      </c>
      <c r="M25">
        <f t="shared" ca="1" si="4"/>
        <v>-9.1937043061588331E-3</v>
      </c>
      <c r="O25">
        <f t="shared" ca="1" si="5"/>
        <v>-2.9565957511329524</v>
      </c>
      <c r="P25">
        <f t="shared" ca="1" si="6"/>
        <v>-0.46423630966783935</v>
      </c>
      <c r="R25">
        <f t="shared" ca="1" si="7"/>
        <v>-1.1828972249371712</v>
      </c>
      <c r="S25">
        <f t="shared" ca="1" si="8"/>
        <v>0.17578319349074331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0"/>
        <v>-1.8120549419709235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2.5785272782667462E-3</v>
      </c>
      <c r="J26">
        <f t="shared" ca="1" si="2"/>
        <v>-9.6314997493092535E-3</v>
      </c>
      <c r="L26">
        <f t="shared" ca="1" si="3"/>
        <v>2.5785272782667462E-3</v>
      </c>
      <c r="M26">
        <f t="shared" ca="1" si="4"/>
        <v>-9.6314997493092535E-3</v>
      </c>
      <c r="O26">
        <f t="shared" ca="1" si="5"/>
        <v>-2.9221001699307791</v>
      </c>
      <c r="P26">
        <f t="shared" ca="1" si="6"/>
        <v>-0.45828456210799529</v>
      </c>
      <c r="R26">
        <f t="shared" ca="1" si="7"/>
        <v>-1.2372988102388738</v>
      </c>
      <c r="S26">
        <f t="shared" ca="1" si="8"/>
        <v>0.18415382175220726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0"/>
        <v>-2.0323730147036465</v>
      </c>
      <c r="D27">
        <f ca="1"/>
        <v>0.30972468750384707</v>
      </c>
      <c r="I27">
        <f t="shared" ca="1" si="1"/>
        <v>2.6804163985081741E-3</v>
      </c>
      <c r="J27">
        <f t="shared" ca="1" si="2"/>
        <v>-1.0069295192459674E-2</v>
      </c>
      <c r="L27">
        <f t="shared" ca="1" si="3"/>
        <v>2.6804163985081741E-3</v>
      </c>
      <c r="M27">
        <f t="shared" ca="1" si="4"/>
        <v>-1.0069295192459674E-2</v>
      </c>
      <c r="O27">
        <f t="shared" ca="1" si="5"/>
        <v>-2.8875160304810654</v>
      </c>
      <c r="P27">
        <f t="shared" ca="1" si="6"/>
        <v>-0.45233281454815111</v>
      </c>
      <c r="R27">
        <f t="shared" ca="1" si="7"/>
        <v>-1.2915252269968476</v>
      </c>
      <c r="S27">
        <f t="shared" ca="1" si="8"/>
        <v>0.19252445001367124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0"/>
        <v>-2.2534198189046935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2.7809736348248797E-3</v>
      </c>
      <c r="J28">
        <f t="shared" ca="1" si="2"/>
        <v>-1.0507090635610096E-2</v>
      </c>
      <c r="L28">
        <f t="shared" ca="1" si="3"/>
        <v>2.7809736348248797E-3</v>
      </c>
      <c r="M28">
        <f t="shared" ca="1" si="4"/>
        <v>-1.0507090635610096E-2</v>
      </c>
      <c r="O28">
        <f t="shared" ca="1" si="5"/>
        <v>-2.8528433327838121</v>
      </c>
      <c r="P28">
        <f t="shared" ca="1" si="6"/>
        <v>-0.44638106698830704</v>
      </c>
      <c r="R28">
        <f t="shared" ca="1" si="7"/>
        <v>-1.3455764752110926</v>
      </c>
      <c r="S28">
        <f t="shared" ca="1" si="8"/>
        <v>0.20089507827513522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0"/>
        <v>-2.4839452421749102</v>
      </c>
      <c r="D29">
        <f ca="1"/>
        <v>0.38397319471285918</v>
      </c>
      <c r="I29">
        <f t="shared" ca="1" si="1"/>
        <v>2.8801989872168587E-3</v>
      </c>
      <c r="J29">
        <f t="shared" ca="1" si="2"/>
        <v>-1.0944886078760515E-2</v>
      </c>
      <c r="L29">
        <f t="shared" ca="1" si="3"/>
        <v>2.8801989872168587E-3</v>
      </c>
      <c r="M29">
        <f t="shared" ca="1" si="4"/>
        <v>-1.0944886078760515E-2</v>
      </c>
      <c r="O29">
        <f t="shared" ca="1" si="5"/>
        <v>-2.8180820768390182</v>
      </c>
      <c r="P29">
        <f t="shared" ca="1" si="6"/>
        <v>-0.44042931942846297</v>
      </c>
      <c r="R29">
        <f t="shared" ca="1" si="7"/>
        <v>-1.3994525548816081</v>
      </c>
      <c r="S29">
        <f t="shared" ca="1" si="8"/>
        <v>0.20926570653659921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0"/>
        <v>-2.6123091100821556</v>
      </c>
      <c r="D30">
        <f ca="1"/>
        <v>0.4055028801290273</v>
      </c>
      <c r="F30" t="s">
        <v>234</v>
      </c>
      <c r="G30">
        <v>0.1019</v>
      </c>
      <c r="I30">
        <f t="shared" ca="1" si="1"/>
        <v>2.9780924556841145E-3</v>
      </c>
      <c r="J30">
        <f t="shared" ca="1" si="2"/>
        <v>-1.1382681521910937E-2</v>
      </c>
      <c r="L30">
        <f t="shared" ca="1" si="3"/>
        <v>2.9780924556841145E-3</v>
      </c>
      <c r="M30">
        <f t="shared" ca="1" si="4"/>
        <v>-1.1382681521910937E-2</v>
      </c>
      <c r="O30">
        <f t="shared" ca="1" si="5"/>
        <v>-2.7832322626466843</v>
      </c>
      <c r="P30">
        <f t="shared" ca="1" si="6"/>
        <v>-0.43447757186861891</v>
      </c>
      <c r="R30">
        <f t="shared" ca="1" si="7"/>
        <v>-1.4531534660083949</v>
      </c>
      <c r="S30">
        <f t="shared" ca="1" si="8"/>
        <v>0.21763633479806313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0"/>
        <v>-2.7063733395484615</v>
      </c>
      <c r="D31">
        <f ca="1"/>
        <v>0.42140448753238241</v>
      </c>
      <c r="F31" t="s">
        <v>235</v>
      </c>
      <c r="G31">
        <f>G30*180/PI()</f>
        <v>5.8384399323830891</v>
      </c>
      <c r="I31">
        <f t="shared" ca="1" si="1"/>
        <v>3.0746540402266454E-3</v>
      </c>
      <c r="J31">
        <f t="shared" ca="1" si="2"/>
        <v>-1.1820476965061357E-2</v>
      </c>
      <c r="L31">
        <f t="shared" ca="1" si="3"/>
        <v>3.0746540402266454E-3</v>
      </c>
      <c r="M31">
        <f t="shared" ca="1" si="4"/>
        <v>-1.1820476965061357E-2</v>
      </c>
      <c r="O31">
        <f t="shared" ca="1" si="5"/>
        <v>-2.748293890206809</v>
      </c>
      <c r="P31">
        <f t="shared" ca="1" si="6"/>
        <v>-0.42852582430877478</v>
      </c>
      <c r="R31">
        <f t="shared" ca="1" si="7"/>
        <v>-1.5066792085914524</v>
      </c>
      <c r="S31">
        <f t="shared" ca="1" si="8"/>
        <v>0.22600696305952711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0"/>
        <v>-3.3255238351494478</v>
      </c>
      <c r="D32">
        <f ca="1"/>
        <v>0.52887392418128387</v>
      </c>
      <c r="F32" t="s">
        <v>46</v>
      </c>
      <c r="G32">
        <f>G31/(2*PI())</f>
        <v>0.92921657518387979</v>
      </c>
      <c r="I32">
        <f t="shared" ca="1" si="1"/>
        <v>3.1698837408444505E-3</v>
      </c>
      <c r="J32">
        <f t="shared" ca="1" si="2"/>
        <v>-1.2258272408211777E-2</v>
      </c>
      <c r="L32">
        <f t="shared" ca="1" si="3"/>
        <v>3.1698837408444505E-3</v>
      </c>
      <c r="M32">
        <f t="shared" ca="1" si="4"/>
        <v>-1.2258272408211777E-2</v>
      </c>
      <c r="O32">
        <f t="shared" ca="1" si="5"/>
        <v>-2.7132669595193946</v>
      </c>
      <c r="P32">
        <f t="shared" ca="1" si="6"/>
        <v>-0.42257407674893066</v>
      </c>
      <c r="R32">
        <f t="shared" ca="1" si="7"/>
        <v>-1.5600297826307814</v>
      </c>
      <c r="S32">
        <f t="shared" ca="1" si="8"/>
        <v>0.23437759132099109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0"/>
        <v>-3.4901500028764603</v>
      </c>
      <c r="D33">
        <f ca="1"/>
        <v>0.55832389508419411</v>
      </c>
      <c r="I33">
        <f t="shared" ca="1" si="1"/>
        <v>3.2637815575375325E-3</v>
      </c>
      <c r="J33">
        <f t="shared" ca="1" si="2"/>
        <v>-1.26960678513622E-2</v>
      </c>
      <c r="L33">
        <f t="shared" ca="1" si="3"/>
        <v>3.2637815575375325E-3</v>
      </c>
      <c r="M33">
        <f t="shared" ca="1" si="4"/>
        <v>-1.26960678513622E-2</v>
      </c>
      <c r="O33">
        <f t="shared" ca="1" si="5"/>
        <v>-2.6781514705844396</v>
      </c>
      <c r="P33">
        <f t="shared" ca="1" si="6"/>
        <v>-0.41662232918908659</v>
      </c>
      <c r="R33">
        <f t="shared" ca="1" si="7"/>
        <v>-1.6132051881263807</v>
      </c>
      <c r="S33">
        <f t="shared" ca="1" si="8"/>
        <v>0.24274821958245507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0"/>
        <v>-4.0931467571200093</v>
      </c>
      <c r="D34">
        <f ca="1"/>
        <v>0.66970132936809146</v>
      </c>
      <c r="I34">
        <f t="shared" ca="1" si="1"/>
        <v>3.3563474903058887E-3</v>
      </c>
      <c r="J34">
        <f t="shared" ca="1" si="2"/>
        <v>-1.3133863294512618E-2</v>
      </c>
      <c r="L34">
        <f t="shared" ca="1" si="3"/>
        <v>3.3563474903058887E-3</v>
      </c>
      <c r="M34">
        <f t="shared" ca="1" si="4"/>
        <v>-1.3133863294512618E-2</v>
      </c>
      <c r="O34">
        <f t="shared" ca="1" si="5"/>
        <v>-2.6429474234019437</v>
      </c>
      <c r="P34">
        <f t="shared" ca="1" si="6"/>
        <v>-0.41067058162924247</v>
      </c>
      <c r="R34">
        <f t="shared" ca="1" si="7"/>
        <v>-1.6662054250782512</v>
      </c>
      <c r="S34">
        <f t="shared" ca="1" si="8"/>
        <v>0.25111884784391902</v>
      </c>
      <c r="U34" s="4">
        <f ca="1">1 - SUMXMY2(B4:B1000, C4:C1000) / DEVSQ(_xlfn.ANCHORARRAY(B4))</f>
        <v>-83750.501531974296</v>
      </c>
      <c r="W34">
        <f>G9</f>
        <v>0</v>
      </c>
      <c r="X34">
        <f>G10</f>
        <v>0</v>
      </c>
      <c r="Y34">
        <f ca="1">G6</f>
        <v>-4.3341748871891642E-2</v>
      </c>
      <c r="Z34">
        <f ca="1">G5</f>
        <v>6.5268971731127015E-3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0"/>
        <v>-4.2572405749003597</v>
      </c>
      <c r="D35">
        <f ca="1"/>
        <v>0.70104329287290401</v>
      </c>
      <c r="I35">
        <f t="shared" ca="1" si="1"/>
        <v>3.4475815391495209E-3</v>
      </c>
      <c r="J35">
        <f t="shared" ca="1" si="2"/>
        <v>-1.3571658737663039E-2</v>
      </c>
      <c r="L35">
        <f t="shared" ca="1" si="3"/>
        <v>3.4475815391495209E-3</v>
      </c>
      <c r="M35">
        <f t="shared" ca="1" si="4"/>
        <v>-1.3571658737663039E-2</v>
      </c>
      <c r="O35">
        <f t="shared" ca="1" si="5"/>
        <v>-2.6076548179719081</v>
      </c>
      <c r="P35">
        <f t="shared" ca="1" si="6"/>
        <v>-0.4047188340693984</v>
      </c>
      <c r="R35">
        <f t="shared" ca="1" si="7"/>
        <v>-1.7190304934863927</v>
      </c>
      <c r="S35">
        <f t="shared" ca="1" si="8"/>
        <v>0.25948947610538298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0"/>
        <v>-4.3762251971491555</v>
      </c>
      <c r="D36">
        <f ca="1"/>
        <v>0.72406825465833302</v>
      </c>
      <c r="I36">
        <f t="shared" ca="1" si="1"/>
        <v>3.5374837040684287E-3</v>
      </c>
      <c r="J36">
        <f t="shared" ca="1" si="2"/>
        <v>-1.4009454180813461E-2</v>
      </c>
      <c r="L36">
        <f t="shared" ca="1" si="3"/>
        <v>3.5374837040684287E-3</v>
      </c>
      <c r="M36">
        <f t="shared" ca="1" si="4"/>
        <v>-1.4009454180813461E-2</v>
      </c>
      <c r="O36">
        <f t="shared" ca="1" si="5"/>
        <v>-2.5722736542943325</v>
      </c>
      <c r="P36">
        <f t="shared" ca="1" si="6"/>
        <v>-0.39876708650955428</v>
      </c>
      <c r="R36">
        <f t="shared" ca="1" si="7"/>
        <v>-1.7716803933508047</v>
      </c>
      <c r="S36">
        <f t="shared" ca="1" si="8"/>
        <v>0.26786010436684693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0"/>
        <v>-4.4728623619350163</v>
      </c>
      <c r="D37">
        <f ca="1"/>
        <v>0.74296026523397884</v>
      </c>
      <c r="I37">
        <f t="shared" ca="1" si="1"/>
        <v>3.6260539850626124E-3</v>
      </c>
      <c r="J37">
        <f t="shared" ca="1" si="2"/>
        <v>-1.4447249623963881E-2</v>
      </c>
      <c r="L37">
        <f t="shared" ca="1" si="3"/>
        <v>3.6260539850626124E-3</v>
      </c>
      <c r="M37">
        <f t="shared" ca="1" si="4"/>
        <v>-1.4447249623963881E-2</v>
      </c>
      <c r="O37">
        <f t="shared" ca="1" si="5"/>
        <v>-2.5368039323692164</v>
      </c>
      <c r="P37">
        <f t="shared" ca="1" si="6"/>
        <v>-0.39281533894971021</v>
      </c>
      <c r="R37">
        <f t="shared" ca="1" si="7"/>
        <v>-1.8241551246714887</v>
      </c>
      <c r="S37">
        <f t="shared" ca="1" si="8"/>
        <v>0.27623073262831094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0"/>
        <v>-4.5570075740470486</v>
      </c>
      <c r="D38">
        <f ca="1"/>
        <v>0.75955406545833382</v>
      </c>
      <c r="I38">
        <f t="shared" ca="1" si="1"/>
        <v>3.7132923821320699E-3</v>
      </c>
      <c r="J38">
        <f t="shared" ca="1" si="2"/>
        <v>-1.4885045067114301E-2</v>
      </c>
      <c r="L38">
        <f t="shared" ca="1" si="3"/>
        <v>3.7132923821320699E-3</v>
      </c>
      <c r="M38">
        <f t="shared" ca="1" si="4"/>
        <v>-1.4885045067114301E-2</v>
      </c>
      <c r="O38">
        <f t="shared" ca="1" si="5"/>
        <v>-2.5012456521965603</v>
      </c>
      <c r="P38">
        <f t="shared" ca="1" si="6"/>
        <v>-0.38686359138986615</v>
      </c>
      <c r="R38">
        <f t="shared" ca="1" si="7"/>
        <v>-1.8764546874484429</v>
      </c>
      <c r="S38">
        <f t="shared" ca="1" si="8"/>
        <v>0.28460136088977489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0"/>
        <v>-4.6334196349077379</v>
      </c>
      <c r="D39">
        <f ca="1"/>
        <v>0.77474184081758102</v>
      </c>
      <c r="I39">
        <f t="shared" ca="1" si="1"/>
        <v>3.7991988952768042E-3</v>
      </c>
      <c r="J39">
        <f t="shared" ca="1" si="2"/>
        <v>-1.532284051026472E-2</v>
      </c>
      <c r="L39">
        <f t="shared" ca="1" si="3"/>
        <v>3.7991988952768042E-3</v>
      </c>
      <c r="M39">
        <f t="shared" ca="1" si="4"/>
        <v>-1.532284051026472E-2</v>
      </c>
      <c r="O39">
        <f t="shared" ca="1" si="5"/>
        <v>-2.4655988137763631</v>
      </c>
      <c r="P39">
        <f t="shared" ca="1" si="6"/>
        <v>-0.38091184383002197</v>
      </c>
      <c r="R39">
        <f t="shared" ca="1" si="7"/>
        <v>-1.9285790816816679</v>
      </c>
      <c r="S39">
        <f t="shared" ca="1" si="8"/>
        <v>0.29297198915123884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0"/>
        <v>-4.7048337911192135</v>
      </c>
      <c r="D40">
        <f ca="1"/>
        <v>0.78904098182580407</v>
      </c>
      <c r="I40">
        <f t="shared" ca="1" si="1"/>
        <v>3.8837735244968137E-3</v>
      </c>
      <c r="J40">
        <f t="shared" ca="1" si="2"/>
        <v>-1.5760635953415141E-2</v>
      </c>
      <c r="L40">
        <f t="shared" ca="1" si="3"/>
        <v>3.8837735244968137E-3</v>
      </c>
      <c r="M40">
        <f t="shared" ca="1" si="4"/>
        <v>-1.5760635953415141E-2</v>
      </c>
      <c r="O40">
        <f t="shared" ca="1" si="5"/>
        <v>-2.4298634171086264</v>
      </c>
      <c r="P40">
        <f t="shared" ca="1" si="6"/>
        <v>-0.3749600962701779</v>
      </c>
      <c r="R40">
        <f t="shared" ca="1" si="7"/>
        <v>-1.9805283073711639</v>
      </c>
      <c r="S40">
        <f t="shared" ca="1" si="8"/>
        <v>0.3013426174127028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0"/>
        <v>-4.7724423582325279</v>
      </c>
      <c r="D41">
        <f ca="1"/>
        <v>0.80267343866219987</v>
      </c>
      <c r="I41">
        <f t="shared" ca="1" si="1"/>
        <v>3.9670162697920987E-3</v>
      </c>
      <c r="J41">
        <f t="shared" ca="1" si="2"/>
        <v>-1.6198431396565564E-2</v>
      </c>
      <c r="L41">
        <f t="shared" ca="1" si="3"/>
        <v>3.9670162697920987E-3</v>
      </c>
      <c r="M41">
        <f t="shared" ca="1" si="4"/>
        <v>-1.6198431396565564E-2</v>
      </c>
      <c r="O41">
        <f t="shared" ca="1" si="5"/>
        <v>-2.3940394621933492</v>
      </c>
      <c r="P41">
        <f t="shared" ca="1" si="6"/>
        <v>-0.36900834871033383</v>
      </c>
      <c r="R41">
        <f t="shared" ca="1" si="7"/>
        <v>-2.0323023645169314</v>
      </c>
      <c r="S41">
        <f t="shared" ca="1" si="8"/>
        <v>0.3097132456741668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0"/>
        <v>-4.8373215770668256</v>
      </c>
      <c r="D42">
        <f ca="1"/>
        <v>0.81584453603978579</v>
      </c>
      <c r="I42">
        <f t="shared" ca="1" si="1"/>
        <v>4.0489271311626596E-3</v>
      </c>
      <c r="J42">
        <f t="shared" ca="1" si="2"/>
        <v>-1.6636226839715985E-2</v>
      </c>
      <c r="L42">
        <f t="shared" ca="1" si="3"/>
        <v>4.0489271311626596E-3</v>
      </c>
      <c r="M42">
        <f t="shared" ca="1" si="4"/>
        <v>-1.6636226839715985E-2</v>
      </c>
      <c r="O42">
        <f t="shared" ca="1" si="5"/>
        <v>-2.3581269490305314</v>
      </c>
      <c r="P42">
        <f t="shared" ca="1" si="6"/>
        <v>-0.36305660115048977</v>
      </c>
      <c r="R42">
        <f t="shared" ca="1" si="7"/>
        <v>-2.0839012531189698</v>
      </c>
      <c r="S42">
        <f t="shared" ca="1" si="8"/>
        <v>0.31808387393563076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0"/>
        <v>-4.9001897416516638</v>
      </c>
      <c r="D43">
        <f ca="1"/>
        <v>0.82869219788493276</v>
      </c>
      <c r="I43">
        <f t="shared" ca="1" si="1"/>
        <v>4.1295061086084953E-3</v>
      </c>
      <c r="J43">
        <f t="shared" ca="1" si="2"/>
        <v>-1.7074022282866405E-2</v>
      </c>
      <c r="L43">
        <f t="shared" ca="1" si="3"/>
        <v>4.1295061086084953E-3</v>
      </c>
      <c r="M43">
        <f t="shared" ca="1" si="4"/>
        <v>-1.7074022282866405E-2</v>
      </c>
      <c r="O43">
        <f t="shared" ca="1" si="5"/>
        <v>-2.3221258776201741</v>
      </c>
      <c r="P43">
        <f t="shared" ca="1" si="6"/>
        <v>-0.3571048535906457</v>
      </c>
      <c r="R43">
        <f t="shared" ca="1" si="7"/>
        <v>-2.135324973177279</v>
      </c>
      <c r="S43">
        <f t="shared" ca="1" si="8"/>
        <v>0.32645450219709476</v>
      </c>
    </row>
    <row r="44" spans="1:29" x14ac:dyDescent="0.35">
      <c r="C44" t="str">
        <f t="shared" si="0"/>
        <v/>
      </c>
      <c r="I44">
        <f t="shared" ca="1" si="1"/>
        <v>4.2087532021296064E-3</v>
      </c>
      <c r="J44">
        <f t="shared" ca="1" si="2"/>
        <v>-1.7511817726016825E-2</v>
      </c>
      <c r="L44">
        <f t="shared" ca="1" si="3"/>
        <v>4.2087532021296064E-3</v>
      </c>
      <c r="M44">
        <f t="shared" ca="1" si="4"/>
        <v>-1.7511817726016825E-2</v>
      </c>
      <c r="O44">
        <f t="shared" ca="1" si="5"/>
        <v>-2.2860362479622749</v>
      </c>
      <c r="P44">
        <f t="shared" ca="1" si="6"/>
        <v>-0.35115310603080152</v>
      </c>
      <c r="R44">
        <f t="shared" ca="1" si="7"/>
        <v>-2.1865735246918585</v>
      </c>
      <c r="S44">
        <f t="shared" ca="1" si="8"/>
        <v>0.33482513045855872</v>
      </c>
    </row>
    <row r="45" spans="1:29" x14ac:dyDescent="0.35">
      <c r="C45" t="str">
        <f t="shared" si="0"/>
        <v/>
      </c>
      <c r="I45">
        <f t="shared" ca="1" si="1"/>
        <v>4.286668411725994E-3</v>
      </c>
      <c r="J45">
        <f t="shared" ca="1" si="2"/>
        <v>-1.7949613169167246E-2</v>
      </c>
      <c r="L45">
        <f t="shared" ca="1" si="3"/>
        <v>4.286668411725994E-3</v>
      </c>
      <c r="M45">
        <f t="shared" ca="1" si="4"/>
        <v>-1.7949613169167246E-2</v>
      </c>
      <c r="O45">
        <f t="shared" ca="1" si="5"/>
        <v>-2.249858060056837</v>
      </c>
      <c r="P45">
        <f t="shared" ca="1" si="6"/>
        <v>-0.34520135847095745</v>
      </c>
      <c r="R45">
        <f t="shared" ca="1" si="7"/>
        <v>-2.2376469076627101</v>
      </c>
      <c r="S45">
        <f t="shared" ca="1" si="8"/>
        <v>0.34319575872002267</v>
      </c>
    </row>
    <row r="46" spans="1:29" x14ac:dyDescent="0.35">
      <c r="C46" t="str">
        <f t="shared" si="0"/>
        <v/>
      </c>
      <c r="I46">
        <f t="shared" ca="1" si="1"/>
        <v>4.3632517373976554E-3</v>
      </c>
      <c r="J46">
        <f t="shared" ca="1" si="2"/>
        <v>-1.8387408612317666E-2</v>
      </c>
      <c r="L46">
        <f t="shared" ca="1" si="3"/>
        <v>4.3632517373976554E-3</v>
      </c>
      <c r="M46">
        <f t="shared" ca="1" si="4"/>
        <v>-1.8387408612317666E-2</v>
      </c>
      <c r="O46">
        <f t="shared" ca="1" si="5"/>
        <v>-2.2135913139038581</v>
      </c>
      <c r="P46">
        <f t="shared" ca="1" si="6"/>
        <v>-0.33924961091111339</v>
      </c>
      <c r="R46">
        <f t="shared" ca="1" si="7"/>
        <v>-2.2885451220898312</v>
      </c>
      <c r="S46">
        <f t="shared" ca="1" si="8"/>
        <v>0.35156638698148662</v>
      </c>
    </row>
    <row r="47" spans="1:29" x14ac:dyDescent="0.35">
      <c r="C47" t="str">
        <f t="shared" si="0"/>
        <v/>
      </c>
      <c r="I47">
        <f t="shared" ca="1" si="1"/>
        <v>4.4385031791445931E-3</v>
      </c>
      <c r="J47">
        <f t="shared" ca="1" si="2"/>
        <v>-1.8825204055468087E-2</v>
      </c>
      <c r="L47">
        <f t="shared" ca="1" si="3"/>
        <v>4.4385031791445931E-3</v>
      </c>
      <c r="M47">
        <f t="shared" ca="1" si="4"/>
        <v>-1.8825204055468087E-2</v>
      </c>
      <c r="O47">
        <f t="shared" ca="1" si="5"/>
        <v>-2.1772360095033392</v>
      </c>
      <c r="P47">
        <f t="shared" ca="1" si="6"/>
        <v>-0.33329786335126926</v>
      </c>
      <c r="R47">
        <f t="shared" ca="1" si="7"/>
        <v>-2.3392681679732239</v>
      </c>
      <c r="S47">
        <f t="shared" ca="1" si="8"/>
        <v>0.35993701524295058</v>
      </c>
    </row>
    <row r="48" spans="1:29" x14ac:dyDescent="0.35">
      <c r="C48" t="str">
        <f t="shared" si="0"/>
        <v/>
      </c>
      <c r="I48">
        <f t="shared" ca="1" si="1"/>
        <v>4.5124227369668056E-3</v>
      </c>
      <c r="J48">
        <f t="shared" ca="1" si="2"/>
        <v>-1.9262999498618507E-2</v>
      </c>
      <c r="L48">
        <f t="shared" ca="1" si="3"/>
        <v>4.5124227369668056E-3</v>
      </c>
      <c r="M48">
        <f t="shared" ca="1" si="4"/>
        <v>-1.9262999498618507E-2</v>
      </c>
      <c r="O48">
        <f t="shared" ca="1" si="5"/>
        <v>-2.1407921468552802</v>
      </c>
      <c r="P48">
        <f t="shared" ca="1" si="6"/>
        <v>-0.3273461157914252</v>
      </c>
      <c r="R48">
        <f t="shared" ca="1" si="7"/>
        <v>-2.3898160453128883</v>
      </c>
      <c r="S48">
        <f t="shared" ca="1" si="8"/>
        <v>0.36830764350441453</v>
      </c>
    </row>
    <row r="49" spans="3:19" x14ac:dyDescent="0.35">
      <c r="C49" t="str">
        <f t="shared" si="0"/>
        <v/>
      </c>
      <c r="I49">
        <f t="shared" ca="1" si="1"/>
        <v>4.5850104108642945E-3</v>
      </c>
      <c r="J49">
        <f t="shared" ca="1" si="2"/>
        <v>-1.9700794941768927E-2</v>
      </c>
      <c r="L49">
        <f t="shared" ca="1" si="3"/>
        <v>4.5850104108642945E-3</v>
      </c>
      <c r="M49">
        <f t="shared" ca="1" si="4"/>
        <v>-1.9700794941768927E-2</v>
      </c>
      <c r="O49">
        <f t="shared" ca="1" si="5"/>
        <v>-2.1042597259596807</v>
      </c>
      <c r="P49">
        <f t="shared" ca="1" si="6"/>
        <v>-0.32139436823158107</v>
      </c>
      <c r="R49">
        <f t="shared" ca="1" si="7"/>
        <v>-2.4401887541088234</v>
      </c>
      <c r="S49">
        <f t="shared" ca="1" si="8"/>
        <v>0.37667827176587854</v>
      </c>
    </row>
    <row r="50" spans="3:19" x14ac:dyDescent="0.35">
      <c r="C50" t="str">
        <f t="shared" si="0"/>
        <v/>
      </c>
      <c r="I50">
        <f t="shared" ca="1" si="1"/>
        <v>4.656266200837058E-3</v>
      </c>
      <c r="J50">
        <f t="shared" ca="1" si="2"/>
        <v>-2.0138590384919348E-2</v>
      </c>
      <c r="L50">
        <f t="shared" ca="1" si="3"/>
        <v>4.656266200837058E-3</v>
      </c>
      <c r="M50">
        <f t="shared" ca="1" si="4"/>
        <v>-2.0138590384919348E-2</v>
      </c>
      <c r="O50">
        <f t="shared" ca="1" si="5"/>
        <v>-2.0676387468165407</v>
      </c>
      <c r="P50">
        <f t="shared" ca="1" si="6"/>
        <v>-0.31544262067173695</v>
      </c>
      <c r="R50">
        <f t="shared" ca="1" si="7"/>
        <v>-2.4903862943610284</v>
      </c>
      <c r="S50">
        <f t="shared" ca="1" si="8"/>
        <v>0.38504890002734249</v>
      </c>
    </row>
    <row r="51" spans="3:19" x14ac:dyDescent="0.35">
      <c r="C51" t="str">
        <f t="shared" si="0"/>
        <v/>
      </c>
      <c r="I51">
        <f t="shared" ca="1" si="1"/>
        <v>4.7261901068850979E-3</v>
      </c>
      <c r="J51">
        <f t="shared" ca="1" si="2"/>
        <v>-2.0576385828069768E-2</v>
      </c>
      <c r="L51">
        <f t="shared" ca="1" si="3"/>
        <v>4.7261901068850979E-3</v>
      </c>
      <c r="M51">
        <f t="shared" ca="1" si="4"/>
        <v>-2.0576385828069768E-2</v>
      </c>
      <c r="O51">
        <f t="shared" ca="1" si="5"/>
        <v>-2.0309292094258611</v>
      </c>
      <c r="P51">
        <f t="shared" ca="1" si="6"/>
        <v>-0.30949087311189288</v>
      </c>
      <c r="R51">
        <f t="shared" ca="1" si="7"/>
        <v>-2.5404086660695055</v>
      </c>
      <c r="S51">
        <f t="shared" ca="1" si="8"/>
        <v>0.3934195282888065</v>
      </c>
    </row>
    <row r="52" spans="3:19" x14ac:dyDescent="0.35">
      <c r="C52" t="str">
        <f t="shared" si="0"/>
        <v/>
      </c>
      <c r="I52">
        <f t="shared" ca="1" si="1"/>
        <v>4.7947821290084125E-3</v>
      </c>
      <c r="J52">
        <f t="shared" ca="1" si="2"/>
        <v>-2.1014181271220192E-2</v>
      </c>
      <c r="L52">
        <f t="shared" ca="1" si="3"/>
        <v>4.7947821290084125E-3</v>
      </c>
      <c r="M52">
        <f t="shared" ca="1" si="4"/>
        <v>-2.1014181271220192E-2</v>
      </c>
      <c r="O52">
        <f t="shared" ca="1" si="5"/>
        <v>-1.9941311137876405</v>
      </c>
      <c r="P52">
        <f t="shared" ca="1" si="6"/>
        <v>-0.30353912555204882</v>
      </c>
      <c r="R52">
        <f t="shared" ca="1" si="7"/>
        <v>-2.5902558692342534</v>
      </c>
      <c r="S52">
        <f t="shared" ca="1" si="8"/>
        <v>0.40179015655027045</v>
      </c>
    </row>
    <row r="53" spans="3:19" x14ac:dyDescent="0.35">
      <c r="C53" t="str">
        <f t="shared" si="0"/>
        <v/>
      </c>
      <c r="I53">
        <f t="shared" ca="1" si="1"/>
        <v>4.8620422672070035E-3</v>
      </c>
      <c r="J53">
        <f t="shared" ca="1" si="2"/>
        <v>-2.1451976714370612E-2</v>
      </c>
      <c r="L53">
        <f t="shared" ca="1" si="3"/>
        <v>4.8620422672070035E-3</v>
      </c>
      <c r="M53">
        <f t="shared" ca="1" si="4"/>
        <v>-2.1451976714370612E-2</v>
      </c>
      <c r="O53">
        <f t="shared" ca="1" si="5"/>
        <v>-1.9572444599018799</v>
      </c>
      <c r="P53">
        <f t="shared" ca="1" si="6"/>
        <v>-0.29758737799220469</v>
      </c>
      <c r="R53">
        <f t="shared" ca="1" si="7"/>
        <v>-2.6399279038552712</v>
      </c>
      <c r="S53">
        <f t="shared" ca="1" si="8"/>
        <v>0.4101607848117344</v>
      </c>
    </row>
    <row r="54" spans="3:19" x14ac:dyDescent="0.35">
      <c r="C54" t="str">
        <f t="shared" si="0"/>
        <v/>
      </c>
      <c r="I54">
        <f t="shared" ca="1" si="1"/>
        <v>4.9279705214808683E-3</v>
      </c>
      <c r="J54">
        <f t="shared" ca="1" si="2"/>
        <v>-2.1889772157521029E-2</v>
      </c>
      <c r="L54">
        <f t="shared" ca="1" si="3"/>
        <v>4.9279705214808683E-3</v>
      </c>
      <c r="M54">
        <f t="shared" ca="1" si="4"/>
        <v>-2.1889772157521029E-2</v>
      </c>
      <c r="O54">
        <f t="shared" ca="1" si="5"/>
        <v>-1.9202692477685794</v>
      </c>
      <c r="P54">
        <f t="shared" ca="1" si="6"/>
        <v>-0.29163563043236063</v>
      </c>
      <c r="R54">
        <f t="shared" ca="1" si="7"/>
        <v>-2.6894247699325611</v>
      </c>
      <c r="S54">
        <f t="shared" ca="1" si="8"/>
        <v>0.41853141307319841</v>
      </c>
    </row>
    <row r="55" spans="3:19" x14ac:dyDescent="0.35">
      <c r="C55" t="str">
        <f t="shared" si="0"/>
        <v/>
      </c>
      <c r="I55">
        <f t="shared" ca="1" si="1"/>
        <v>4.9925668918300095E-3</v>
      </c>
      <c r="J55">
        <f t="shared" ca="1" si="2"/>
        <v>-2.2327567600671453E-2</v>
      </c>
      <c r="L55">
        <f t="shared" ca="1" si="3"/>
        <v>4.9925668918300095E-3</v>
      </c>
      <c r="M55">
        <f t="shared" ca="1" si="4"/>
        <v>-2.2327567600671453E-2</v>
      </c>
      <c r="O55">
        <f t="shared" ca="1" si="5"/>
        <v>-1.883205477387738</v>
      </c>
      <c r="P55">
        <f t="shared" ca="1" si="6"/>
        <v>-0.2856838828725165</v>
      </c>
      <c r="R55">
        <f t="shared" ca="1" si="7"/>
        <v>-2.7387464674661217</v>
      </c>
      <c r="S55">
        <f t="shared" ca="1" si="8"/>
        <v>0.42690204133466231</v>
      </c>
    </row>
    <row r="56" spans="3:19" x14ac:dyDescent="0.35">
      <c r="C56" t="str">
        <f t="shared" si="0"/>
        <v/>
      </c>
      <c r="I56">
        <f t="shared" ca="1" si="1"/>
        <v>5.0558313782544263E-3</v>
      </c>
      <c r="J56">
        <f t="shared" ca="1" si="2"/>
        <v>-2.2765363043821873E-2</v>
      </c>
      <c r="L56">
        <f t="shared" ca="1" si="3"/>
        <v>5.0558313782544263E-3</v>
      </c>
      <c r="M56">
        <f t="shared" ca="1" si="4"/>
        <v>-2.2765363043821873E-2</v>
      </c>
      <c r="O56">
        <f t="shared" ca="1" si="5"/>
        <v>-1.8460531487593568</v>
      </c>
      <c r="P56">
        <f t="shared" ca="1" si="6"/>
        <v>-0.27973213531267244</v>
      </c>
      <c r="R56">
        <f t="shared" ca="1" si="7"/>
        <v>-2.7878929964559536</v>
      </c>
      <c r="S56">
        <f t="shared" ca="1" si="8"/>
        <v>0.43527266959612626</v>
      </c>
    </row>
    <row r="57" spans="3:19" x14ac:dyDescent="0.35">
      <c r="C57" t="str">
        <f t="shared" si="0"/>
        <v/>
      </c>
      <c r="I57">
        <f t="shared" ca="1" si="1"/>
        <v>5.1177639807541177E-3</v>
      </c>
      <c r="J57">
        <f t="shared" ca="1" si="2"/>
        <v>-2.3203158486972294E-2</v>
      </c>
      <c r="L57">
        <f t="shared" ca="1" si="3"/>
        <v>5.1177639807541177E-3</v>
      </c>
      <c r="M57">
        <f t="shared" ca="1" si="4"/>
        <v>-2.3203158486972294E-2</v>
      </c>
      <c r="O57">
        <f t="shared" ca="1" si="5"/>
        <v>-1.808812261883435</v>
      </c>
      <c r="P57">
        <f t="shared" ca="1" si="6"/>
        <v>-0.27378038775282831</v>
      </c>
      <c r="R57">
        <f t="shared" ca="1" si="7"/>
        <v>-2.8368643569020557</v>
      </c>
      <c r="S57">
        <f t="shared" ca="1" si="8"/>
        <v>0.44364329785759027</v>
      </c>
    </row>
    <row r="58" spans="3:19" x14ac:dyDescent="0.35">
      <c r="C58" t="str">
        <f t="shared" si="0"/>
        <v/>
      </c>
      <c r="I58">
        <f t="shared" ca="1" si="1"/>
        <v>5.1783646993290855E-3</v>
      </c>
      <c r="J58">
        <f t="shared" ca="1" si="2"/>
        <v>-2.3640953930122714E-2</v>
      </c>
      <c r="L58">
        <f t="shared" ca="1" si="3"/>
        <v>5.1783646993290855E-3</v>
      </c>
      <c r="M58">
        <f t="shared" ca="1" si="4"/>
        <v>-2.3640953930122714E-2</v>
      </c>
      <c r="O58">
        <f t="shared" ca="1" si="5"/>
        <v>-1.7714828167599732</v>
      </c>
      <c r="P58">
        <f t="shared" ca="1" si="6"/>
        <v>-0.26782864019298425</v>
      </c>
      <c r="R58">
        <f t="shared" ca="1" si="7"/>
        <v>-2.8856605488044287</v>
      </c>
      <c r="S58">
        <f t="shared" ca="1" si="8"/>
        <v>0.45201392611905422</v>
      </c>
    </row>
    <row r="59" spans="3:19" x14ac:dyDescent="0.35">
      <c r="C59" t="str">
        <f t="shared" si="0"/>
        <v/>
      </c>
      <c r="I59">
        <f t="shared" ca="1" si="1"/>
        <v>5.237633533979328E-3</v>
      </c>
      <c r="J59">
        <f t="shared" ca="1" si="2"/>
        <v>-2.4078749373273131E-2</v>
      </c>
      <c r="L59">
        <f t="shared" ca="1" si="3"/>
        <v>5.237633533979328E-3</v>
      </c>
      <c r="M59">
        <f t="shared" ca="1" si="4"/>
        <v>-2.4078749373273131E-2</v>
      </c>
      <c r="O59">
        <f t="shared" ca="1" si="5"/>
        <v>-1.7340648133889707</v>
      </c>
      <c r="P59">
        <f t="shared" ca="1" si="6"/>
        <v>-0.26187689263314012</v>
      </c>
      <c r="R59">
        <f t="shared" ca="1" si="7"/>
        <v>-2.9342815721630733</v>
      </c>
      <c r="S59">
        <f t="shared" ca="1" si="8"/>
        <v>0.46038455438051817</v>
      </c>
    </row>
    <row r="60" spans="3:19" x14ac:dyDescent="0.35">
      <c r="C60" t="str">
        <f t="shared" si="0"/>
        <v/>
      </c>
      <c r="I60">
        <f t="shared" ca="1" si="1"/>
        <v>5.2955704847048469E-3</v>
      </c>
      <c r="J60">
        <f t="shared" ca="1" si="2"/>
        <v>-2.4516544816423555E-2</v>
      </c>
      <c r="L60">
        <f t="shared" ca="1" si="3"/>
        <v>5.2955704847048469E-3</v>
      </c>
      <c r="M60">
        <f t="shared" ca="1" si="4"/>
        <v>-2.4516544816423555E-2</v>
      </c>
      <c r="O60">
        <f t="shared" ca="1" si="5"/>
        <v>-1.6965582517704283</v>
      </c>
      <c r="P60">
        <f t="shared" ca="1" si="6"/>
        <v>-0.25592514507329606</v>
      </c>
      <c r="R60">
        <f t="shared" ca="1" si="7"/>
        <v>-2.9827274269779891</v>
      </c>
      <c r="S60">
        <f t="shared" ca="1" si="8"/>
        <v>0.46875518264198218</v>
      </c>
    </row>
    <row r="61" spans="3:19" x14ac:dyDescent="0.35">
      <c r="C61" t="str">
        <f t="shared" si="0"/>
        <v/>
      </c>
      <c r="I61">
        <f t="shared" ca="1" si="1"/>
        <v>5.3521755515056404E-3</v>
      </c>
      <c r="J61">
        <f t="shared" ca="1" si="2"/>
        <v>-2.4954340259573975E-2</v>
      </c>
      <c r="L61">
        <f t="shared" ca="1" si="3"/>
        <v>5.3521755515056404E-3</v>
      </c>
      <c r="M61">
        <f t="shared" ca="1" si="4"/>
        <v>-2.4954340259573975E-2</v>
      </c>
      <c r="O61">
        <f t="shared" ca="1" si="5"/>
        <v>-1.6589631319043454</v>
      </c>
      <c r="P61">
        <f t="shared" ca="1" si="6"/>
        <v>-0.24997339751345193</v>
      </c>
      <c r="R61">
        <f t="shared" ca="1" si="7"/>
        <v>-3.0309981132491748</v>
      </c>
      <c r="S61">
        <f t="shared" ca="1" si="8"/>
        <v>0.47712581090344613</v>
      </c>
    </row>
    <row r="62" spans="3:19" x14ac:dyDescent="0.35">
      <c r="C62" t="str">
        <f t="shared" si="0"/>
        <v/>
      </c>
      <c r="I62">
        <f t="shared" ca="1" si="1"/>
        <v>5.4074487343817104E-3</v>
      </c>
      <c r="J62">
        <f t="shared" ca="1" si="2"/>
        <v>-2.5392135702724399E-2</v>
      </c>
      <c r="L62">
        <f t="shared" ca="1" si="3"/>
        <v>5.4074487343817104E-3</v>
      </c>
      <c r="M62">
        <f t="shared" ca="1" si="4"/>
        <v>-2.5392135702724399E-2</v>
      </c>
      <c r="O62">
        <f t="shared" ca="1" si="5"/>
        <v>-1.6212794537907225</v>
      </c>
      <c r="P62">
        <f t="shared" ca="1" si="6"/>
        <v>-0.24402164995360787</v>
      </c>
      <c r="R62">
        <f t="shared" ca="1" si="7"/>
        <v>-3.0790936309766326</v>
      </c>
      <c r="S62">
        <f t="shared" ca="1" si="8"/>
        <v>0.48549643916491014</v>
      </c>
    </row>
    <row r="63" spans="3:19" x14ac:dyDescent="0.35">
      <c r="C63" t="str">
        <f t="shared" si="0"/>
        <v/>
      </c>
      <c r="I63">
        <f t="shared" ca="1" si="1"/>
        <v>5.4613900333330542E-3</v>
      </c>
      <c r="J63">
        <f t="shared" ca="1" si="2"/>
        <v>-2.5829931145874816E-2</v>
      </c>
      <c r="L63">
        <f t="shared" ca="1" si="3"/>
        <v>5.4613900333330542E-3</v>
      </c>
      <c r="M63">
        <f t="shared" ca="1" si="4"/>
        <v>-2.5829931145874816E-2</v>
      </c>
      <c r="O63">
        <f t="shared" ca="1" si="5"/>
        <v>-1.5835072174295592</v>
      </c>
      <c r="P63">
        <f t="shared" ca="1" si="6"/>
        <v>-0.23806990239376374</v>
      </c>
      <c r="R63">
        <f t="shared" ca="1" si="7"/>
        <v>-3.1270139801603603</v>
      </c>
      <c r="S63">
        <f t="shared" ca="1" si="8"/>
        <v>0.4938670674263741</v>
      </c>
    </row>
    <row r="64" spans="3:19" x14ac:dyDescent="0.35">
      <c r="C64" t="str">
        <f t="shared" si="0"/>
        <v/>
      </c>
      <c r="I64">
        <f t="shared" ca="1" si="1"/>
        <v>5.5139994483596744E-3</v>
      </c>
      <c r="J64">
        <f t="shared" ca="1" si="2"/>
        <v>-2.6267726589025236E-2</v>
      </c>
      <c r="L64">
        <f t="shared" ca="1" si="3"/>
        <v>5.5139994483596744E-3</v>
      </c>
      <c r="M64">
        <f t="shared" ca="1" si="4"/>
        <v>-2.6267726589025236E-2</v>
      </c>
      <c r="O64">
        <f t="shared" ca="1" si="5"/>
        <v>-1.5456464228208553</v>
      </c>
      <c r="P64">
        <f t="shared" ca="1" si="6"/>
        <v>-0.23211815483391962</v>
      </c>
      <c r="R64">
        <f t="shared" ca="1" si="7"/>
        <v>-3.1747591608003596</v>
      </c>
      <c r="S64">
        <f t="shared" ca="1" si="8"/>
        <v>0.50223769568783805</v>
      </c>
    </row>
    <row r="65" spans="3:19" x14ac:dyDescent="0.35">
      <c r="C65" t="str">
        <f t="shared" si="0"/>
        <v/>
      </c>
      <c r="I65">
        <f t="shared" ca="1" si="1"/>
        <v>5.5652769794615701E-3</v>
      </c>
      <c r="J65">
        <f t="shared" ca="1" si="2"/>
        <v>-2.670552203217566E-2</v>
      </c>
      <c r="L65">
        <f t="shared" ca="1" si="3"/>
        <v>5.5652769794615701E-3</v>
      </c>
      <c r="M65">
        <f t="shared" ca="1" si="4"/>
        <v>-2.670552203217566E-2</v>
      </c>
      <c r="O65">
        <f t="shared" ca="1" si="5"/>
        <v>-1.5076970699646117</v>
      </c>
      <c r="P65">
        <f t="shared" ca="1" si="6"/>
        <v>-0.22616640727407561</v>
      </c>
      <c r="R65">
        <f t="shared" ca="1" si="7"/>
        <v>-3.2223291728966292</v>
      </c>
      <c r="S65">
        <f t="shared" ca="1" si="8"/>
        <v>0.510608323949302</v>
      </c>
    </row>
    <row r="66" spans="3:19" x14ac:dyDescent="0.35">
      <c r="C66" t="str">
        <f t="shared" si="0"/>
        <v/>
      </c>
      <c r="I66">
        <f t="shared" ca="1" si="1"/>
        <v>5.6152226266387405E-3</v>
      </c>
      <c r="J66">
        <f t="shared" ca="1" si="2"/>
        <v>-2.7143317475326077E-2</v>
      </c>
      <c r="L66">
        <f t="shared" ca="1" si="3"/>
        <v>5.6152226266387405E-3</v>
      </c>
      <c r="M66">
        <f t="shared" ca="1" si="4"/>
        <v>-2.7143317475326077E-2</v>
      </c>
      <c r="O66">
        <f t="shared" ca="1" si="5"/>
        <v>-1.4696591588608274</v>
      </c>
      <c r="P66">
        <f t="shared" ca="1" si="6"/>
        <v>-0.22021465971423149</v>
      </c>
      <c r="R66">
        <f t="shared" ca="1" si="7"/>
        <v>-3.2697240164491705</v>
      </c>
      <c r="S66">
        <f t="shared" ca="1" si="8"/>
        <v>0.51897895221076595</v>
      </c>
    </row>
    <row r="67" spans="3:19" x14ac:dyDescent="0.35">
      <c r="C67" t="str">
        <f t="shared" si="0"/>
        <v/>
      </c>
      <c r="I67">
        <f t="shared" ca="1" si="1"/>
        <v>5.6638363898911873E-3</v>
      </c>
      <c r="J67">
        <f t="shared" ca="1" si="2"/>
        <v>-2.7581112918476501E-2</v>
      </c>
      <c r="L67">
        <f t="shared" ca="1" si="3"/>
        <v>5.6638363898911873E-3</v>
      </c>
      <c r="M67">
        <f t="shared" ca="1" si="4"/>
        <v>-2.7581112918476501E-2</v>
      </c>
      <c r="O67">
        <f t="shared" ca="1" si="5"/>
        <v>-1.4315326895095033</v>
      </c>
      <c r="P67">
        <f t="shared" ca="1" si="6"/>
        <v>-0.21426291215438742</v>
      </c>
      <c r="R67">
        <f t="shared" ca="1" si="7"/>
        <v>-3.3169436914579822</v>
      </c>
      <c r="S67">
        <f t="shared" ca="1" si="8"/>
        <v>0.52734958047222991</v>
      </c>
    </row>
    <row r="68" spans="3:19" x14ac:dyDescent="0.35">
      <c r="C68" t="str">
        <f t="shared" si="0"/>
        <v/>
      </c>
      <c r="I68">
        <f t="shared" ca="1" si="1"/>
        <v>5.7111182692189096E-3</v>
      </c>
      <c r="J68">
        <f t="shared" ca="1" si="2"/>
        <v>-2.8018908361626921E-2</v>
      </c>
      <c r="L68">
        <f t="shared" ca="1" si="3"/>
        <v>5.7111182692189096E-3</v>
      </c>
      <c r="M68">
        <f t="shared" ca="1" si="4"/>
        <v>-2.8018908361626921E-2</v>
      </c>
      <c r="O68">
        <f t="shared" ca="1" si="5"/>
        <v>-1.3933176619106384</v>
      </c>
      <c r="P68">
        <f t="shared" ca="1" si="6"/>
        <v>-0.2083111645945433</v>
      </c>
      <c r="R68">
        <f t="shared" ca="1" si="7"/>
        <v>-3.3639881979230646</v>
      </c>
      <c r="S68">
        <f t="shared" ca="1" si="8"/>
        <v>0.53572020873369386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5.7570682646219066E-3</v>
      </c>
      <c r="J69">
        <f t="shared" ref="J69:J103" ca="1" si="11">$G$9 + ($G$6 - $G$9) * (ROW(B66)-1)/99</f>
        <v>-2.8456703804777338E-2</v>
      </c>
      <c r="L69">
        <f t="shared" ref="L69:L103" ca="1" si="12">$G$17 * (M69 - $G$6)^2 + $G$5</f>
        <v>5.7570682646219066E-3</v>
      </c>
      <c r="M69">
        <f t="shared" ref="M69:M103" ca="1" si="13">$G$13 + ($G$6 - $G$13) * (ROW(F66)-1)/99</f>
        <v>-2.8456703804777338E-2</v>
      </c>
      <c r="O69">
        <f t="shared" ref="O69:O103" ca="1" si="14">$G$10 + $G$19 * ($G$23 * (P69 - $G$9))^2 + $G$21 * (1 - (P69 - $G$6)/($G$9 - $G$6))</f>
        <v>-1.3550140760642329</v>
      </c>
      <c r="P69">
        <f t="shared" ref="P69:P103" ca="1" si="15">$G$26 + ($G$9 - $G$26) * (ROW(B66)-1)/99</f>
        <v>-0.20235941703469917</v>
      </c>
      <c r="R69">
        <f t="shared" ref="R69:R103" ca="1" si="16">$G$14 + $G$19 * ($G$23 * (S69 - $G$13))^2 - $G$22 * (1 - (S69 - $G$6)/($G$13 - $G$6))</f>
        <v>-3.4108575358444191</v>
      </c>
      <c r="S69">
        <f t="shared" ref="S69:S103" ca="1" si="17">$G$13 + ($G$25 - $G$13) * (ROW(B66)-1)/99</f>
        <v>0.54409083699515792</v>
      </c>
    </row>
    <row r="70" spans="3:19" x14ac:dyDescent="0.35">
      <c r="C70" t="str">
        <f t="shared" si="9"/>
        <v/>
      </c>
      <c r="I70">
        <f t="shared" ca="1" si="10"/>
        <v>5.8016863761001791E-3</v>
      </c>
      <c r="J70">
        <f t="shared" ca="1" si="11"/>
        <v>-2.8894499247927762E-2</v>
      </c>
      <c r="L70">
        <f t="shared" ca="1" si="12"/>
        <v>5.8016863761001791E-3</v>
      </c>
      <c r="M70">
        <f t="shared" ca="1" si="13"/>
        <v>-2.8894499247927762E-2</v>
      </c>
      <c r="O70">
        <f t="shared" ca="1" si="14"/>
        <v>-1.3166219319702881</v>
      </c>
      <c r="P70">
        <f t="shared" ca="1" si="15"/>
        <v>-0.19640766947485511</v>
      </c>
      <c r="R70">
        <f t="shared" ca="1" si="16"/>
        <v>-3.4575517052220439</v>
      </c>
      <c r="S70">
        <f t="shared" ca="1" si="17"/>
        <v>0.55246146525662188</v>
      </c>
    </row>
    <row r="71" spans="3:19" x14ac:dyDescent="0.35">
      <c r="C71" t="str">
        <f t="shared" si="9"/>
        <v/>
      </c>
      <c r="I71">
        <f t="shared" ca="1" si="10"/>
        <v>5.8449726036537272E-3</v>
      </c>
      <c r="J71">
        <f t="shared" ca="1" si="11"/>
        <v>-2.9332294691078179E-2</v>
      </c>
      <c r="L71">
        <f t="shared" ca="1" si="12"/>
        <v>5.8449726036537272E-3</v>
      </c>
      <c r="M71">
        <f t="shared" ca="1" si="13"/>
        <v>-2.9332294691078179E-2</v>
      </c>
      <c r="O71">
        <f t="shared" ca="1" si="14"/>
        <v>-1.2781412296288024</v>
      </c>
      <c r="P71">
        <f t="shared" ca="1" si="15"/>
        <v>-0.19045592191501098</v>
      </c>
      <c r="R71">
        <f t="shared" ca="1" si="16"/>
        <v>-3.5040707060559395</v>
      </c>
      <c r="S71">
        <f t="shared" ca="1" si="17"/>
        <v>0.56083209351808583</v>
      </c>
    </row>
    <row r="72" spans="3:19" x14ac:dyDescent="0.35">
      <c r="C72" t="str">
        <f t="shared" si="9"/>
        <v/>
      </c>
      <c r="I72">
        <f t="shared" ca="1" si="10"/>
        <v>5.8869269472825508E-3</v>
      </c>
      <c r="J72">
        <f t="shared" ca="1" si="11"/>
        <v>-2.9770090134228603E-2</v>
      </c>
      <c r="L72">
        <f t="shared" ca="1" si="12"/>
        <v>5.8869269472825508E-3</v>
      </c>
      <c r="M72">
        <f t="shared" ca="1" si="13"/>
        <v>-2.9770090134228603E-2</v>
      </c>
      <c r="O72">
        <f t="shared" ca="1" si="14"/>
        <v>-1.2395719690397773</v>
      </c>
      <c r="P72">
        <f t="shared" ca="1" si="15"/>
        <v>-0.18450417435516697</v>
      </c>
      <c r="R72">
        <f t="shared" ca="1" si="16"/>
        <v>-3.5504145383461059</v>
      </c>
      <c r="S72">
        <f t="shared" ca="1" si="17"/>
        <v>0.56920272177954978</v>
      </c>
    </row>
    <row r="73" spans="3:19" x14ac:dyDescent="0.35">
      <c r="C73" t="str">
        <f t="shared" si="9"/>
        <v/>
      </c>
      <c r="I73">
        <f t="shared" ca="1" si="10"/>
        <v>5.9275494069866499E-3</v>
      </c>
      <c r="J73">
        <f t="shared" ca="1" si="11"/>
        <v>-3.0207885577379023E-2</v>
      </c>
      <c r="L73">
        <f t="shared" ca="1" si="12"/>
        <v>5.9275494069866499E-3</v>
      </c>
      <c r="M73">
        <f t="shared" ca="1" si="13"/>
        <v>-3.0207885577379023E-2</v>
      </c>
      <c r="O73">
        <f t="shared" ca="1" si="14"/>
        <v>-1.2009141502032108</v>
      </c>
      <c r="P73">
        <f t="shared" ca="1" si="15"/>
        <v>-0.17855242679532285</v>
      </c>
      <c r="R73">
        <f t="shared" ca="1" si="16"/>
        <v>-3.5965832020925439</v>
      </c>
      <c r="S73">
        <f t="shared" ca="1" si="17"/>
        <v>0.57757335004101373</v>
      </c>
    </row>
    <row r="74" spans="3:19" x14ac:dyDescent="0.35">
      <c r="C74" t="str">
        <f t="shared" si="9"/>
        <v/>
      </c>
      <c r="I74">
        <f t="shared" ca="1" si="10"/>
        <v>5.9668399827660238E-3</v>
      </c>
      <c r="J74">
        <f t="shared" ca="1" si="11"/>
        <v>-3.064568102052944E-2</v>
      </c>
      <c r="L74">
        <f t="shared" ca="1" si="12"/>
        <v>5.9668399827660238E-3</v>
      </c>
      <c r="M74">
        <f t="shared" ca="1" si="13"/>
        <v>-3.064568102052944E-2</v>
      </c>
      <c r="O74">
        <f t="shared" ca="1" si="14"/>
        <v>-1.162167773119104</v>
      </c>
      <c r="P74">
        <f t="shared" ca="1" si="15"/>
        <v>-0.17260067923547867</v>
      </c>
      <c r="R74">
        <f t="shared" ca="1" si="16"/>
        <v>-3.6425766972952518</v>
      </c>
      <c r="S74">
        <f t="shared" ca="1" si="17"/>
        <v>0.58594397830247769</v>
      </c>
    </row>
    <row r="75" spans="3:19" x14ac:dyDescent="0.35">
      <c r="C75" t="str">
        <f t="shared" si="9"/>
        <v/>
      </c>
      <c r="I75">
        <f t="shared" ca="1" si="10"/>
        <v>6.004798674620674E-3</v>
      </c>
      <c r="J75">
        <f t="shared" ca="1" si="11"/>
        <v>-3.1083476463679864E-2</v>
      </c>
      <c r="L75">
        <f t="shared" ca="1" si="12"/>
        <v>6.004798674620674E-3</v>
      </c>
      <c r="M75">
        <f t="shared" ca="1" si="13"/>
        <v>-3.1083476463679864E-2</v>
      </c>
      <c r="O75">
        <f t="shared" ca="1" si="14"/>
        <v>-1.1233328377874576</v>
      </c>
      <c r="P75">
        <f t="shared" ca="1" si="15"/>
        <v>-0.16664893167563466</v>
      </c>
      <c r="R75">
        <f t="shared" ca="1" si="16"/>
        <v>-3.6883950239542318</v>
      </c>
      <c r="S75">
        <f t="shared" ca="1" si="17"/>
        <v>0.59431460656394164</v>
      </c>
    </row>
    <row r="76" spans="3:19" x14ac:dyDescent="0.35">
      <c r="C76" t="str">
        <f t="shared" si="9"/>
        <v/>
      </c>
      <c r="I76">
        <f t="shared" ca="1" si="10"/>
        <v>6.0414254825505997E-3</v>
      </c>
      <c r="J76">
        <f t="shared" ca="1" si="11"/>
        <v>-3.1521271906830281E-2</v>
      </c>
      <c r="L76">
        <f t="shared" ca="1" si="12"/>
        <v>6.0414254825505997E-3</v>
      </c>
      <c r="M76">
        <f t="shared" ca="1" si="13"/>
        <v>-3.1521271906830281E-2</v>
      </c>
      <c r="O76">
        <f t="shared" ca="1" si="14"/>
        <v>-1.0844093442082707</v>
      </c>
      <c r="P76">
        <f t="shared" ca="1" si="15"/>
        <v>-0.16069718411579054</v>
      </c>
      <c r="R76">
        <f t="shared" ca="1" si="16"/>
        <v>-3.7340381820694817</v>
      </c>
      <c r="S76">
        <f t="shared" ca="1" si="17"/>
        <v>0.60268523482540559</v>
      </c>
    </row>
    <row r="77" spans="3:19" x14ac:dyDescent="0.35">
      <c r="C77" t="str">
        <f t="shared" si="9"/>
        <v/>
      </c>
      <c r="I77">
        <f t="shared" ca="1" si="10"/>
        <v>6.0767204065558002E-3</v>
      </c>
      <c r="J77">
        <f t="shared" ca="1" si="11"/>
        <v>-3.1959067349980705E-2</v>
      </c>
      <c r="L77">
        <f t="shared" ca="1" si="12"/>
        <v>6.0767204065558002E-3</v>
      </c>
      <c r="M77">
        <f t="shared" ca="1" si="13"/>
        <v>-3.1959067349980705E-2</v>
      </c>
      <c r="O77">
        <f t="shared" ca="1" si="14"/>
        <v>-1.0453972923815438</v>
      </c>
      <c r="P77">
        <f t="shared" ca="1" si="15"/>
        <v>-0.15474543655594647</v>
      </c>
      <c r="R77">
        <f t="shared" ca="1" si="16"/>
        <v>-3.7795061716410041</v>
      </c>
      <c r="S77">
        <f t="shared" ca="1" si="17"/>
        <v>0.61105586308686966</v>
      </c>
    </row>
    <row r="78" spans="3:19" x14ac:dyDescent="0.35">
      <c r="C78" t="str">
        <f t="shared" si="9"/>
        <v/>
      </c>
      <c r="I78">
        <f t="shared" ca="1" si="10"/>
        <v>6.110683446636277E-3</v>
      </c>
      <c r="J78">
        <f t="shared" ca="1" si="11"/>
        <v>-3.2396862793131129E-2</v>
      </c>
      <c r="L78">
        <f t="shared" ca="1" si="12"/>
        <v>6.110683446636277E-3</v>
      </c>
      <c r="M78">
        <f t="shared" ca="1" si="13"/>
        <v>-3.2396862793131129E-2</v>
      </c>
      <c r="O78">
        <f t="shared" ca="1" si="14"/>
        <v>-1.0062966823072759</v>
      </c>
      <c r="P78">
        <f t="shared" ca="1" si="15"/>
        <v>-0.14879368899610235</v>
      </c>
      <c r="R78">
        <f t="shared" ca="1" si="16"/>
        <v>-3.824798992668796</v>
      </c>
      <c r="S78">
        <f t="shared" ca="1" si="17"/>
        <v>0.61942649134833361</v>
      </c>
    </row>
    <row r="79" spans="3:19" x14ac:dyDescent="0.35">
      <c r="C79" t="str">
        <f t="shared" si="9"/>
        <v/>
      </c>
      <c r="I79">
        <f t="shared" ca="1" si="10"/>
        <v>6.1433146027920285E-3</v>
      </c>
      <c r="J79">
        <f t="shared" ca="1" si="11"/>
        <v>-3.2834658236281546E-2</v>
      </c>
      <c r="L79">
        <f t="shared" ca="1" si="12"/>
        <v>6.1433146027920285E-3</v>
      </c>
      <c r="M79">
        <f t="shared" ca="1" si="13"/>
        <v>-3.2834658236281546E-2</v>
      </c>
      <c r="O79">
        <f t="shared" ca="1" si="14"/>
        <v>-0.96710751398546801</v>
      </c>
      <c r="P79">
        <f t="shared" ca="1" si="15"/>
        <v>-0.14284194143625822</v>
      </c>
      <c r="R79">
        <f t="shared" ca="1" si="16"/>
        <v>-3.8699166451528595</v>
      </c>
      <c r="S79">
        <f t="shared" ca="1" si="17"/>
        <v>0.62779711960979756</v>
      </c>
    </row>
    <row r="80" spans="3:19" x14ac:dyDescent="0.35">
      <c r="C80" t="str">
        <f t="shared" si="9"/>
        <v/>
      </c>
      <c r="I80">
        <f t="shared" ca="1" si="10"/>
        <v>6.1746138750230556E-3</v>
      </c>
      <c r="J80">
        <f t="shared" ca="1" si="11"/>
        <v>-3.3272453679431969E-2</v>
      </c>
      <c r="L80">
        <f t="shared" ca="1" si="12"/>
        <v>6.1746138750230556E-3</v>
      </c>
      <c r="M80">
        <f t="shared" ca="1" si="13"/>
        <v>-3.3272453679431969E-2</v>
      </c>
      <c r="O80">
        <f t="shared" ca="1" si="14"/>
        <v>-0.92782978741612032</v>
      </c>
      <c r="P80">
        <f t="shared" ca="1" si="15"/>
        <v>-0.13689019387641416</v>
      </c>
      <c r="R80">
        <f t="shared" ca="1" si="16"/>
        <v>-3.9148591290931942</v>
      </c>
      <c r="S80">
        <f t="shared" ca="1" si="17"/>
        <v>0.63616774787126151</v>
      </c>
    </row>
    <row r="81" spans="3:19" x14ac:dyDescent="0.35">
      <c r="C81" t="str">
        <f t="shared" si="9"/>
        <v/>
      </c>
      <c r="I81">
        <f t="shared" ca="1" si="10"/>
        <v>6.2045812633293581E-3</v>
      </c>
      <c r="J81">
        <f t="shared" ca="1" si="11"/>
        <v>-3.3710249122582386E-2</v>
      </c>
      <c r="L81">
        <f t="shared" ca="1" si="12"/>
        <v>6.2045812633293581E-3</v>
      </c>
      <c r="M81">
        <f t="shared" ca="1" si="13"/>
        <v>-3.3710249122582386E-2</v>
      </c>
      <c r="O81">
        <f t="shared" ca="1" si="14"/>
        <v>-0.88846350259923179</v>
      </c>
      <c r="P81">
        <f t="shared" ca="1" si="15"/>
        <v>-0.13093844631657003</v>
      </c>
      <c r="R81">
        <f t="shared" ca="1" si="16"/>
        <v>-3.9596264444897988</v>
      </c>
      <c r="S81">
        <f t="shared" ca="1" si="17"/>
        <v>0.64453837613272547</v>
      </c>
    </row>
    <row r="82" spans="3:19" x14ac:dyDescent="0.35">
      <c r="C82" t="str">
        <f t="shared" si="9"/>
        <v/>
      </c>
      <c r="I82">
        <f t="shared" ca="1" si="10"/>
        <v>6.2332167677109362E-3</v>
      </c>
      <c r="J82">
        <f t="shared" ca="1" si="11"/>
        <v>-3.414804456573281E-2</v>
      </c>
      <c r="L82">
        <f t="shared" ca="1" si="12"/>
        <v>6.2332167677109362E-3</v>
      </c>
      <c r="M82">
        <f t="shared" ca="1" si="13"/>
        <v>-3.414804456573281E-2</v>
      </c>
      <c r="O82">
        <f t="shared" ca="1" si="14"/>
        <v>-0.84900865953480387</v>
      </c>
      <c r="P82">
        <f t="shared" ca="1" si="15"/>
        <v>-0.12498669875672602</v>
      </c>
      <c r="R82">
        <f t="shared" ca="1" si="16"/>
        <v>-4.0042185913426751</v>
      </c>
      <c r="S82">
        <f t="shared" ca="1" si="17"/>
        <v>0.65290900439418953</v>
      </c>
    </row>
    <row r="83" spans="3:19" x14ac:dyDescent="0.35">
      <c r="C83" t="str">
        <f t="shared" si="9"/>
        <v/>
      </c>
      <c r="I83">
        <f t="shared" ca="1" si="10"/>
        <v>6.2605203881677899E-3</v>
      </c>
      <c r="J83">
        <f t="shared" ca="1" si="11"/>
        <v>-3.4585840008883227E-2</v>
      </c>
      <c r="L83">
        <f t="shared" ca="1" si="12"/>
        <v>6.2605203881677899E-3</v>
      </c>
      <c r="M83">
        <f t="shared" ca="1" si="13"/>
        <v>-3.4585840008883227E-2</v>
      </c>
      <c r="O83">
        <f t="shared" ca="1" si="14"/>
        <v>-0.80946525822283477</v>
      </c>
      <c r="P83">
        <f t="shared" ca="1" si="15"/>
        <v>-0.1190349511968819</v>
      </c>
      <c r="R83">
        <f t="shared" ca="1" si="16"/>
        <v>-4.0486355696518226</v>
      </c>
      <c r="S83">
        <f t="shared" ca="1" si="17"/>
        <v>0.66127963265565348</v>
      </c>
    </row>
    <row r="84" spans="3:19" x14ac:dyDescent="0.35">
      <c r="C84" t="str">
        <f t="shared" si="9"/>
        <v/>
      </c>
      <c r="I84">
        <f t="shared" ca="1" si="10"/>
        <v>6.2864921246999182E-3</v>
      </c>
      <c r="J84">
        <f t="shared" ca="1" si="11"/>
        <v>-3.5023635452033651E-2</v>
      </c>
      <c r="L84">
        <f t="shared" ca="1" si="12"/>
        <v>6.2864921246999182E-3</v>
      </c>
      <c r="M84">
        <f t="shared" ca="1" si="13"/>
        <v>-3.5023635452033651E-2</v>
      </c>
      <c r="O84">
        <f t="shared" ca="1" si="14"/>
        <v>-0.76983329866332539</v>
      </c>
      <c r="P84">
        <f t="shared" ca="1" si="15"/>
        <v>-0.11308320363703778</v>
      </c>
      <c r="R84">
        <f t="shared" ca="1" si="16"/>
        <v>-4.0928773794172413</v>
      </c>
      <c r="S84">
        <f t="shared" ca="1" si="17"/>
        <v>0.66965026091711743</v>
      </c>
    </row>
    <row r="85" spans="3:19" x14ac:dyDescent="0.35">
      <c r="C85" t="str">
        <f t="shared" si="9"/>
        <v/>
      </c>
      <c r="I85">
        <f t="shared" ca="1" si="10"/>
        <v>6.3111319773073229E-3</v>
      </c>
      <c r="J85">
        <f t="shared" ca="1" si="11"/>
        <v>-3.5461430895184068E-2</v>
      </c>
      <c r="L85">
        <f t="shared" ca="1" si="12"/>
        <v>6.3111319773073229E-3</v>
      </c>
      <c r="M85">
        <f t="shared" ca="1" si="13"/>
        <v>-3.5461430895184068E-2</v>
      </c>
      <c r="O85">
        <f t="shared" ca="1" si="14"/>
        <v>-0.73011278085627618</v>
      </c>
      <c r="P85">
        <f t="shared" ca="1" si="15"/>
        <v>-0.10713145607719371</v>
      </c>
      <c r="R85">
        <f t="shared" ca="1" si="16"/>
        <v>-4.1369440206389294</v>
      </c>
      <c r="S85">
        <f t="shared" ca="1" si="17"/>
        <v>0.67802088917858139</v>
      </c>
    </row>
    <row r="86" spans="3:19" x14ac:dyDescent="0.35">
      <c r="C86" t="str">
        <f t="shared" si="9"/>
        <v/>
      </c>
      <c r="I86">
        <f t="shared" ca="1" si="10"/>
        <v>6.3344399459900023E-3</v>
      </c>
      <c r="J86">
        <f t="shared" ca="1" si="11"/>
        <v>-3.5899226338334492E-2</v>
      </c>
      <c r="L86">
        <f t="shared" ca="1" si="12"/>
        <v>6.3344399459900023E-3</v>
      </c>
      <c r="M86">
        <f t="shared" ca="1" si="13"/>
        <v>-3.5899226338334492E-2</v>
      </c>
      <c r="O86">
        <f t="shared" ca="1" si="14"/>
        <v>-0.69030370480168624</v>
      </c>
      <c r="P86">
        <f t="shared" ca="1" si="15"/>
        <v>-0.10117970851734959</v>
      </c>
      <c r="R86">
        <f t="shared" ca="1" si="16"/>
        <v>-4.1808354933168896</v>
      </c>
      <c r="S86">
        <f t="shared" ca="1" si="17"/>
        <v>0.68639151744004534</v>
      </c>
    </row>
    <row r="87" spans="3:19" x14ac:dyDescent="0.35">
      <c r="C87" t="str">
        <f t="shared" si="9"/>
        <v/>
      </c>
      <c r="I87">
        <f t="shared" ca="1" si="10"/>
        <v>6.3564160307479581E-3</v>
      </c>
      <c r="J87">
        <f t="shared" ca="1" si="11"/>
        <v>-3.6337021781484916E-2</v>
      </c>
      <c r="L87">
        <f t="shared" ca="1" si="12"/>
        <v>6.3564160307479581E-3</v>
      </c>
      <c r="M87">
        <f t="shared" ca="1" si="13"/>
        <v>-3.6337021781484916E-2</v>
      </c>
      <c r="O87">
        <f t="shared" ca="1" si="14"/>
        <v>-0.65040607049955657</v>
      </c>
      <c r="P87">
        <f t="shared" ca="1" si="15"/>
        <v>-9.522796095750552E-2</v>
      </c>
      <c r="R87">
        <f t="shared" ca="1" si="16"/>
        <v>-4.2245517974511193</v>
      </c>
      <c r="S87">
        <f t="shared" ca="1" si="17"/>
        <v>0.69476214570150918</v>
      </c>
    </row>
    <row r="88" spans="3:19" x14ac:dyDescent="0.35">
      <c r="C88" t="str">
        <f t="shared" si="9"/>
        <v/>
      </c>
      <c r="I88">
        <f t="shared" ca="1" si="10"/>
        <v>6.3770602315811886E-3</v>
      </c>
      <c r="J88">
        <f t="shared" ca="1" si="11"/>
        <v>-3.6774817224635332E-2</v>
      </c>
      <c r="L88">
        <f t="shared" ca="1" si="12"/>
        <v>6.3770602315811886E-3</v>
      </c>
      <c r="M88">
        <f t="shared" ca="1" si="13"/>
        <v>-3.6774817224635332E-2</v>
      </c>
      <c r="O88">
        <f t="shared" ca="1" si="14"/>
        <v>-0.61041987794988606</v>
      </c>
      <c r="P88">
        <f t="shared" ca="1" si="15"/>
        <v>-8.9276213397661397E-2</v>
      </c>
      <c r="R88">
        <f t="shared" ca="1" si="16"/>
        <v>-4.268092933041622</v>
      </c>
      <c r="S88">
        <f t="shared" ca="1" si="17"/>
        <v>0.70313277396297325</v>
      </c>
    </row>
    <row r="89" spans="3:19" x14ac:dyDescent="0.35">
      <c r="C89" t="str">
        <f t="shared" si="9"/>
        <v/>
      </c>
      <c r="I89">
        <f t="shared" ca="1" si="10"/>
        <v>6.3963725484896946E-3</v>
      </c>
      <c r="J89">
        <f t="shared" ca="1" si="11"/>
        <v>-3.7212612667785756E-2</v>
      </c>
      <c r="L89">
        <f t="shared" ca="1" si="12"/>
        <v>6.3963725484896946E-3</v>
      </c>
      <c r="M89">
        <f t="shared" ca="1" si="13"/>
        <v>-3.7212612667785756E-2</v>
      </c>
      <c r="O89">
        <f t="shared" ca="1" si="14"/>
        <v>-0.57034512715267627</v>
      </c>
      <c r="P89">
        <f t="shared" ca="1" si="15"/>
        <v>-8.3324465837817385E-2</v>
      </c>
      <c r="R89">
        <f t="shared" ca="1" si="16"/>
        <v>-4.3114589000883949</v>
      </c>
      <c r="S89">
        <f t="shared" ca="1" si="17"/>
        <v>0.7115034022244372</v>
      </c>
    </row>
    <row r="90" spans="3:19" x14ac:dyDescent="0.35">
      <c r="C90" t="str">
        <f t="shared" si="9"/>
        <v/>
      </c>
      <c r="I90">
        <f t="shared" ca="1" si="10"/>
        <v>6.4143529814734762E-3</v>
      </c>
      <c r="J90">
        <f t="shared" ca="1" si="11"/>
        <v>-3.7650408110936173E-2</v>
      </c>
      <c r="L90">
        <f t="shared" ca="1" si="12"/>
        <v>6.4143529814734762E-3</v>
      </c>
      <c r="M90">
        <f t="shared" ca="1" si="13"/>
        <v>-3.7650408110936173E-2</v>
      </c>
      <c r="O90">
        <f t="shared" ca="1" si="14"/>
        <v>-0.53018181810792486</v>
      </c>
      <c r="P90">
        <f t="shared" ca="1" si="15"/>
        <v>-7.7372718277973207E-2</v>
      </c>
      <c r="R90">
        <f t="shared" ca="1" si="16"/>
        <v>-4.3546496985914391</v>
      </c>
      <c r="S90">
        <f t="shared" ca="1" si="17"/>
        <v>0.71987403048590115</v>
      </c>
    </row>
    <row r="91" spans="3:19" x14ac:dyDescent="0.35">
      <c r="C91" t="str">
        <f t="shared" si="9"/>
        <v/>
      </c>
      <c r="I91">
        <f t="shared" ca="1" si="10"/>
        <v>6.4310015305325333E-3</v>
      </c>
      <c r="J91">
        <f t="shared" ca="1" si="11"/>
        <v>-3.808820355408659E-2</v>
      </c>
      <c r="L91">
        <f t="shared" ca="1" si="12"/>
        <v>6.4310015305325333E-3</v>
      </c>
      <c r="M91">
        <f t="shared" ca="1" si="13"/>
        <v>-3.808820355408659E-2</v>
      </c>
      <c r="O91">
        <f t="shared" ca="1" si="14"/>
        <v>-0.48992995081563401</v>
      </c>
      <c r="P91">
        <f t="shared" ca="1" si="15"/>
        <v>-7.142097071812914E-2</v>
      </c>
      <c r="R91">
        <f t="shared" ca="1" si="16"/>
        <v>-4.3976653285507536</v>
      </c>
      <c r="S91">
        <f t="shared" ca="1" si="17"/>
        <v>0.7282446587473651</v>
      </c>
    </row>
    <row r="92" spans="3:19" x14ac:dyDescent="0.35">
      <c r="C92" t="str">
        <f t="shared" si="9"/>
        <v/>
      </c>
      <c r="I92">
        <f t="shared" ca="1" si="10"/>
        <v>6.4463181956668659E-3</v>
      </c>
      <c r="J92">
        <f t="shared" ca="1" si="11"/>
        <v>-3.8525998997237014E-2</v>
      </c>
      <c r="L92">
        <f t="shared" ca="1" si="12"/>
        <v>6.4463181956668659E-3</v>
      </c>
      <c r="M92">
        <f t="shared" ca="1" si="13"/>
        <v>-3.8525998997237014E-2</v>
      </c>
      <c r="O92">
        <f t="shared" ca="1" si="14"/>
        <v>-0.44958952527580293</v>
      </c>
      <c r="P92">
        <f t="shared" ca="1" si="15"/>
        <v>-6.5469223158285073E-2</v>
      </c>
      <c r="R92">
        <f t="shared" ca="1" si="16"/>
        <v>-4.4405057899663394</v>
      </c>
      <c r="S92">
        <f t="shared" ca="1" si="17"/>
        <v>0.73661528700882906</v>
      </c>
    </row>
    <row r="93" spans="3:19" x14ac:dyDescent="0.35">
      <c r="C93" t="str">
        <f t="shared" si="9"/>
        <v/>
      </c>
      <c r="I93">
        <f t="shared" ca="1" si="10"/>
        <v>6.460302976876474E-3</v>
      </c>
      <c r="J93">
        <f t="shared" ca="1" si="11"/>
        <v>-3.8963794440387438E-2</v>
      </c>
      <c r="L93">
        <f t="shared" ca="1" si="12"/>
        <v>6.460302976876474E-3</v>
      </c>
      <c r="M93">
        <f t="shared" ca="1" si="13"/>
        <v>-3.8963794440387438E-2</v>
      </c>
      <c r="O93">
        <f t="shared" ca="1" si="14"/>
        <v>-0.40916054148843078</v>
      </c>
      <c r="P93">
        <f t="shared" ca="1" si="15"/>
        <v>-5.9517475598440894E-2</v>
      </c>
      <c r="R93">
        <f t="shared" ca="1" si="16"/>
        <v>-4.4831710828381972</v>
      </c>
      <c r="S93">
        <f t="shared" ca="1" si="17"/>
        <v>0.74498591527029312</v>
      </c>
    </row>
    <row r="94" spans="3:19" x14ac:dyDescent="0.35">
      <c r="C94" t="str">
        <f t="shared" si="9"/>
        <v/>
      </c>
      <c r="I94">
        <f t="shared" ca="1" si="10"/>
        <v>6.4729558741613569E-3</v>
      </c>
      <c r="J94">
        <f t="shared" ca="1" si="11"/>
        <v>-3.9401589883537855E-2</v>
      </c>
      <c r="L94">
        <f t="shared" ca="1" si="12"/>
        <v>6.4729558741613569E-3</v>
      </c>
      <c r="M94">
        <f t="shared" ca="1" si="13"/>
        <v>-3.9401589883537855E-2</v>
      </c>
      <c r="O94">
        <f t="shared" ca="1" si="14"/>
        <v>-0.36864299945351903</v>
      </c>
      <c r="P94">
        <f t="shared" ca="1" si="15"/>
        <v>-5.3565728038596827E-2</v>
      </c>
      <c r="R94">
        <f t="shared" ca="1" si="16"/>
        <v>-4.5256612071663236</v>
      </c>
      <c r="S94">
        <f t="shared" ca="1" si="17"/>
        <v>0.75335654353175707</v>
      </c>
    </row>
    <row r="95" spans="3:19" x14ac:dyDescent="0.35">
      <c r="C95" t="str">
        <f t="shared" si="9"/>
        <v/>
      </c>
      <c r="I95">
        <f t="shared" ca="1" si="10"/>
        <v>6.4842768875215152E-3</v>
      </c>
      <c r="J95">
        <f t="shared" ca="1" si="11"/>
        <v>-3.9839385326688279E-2</v>
      </c>
      <c r="L95">
        <f t="shared" ca="1" si="12"/>
        <v>6.4842768875215152E-3</v>
      </c>
      <c r="M95">
        <f t="shared" ca="1" si="13"/>
        <v>-3.9839385326688279E-2</v>
      </c>
      <c r="O95">
        <f t="shared" ca="1" si="14"/>
        <v>-0.3280368991710671</v>
      </c>
      <c r="P95">
        <f t="shared" ca="1" si="15"/>
        <v>-4.761398047875276E-2</v>
      </c>
      <c r="R95">
        <f t="shared" ca="1" si="16"/>
        <v>-4.5679761629507221</v>
      </c>
      <c r="S95">
        <f t="shared" ca="1" si="17"/>
        <v>0.76172717179322103</v>
      </c>
    </row>
    <row r="96" spans="3:19" x14ac:dyDescent="0.35">
      <c r="C96" t="str">
        <f t="shared" si="9"/>
        <v/>
      </c>
      <c r="I96">
        <f t="shared" ca="1" si="10"/>
        <v>6.49426601695695E-3</v>
      </c>
      <c r="J96">
        <f t="shared" ca="1" si="11"/>
        <v>-4.0277180769838695E-2</v>
      </c>
      <c r="L96">
        <f t="shared" ca="1" si="12"/>
        <v>6.49426601695695E-3</v>
      </c>
      <c r="M96">
        <f t="shared" ca="1" si="13"/>
        <v>-4.0277180769838695E-2</v>
      </c>
      <c r="O96">
        <f t="shared" ca="1" si="14"/>
        <v>-0.28734224064107411</v>
      </c>
      <c r="P96">
        <f t="shared" ca="1" si="15"/>
        <v>-4.1662232918908582E-2</v>
      </c>
      <c r="R96">
        <f t="shared" ca="1" si="16"/>
        <v>-4.6101159501913918</v>
      </c>
      <c r="S96">
        <f t="shared" ca="1" si="17"/>
        <v>0.77009780005468498</v>
      </c>
    </row>
    <row r="97" spans="3:19" x14ac:dyDescent="0.35">
      <c r="C97" t="str">
        <f t="shared" si="9"/>
        <v/>
      </c>
      <c r="I97">
        <f t="shared" ca="1" si="10"/>
        <v>6.5029232624676594E-3</v>
      </c>
      <c r="J97">
        <f t="shared" ca="1" si="11"/>
        <v>-4.0714976212989119E-2</v>
      </c>
      <c r="L97">
        <f t="shared" ca="1" si="12"/>
        <v>6.5029232624676594E-3</v>
      </c>
      <c r="M97">
        <f t="shared" ca="1" si="13"/>
        <v>-4.0714976212989119E-2</v>
      </c>
      <c r="O97">
        <f t="shared" ca="1" si="14"/>
        <v>-0.24655902386354236</v>
      </c>
      <c r="P97">
        <f t="shared" ca="1" si="15"/>
        <v>-3.5710485359064625E-2</v>
      </c>
      <c r="R97">
        <f t="shared" ca="1" si="16"/>
        <v>-4.6520805688883327</v>
      </c>
      <c r="S97">
        <f t="shared" ca="1" si="17"/>
        <v>0.77846842831614893</v>
      </c>
    </row>
    <row r="98" spans="3:19" x14ac:dyDescent="0.35">
      <c r="C98" t="str">
        <f t="shared" si="9"/>
        <v/>
      </c>
      <c r="I98">
        <f t="shared" ca="1" si="10"/>
        <v>6.5102486240536444E-3</v>
      </c>
      <c r="J98">
        <f t="shared" ca="1" si="11"/>
        <v>-4.1152771656139536E-2</v>
      </c>
      <c r="L98">
        <f t="shared" ca="1" si="12"/>
        <v>6.5102486240536444E-3</v>
      </c>
      <c r="M98">
        <f t="shared" ca="1" si="13"/>
        <v>-4.1152771656139536E-2</v>
      </c>
      <c r="O98">
        <f t="shared" ca="1" si="14"/>
        <v>-0.20568724883846881</v>
      </c>
      <c r="P98">
        <f t="shared" ca="1" si="15"/>
        <v>-2.9758737799220447E-2</v>
      </c>
      <c r="R98">
        <f t="shared" ca="1" si="16"/>
        <v>-4.6938700190415439</v>
      </c>
      <c r="S98">
        <f t="shared" ca="1" si="17"/>
        <v>0.78683905657761299</v>
      </c>
    </row>
    <row r="99" spans="3:19" x14ac:dyDescent="0.35">
      <c r="C99" t="str">
        <f t="shared" si="9"/>
        <v/>
      </c>
      <c r="I99">
        <f t="shared" ca="1" si="10"/>
        <v>6.5162421017149049E-3</v>
      </c>
      <c r="J99">
        <f t="shared" ca="1" si="11"/>
        <v>-4.1590567099289953E-2</v>
      </c>
      <c r="L99">
        <f t="shared" ca="1" si="12"/>
        <v>6.5162421017149049E-3</v>
      </c>
      <c r="M99">
        <f t="shared" ca="1" si="13"/>
        <v>-4.1590567099289953E-2</v>
      </c>
      <c r="O99">
        <f t="shared" ca="1" si="14"/>
        <v>-0.16472691556585575</v>
      </c>
      <c r="P99">
        <f t="shared" ca="1" si="15"/>
        <v>-2.380699023937638E-2</v>
      </c>
      <c r="R99">
        <f t="shared" ca="1" si="16"/>
        <v>-4.7354843006510272</v>
      </c>
      <c r="S99">
        <f t="shared" ca="1" si="17"/>
        <v>0.79520968483907695</v>
      </c>
    </row>
    <row r="100" spans="3:19" x14ac:dyDescent="0.35">
      <c r="C100" t="str">
        <f t="shared" si="9"/>
        <v/>
      </c>
      <c r="I100">
        <f t="shared" ca="1" si="10"/>
        <v>6.520903695451441E-3</v>
      </c>
      <c r="J100">
        <f t="shared" ca="1" si="11"/>
        <v>-4.2028362542440384E-2</v>
      </c>
      <c r="L100">
        <f t="shared" ca="1" si="12"/>
        <v>6.520903695451441E-3</v>
      </c>
      <c r="M100">
        <f t="shared" ca="1" si="13"/>
        <v>-4.2028362542440384E-2</v>
      </c>
      <c r="O100">
        <f t="shared" ca="1" si="14"/>
        <v>-0.12367802404570241</v>
      </c>
      <c r="P100">
        <f t="shared" ca="1" si="15"/>
        <v>-1.7855242679532313E-2</v>
      </c>
      <c r="R100">
        <f t="shared" ca="1" si="16"/>
        <v>-4.77692341371678</v>
      </c>
      <c r="S100">
        <f t="shared" ca="1" si="17"/>
        <v>0.8035803131005409</v>
      </c>
    </row>
    <row r="101" spans="3:19" x14ac:dyDescent="0.35">
      <c r="C101" t="str">
        <f t="shared" si="9"/>
        <v/>
      </c>
      <c r="I101">
        <f t="shared" ca="1" si="10"/>
        <v>6.5242334052632526E-3</v>
      </c>
      <c r="J101">
        <f t="shared" ca="1" si="11"/>
        <v>-4.2466157985590801E-2</v>
      </c>
      <c r="L101">
        <f t="shared" ca="1" si="12"/>
        <v>6.5242334052632526E-3</v>
      </c>
      <c r="M101">
        <f t="shared" ca="1" si="13"/>
        <v>-4.2466157985590801E-2</v>
      </c>
      <c r="O101">
        <f t="shared" ca="1" si="14"/>
        <v>-8.2540574278008053E-2</v>
      </c>
      <c r="P101">
        <f t="shared" ca="1" si="15"/>
        <v>-1.1903495119688134E-2</v>
      </c>
      <c r="R101">
        <f t="shared" ca="1" si="16"/>
        <v>-4.818187358238804</v>
      </c>
      <c r="S101">
        <f t="shared" ca="1" si="17"/>
        <v>0.81195094136200485</v>
      </c>
    </row>
    <row r="102" spans="3:19" x14ac:dyDescent="0.35">
      <c r="C102" t="str">
        <f t="shared" si="9"/>
        <v/>
      </c>
      <c r="I102">
        <f t="shared" ca="1" si="10"/>
        <v>6.5262312311503388E-3</v>
      </c>
      <c r="J102">
        <f t="shared" ca="1" si="11"/>
        <v>-4.2903953428741225E-2</v>
      </c>
      <c r="L102">
        <f t="shared" ca="1" si="12"/>
        <v>6.5262312311503388E-3</v>
      </c>
      <c r="M102">
        <f t="shared" ca="1" si="13"/>
        <v>-4.2903953428741225E-2</v>
      </c>
      <c r="O102">
        <f t="shared" ca="1" si="14"/>
        <v>-4.1314566262774147E-2</v>
      </c>
      <c r="P102">
        <f t="shared" ca="1" si="15"/>
        <v>-5.9517475598440672E-3</v>
      </c>
      <c r="R102">
        <f t="shared" ca="1" si="16"/>
        <v>-4.8592761342171</v>
      </c>
      <c r="S102">
        <f t="shared" ca="1" si="17"/>
        <v>0.8203215696234688</v>
      </c>
    </row>
    <row r="103" spans="3:19" x14ac:dyDescent="0.35">
      <c r="C103" t="str">
        <f t="shared" si="9"/>
        <v/>
      </c>
      <c r="I103">
        <f t="shared" ca="1" si="10"/>
        <v>6.5268971731127015E-3</v>
      </c>
      <c r="J103">
        <f t="shared" ca="1" si="11"/>
        <v>-4.3341748871891642E-2</v>
      </c>
      <c r="L103">
        <f t="shared" ca="1" si="12"/>
        <v>6.5268971731127015E-3</v>
      </c>
      <c r="M103">
        <f t="shared" ca="1" si="13"/>
        <v>-4.3341748871891642E-2</v>
      </c>
      <c r="O103">
        <f t="shared" ca="1" si="14"/>
        <v>0</v>
      </c>
      <c r="P103">
        <f t="shared" ca="1" si="15"/>
        <v>0</v>
      </c>
      <c r="R103">
        <f t="shared" ca="1" si="16"/>
        <v>-4.9001897416516655</v>
      </c>
      <c r="S103">
        <f t="shared" ca="1" si="17"/>
        <v>0.82869219788493287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270</v>
      </c>
      <c r="C10" s="18">
        <v>-5.0000000000000002E-11</v>
      </c>
    </row>
    <row r="11" spans="1:3" x14ac:dyDescent="0.35">
      <c r="A11" s="18"/>
      <c r="B11" t="s">
        <v>271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B24" sqref="B24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236</v>
      </c>
      <c r="B1">
        <v>30</v>
      </c>
    </row>
    <row r="3" spans="1:14" x14ac:dyDescent="0.35">
      <c r="A3" t="s">
        <v>280</v>
      </c>
    </row>
    <row r="5" spans="1:14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283</v>
      </c>
      <c r="L5" t="s">
        <v>236</v>
      </c>
      <c r="M5">
        <v>28</v>
      </c>
      <c r="N5" t="s">
        <v>285</v>
      </c>
    </row>
    <row r="6" spans="1:14" x14ac:dyDescent="0.35">
      <c r="B6" s="7" t="s">
        <v>263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L6" t="s">
        <v>233</v>
      </c>
      <c r="M6">
        <v>0.24</v>
      </c>
      <c r="N6" t="s">
        <v>286</v>
      </c>
    </row>
    <row r="7" spans="1:14" x14ac:dyDescent="0.35">
      <c r="A7" s="44" t="s">
        <v>281</v>
      </c>
      <c r="B7" s="23" t="s">
        <v>139</v>
      </c>
      <c r="C7" s="22">
        <v>5.1990999999999999E-3</v>
      </c>
      <c r="D7" s="22">
        <v>5.1723000000000003E-3</v>
      </c>
      <c r="E7" s="22">
        <v>5.1536000000000004E-3</v>
      </c>
      <c r="F7" s="22">
        <v>5.1387000000000004E-3</v>
      </c>
      <c r="G7" s="22">
        <v>5.1269000000000002E-3</v>
      </c>
      <c r="H7" s="22">
        <v>5.1161000000000002E-3</v>
      </c>
      <c r="I7" s="22">
        <v>5.1057999999999997E-3</v>
      </c>
      <c r="L7" t="s">
        <v>263</v>
      </c>
      <c r="M7">
        <v>-3</v>
      </c>
      <c r="N7" t="s">
        <v>284</v>
      </c>
    </row>
    <row r="8" spans="1:14" ht="14.5" customHeight="1" x14ac:dyDescent="0.35">
      <c r="A8" s="45"/>
      <c r="B8" s="6" t="s">
        <v>136</v>
      </c>
      <c r="C8">
        <v>7.7200000000000003E-3</v>
      </c>
      <c r="D8">
        <v>7.77E-3</v>
      </c>
      <c r="E8">
        <v>7.8200000000000006E-3</v>
      </c>
      <c r="F8">
        <v>7.8600000000000007E-3</v>
      </c>
      <c r="G8">
        <v>7.9399999999999991E-3</v>
      </c>
      <c r="H8">
        <v>7.9100000000000004E-3</v>
      </c>
      <c r="I8">
        <v>7.9399999999999991E-3</v>
      </c>
    </row>
    <row r="9" spans="1:14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14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14" x14ac:dyDescent="0.35">
      <c r="A11" s="45"/>
      <c r="B11" s="6" t="s">
        <v>232</v>
      </c>
      <c r="C11">
        <v>2.2919099999999998E-2</v>
      </c>
      <c r="D11">
        <v>2.2942299999999999E-2</v>
      </c>
      <c r="E11">
        <v>2.2973600000000004E-2</v>
      </c>
      <c r="F11">
        <v>2.2998700000000004E-2</v>
      </c>
      <c r="G11">
        <v>2.3066900000000001E-2</v>
      </c>
      <c r="H11">
        <v>2.3026100000000001E-2</v>
      </c>
      <c r="I11">
        <v>2.3045799999999998E-2</v>
      </c>
    </row>
    <row r="12" spans="1:14" x14ac:dyDescent="0.35">
      <c r="A12" s="45"/>
      <c r="B12" s="6" t="s">
        <v>251</v>
      </c>
      <c r="C12">
        <v>11.095148959706846</v>
      </c>
      <c r="D12">
        <v>11.083929184188907</v>
      </c>
      <c r="E12">
        <v>11.068828068844983</v>
      </c>
      <c r="F12">
        <v>11.056747925857422</v>
      </c>
      <c r="G12">
        <v>11.024057351547764</v>
      </c>
      <c r="H12">
        <v>11.043590904339734</v>
      </c>
      <c r="I12">
        <v>11.034150627117182</v>
      </c>
    </row>
    <row r="13" spans="1:14" x14ac:dyDescent="0.35">
      <c r="A13" s="45"/>
      <c r="B13" s="6" t="s">
        <v>143</v>
      </c>
      <c r="C13">
        <v>0.96856431134489029</v>
      </c>
      <c r="D13">
        <v>0.97358287630516771</v>
      </c>
      <c r="E13">
        <v>0.97711555245133852</v>
      </c>
      <c r="F13">
        <v>0.97994876352252869</v>
      </c>
      <c r="G13">
        <v>0.98220419963588501</v>
      </c>
      <c r="H13">
        <v>0.98427761597959762</v>
      </c>
      <c r="I13">
        <v>0.98626321264311545</v>
      </c>
    </row>
    <row r="14" spans="1:14" x14ac:dyDescent="0.35">
      <c r="A14" s="46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44" t="s">
        <v>282</v>
      </c>
      <c r="B15" s="22" t="s">
        <v>139</v>
      </c>
      <c r="C15" s="24">
        <v>0.41599580000000003</v>
      </c>
      <c r="D15" s="22">
        <v>0.41109269999999998</v>
      </c>
      <c r="E15" s="22">
        <v>0.4041034</v>
      </c>
      <c r="F15" s="22">
        <v>0.39999010000000002</v>
      </c>
      <c r="G15" s="22">
        <v>0.40505869999999999</v>
      </c>
      <c r="H15" s="22">
        <v>0.40558519999999998</v>
      </c>
      <c r="I15" s="22">
        <v>0.40212239999999999</v>
      </c>
    </row>
    <row r="16" spans="1:14" x14ac:dyDescent="0.35">
      <c r="A16" s="45"/>
      <c r="B16" t="s">
        <v>136</v>
      </c>
      <c r="C16" s="11">
        <v>3.33311</v>
      </c>
      <c r="D16">
        <v>3.09626</v>
      </c>
      <c r="E16">
        <v>2.9512299999999998</v>
      </c>
      <c r="F16">
        <v>2.8494600000000001</v>
      </c>
      <c r="G16">
        <v>2.7952900000000001</v>
      </c>
      <c r="H16">
        <v>2.73977</v>
      </c>
      <c r="I16">
        <v>2.7074699999999998</v>
      </c>
    </row>
    <row r="17" spans="1:9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45"/>
      <c r="B18" t="s">
        <v>258</v>
      </c>
      <c r="C18" s="11">
        <v>7.6483551982668069E-2</v>
      </c>
      <c r="D18">
        <v>7.6483551982668069E-2</v>
      </c>
      <c r="E18">
        <v>7.6483551982668069E-2</v>
      </c>
      <c r="F18">
        <v>7.6483551982668069E-2</v>
      </c>
      <c r="G18">
        <v>7.6483551982668069E-2</v>
      </c>
      <c r="H18">
        <v>7.6483551982668069E-2</v>
      </c>
      <c r="I18">
        <v>7.6483551982668069E-2</v>
      </c>
    </row>
    <row r="19" spans="1:9" x14ac:dyDescent="0.35">
      <c r="A19" s="45"/>
      <c r="B19" t="s">
        <v>232</v>
      </c>
      <c r="C19" s="11">
        <v>3.835589351982668</v>
      </c>
      <c r="D19">
        <v>3.5938362519826681</v>
      </c>
      <c r="E19">
        <v>3.4418169519826676</v>
      </c>
      <c r="F19">
        <v>3.3359336519826681</v>
      </c>
      <c r="G19">
        <v>3.286832251982668</v>
      </c>
      <c r="H19">
        <v>3.2318387519826679</v>
      </c>
      <c r="I19">
        <v>3.1960759519826678</v>
      </c>
    </row>
    <row r="20" spans="1:9" x14ac:dyDescent="0.35">
      <c r="A20" s="45"/>
      <c r="B20" t="s">
        <v>251</v>
      </c>
      <c r="C20" s="11">
        <v>0.52143225368121671</v>
      </c>
      <c r="D20">
        <v>0.55650838262222679</v>
      </c>
      <c r="E20">
        <v>0.58108842739236755</v>
      </c>
      <c r="F20">
        <v>0.59953230748798814</v>
      </c>
      <c r="G20">
        <v>0.60848861355597594</v>
      </c>
      <c r="H20">
        <v>0.61884275593051796</v>
      </c>
      <c r="I20">
        <v>0.62576735661094385</v>
      </c>
    </row>
    <row r="21" spans="1:9" x14ac:dyDescent="0.35">
      <c r="A21" s="45"/>
      <c r="B21" t="s">
        <v>143</v>
      </c>
      <c r="C21" s="11">
        <v>0.7488007748896981</v>
      </c>
      <c r="D21">
        <v>0.7577317169360096</v>
      </c>
      <c r="E21">
        <v>0.77083730894335434</v>
      </c>
      <c r="F21">
        <v>0.7787642178915426</v>
      </c>
      <c r="G21">
        <v>0.76901934803735816</v>
      </c>
      <c r="H21">
        <v>0.76802106534178238</v>
      </c>
      <c r="I21">
        <v>0.77463473159132623</v>
      </c>
    </row>
    <row r="22" spans="1:9" x14ac:dyDescent="0.35">
      <c r="A22" s="46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76E9-7600-4514-ABDB-61B8DE542F00}">
  <sheetPr codeName="Sheet40"/>
  <dimension ref="A1:AC1000"/>
  <sheetViews>
    <sheetView zoomScale="63" workbookViewId="0">
      <selection activeCell="G9" sqref="G9"/>
    </sheetView>
  </sheetViews>
  <sheetFormatPr defaultRowHeight="14.5" x14ac:dyDescent="0.35"/>
  <sheetData>
    <row r="1" spans="1:19" x14ac:dyDescent="0.35">
      <c r="A1" t="s">
        <v>12</v>
      </c>
      <c r="B1" s="1" t="s">
        <v>323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172" ca="1">_xlfn._xlws.FILTER(INDIRECT("'" &amp; B1 &amp; "'!A2:A1000"),(INDIRECT("'" &amp; B1 &amp; "'!C2:C1000")&lt;G3) * (INDIRECT("'" &amp; B1 &amp; "'!C2:C1000")&lt;&gt;""))</f>
        <v>-5</v>
      </c>
      <c r="B4" cm="1">
        <f t="array" aca="1" ref="B4:B172" ca="1">_xlfn._xlws.FILTER(INDIRECT("'" &amp; B1 &amp; "'!C2:C1000"),(INDIRECT("'" &amp; B1 &amp; "'!C2:C1000")&lt;G3) * (INDIRECT("'" &amp; B1 &amp; "'!C2:C1000")&lt;&gt;""))</f>
        <v>5.985E-2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0.20576110533306388</v>
      </c>
      <c r="D4" cm="1">
        <f t="array" aca="1" ref="D4:D172" ca="1">_xlfn._xlws.FILTER(INDIRECT("'" &amp; B1 &amp; "'!B2:B1000"),(INDIRECT("'" &amp; B1 &amp; "'!C2:C1000")&lt;G3) * (INDIRECT("'" &amp; B1 &amp; "'!C2:C1000")&lt;&gt;""))</f>
        <v>-0.38109999999999999</v>
      </c>
      <c r="I4">
        <f ca="1">$G$16 * (J4 - $G$6)^2 + $G$5</f>
        <v>8.1099999999999992E-3</v>
      </c>
      <c r="J4">
        <f ca="1">$G$9 + ($G$6 - $G$9) * (ROW(A1)-1)/99</f>
        <v>8.3999999999999995E-3</v>
      </c>
      <c r="L4">
        <f ca="1">$G$17 * (M4 - $G$6)^2 + $G$5</f>
        <v>8.1700000000000002E-3</v>
      </c>
      <c r="M4">
        <f ca="1">$G$13 + ($G$6 - $G$13) * (ROW(F1)-1)/99</f>
        <v>0.60719999999999996</v>
      </c>
      <c r="O4">
        <f ca="1">$G$10 + $G$19 * ($G$23 * (P4 - $G$9))^2 + $G$21 * (1 - (P4 - $G$6)/($G$9 - $G$6))</f>
        <v>0.20576110533306388</v>
      </c>
      <c r="P4">
        <f ca="1">$G$26 + ($G$9 - $G$26) * (ROW(A1)-1)/99</f>
        <v>-0.38109999999999999</v>
      </c>
      <c r="R4">
        <f ca="1">$G$14 + $G$19 * ($G$23 * (S4 - $G$13))^2 - $G$22 * (1 - (S4 - $G$6)/($G$13 - $G$6))</f>
        <v>8.1700000000000002E-3</v>
      </c>
      <c r="S4">
        <f ca="1">$G$13 + ($G$25 - $G$13) * (ROW(A1)-1)/99</f>
        <v>0.60719999999999996</v>
      </c>
    </row>
    <row r="5" spans="1:19" x14ac:dyDescent="0.35">
      <c r="A5">
        <f ca="1"/>
        <v>-4.95</v>
      </c>
      <c r="B5">
        <f ca="1"/>
        <v>5.8990000000000001E-2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0.20407436825587208</v>
      </c>
      <c r="D5">
        <f ca="1"/>
        <v>-0.37940000000000002</v>
      </c>
      <c r="F5" t="s">
        <v>13</v>
      </c>
      <c r="G5">
        <f ca="1">MIN(B4:B1000)</f>
        <v>7.45E-3</v>
      </c>
      <c r="I5">
        <f t="shared" ref="I5:I68" ca="1" si="1">$G$16 * (J5 - $G$6)^2 + $G$5</f>
        <v>8.096734006734007E-3</v>
      </c>
      <c r="J5">
        <f t="shared" ref="J5:J68" ca="1" si="2">$G$9 + ($G$6 - $G$9) * (ROW(B2)-1)/99</f>
        <v>1.0958585858585859E-2</v>
      </c>
      <c r="L5">
        <f t="shared" ref="L5:L68" ca="1" si="3">$G$17 * (M5 - $G$6)^2 + $G$5</f>
        <v>8.1555280073461883E-3</v>
      </c>
      <c r="M5">
        <f t="shared" ref="M5:M68" ca="1" si="4">$G$13 + ($G$6 - $G$13) * (ROW(F2)-1)/99</f>
        <v>0.60371010101010092</v>
      </c>
      <c r="O5">
        <f t="shared" ref="O5:O68" ca="1" si="5">$G$10 + $G$19 * ($G$23 * (P5 - $G$9))^2 + $G$21 * (1 - (P5 - $G$6)/($G$9 - $G$6))</f>
        <v>0.20186844488484704</v>
      </c>
      <c r="P5">
        <f t="shared" ref="P5:P68" ca="1" si="6">$G$26 + ($G$9 - $G$26) * (ROW(B2)-1)/99</f>
        <v>-0.37716565656565654</v>
      </c>
      <c r="R5">
        <f t="shared" ref="R5:R68" ca="1" si="7">$G$14 + $G$19 * ($G$23 * (S5 - $G$13))^2 - $G$22 * (1 - (S5 - $G$6)/($G$13 - $G$6))</f>
        <v>8.2171832453193164E-3</v>
      </c>
      <c r="S5">
        <f t="shared" ref="S5:S68" ca="1" si="8">$G$13 + ($G$25 - $G$13) * (ROW(B2)-1)/99</f>
        <v>0.61018686868686867</v>
      </c>
    </row>
    <row r="6" spans="1:19" x14ac:dyDescent="0.35">
      <c r="A6">
        <f ca="1"/>
        <v>-4.9000000000000004</v>
      </c>
      <c r="B6">
        <f ca="1"/>
        <v>5.8139999999999997E-2</v>
      </c>
      <c r="C6">
        <f t="shared" ca="1" si="0"/>
        <v>0.20249345100675042</v>
      </c>
      <c r="D6">
        <f ca="1"/>
        <v>-0.37780000000000002</v>
      </c>
      <c r="F6" t="s">
        <v>14</v>
      </c>
      <c r="G6">
        <f ca="1">INDEX(D4:D1000, MATCH(G5, B4:B1000, 0))</f>
        <v>0.26169999999999999</v>
      </c>
      <c r="I6">
        <f t="shared" ca="1" si="1"/>
        <v>8.0836026936026931E-3</v>
      </c>
      <c r="J6">
        <f t="shared" ca="1" si="2"/>
        <v>1.3517171717171716E-2</v>
      </c>
      <c r="L6">
        <f t="shared" ca="1" si="3"/>
        <v>8.1412029384756654E-3</v>
      </c>
      <c r="M6">
        <f t="shared" ca="1" si="4"/>
        <v>0.60022020202020199</v>
      </c>
      <c r="O6">
        <f t="shared" ca="1" si="5"/>
        <v>0.19801448208227862</v>
      </c>
      <c r="P6">
        <f t="shared" ca="1" si="6"/>
        <v>-0.37323131313131314</v>
      </c>
      <c r="R6">
        <f t="shared" ca="1" si="7"/>
        <v>8.2866699520201207E-3</v>
      </c>
      <c r="S6">
        <f t="shared" ca="1" si="8"/>
        <v>0.61317373737373737</v>
      </c>
    </row>
    <row r="7" spans="1:19" x14ac:dyDescent="0.35">
      <c r="A7">
        <f ca="1"/>
        <v>-4.8499999999999996</v>
      </c>
      <c r="B7">
        <f ca="1"/>
        <v>5.7290000000000001E-2</v>
      </c>
      <c r="C7">
        <f t="shared" ca="1" si="0"/>
        <v>0.20091893375762868</v>
      </c>
      <c r="D7">
        <f ca="1"/>
        <v>-0.37619999999999998</v>
      </c>
      <c r="I7">
        <f t="shared" ca="1" si="1"/>
        <v>8.0706060606060594E-3</v>
      </c>
      <c r="J7">
        <f t="shared" ca="1" si="2"/>
        <v>1.6075757575757573E-2</v>
      </c>
      <c r="L7">
        <f t="shared" ca="1" si="3"/>
        <v>8.1270247933884297E-3</v>
      </c>
      <c r="M7">
        <f t="shared" ca="1" si="4"/>
        <v>0.59673030303030294</v>
      </c>
      <c r="O7">
        <f t="shared" ca="1" si="5"/>
        <v>0.19419921692535852</v>
      </c>
      <c r="P7">
        <f t="shared" ca="1" si="6"/>
        <v>-0.36929696969696968</v>
      </c>
      <c r="R7">
        <f t="shared" ca="1" si="7"/>
        <v>8.3784601201024201E-3</v>
      </c>
      <c r="S7">
        <f t="shared" ca="1" si="8"/>
        <v>0.61616060606060608</v>
      </c>
    </row>
    <row r="8" spans="1:19" x14ac:dyDescent="0.35">
      <c r="A8">
        <f ca="1"/>
        <v>-4.8</v>
      </c>
      <c r="B8">
        <f ca="1"/>
        <v>5.6430000000000001E-2</v>
      </c>
      <c r="C8">
        <f t="shared" ca="1" si="0"/>
        <v>0.19944863633657708</v>
      </c>
      <c r="D8">
        <f ca="1"/>
        <v>-0.37469999999999998</v>
      </c>
      <c r="F8" t="s">
        <v>15</v>
      </c>
      <c r="G8" s="5">
        <v>75</v>
      </c>
      <c r="I8">
        <f t="shared" ca="1" si="1"/>
        <v>8.0577441077441074E-3</v>
      </c>
      <c r="J8">
        <f t="shared" ca="1" si="2"/>
        <v>1.8634343434343434E-2</v>
      </c>
      <c r="L8">
        <f t="shared" ca="1" si="3"/>
        <v>8.1129935720844811E-3</v>
      </c>
      <c r="M8">
        <f t="shared" ca="1" si="4"/>
        <v>0.59324040404040401</v>
      </c>
      <c r="O8">
        <f t="shared" ca="1" si="5"/>
        <v>0.19042264941408693</v>
      </c>
      <c r="P8">
        <f t="shared" ca="1" si="6"/>
        <v>-0.36536262626262628</v>
      </c>
      <c r="R8">
        <f t="shared" ca="1" si="7"/>
        <v>8.4925537495662076E-3</v>
      </c>
      <c r="S8">
        <f t="shared" ca="1" si="8"/>
        <v>0.61914747474747467</v>
      </c>
    </row>
    <row r="9" spans="1:19" x14ac:dyDescent="0.35">
      <c r="A9">
        <f ca="1"/>
        <v>-4.75</v>
      </c>
      <c r="B9">
        <f ca="1"/>
        <v>5.5579999999999997E-2</v>
      </c>
      <c r="C9">
        <f t="shared" ca="1" si="0"/>
        <v>0.19798396391552547</v>
      </c>
      <c r="D9">
        <f ca="1"/>
        <v>-0.37319999999999998</v>
      </c>
      <c r="F9" t="s">
        <v>17</v>
      </c>
      <c r="G9" cm="1">
        <f t="array" aca="1" ref="G9" ca="1">INDEX(D4:D1000, G8)</f>
        <v>8.3999999999999995E-3</v>
      </c>
      <c r="I9">
        <f t="shared" ca="1" si="1"/>
        <v>8.0450168350168338E-3</v>
      </c>
      <c r="J9">
        <f t="shared" ca="1" si="2"/>
        <v>2.1192929292929291E-2</v>
      </c>
      <c r="L9">
        <f t="shared" ca="1" si="3"/>
        <v>8.0991092745638198E-3</v>
      </c>
      <c r="M9">
        <f t="shared" ca="1" si="4"/>
        <v>0.58975050505050497</v>
      </c>
      <c r="O9">
        <f t="shared" ca="1" si="5"/>
        <v>0.18668477954846369</v>
      </c>
      <c r="P9">
        <f t="shared" ca="1" si="6"/>
        <v>-0.36142828282828282</v>
      </c>
      <c r="R9">
        <f t="shared" ca="1" si="7"/>
        <v>8.6289508404114885E-3</v>
      </c>
      <c r="S9">
        <f t="shared" ca="1" si="8"/>
        <v>0.62213434343434337</v>
      </c>
    </row>
    <row r="10" spans="1:19" x14ac:dyDescent="0.35">
      <c r="A10">
        <f ca="1"/>
        <v>-4.7</v>
      </c>
      <c r="B10">
        <f ca="1"/>
        <v>5.4719999999999998E-2</v>
      </c>
      <c r="C10">
        <f t="shared" ca="1" si="0"/>
        <v>0.1965249164944739</v>
      </c>
      <c r="D10">
        <f ca="1"/>
        <v>-0.37169999999999997</v>
      </c>
      <c r="F10" t="s">
        <v>18</v>
      </c>
      <c r="G10" cm="1">
        <f t="array" aca="1" ref="G10" ca="1">INDEX(B4:B1000, G8)</f>
        <v>8.1099999999999992E-3</v>
      </c>
      <c r="I10">
        <f t="shared" ca="1" si="1"/>
        <v>8.032424242424242E-3</v>
      </c>
      <c r="J10">
        <f t="shared" ca="1" si="2"/>
        <v>2.3751515151515148E-2</v>
      </c>
      <c r="L10">
        <f t="shared" ca="1" si="3"/>
        <v>8.0853719008264456E-3</v>
      </c>
      <c r="M10">
        <f t="shared" ca="1" si="4"/>
        <v>0.58626060606060604</v>
      </c>
      <c r="O10">
        <f t="shared" ca="1" si="5"/>
        <v>0.18298560732848884</v>
      </c>
      <c r="P10">
        <f t="shared" ca="1" si="6"/>
        <v>-0.35749393939393936</v>
      </c>
      <c r="R10">
        <f t="shared" ca="1" si="7"/>
        <v>8.7876513926382627E-3</v>
      </c>
      <c r="S10">
        <f t="shared" ca="1" si="8"/>
        <v>0.62512121212121208</v>
      </c>
    </row>
    <row r="11" spans="1:19" x14ac:dyDescent="0.35">
      <c r="A11">
        <f ca="1"/>
        <v>-4.6500000000000004</v>
      </c>
      <c r="B11">
        <f ca="1"/>
        <v>5.3859999999999998E-2</v>
      </c>
      <c r="C11">
        <f t="shared" ca="1" si="0"/>
        <v>0.19516821390149244</v>
      </c>
      <c r="D11">
        <f ca="1"/>
        <v>-0.37030000000000002</v>
      </c>
      <c r="I11">
        <f t="shared" ca="1" si="1"/>
        <v>8.0199663299663285E-3</v>
      </c>
      <c r="J11">
        <f t="shared" ca="1" si="2"/>
        <v>2.6310101010101006E-2</v>
      </c>
      <c r="L11">
        <f t="shared" ca="1" si="3"/>
        <v>8.0717814508723604E-3</v>
      </c>
      <c r="M11">
        <f t="shared" ca="1" si="4"/>
        <v>0.58277070707070699</v>
      </c>
      <c r="O11">
        <f t="shared" ca="1" si="5"/>
        <v>0.17932513275416245</v>
      </c>
      <c r="P11">
        <f t="shared" ca="1" si="6"/>
        <v>-0.35355959595959596</v>
      </c>
      <c r="R11">
        <f t="shared" ca="1" si="7"/>
        <v>8.9686554062465285E-3</v>
      </c>
      <c r="S11">
        <f t="shared" ca="1" si="8"/>
        <v>0.62810808080808078</v>
      </c>
    </row>
    <row r="12" spans="1:19" x14ac:dyDescent="0.35">
      <c r="A12">
        <f ca="1"/>
        <v>-4.5999999999999996</v>
      </c>
      <c r="B12">
        <f ca="1"/>
        <v>5.2999999999999999E-2</v>
      </c>
      <c r="C12">
        <f t="shared" ca="1" si="0"/>
        <v>0.19381641130851093</v>
      </c>
      <c r="D12">
        <f ca="1"/>
        <v>-0.36890000000000001</v>
      </c>
      <c r="F12" t="s">
        <v>16</v>
      </c>
      <c r="G12" s="5">
        <v>130</v>
      </c>
      <c r="I12">
        <f t="shared" ca="1" si="1"/>
        <v>8.0076430976430968E-3</v>
      </c>
      <c r="J12">
        <f t="shared" ca="1" si="2"/>
        <v>2.8868686868686863E-2</v>
      </c>
      <c r="L12">
        <f t="shared" ca="1" si="3"/>
        <v>8.0583379247015606E-3</v>
      </c>
      <c r="M12">
        <f t="shared" ca="1" si="4"/>
        <v>0.57928080808080806</v>
      </c>
      <c r="O12">
        <f t="shared" ca="1" si="5"/>
        <v>0.17570335582548438</v>
      </c>
      <c r="P12">
        <f t="shared" ca="1" si="6"/>
        <v>-0.34962525252525251</v>
      </c>
      <c r="R12">
        <f t="shared" ca="1" si="7"/>
        <v>9.1719628812362876E-3</v>
      </c>
      <c r="S12">
        <f t="shared" ca="1" si="8"/>
        <v>0.63109494949494949</v>
      </c>
    </row>
    <row r="13" spans="1:19" x14ac:dyDescent="0.35">
      <c r="A13">
        <f ca="1"/>
        <v>-4.55</v>
      </c>
      <c r="B13">
        <f ca="1"/>
        <v>5.2130000000000003E-2</v>
      </c>
      <c r="C13">
        <f t="shared" ca="1" si="0"/>
        <v>0.19246950871552948</v>
      </c>
      <c r="D13">
        <f ca="1"/>
        <v>-0.36749999999999999</v>
      </c>
      <c r="F13" t="s">
        <v>19</v>
      </c>
      <c r="G13" cm="1">
        <f t="array" aca="1" ref="G13" ca="1">INDEX(D4:D1000, G12)</f>
        <v>0.60719999999999996</v>
      </c>
      <c r="I13">
        <f t="shared" ca="1" si="1"/>
        <v>7.9954545454545452E-3</v>
      </c>
      <c r="J13">
        <f t="shared" ca="1" si="2"/>
        <v>3.142727272727272E-2</v>
      </c>
      <c r="L13">
        <f t="shared" ca="1" si="3"/>
        <v>8.0450413223140498E-3</v>
      </c>
      <c r="M13">
        <f t="shared" ca="1" si="4"/>
        <v>0.57579090909090902</v>
      </c>
      <c r="O13">
        <f t="shared" ca="1" si="5"/>
        <v>0.17212027654245479</v>
      </c>
      <c r="P13">
        <f t="shared" ca="1" si="6"/>
        <v>-0.3456909090909091</v>
      </c>
      <c r="R13">
        <f t="shared" ca="1" si="7"/>
        <v>9.3975738176075366E-3</v>
      </c>
      <c r="S13">
        <f t="shared" ca="1" si="8"/>
        <v>0.63408181818181819</v>
      </c>
    </row>
    <row r="14" spans="1:19" x14ac:dyDescent="0.35">
      <c r="A14">
        <f ca="1"/>
        <v>-4.5</v>
      </c>
      <c r="B14">
        <f ca="1"/>
        <v>5.126E-2</v>
      </c>
      <c r="C14">
        <f t="shared" ca="1" si="0"/>
        <v>0.1913189207786882</v>
      </c>
      <c r="D14">
        <f ca="1"/>
        <v>-0.36630000000000001</v>
      </c>
      <c r="F14" t="s">
        <v>20</v>
      </c>
      <c r="G14" cm="1">
        <f t="array" aca="1" ref="G14" ca="1">INDEX(B4:B1000, G12)</f>
        <v>8.1700000000000002E-3</v>
      </c>
      <c r="I14">
        <f t="shared" ca="1" si="1"/>
        <v>7.9834006734006736E-3</v>
      </c>
      <c r="J14">
        <f t="shared" ca="1" si="2"/>
        <v>3.3985858585858578E-2</v>
      </c>
      <c r="L14">
        <f t="shared" ca="1" si="3"/>
        <v>8.0318916437098261E-3</v>
      </c>
      <c r="M14">
        <f t="shared" ca="1" si="4"/>
        <v>0.57230101010101009</v>
      </c>
      <c r="O14">
        <f t="shared" ca="1" si="5"/>
        <v>0.16857589490507358</v>
      </c>
      <c r="P14">
        <f t="shared" ca="1" si="6"/>
        <v>-0.34175656565656565</v>
      </c>
      <c r="R14">
        <f t="shared" ca="1" si="7"/>
        <v>9.6454882153602668E-3</v>
      </c>
      <c r="S14">
        <f t="shared" ca="1" si="8"/>
        <v>0.63706868686868678</v>
      </c>
    </row>
    <row r="15" spans="1:19" x14ac:dyDescent="0.35">
      <c r="A15">
        <f ca="1"/>
        <v>-4.45</v>
      </c>
      <c r="B15">
        <f ca="1"/>
        <v>5.0389999999999997E-2</v>
      </c>
      <c r="C15">
        <f t="shared" ca="1" si="0"/>
        <v>0.19017193284184689</v>
      </c>
      <c r="D15">
        <f ca="1"/>
        <v>-0.36509999999999998</v>
      </c>
      <c r="I15">
        <f t="shared" ca="1" si="1"/>
        <v>7.9714814814814804E-3</v>
      </c>
      <c r="J15">
        <f t="shared" ca="1" si="2"/>
        <v>3.6544444444444442E-2</v>
      </c>
      <c r="L15">
        <f t="shared" ca="1" si="3"/>
        <v>8.0188888888888896E-3</v>
      </c>
      <c r="M15">
        <f t="shared" ca="1" si="4"/>
        <v>0.56881111111111105</v>
      </c>
      <c r="O15">
        <f t="shared" ca="1" si="5"/>
        <v>0.1650702109133407</v>
      </c>
      <c r="P15">
        <f t="shared" ca="1" si="6"/>
        <v>-0.33782222222222219</v>
      </c>
      <c r="R15">
        <f t="shared" ca="1" si="7"/>
        <v>9.9157060744945007E-3</v>
      </c>
      <c r="S15">
        <f t="shared" ca="1" si="8"/>
        <v>0.64005555555555549</v>
      </c>
    </row>
    <row r="16" spans="1:19" x14ac:dyDescent="0.35">
      <c r="A16">
        <f ca="1"/>
        <v>-4.4000000000000004</v>
      </c>
      <c r="B16">
        <f ca="1"/>
        <v>4.9509999999999998E-2</v>
      </c>
      <c r="C16">
        <f t="shared" ca="1" si="0"/>
        <v>0.18921885956114584</v>
      </c>
      <c r="D16">
        <f ca="1"/>
        <v>-0.36409999999999998</v>
      </c>
      <c r="F16" t="s">
        <v>21</v>
      </c>
      <c r="G16">
        <f ca="1">(G10 - G5) / (G9 - G6)^2</f>
        <v>1.0286640350531286E-2</v>
      </c>
      <c r="I16">
        <f t="shared" ca="1" si="1"/>
        <v>7.959696969696969E-3</v>
      </c>
      <c r="J16">
        <f t="shared" ca="1" si="2"/>
        <v>3.9103030303030299E-2</v>
      </c>
      <c r="L16">
        <f t="shared" ca="1" si="3"/>
        <v>8.0060330578512404E-3</v>
      </c>
      <c r="M16">
        <f t="shared" ca="1" si="4"/>
        <v>0.56532121212121211</v>
      </c>
      <c r="O16">
        <f t="shared" ca="1" si="5"/>
        <v>0.16160322456725634</v>
      </c>
      <c r="P16">
        <f t="shared" ca="1" si="6"/>
        <v>-0.33388787878787879</v>
      </c>
      <c r="R16">
        <f t="shared" ca="1" si="7"/>
        <v>1.0208227395010226E-2</v>
      </c>
      <c r="S16">
        <f t="shared" ca="1" si="8"/>
        <v>0.64304242424242419</v>
      </c>
    </row>
    <row r="17" spans="1:19" x14ac:dyDescent="0.35">
      <c r="A17">
        <f ca="1"/>
        <v>-4.3499999999999996</v>
      </c>
      <c r="B17">
        <f ca="1"/>
        <v>4.8640000000000003E-2</v>
      </c>
      <c r="C17">
        <f t="shared" ca="1" si="0"/>
        <v>0.18836323110851488</v>
      </c>
      <c r="D17">
        <f ca="1"/>
        <v>-0.36320000000000002</v>
      </c>
      <c r="F17" t="s">
        <v>22</v>
      </c>
      <c r="G17">
        <f ca="1">(G14 - G5) / (G13 - G6)^2</f>
        <v>6.0316536155365363E-3</v>
      </c>
      <c r="I17">
        <f t="shared" ca="1" si="1"/>
        <v>7.9480471380471377E-3</v>
      </c>
      <c r="J17">
        <f t="shared" ca="1" si="2"/>
        <v>4.1661616161616156E-2</v>
      </c>
      <c r="L17">
        <f t="shared" ca="1" si="3"/>
        <v>7.9933241505968783E-3</v>
      </c>
      <c r="M17">
        <f t="shared" ca="1" si="4"/>
        <v>0.56183131313131307</v>
      </c>
      <c r="O17">
        <f t="shared" ca="1" si="5"/>
        <v>0.15817493586682035</v>
      </c>
      <c r="P17">
        <f t="shared" ca="1" si="6"/>
        <v>-0.32995353535353533</v>
      </c>
      <c r="R17">
        <f t="shared" ca="1" si="7"/>
        <v>1.0523052176907443E-2</v>
      </c>
      <c r="S17">
        <f t="shared" ca="1" si="8"/>
        <v>0.6460292929292929</v>
      </c>
    </row>
    <row r="18" spans="1:19" x14ac:dyDescent="0.35">
      <c r="A18">
        <f ca="1"/>
        <v>-4.3</v>
      </c>
      <c r="B18">
        <f ca="1"/>
        <v>4.7780000000000003E-2</v>
      </c>
      <c r="C18">
        <f t="shared" ca="1" si="0"/>
        <v>0.18798360179623447</v>
      </c>
      <c r="D18">
        <f ca="1"/>
        <v>-0.36280000000000001</v>
      </c>
      <c r="I18">
        <f t="shared" ca="1" si="1"/>
        <v>7.9365319865319865E-3</v>
      </c>
      <c r="J18">
        <f t="shared" ca="1" si="2"/>
        <v>4.4220202020202014E-2</v>
      </c>
      <c r="L18">
        <f t="shared" ca="1" si="3"/>
        <v>7.9807621671258034E-3</v>
      </c>
      <c r="M18">
        <f t="shared" ca="1" si="4"/>
        <v>0.55834141414141414</v>
      </c>
      <c r="O18">
        <f t="shared" ca="1" si="5"/>
        <v>0.15478534481203274</v>
      </c>
      <c r="P18">
        <f t="shared" ca="1" si="6"/>
        <v>-0.32601919191919193</v>
      </c>
      <c r="R18">
        <f t="shared" ca="1" si="7"/>
        <v>1.086018042018615E-2</v>
      </c>
      <c r="S18">
        <f t="shared" ca="1" si="8"/>
        <v>0.6490161616161616</v>
      </c>
    </row>
    <row r="19" spans="1:19" x14ac:dyDescent="0.35">
      <c r="A19">
        <f ca="1"/>
        <v>-4.25</v>
      </c>
      <c r="B19">
        <f ca="1"/>
        <v>4.6949999999999999E-2</v>
      </c>
      <c r="C19">
        <f t="shared" ca="1" si="0"/>
        <v>0.18807847162430455</v>
      </c>
      <c r="D19">
        <f ca="1"/>
        <v>-0.3629</v>
      </c>
      <c r="F19" t="s">
        <v>26</v>
      </c>
      <c r="G19" s="3">
        <v>0.05</v>
      </c>
      <c r="I19">
        <f t="shared" ca="1" si="1"/>
        <v>7.9251515151515153E-3</v>
      </c>
      <c r="J19">
        <f t="shared" ca="1" si="2"/>
        <v>4.6778787878787871E-2</v>
      </c>
      <c r="L19">
        <f t="shared" ca="1" si="3"/>
        <v>7.9683471074380174E-3</v>
      </c>
      <c r="M19">
        <f t="shared" ca="1" si="4"/>
        <v>0.5548515151515151</v>
      </c>
      <c r="O19">
        <f t="shared" ca="1" si="5"/>
        <v>0.15143445140289349</v>
      </c>
      <c r="P19">
        <f t="shared" ca="1" si="6"/>
        <v>-0.32208484848484847</v>
      </c>
      <c r="R19">
        <f t="shared" ca="1" si="7"/>
        <v>1.1219612124846352E-2</v>
      </c>
      <c r="S19">
        <f t="shared" ca="1" si="8"/>
        <v>0.65200303030303031</v>
      </c>
    </row>
    <row r="20" spans="1:19" x14ac:dyDescent="0.35">
      <c r="A20">
        <f ca="1"/>
        <v>-4.2</v>
      </c>
      <c r="B20">
        <f ca="1"/>
        <v>4.6059999999999997E-2</v>
      </c>
      <c r="C20">
        <f t="shared" ca="1" si="0"/>
        <v>0.18788875696816434</v>
      </c>
      <c r="D20">
        <f ca="1"/>
        <v>-0.36270000000000002</v>
      </c>
      <c r="F20" t="s">
        <v>27</v>
      </c>
      <c r="G20" s="3">
        <v>0.2</v>
      </c>
      <c r="I20">
        <f t="shared" ca="1" si="1"/>
        <v>7.9139057239057242E-3</v>
      </c>
      <c r="J20">
        <f t="shared" ca="1" si="2"/>
        <v>4.9337373737373728E-2</v>
      </c>
      <c r="L20">
        <f t="shared" ca="1" si="3"/>
        <v>7.9560789715335169E-3</v>
      </c>
      <c r="M20">
        <f t="shared" ca="1" si="4"/>
        <v>0.55136161616161616</v>
      </c>
      <c r="O20">
        <f t="shared" ca="1" si="5"/>
        <v>0.14812225563940271</v>
      </c>
      <c r="P20">
        <f t="shared" ca="1" si="6"/>
        <v>-0.31815050505050502</v>
      </c>
      <c r="R20">
        <f t="shared" ca="1" si="7"/>
        <v>1.1601347290888043E-2</v>
      </c>
      <c r="S20">
        <f t="shared" ca="1" si="8"/>
        <v>0.65498989898989901</v>
      </c>
    </row>
    <row r="21" spans="1:19" x14ac:dyDescent="0.35">
      <c r="A21">
        <f ca="1"/>
        <v>-4.1500000000000004</v>
      </c>
      <c r="B21">
        <f ca="1"/>
        <v>4.5060000000000003E-2</v>
      </c>
      <c r="C21">
        <f t="shared" ca="1" si="0"/>
        <v>0.18646908454711281</v>
      </c>
      <c r="D21">
        <f ca="1"/>
        <v>-0.36120000000000002</v>
      </c>
      <c r="F21" t="s">
        <v>28</v>
      </c>
      <c r="G21">
        <f ca="1">2 * (G10 - G5) * (G9 - G6) / (G9 - G6)^2</f>
        <v>-5.2112120015791489E-3</v>
      </c>
      <c r="I21">
        <f t="shared" ca="1" si="1"/>
        <v>7.9027946127946114E-3</v>
      </c>
      <c r="J21">
        <f t="shared" ca="1" si="2"/>
        <v>5.1895959595959593E-2</v>
      </c>
      <c r="L21">
        <f t="shared" ca="1" si="3"/>
        <v>7.9439577594123054E-3</v>
      </c>
      <c r="M21">
        <f t="shared" ca="1" si="4"/>
        <v>0.54787171717171712</v>
      </c>
      <c r="O21">
        <f t="shared" ca="1" si="5"/>
        <v>0.14484875752156032</v>
      </c>
      <c r="P21">
        <f t="shared" ca="1" si="6"/>
        <v>-0.31421616161616162</v>
      </c>
      <c r="R21">
        <f t="shared" ca="1" si="7"/>
        <v>1.2005385918311212E-2</v>
      </c>
      <c r="S21">
        <f t="shared" ca="1" si="8"/>
        <v>0.6579767676767676</v>
      </c>
    </row>
    <row r="22" spans="1:19" x14ac:dyDescent="0.35">
      <c r="A22">
        <f ca="1"/>
        <v>-4.0999999999999996</v>
      </c>
      <c r="B22">
        <f ca="1"/>
        <v>4.4130000000000003E-2</v>
      </c>
      <c r="C22">
        <f t="shared" ca="1" si="0"/>
        <v>0.18496096729799102</v>
      </c>
      <c r="D22">
        <f ca="1"/>
        <v>-0.35959999999999998</v>
      </c>
      <c r="F22" t="s">
        <v>29</v>
      </c>
      <c r="G22">
        <f ca="1">2 * (G14 - G5) * (G13 - G6) / (G13 - G6)^2</f>
        <v>4.1678726483357466E-3</v>
      </c>
      <c r="I22">
        <f t="shared" ca="1" si="1"/>
        <v>7.8918181818181821E-3</v>
      </c>
      <c r="J22">
        <f t="shared" ca="1" si="2"/>
        <v>5.4454545454545443E-2</v>
      </c>
      <c r="L22">
        <f t="shared" ca="1" si="3"/>
        <v>7.931983471074381E-3</v>
      </c>
      <c r="M22">
        <f t="shared" ca="1" si="4"/>
        <v>0.54438181818181819</v>
      </c>
      <c r="O22">
        <f t="shared" ca="1" si="5"/>
        <v>0.1416139570493663</v>
      </c>
      <c r="P22">
        <f t="shared" ca="1" si="6"/>
        <v>-0.31028181818181816</v>
      </c>
      <c r="R22">
        <f t="shared" ca="1" si="7"/>
        <v>1.2431728007115889E-2</v>
      </c>
      <c r="S22">
        <f t="shared" ca="1" si="8"/>
        <v>0.66096363636363631</v>
      </c>
    </row>
    <row r="23" spans="1:19" x14ac:dyDescent="0.35">
      <c r="A23">
        <f ca="1"/>
        <v>-4.05</v>
      </c>
      <c r="B23">
        <f ca="1"/>
        <v>4.3240000000000001E-2</v>
      </c>
      <c r="C23">
        <f t="shared" ca="1" si="0"/>
        <v>0.18336560522079925</v>
      </c>
      <c r="D23">
        <f ca="1"/>
        <v>-0.3579</v>
      </c>
      <c r="F23" t="s">
        <v>30</v>
      </c>
      <c r="G23">
        <f>1/G20</f>
        <v>5</v>
      </c>
      <c r="I23">
        <f t="shared" ca="1" si="1"/>
        <v>7.8809764309764312E-3</v>
      </c>
      <c r="J23">
        <f t="shared" ca="1" si="2"/>
        <v>5.7013131313131307E-2</v>
      </c>
      <c r="L23">
        <f t="shared" ca="1" si="3"/>
        <v>7.9201561065197438E-3</v>
      </c>
      <c r="M23">
        <f t="shared" ca="1" si="4"/>
        <v>0.54089191919191915</v>
      </c>
      <c r="O23">
        <f t="shared" ca="1" si="5"/>
        <v>0.13841785422282074</v>
      </c>
      <c r="P23">
        <f t="shared" ca="1" si="6"/>
        <v>-0.30634747474747476</v>
      </c>
      <c r="R23">
        <f t="shared" ca="1" si="7"/>
        <v>1.2880373557302056E-2</v>
      </c>
      <c r="S23">
        <f t="shared" ca="1" si="8"/>
        <v>0.66395050505050501</v>
      </c>
    </row>
    <row r="24" spans="1:19" x14ac:dyDescent="0.35">
      <c r="A24">
        <f ca="1"/>
        <v>-4</v>
      </c>
      <c r="B24">
        <f ca="1"/>
        <v>4.2349999999999999E-2</v>
      </c>
      <c r="C24">
        <f t="shared" ca="1" si="0"/>
        <v>0.18168427331553738</v>
      </c>
      <c r="D24">
        <f ca="1"/>
        <v>-0.35610000000000003</v>
      </c>
      <c r="I24">
        <f t="shared" ca="1" si="1"/>
        <v>7.8702693602693604E-3</v>
      </c>
      <c r="J24">
        <f t="shared" ca="1" si="2"/>
        <v>5.9571717171717158E-2</v>
      </c>
      <c r="L24">
        <f t="shared" ca="1" si="3"/>
        <v>7.9084756657483938E-3</v>
      </c>
      <c r="M24">
        <f t="shared" ca="1" si="4"/>
        <v>0.53740202020202021</v>
      </c>
      <c r="O24">
        <f t="shared" ca="1" si="5"/>
        <v>0.13526044904192355</v>
      </c>
      <c r="P24">
        <f t="shared" ca="1" si="6"/>
        <v>-0.3024131313131313</v>
      </c>
      <c r="R24">
        <f t="shared" ca="1" si="7"/>
        <v>1.3351322568869716E-2</v>
      </c>
      <c r="S24">
        <f t="shared" ca="1" si="8"/>
        <v>0.66693737373737372</v>
      </c>
    </row>
    <row r="25" spans="1:19" x14ac:dyDescent="0.35">
      <c r="A25">
        <f ca="1"/>
        <v>-3.95</v>
      </c>
      <c r="B25">
        <f ca="1"/>
        <v>4.1480000000000003E-2</v>
      </c>
      <c r="C25">
        <f t="shared" ca="1" si="0"/>
        <v>0.18001104141027544</v>
      </c>
      <c r="D25">
        <f ca="1"/>
        <v>-0.3543</v>
      </c>
      <c r="F25" t="s">
        <v>33</v>
      </c>
      <c r="G25">
        <f ca="1">MAX(D4:D1000)</f>
        <v>0.90290000000000004</v>
      </c>
      <c r="I25">
        <f t="shared" ca="1" si="1"/>
        <v>7.8596969696969696E-3</v>
      </c>
      <c r="J25">
        <f t="shared" ca="1" si="2"/>
        <v>6.2130303030303022E-2</v>
      </c>
      <c r="L25">
        <f t="shared" ca="1" si="3"/>
        <v>7.896942148760331E-3</v>
      </c>
      <c r="M25">
        <f t="shared" ca="1" si="4"/>
        <v>0.53391212121212117</v>
      </c>
      <c r="O25">
        <f t="shared" ca="1" si="5"/>
        <v>0.13214174150667474</v>
      </c>
      <c r="P25">
        <f t="shared" ca="1" si="6"/>
        <v>-0.29847878787878784</v>
      </c>
      <c r="R25">
        <f t="shared" ca="1" si="7"/>
        <v>1.3844575041818867E-2</v>
      </c>
      <c r="S25">
        <f t="shared" ca="1" si="8"/>
        <v>0.66992424242424242</v>
      </c>
    </row>
    <row r="26" spans="1:19" x14ac:dyDescent="0.35">
      <c r="A26">
        <f ca="1"/>
        <v>-3.9</v>
      </c>
      <c r="B26">
        <f ca="1"/>
        <v>4.061E-2</v>
      </c>
      <c r="C26">
        <f t="shared" ca="1" si="0"/>
        <v>0.17825363967694338</v>
      </c>
      <c r="D26">
        <f ca="1"/>
        <v>-0.35239999999999999</v>
      </c>
      <c r="F26" t="s">
        <v>14</v>
      </c>
      <c r="G26">
        <f ca="1">MIN(D4:D1000)</f>
        <v>-0.38109999999999999</v>
      </c>
      <c r="I26">
        <f t="shared" ca="1" si="1"/>
        <v>7.849259259259259E-3</v>
      </c>
      <c r="J26">
        <f t="shared" ca="1" si="2"/>
        <v>6.4688888888888879E-2</v>
      </c>
      <c r="L26">
        <f t="shared" ca="1" si="3"/>
        <v>7.8855555555555554E-3</v>
      </c>
      <c r="M26">
        <f t="shared" ca="1" si="4"/>
        <v>0.53042222222222224</v>
      </c>
      <c r="O26">
        <f t="shared" ca="1" si="5"/>
        <v>0.12906173161707438</v>
      </c>
      <c r="P26">
        <f t="shared" ca="1" si="6"/>
        <v>-0.29454444444444444</v>
      </c>
      <c r="R26">
        <f t="shared" ca="1" si="7"/>
        <v>1.4360130976149512E-2</v>
      </c>
      <c r="S26">
        <f t="shared" ca="1" si="8"/>
        <v>0.67291111111111113</v>
      </c>
    </row>
    <row r="27" spans="1:19" x14ac:dyDescent="0.35">
      <c r="A27">
        <f ca="1"/>
        <v>-3.85</v>
      </c>
      <c r="B27">
        <f ca="1"/>
        <v>3.9739999999999998E-2</v>
      </c>
      <c r="C27">
        <f t="shared" ca="1" si="0"/>
        <v>0.17650526294361138</v>
      </c>
      <c r="D27">
        <f ca="1"/>
        <v>-0.35049999999999998</v>
      </c>
      <c r="I27">
        <f t="shared" ca="1" si="1"/>
        <v>7.8389562289562283E-3</v>
      </c>
      <c r="J27">
        <f t="shared" ca="1" si="2"/>
        <v>6.7247474747474736E-2</v>
      </c>
      <c r="L27">
        <f t="shared" ca="1" si="3"/>
        <v>7.8743158861340687E-3</v>
      </c>
      <c r="M27">
        <f t="shared" ca="1" si="4"/>
        <v>0.5269323232323232</v>
      </c>
      <c r="O27">
        <f t="shared" ca="1" si="5"/>
        <v>0.12602041937312239</v>
      </c>
      <c r="P27">
        <f t="shared" ca="1" si="6"/>
        <v>-0.29061010101010099</v>
      </c>
      <c r="R27">
        <f t="shared" ca="1" si="7"/>
        <v>1.4897990371861645E-2</v>
      </c>
      <c r="S27">
        <f t="shared" ca="1" si="8"/>
        <v>0.67589797979797983</v>
      </c>
    </row>
    <row r="28" spans="1:19" x14ac:dyDescent="0.35">
      <c r="A28">
        <f ca="1"/>
        <v>-3.8</v>
      </c>
      <c r="B28">
        <f ca="1"/>
        <v>3.8879999999999998E-2</v>
      </c>
      <c r="C28">
        <f t="shared" ca="1" si="0"/>
        <v>0.17458334655413915</v>
      </c>
      <c r="D28">
        <f ca="1"/>
        <v>-0.34839999999999999</v>
      </c>
      <c r="F28" t="s">
        <v>44</v>
      </c>
      <c r="G28">
        <f ca="1">COUNTIF(B4:B1000, "&lt;&gt;")</f>
        <v>169</v>
      </c>
      <c r="I28">
        <f t="shared" ca="1" si="1"/>
        <v>7.8287878787878778E-3</v>
      </c>
      <c r="J28">
        <f t="shared" ca="1" si="2"/>
        <v>6.9806060606060594E-2</v>
      </c>
      <c r="L28">
        <f t="shared" ca="1" si="3"/>
        <v>7.8632231404958675E-3</v>
      </c>
      <c r="M28">
        <f t="shared" ca="1" si="4"/>
        <v>0.52344242424242426</v>
      </c>
      <c r="O28">
        <f t="shared" ca="1" si="5"/>
        <v>0.12301780477481883</v>
      </c>
      <c r="P28">
        <f t="shared" ca="1" si="6"/>
        <v>-0.28667575757575758</v>
      </c>
      <c r="R28">
        <f t="shared" ca="1" si="7"/>
        <v>1.5458153228955251E-2</v>
      </c>
      <c r="S28">
        <f t="shared" ca="1" si="8"/>
        <v>0.67888484848484842</v>
      </c>
    </row>
    <row r="29" spans="1:19" x14ac:dyDescent="0.35">
      <c r="A29">
        <f ca="1"/>
        <v>-3.75</v>
      </c>
      <c r="B29">
        <f ca="1"/>
        <v>3.8030000000000001E-2</v>
      </c>
      <c r="C29">
        <f t="shared" ca="1" si="0"/>
        <v>0.17276319999273701</v>
      </c>
      <c r="D29">
        <f ca="1"/>
        <v>-0.34639999999999999</v>
      </c>
      <c r="I29">
        <f t="shared" ca="1" si="1"/>
        <v>7.818754208754209E-3</v>
      </c>
      <c r="J29">
        <f t="shared" ca="1" si="2"/>
        <v>7.2364646464646465E-2</v>
      </c>
      <c r="L29">
        <f t="shared" ca="1" si="3"/>
        <v>7.8522773186409552E-3</v>
      </c>
      <c r="M29">
        <f t="shared" ca="1" si="4"/>
        <v>0.51995252525252522</v>
      </c>
      <c r="O29">
        <f t="shared" ca="1" si="5"/>
        <v>0.12005388782216364</v>
      </c>
      <c r="P29">
        <f t="shared" ca="1" si="6"/>
        <v>-0.28274141414141413</v>
      </c>
      <c r="R29">
        <f t="shared" ca="1" si="7"/>
        <v>1.6040619547430371E-2</v>
      </c>
      <c r="S29">
        <f t="shared" ca="1" si="8"/>
        <v>0.68187171717171713</v>
      </c>
    </row>
    <row r="30" spans="1:19" x14ac:dyDescent="0.35">
      <c r="A30">
        <f ca="1"/>
        <v>-3.7</v>
      </c>
      <c r="B30">
        <f ca="1"/>
        <v>3.7179999999999998E-2</v>
      </c>
      <c r="C30">
        <f t="shared" ca="1" si="0"/>
        <v>0.17077258877519469</v>
      </c>
      <c r="D30">
        <f ca="1"/>
        <v>-0.34420000000000001</v>
      </c>
      <c r="F30" t="s">
        <v>234</v>
      </c>
      <c r="G30" s="3">
        <f ca="1">(D30-D24)/(A30-A24)</f>
        <v>3.966666666666676E-2</v>
      </c>
      <c r="I30">
        <f t="shared" ca="1" si="1"/>
        <v>7.8088552188552186E-3</v>
      </c>
      <c r="J30">
        <f t="shared" ca="1" si="2"/>
        <v>7.4923232323232322E-2</v>
      </c>
      <c r="L30">
        <f t="shared" ca="1" si="3"/>
        <v>7.84147842056933E-3</v>
      </c>
      <c r="M30">
        <f t="shared" ca="1" si="4"/>
        <v>0.51646262626262618</v>
      </c>
      <c r="O30">
        <f t="shared" ca="1" si="5"/>
        <v>0.11712866851515687</v>
      </c>
      <c r="P30">
        <f t="shared" ca="1" si="6"/>
        <v>-0.27880707070707067</v>
      </c>
      <c r="R30">
        <f t="shared" ca="1" si="7"/>
        <v>1.6645389327286979E-2</v>
      </c>
      <c r="S30">
        <f t="shared" ca="1" si="8"/>
        <v>0.68485858585858583</v>
      </c>
    </row>
    <row r="31" spans="1:19" x14ac:dyDescent="0.35">
      <c r="A31">
        <f ca="1"/>
        <v>-3.65</v>
      </c>
      <c r="B31">
        <f ca="1"/>
        <v>3.6339999999999997E-2</v>
      </c>
      <c r="C31">
        <f t="shared" ca="1" si="0"/>
        <v>0.16870443272958224</v>
      </c>
      <c r="D31">
        <f ca="1"/>
        <v>-0.34189999999999998</v>
      </c>
      <c r="F31" t="s">
        <v>235</v>
      </c>
      <c r="G31">
        <f ca="1">G30*180/PI()</f>
        <v>2.2727325873522708</v>
      </c>
      <c r="I31">
        <f t="shared" ca="1" si="1"/>
        <v>7.7990909090909083E-3</v>
      </c>
      <c r="J31">
        <f t="shared" ca="1" si="2"/>
        <v>7.7481818181818179E-2</v>
      </c>
      <c r="L31">
        <f t="shared" ca="1" si="3"/>
        <v>7.8308264462809921E-3</v>
      </c>
      <c r="M31">
        <f t="shared" ca="1" si="4"/>
        <v>0.51297272727272725</v>
      </c>
      <c r="O31">
        <f t="shared" ca="1" si="5"/>
        <v>0.11424214685379853</v>
      </c>
      <c r="P31">
        <f t="shared" ca="1" si="6"/>
        <v>-0.27487272727272727</v>
      </c>
      <c r="R31">
        <f t="shared" ca="1" si="7"/>
        <v>1.7272462568525083E-2</v>
      </c>
      <c r="S31">
        <f t="shared" ca="1" si="8"/>
        <v>0.68784545454545454</v>
      </c>
    </row>
    <row r="32" spans="1:19" x14ac:dyDescent="0.35">
      <c r="A32">
        <f ca="1"/>
        <v>-3.6</v>
      </c>
      <c r="B32">
        <f ca="1"/>
        <v>3.5499999999999997E-2</v>
      </c>
      <c r="C32">
        <f t="shared" ca="1" si="0"/>
        <v>0.16656045685589971</v>
      </c>
      <c r="D32">
        <f ca="1"/>
        <v>-0.33950000000000002</v>
      </c>
      <c r="F32" t="s">
        <v>46</v>
      </c>
      <c r="G32">
        <f ca="1">G31/(2*PI())</f>
        <v>0.36171662560314671</v>
      </c>
      <c r="I32">
        <f t="shared" ca="1" si="1"/>
        <v>7.7894612794612789E-3</v>
      </c>
      <c r="J32">
        <f t="shared" ca="1" si="2"/>
        <v>8.0040404040404037E-2</v>
      </c>
      <c r="L32">
        <f t="shared" ca="1" si="3"/>
        <v>7.8203213957759414E-3</v>
      </c>
      <c r="M32">
        <f t="shared" ca="1" si="4"/>
        <v>0.5094828282828282</v>
      </c>
      <c r="O32">
        <f t="shared" ca="1" si="5"/>
        <v>0.11139432283808855</v>
      </c>
      <c r="P32">
        <f t="shared" ca="1" si="6"/>
        <v>-0.27093838383838381</v>
      </c>
      <c r="R32">
        <f t="shared" ca="1" si="7"/>
        <v>1.7921839271144678E-2</v>
      </c>
      <c r="S32">
        <f t="shared" ca="1" si="8"/>
        <v>0.69083232323232324</v>
      </c>
    </row>
    <row r="33" spans="1:29" x14ac:dyDescent="0.35">
      <c r="A33">
        <f ca="1"/>
        <v>-3.55</v>
      </c>
      <c r="B33">
        <f ca="1"/>
        <v>3.4669999999999999E-2</v>
      </c>
      <c r="C33">
        <f t="shared" ca="1" si="0"/>
        <v>0.16434246115414708</v>
      </c>
      <c r="D33">
        <f ca="1"/>
        <v>-0.33700000000000002</v>
      </c>
      <c r="I33">
        <f t="shared" ca="1" si="1"/>
        <v>7.7799663299663296E-3</v>
      </c>
      <c r="J33">
        <f t="shared" ca="1" si="2"/>
        <v>8.2598989898989894E-2</v>
      </c>
      <c r="L33">
        <f t="shared" ca="1" si="3"/>
        <v>7.8099632690541779E-3</v>
      </c>
      <c r="M33">
        <f t="shared" ca="1" si="4"/>
        <v>0.50599292929292927</v>
      </c>
      <c r="O33">
        <f t="shared" ca="1" si="5"/>
        <v>0.10858519646802703</v>
      </c>
      <c r="P33">
        <f t="shared" ca="1" si="6"/>
        <v>-0.26700404040404041</v>
      </c>
      <c r="R33">
        <f t="shared" ca="1" si="7"/>
        <v>1.8593519435145762E-2</v>
      </c>
      <c r="S33">
        <f t="shared" ca="1" si="8"/>
        <v>0.69381919191919195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-3.5</v>
      </c>
      <c r="B34">
        <f ca="1"/>
        <v>3.3840000000000002E-2</v>
      </c>
      <c r="C34">
        <f t="shared" ca="1" si="0"/>
        <v>0.16196457579625415</v>
      </c>
      <c r="D34">
        <f ca="1"/>
        <v>-0.33429999999999999</v>
      </c>
      <c r="I34">
        <f t="shared" ca="1" si="1"/>
        <v>7.7706060606060603E-3</v>
      </c>
      <c r="J34">
        <f t="shared" ca="1" si="2"/>
        <v>8.5157575757575751E-2</v>
      </c>
      <c r="L34">
        <f t="shared" ca="1" si="3"/>
        <v>7.7997520661157024E-3</v>
      </c>
      <c r="M34">
        <f t="shared" ca="1" si="4"/>
        <v>0.50250303030303023</v>
      </c>
      <c r="O34">
        <f t="shared" ca="1" si="5"/>
        <v>0.10581476774361387</v>
      </c>
      <c r="P34">
        <f t="shared" ca="1" si="6"/>
        <v>-0.26306969696969695</v>
      </c>
      <c r="R34">
        <f t="shared" ca="1" si="7"/>
        <v>1.9287503060528344E-2</v>
      </c>
      <c r="S34">
        <f t="shared" ca="1" si="8"/>
        <v>0.69680606060606065</v>
      </c>
      <c r="U34" s="4">
        <f ca="1">1 - SUMXMY2(B4:B1000, C4:C1000) / DEVSQ(_xlfn.ANCHORARRAY(B4))</f>
        <v>-24.819632982022274</v>
      </c>
      <c r="W34">
        <f ca="1">G9</f>
        <v>8.3999999999999995E-3</v>
      </c>
      <c r="X34">
        <f ca="1">G10</f>
        <v>8.1099999999999992E-3</v>
      </c>
      <c r="Y34">
        <f ca="1">G6</f>
        <v>0.26169999999999999</v>
      </c>
      <c r="Z34">
        <f ca="1">G5</f>
        <v>7.45E-3</v>
      </c>
      <c r="AA34">
        <f ca="1">G13</f>
        <v>0.60719999999999996</v>
      </c>
      <c r="AB34">
        <f ca="1">G14</f>
        <v>8.1700000000000002E-3</v>
      </c>
      <c r="AC34">
        <f ca="1">G32</f>
        <v>0.36171662560314671</v>
      </c>
    </row>
    <row r="35" spans="1:29" x14ac:dyDescent="0.35">
      <c r="A35">
        <f ca="1"/>
        <v>-3.45</v>
      </c>
      <c r="B35">
        <f ca="1"/>
        <v>3.3020000000000001E-2</v>
      </c>
      <c r="C35">
        <f t="shared" ca="1" si="0"/>
        <v>0.15951787061029121</v>
      </c>
      <c r="D35">
        <f ca="1"/>
        <v>-0.33150000000000002</v>
      </c>
      <c r="I35">
        <f t="shared" ca="1" si="1"/>
        <v>7.7613804713804711E-3</v>
      </c>
      <c r="J35">
        <f t="shared" ca="1" si="2"/>
        <v>8.7716161616161609E-2</v>
      </c>
      <c r="L35">
        <f t="shared" ca="1" si="3"/>
        <v>7.7896877869605141E-3</v>
      </c>
      <c r="M35">
        <f t="shared" ca="1" si="4"/>
        <v>0.4990131313131313</v>
      </c>
      <c r="O35">
        <f t="shared" ca="1" si="5"/>
        <v>0.10308303666484911</v>
      </c>
      <c r="P35">
        <f t="shared" ca="1" si="6"/>
        <v>-0.25913535353535355</v>
      </c>
      <c r="R35">
        <f t="shared" ca="1" si="7"/>
        <v>2.0003790147292387E-2</v>
      </c>
      <c r="S35">
        <f t="shared" ca="1" si="8"/>
        <v>0.69979292929292924</v>
      </c>
    </row>
    <row r="36" spans="1:29" x14ac:dyDescent="0.35">
      <c r="A36">
        <f ca="1"/>
        <v>-3.4</v>
      </c>
      <c r="B36">
        <f ca="1"/>
        <v>3.2199999999999999E-2</v>
      </c>
      <c r="C36">
        <f t="shared" ca="1" si="0"/>
        <v>0.15683188094011791</v>
      </c>
      <c r="D36">
        <f ca="1"/>
        <v>-0.32840000000000003</v>
      </c>
      <c r="I36">
        <f t="shared" ca="1" si="1"/>
        <v>7.752289562289562E-3</v>
      </c>
      <c r="J36">
        <f t="shared" ca="1" si="2"/>
        <v>9.0274747474747466E-2</v>
      </c>
      <c r="L36">
        <f t="shared" ca="1" si="3"/>
        <v>7.7797704315886139E-3</v>
      </c>
      <c r="M36">
        <f t="shared" ca="1" si="4"/>
        <v>0.49552323232323231</v>
      </c>
      <c r="O36">
        <f t="shared" ca="1" si="5"/>
        <v>0.10039000323173278</v>
      </c>
      <c r="P36">
        <f t="shared" ca="1" si="6"/>
        <v>-0.2552010101010101</v>
      </c>
      <c r="R36">
        <f t="shared" ca="1" si="7"/>
        <v>2.0742380695437945E-2</v>
      </c>
      <c r="S36">
        <f t="shared" ca="1" si="8"/>
        <v>0.70277979797979795</v>
      </c>
    </row>
    <row r="37" spans="1:29" x14ac:dyDescent="0.35">
      <c r="A37">
        <f ca="1"/>
        <v>-3.35</v>
      </c>
      <c r="B37">
        <f ca="1"/>
        <v>3.1379999999999998E-2</v>
      </c>
      <c r="C37">
        <f t="shared" ca="1" si="0"/>
        <v>0.15408444644187452</v>
      </c>
      <c r="D37">
        <f ca="1"/>
        <v>-0.32519999999999999</v>
      </c>
      <c r="I37">
        <f t="shared" ca="1" si="1"/>
        <v>7.743333333333333E-3</v>
      </c>
      <c r="J37">
        <f t="shared" ca="1" si="2"/>
        <v>9.2833333333333323E-2</v>
      </c>
      <c r="L37">
        <f t="shared" ca="1" si="3"/>
        <v>7.77E-3</v>
      </c>
      <c r="M37">
        <f t="shared" ca="1" si="4"/>
        <v>0.49203333333333332</v>
      </c>
      <c r="O37">
        <f t="shared" ca="1" si="5"/>
        <v>9.773566744426479E-2</v>
      </c>
      <c r="P37">
        <f t="shared" ca="1" si="6"/>
        <v>-0.25126666666666664</v>
      </c>
      <c r="R37">
        <f t="shared" ca="1" si="7"/>
        <v>2.1503274704964999E-2</v>
      </c>
      <c r="S37">
        <f t="shared" ca="1" si="8"/>
        <v>0.70576666666666665</v>
      </c>
    </row>
    <row r="38" spans="1:29" x14ac:dyDescent="0.35">
      <c r="A38">
        <f ca="1"/>
        <v>-3.3</v>
      </c>
      <c r="B38">
        <f ca="1"/>
        <v>3.057E-2</v>
      </c>
      <c r="C38">
        <f t="shared" ca="1" si="0"/>
        <v>0.15127796711556102</v>
      </c>
      <c r="D38">
        <f ca="1"/>
        <v>-0.32190000000000002</v>
      </c>
      <c r="I38">
        <f t="shared" ca="1" si="1"/>
        <v>7.734511784511784E-3</v>
      </c>
      <c r="J38">
        <f t="shared" ca="1" si="2"/>
        <v>9.5391919191919194E-2</v>
      </c>
      <c r="L38">
        <f t="shared" ca="1" si="3"/>
        <v>7.7603764921946742E-3</v>
      </c>
      <c r="M38">
        <f t="shared" ca="1" si="4"/>
        <v>0.48854343434343428</v>
      </c>
      <c r="O38">
        <f t="shared" ca="1" si="5"/>
        <v>9.5120029302445272E-2</v>
      </c>
      <c r="P38">
        <f t="shared" ca="1" si="6"/>
        <v>-0.24733232323232324</v>
      </c>
      <c r="R38">
        <f t="shared" ca="1" si="7"/>
        <v>2.2286472175873547E-2</v>
      </c>
      <c r="S38">
        <f t="shared" ca="1" si="8"/>
        <v>0.70875353535353536</v>
      </c>
    </row>
    <row r="39" spans="1:29" x14ac:dyDescent="0.35">
      <c r="A39">
        <f ca="1"/>
        <v>-3.25</v>
      </c>
      <c r="B39">
        <f ca="1"/>
        <v>2.9770000000000001E-2</v>
      </c>
      <c r="C39">
        <f t="shared" ca="1" si="0"/>
        <v>0.14816368347696704</v>
      </c>
      <c r="D39">
        <f ca="1"/>
        <v>-0.31819999999999998</v>
      </c>
      <c r="I39">
        <f t="shared" ca="1" si="1"/>
        <v>7.7258249158249151E-3</v>
      </c>
      <c r="J39">
        <f t="shared" ca="1" si="2"/>
        <v>9.7950505050505052E-2</v>
      </c>
      <c r="L39">
        <f t="shared" ca="1" si="3"/>
        <v>7.7508999081726355E-3</v>
      </c>
      <c r="M39">
        <f t="shared" ca="1" si="4"/>
        <v>0.48505353535353535</v>
      </c>
      <c r="O39">
        <f t="shared" ca="1" si="5"/>
        <v>9.254308880627414E-2</v>
      </c>
      <c r="P39">
        <f t="shared" ca="1" si="6"/>
        <v>-0.24339797979797978</v>
      </c>
      <c r="R39">
        <f t="shared" ca="1" si="7"/>
        <v>2.3091973108163581E-2</v>
      </c>
      <c r="S39">
        <f t="shared" ca="1" si="8"/>
        <v>0.71174040404040406</v>
      </c>
    </row>
    <row r="40" spans="1:29" x14ac:dyDescent="0.35">
      <c r="A40">
        <f ca="1"/>
        <v>-3.2</v>
      </c>
      <c r="B40">
        <f ca="1"/>
        <v>2.8969999999999999E-2</v>
      </c>
      <c r="C40">
        <f t="shared" ca="1" si="0"/>
        <v>0.14500085501030302</v>
      </c>
      <c r="D40">
        <f ca="1"/>
        <v>-0.31440000000000001</v>
      </c>
      <c r="I40">
        <f t="shared" ca="1" si="1"/>
        <v>7.7172727272727271E-3</v>
      </c>
      <c r="J40">
        <f t="shared" ca="1" si="2"/>
        <v>0.1005090909090909</v>
      </c>
      <c r="L40">
        <f t="shared" ca="1" si="3"/>
        <v>7.7415702479338841E-3</v>
      </c>
      <c r="M40">
        <f t="shared" ca="1" si="4"/>
        <v>0.4815636363636363</v>
      </c>
      <c r="O40">
        <f t="shared" ca="1" si="5"/>
        <v>9.0004845955751395E-2</v>
      </c>
      <c r="P40">
        <f t="shared" ca="1" si="6"/>
        <v>-0.23946363636363635</v>
      </c>
      <c r="R40">
        <f t="shared" ca="1" si="7"/>
        <v>2.391977750183508E-2</v>
      </c>
      <c r="S40">
        <f t="shared" ca="1" si="8"/>
        <v>0.71472727272727266</v>
      </c>
    </row>
    <row r="41" spans="1:29" x14ac:dyDescent="0.35">
      <c r="A41">
        <f ca="1"/>
        <v>-3.15</v>
      </c>
      <c r="B41">
        <f ca="1"/>
        <v>2.8170000000000001E-2</v>
      </c>
      <c r="C41">
        <f t="shared" ca="1" si="0"/>
        <v>0.14171056188749875</v>
      </c>
      <c r="D41">
        <f ca="1"/>
        <v>-0.31040000000000001</v>
      </c>
      <c r="I41">
        <f t="shared" ca="1" si="1"/>
        <v>7.7088552188552184E-3</v>
      </c>
      <c r="J41">
        <f t="shared" ca="1" si="2"/>
        <v>0.10306767676767677</v>
      </c>
      <c r="L41">
        <f t="shared" ca="1" si="3"/>
        <v>7.7323875114784207E-3</v>
      </c>
      <c r="M41">
        <f t="shared" ca="1" si="4"/>
        <v>0.47807373737373737</v>
      </c>
      <c r="O41">
        <f t="shared" ca="1" si="5"/>
        <v>8.7505300750877063E-2</v>
      </c>
      <c r="P41">
        <f t="shared" ca="1" si="6"/>
        <v>-0.23552929292929292</v>
      </c>
      <c r="R41">
        <f t="shared" ca="1" si="7"/>
        <v>2.4769885356888097E-2</v>
      </c>
      <c r="S41">
        <f t="shared" ca="1" si="8"/>
        <v>0.71771414141414136</v>
      </c>
    </row>
    <row r="42" spans="1:29" x14ac:dyDescent="0.35">
      <c r="A42">
        <f ca="1"/>
        <v>-3.1</v>
      </c>
      <c r="B42">
        <f ca="1"/>
        <v>2.7380000000000002E-2</v>
      </c>
      <c r="C42">
        <f t="shared" ca="1" si="0"/>
        <v>0.1382181092804842</v>
      </c>
      <c r="D42">
        <f ca="1"/>
        <v>-0.30609999999999998</v>
      </c>
      <c r="I42">
        <f t="shared" ca="1" si="1"/>
        <v>7.7005723905723905E-3</v>
      </c>
      <c r="J42">
        <f t="shared" ca="1" si="2"/>
        <v>0.10562626262626262</v>
      </c>
      <c r="L42">
        <f t="shared" ca="1" si="3"/>
        <v>7.7233516988062445E-3</v>
      </c>
      <c r="M42">
        <f t="shared" ca="1" si="4"/>
        <v>0.47458383838383833</v>
      </c>
      <c r="O42">
        <f t="shared" ca="1" si="5"/>
        <v>8.5044453191651131E-2</v>
      </c>
      <c r="P42">
        <f t="shared" ca="1" si="6"/>
        <v>-0.23159494949494949</v>
      </c>
      <c r="R42">
        <f t="shared" ca="1" si="7"/>
        <v>2.5642296673322611E-2</v>
      </c>
      <c r="S42">
        <f t="shared" ca="1" si="8"/>
        <v>0.72070101010101006</v>
      </c>
    </row>
    <row r="43" spans="1:29" x14ac:dyDescent="0.35">
      <c r="A43">
        <f ca="1"/>
        <v>-3.05</v>
      </c>
      <c r="B43">
        <f ca="1"/>
        <v>2.6589999999999999E-2</v>
      </c>
      <c r="C43">
        <f t="shared" ca="1" si="0"/>
        <v>0.13453317218925931</v>
      </c>
      <c r="D43">
        <f ca="1"/>
        <v>-0.30149999999999999</v>
      </c>
      <c r="I43">
        <f t="shared" ca="1" si="1"/>
        <v>7.6924242424242419E-3</v>
      </c>
      <c r="J43">
        <f t="shared" ca="1" si="2"/>
        <v>0.10818484848484848</v>
      </c>
      <c r="L43">
        <f t="shared" ca="1" si="3"/>
        <v>7.7144628099173555E-3</v>
      </c>
      <c r="M43">
        <f t="shared" ca="1" si="4"/>
        <v>0.4710939393939394</v>
      </c>
      <c r="O43">
        <f t="shared" ca="1" si="5"/>
        <v>8.26223032780736E-2</v>
      </c>
      <c r="P43">
        <f t="shared" ca="1" si="6"/>
        <v>-0.22766060606060606</v>
      </c>
      <c r="R43">
        <f t="shared" ca="1" si="7"/>
        <v>2.6537011451138615E-2</v>
      </c>
      <c r="S43">
        <f t="shared" ca="1" si="8"/>
        <v>0.72368787878787877</v>
      </c>
    </row>
    <row r="44" spans="1:29" x14ac:dyDescent="0.35">
      <c r="A44">
        <f ca="1"/>
        <v>-3</v>
      </c>
      <c r="B44">
        <f ca="1"/>
        <v>2.58E-2</v>
      </c>
      <c r="C44">
        <f t="shared" ca="1" si="0"/>
        <v>0.13074442044189422</v>
      </c>
      <c r="D44">
        <f ca="1"/>
        <v>-0.29670000000000002</v>
      </c>
      <c r="I44">
        <f t="shared" ca="1" si="1"/>
        <v>7.6844107744107742E-3</v>
      </c>
      <c r="J44">
        <f t="shared" ca="1" si="2"/>
        <v>0.11074343434343432</v>
      </c>
      <c r="L44">
        <f t="shared" ca="1" si="3"/>
        <v>7.7057208448117536E-3</v>
      </c>
      <c r="M44">
        <f t="shared" ca="1" si="4"/>
        <v>0.46760404040404036</v>
      </c>
      <c r="O44">
        <f t="shared" ca="1" si="5"/>
        <v>8.0238851010144469E-2</v>
      </c>
      <c r="P44">
        <f t="shared" ca="1" si="6"/>
        <v>-0.22372626262626261</v>
      </c>
      <c r="R44">
        <f t="shared" ca="1" si="7"/>
        <v>2.7454029690336109E-2</v>
      </c>
      <c r="S44">
        <f t="shared" ca="1" si="8"/>
        <v>0.72667474747474747</v>
      </c>
    </row>
    <row r="45" spans="1:29" x14ac:dyDescent="0.35">
      <c r="A45">
        <f ca="1"/>
        <v>-2.95</v>
      </c>
      <c r="B45">
        <f ca="1"/>
        <v>2.5020000000000001E-2</v>
      </c>
      <c r="C45">
        <f t="shared" ca="1" si="0"/>
        <v>0.1268590540383889</v>
      </c>
      <c r="D45">
        <f ca="1"/>
        <v>-0.29170000000000001</v>
      </c>
      <c r="I45">
        <f t="shared" ca="1" si="1"/>
        <v>7.6765319865319866E-3</v>
      </c>
      <c r="J45">
        <f t="shared" ca="1" si="2"/>
        <v>0.1133020202020202</v>
      </c>
      <c r="L45">
        <f t="shared" ca="1" si="3"/>
        <v>7.6971258034894399E-3</v>
      </c>
      <c r="M45">
        <f t="shared" ca="1" si="4"/>
        <v>0.46411414141414137</v>
      </c>
      <c r="O45">
        <f t="shared" ca="1" si="5"/>
        <v>7.7894096387863779E-2</v>
      </c>
      <c r="P45">
        <f t="shared" ca="1" si="6"/>
        <v>-0.21979191919191918</v>
      </c>
      <c r="R45">
        <f t="shared" ca="1" si="7"/>
        <v>2.83933513909151E-2</v>
      </c>
      <c r="S45">
        <f t="shared" ca="1" si="8"/>
        <v>0.72966161616161618</v>
      </c>
    </row>
    <row r="46" spans="1:29" x14ac:dyDescent="0.35">
      <c r="A46">
        <f ca="1"/>
        <v>-2.9</v>
      </c>
      <c r="B46">
        <f ca="1"/>
        <v>2.4240000000000001E-2</v>
      </c>
      <c r="C46">
        <f t="shared" ca="1" si="0"/>
        <v>0.12273305832260314</v>
      </c>
      <c r="D46">
        <f ca="1"/>
        <v>-0.2863</v>
      </c>
      <c r="I46">
        <f t="shared" ca="1" si="1"/>
        <v>7.6687878787878782E-3</v>
      </c>
      <c r="J46">
        <f t="shared" ca="1" si="2"/>
        <v>0.11586060606060605</v>
      </c>
      <c r="L46">
        <f t="shared" ca="1" si="3"/>
        <v>7.6886776859504133E-3</v>
      </c>
      <c r="M46">
        <f t="shared" ca="1" si="4"/>
        <v>0.46062424242424238</v>
      </c>
      <c r="O46">
        <f t="shared" ca="1" si="5"/>
        <v>7.558803941123142E-2</v>
      </c>
      <c r="P46">
        <f t="shared" ca="1" si="6"/>
        <v>-0.21585757575757572</v>
      </c>
      <c r="R46">
        <f t="shared" ca="1" si="7"/>
        <v>2.935497655287558E-2</v>
      </c>
      <c r="S46">
        <f t="shared" ca="1" si="8"/>
        <v>0.73264848484848488</v>
      </c>
    </row>
    <row r="47" spans="1:29" x14ac:dyDescent="0.35">
      <c r="A47">
        <f ca="1"/>
        <v>-2.85</v>
      </c>
      <c r="B47">
        <f ca="1"/>
        <v>2.3480000000000001E-2</v>
      </c>
      <c r="C47">
        <f t="shared" ca="1" si="0"/>
        <v>0.1185312479506772</v>
      </c>
      <c r="D47">
        <f ca="1"/>
        <v>-0.28070000000000001</v>
      </c>
      <c r="I47">
        <f t="shared" ca="1" si="1"/>
        <v>7.6611784511784508E-3</v>
      </c>
      <c r="J47">
        <f t="shared" ca="1" si="2"/>
        <v>0.1184191919191919</v>
      </c>
      <c r="L47">
        <f t="shared" ca="1" si="3"/>
        <v>7.6803764921946739E-3</v>
      </c>
      <c r="M47">
        <f t="shared" ca="1" si="4"/>
        <v>0.45713434343434345</v>
      </c>
      <c r="O47">
        <f t="shared" ca="1" si="5"/>
        <v>7.3320680080247516E-2</v>
      </c>
      <c r="P47">
        <f t="shared" ca="1" si="6"/>
        <v>-0.21192323232323232</v>
      </c>
      <c r="R47">
        <f t="shared" ca="1" si="7"/>
        <v>3.0338905176217516E-2</v>
      </c>
      <c r="S47">
        <f t="shared" ca="1" si="8"/>
        <v>0.73563535353535348</v>
      </c>
    </row>
    <row r="48" spans="1:29" x14ac:dyDescent="0.35">
      <c r="A48">
        <f ca="1"/>
        <v>-2.8</v>
      </c>
      <c r="B48">
        <f ca="1"/>
        <v>2.2710000000000001E-2</v>
      </c>
      <c r="C48">
        <f t="shared" ca="1" si="0"/>
        <v>0.1141891530945409</v>
      </c>
      <c r="D48">
        <f ca="1"/>
        <v>-0.27479999999999999</v>
      </c>
      <c r="I48">
        <f t="shared" ca="1" si="1"/>
        <v>7.6537037037037034E-3</v>
      </c>
      <c r="J48">
        <f t="shared" ca="1" si="2"/>
        <v>0.12097777777777777</v>
      </c>
      <c r="L48">
        <f t="shared" ca="1" si="3"/>
        <v>7.6722222222222226E-3</v>
      </c>
      <c r="M48">
        <f t="shared" ca="1" si="4"/>
        <v>0.45364444444444441</v>
      </c>
      <c r="O48">
        <f t="shared" ca="1" si="5"/>
        <v>7.1092018394912027E-2</v>
      </c>
      <c r="P48">
        <f t="shared" ca="1" si="6"/>
        <v>-0.20798888888888886</v>
      </c>
      <c r="R48">
        <f t="shared" ca="1" si="7"/>
        <v>3.1345137260940979E-2</v>
      </c>
      <c r="S48">
        <f t="shared" ca="1" si="8"/>
        <v>0.73862222222222218</v>
      </c>
    </row>
    <row r="49" spans="1:19" x14ac:dyDescent="0.35">
      <c r="A49">
        <f ca="1"/>
        <v>-2.75</v>
      </c>
      <c r="B49">
        <f ca="1"/>
        <v>2.196E-2</v>
      </c>
      <c r="C49">
        <f t="shared" ca="1" si="0"/>
        <v>0.10964875392612425</v>
      </c>
      <c r="D49">
        <f ca="1"/>
        <v>-0.26850000000000002</v>
      </c>
      <c r="I49">
        <f t="shared" ca="1" si="1"/>
        <v>7.646363636363636E-3</v>
      </c>
      <c r="J49">
        <f t="shared" ca="1" si="2"/>
        <v>0.12353636363636362</v>
      </c>
      <c r="L49">
        <f t="shared" ca="1" si="3"/>
        <v>7.6642148760330576E-3</v>
      </c>
      <c r="M49">
        <f t="shared" ca="1" si="4"/>
        <v>0.45015454545454542</v>
      </c>
      <c r="O49">
        <f t="shared" ca="1" si="5"/>
        <v>6.8902054355224923E-2</v>
      </c>
      <c r="P49">
        <f t="shared" ca="1" si="6"/>
        <v>-0.20405454545454546</v>
      </c>
      <c r="R49">
        <f t="shared" ca="1" si="7"/>
        <v>3.2373672807045929E-2</v>
      </c>
      <c r="S49">
        <f t="shared" ca="1" si="8"/>
        <v>0.74160909090909088</v>
      </c>
    </row>
    <row r="50" spans="1:19" x14ac:dyDescent="0.35">
      <c r="A50">
        <f ca="1"/>
        <v>-2.7</v>
      </c>
      <c r="B50">
        <f ca="1"/>
        <v>2.1229999999999999E-2</v>
      </c>
      <c r="C50">
        <f t="shared" ca="1" si="0"/>
        <v>0.10506821510156734</v>
      </c>
      <c r="D50">
        <f ca="1"/>
        <v>-0.26200000000000001</v>
      </c>
      <c r="I50">
        <f t="shared" ca="1" si="1"/>
        <v>7.6391582491582488E-3</v>
      </c>
      <c r="J50">
        <f t="shared" ca="1" si="2"/>
        <v>0.12609494949494948</v>
      </c>
      <c r="L50">
        <f t="shared" ca="1" si="3"/>
        <v>7.6563544536271807E-3</v>
      </c>
      <c r="M50">
        <f t="shared" ca="1" si="4"/>
        <v>0.44666464646464643</v>
      </c>
      <c r="O50">
        <f t="shared" ca="1" si="5"/>
        <v>6.6750787961186206E-2</v>
      </c>
      <c r="P50">
        <f t="shared" ca="1" si="6"/>
        <v>-0.200120202020202</v>
      </c>
      <c r="R50">
        <f t="shared" ca="1" si="7"/>
        <v>3.3424511814532376E-2</v>
      </c>
      <c r="S50">
        <f t="shared" ca="1" si="8"/>
        <v>0.74459595959595959</v>
      </c>
    </row>
    <row r="51" spans="1:19" x14ac:dyDescent="0.35">
      <c r="A51">
        <f ca="1"/>
        <v>-2.65</v>
      </c>
      <c r="B51">
        <f ca="1"/>
        <v>2.0500000000000001E-2</v>
      </c>
      <c r="C51">
        <f t="shared" ca="1" si="0"/>
        <v>0.10032137196473001</v>
      </c>
      <c r="D51">
        <f ca="1"/>
        <v>-0.25509999999999999</v>
      </c>
      <c r="I51">
        <f t="shared" ca="1" si="1"/>
        <v>7.6320875420875416E-3</v>
      </c>
      <c r="J51">
        <f t="shared" ca="1" si="2"/>
        <v>0.12865353535353535</v>
      </c>
      <c r="L51">
        <f t="shared" ca="1" si="3"/>
        <v>7.648640955004591E-3</v>
      </c>
      <c r="M51">
        <f t="shared" ca="1" si="4"/>
        <v>0.44317474747474744</v>
      </c>
      <c r="O51">
        <f t="shared" ca="1" si="5"/>
        <v>6.4638219212795903E-2</v>
      </c>
      <c r="P51">
        <f t="shared" ca="1" si="6"/>
        <v>-0.19618585858585857</v>
      </c>
      <c r="R51">
        <f t="shared" ca="1" si="7"/>
        <v>3.449765428340032E-2</v>
      </c>
      <c r="S51">
        <f t="shared" ca="1" si="8"/>
        <v>0.74758282828282829</v>
      </c>
    </row>
    <row r="52" spans="1:19" x14ac:dyDescent="0.35">
      <c r="A52">
        <f ca="1"/>
        <v>-2.6</v>
      </c>
      <c r="B52">
        <f ca="1"/>
        <v>1.9789999999999999E-2</v>
      </c>
      <c r="C52">
        <f t="shared" ca="1" si="0"/>
        <v>9.5495044343682348E-2</v>
      </c>
      <c r="D52">
        <f ca="1"/>
        <v>-0.24790000000000001</v>
      </c>
      <c r="I52">
        <f t="shared" ca="1" si="1"/>
        <v>7.6251515151515153E-3</v>
      </c>
      <c r="J52">
        <f t="shared" ca="1" si="2"/>
        <v>0.1312121212121212</v>
      </c>
      <c r="L52">
        <f t="shared" ca="1" si="3"/>
        <v>7.6410743801652893E-3</v>
      </c>
      <c r="M52">
        <f t="shared" ca="1" si="4"/>
        <v>0.43968484848484846</v>
      </c>
      <c r="O52">
        <f t="shared" ca="1" si="5"/>
        <v>6.2564348110053999E-2</v>
      </c>
      <c r="P52">
        <f t="shared" ca="1" si="6"/>
        <v>-0.19225151515151512</v>
      </c>
      <c r="R52">
        <f t="shared" ca="1" si="7"/>
        <v>3.5593100213649746E-2</v>
      </c>
      <c r="S52">
        <f t="shared" ca="1" si="8"/>
        <v>0.750569696969697</v>
      </c>
    </row>
    <row r="53" spans="1:19" x14ac:dyDescent="0.35">
      <c r="A53">
        <f ca="1"/>
        <v>-2.5499999999999998</v>
      </c>
      <c r="B53">
        <f ca="1"/>
        <v>1.9099999999999999E-2</v>
      </c>
      <c r="C53">
        <f t="shared" ca="1" si="0"/>
        <v>9.0605432238424377E-2</v>
      </c>
      <c r="D53">
        <f ca="1"/>
        <v>-0.2404</v>
      </c>
      <c r="I53">
        <f t="shared" ca="1" si="1"/>
        <v>7.6183501683501683E-3</v>
      </c>
      <c r="J53">
        <f t="shared" ca="1" si="2"/>
        <v>0.13377070707070704</v>
      </c>
      <c r="L53">
        <f t="shared" ca="1" si="3"/>
        <v>7.6336547291092748E-3</v>
      </c>
      <c r="M53">
        <f t="shared" ca="1" si="4"/>
        <v>0.43619494949494952</v>
      </c>
      <c r="O53">
        <f t="shared" ca="1" si="5"/>
        <v>6.0529174652960531E-2</v>
      </c>
      <c r="P53">
        <f t="shared" ca="1" si="6"/>
        <v>-0.18831717171717172</v>
      </c>
      <c r="R53">
        <f t="shared" ca="1" si="7"/>
        <v>3.671084960528067E-2</v>
      </c>
      <c r="S53">
        <f t="shared" ca="1" si="8"/>
        <v>0.7535565656565657</v>
      </c>
    </row>
    <row r="54" spans="1:19" x14ac:dyDescent="0.35">
      <c r="A54">
        <f ca="1"/>
        <v>-2.5</v>
      </c>
      <c r="B54">
        <f ca="1"/>
        <v>1.8419999999999999E-2</v>
      </c>
      <c r="C54">
        <f t="shared" ca="1" si="0"/>
        <v>8.5669410648956099E-2</v>
      </c>
      <c r="D54">
        <f ca="1"/>
        <v>-0.2326</v>
      </c>
      <c r="I54">
        <f t="shared" ca="1" si="1"/>
        <v>7.6116835016835013E-3</v>
      </c>
      <c r="J54">
        <f t="shared" ca="1" si="2"/>
        <v>0.13632929292929291</v>
      </c>
      <c r="L54">
        <f t="shared" ca="1" si="3"/>
        <v>7.6263820018365475E-3</v>
      </c>
      <c r="M54">
        <f t="shared" ca="1" si="4"/>
        <v>0.43270505050505048</v>
      </c>
      <c r="O54">
        <f t="shared" ca="1" si="5"/>
        <v>5.8532698841515421E-2</v>
      </c>
      <c r="P54">
        <f t="shared" ca="1" si="6"/>
        <v>-0.18438282828282826</v>
      </c>
      <c r="R54">
        <f t="shared" ca="1" si="7"/>
        <v>3.7850902458293041E-2</v>
      </c>
      <c r="S54">
        <f t="shared" ca="1" si="8"/>
        <v>0.7565434343434343</v>
      </c>
    </row>
    <row r="55" spans="1:19" x14ac:dyDescent="0.35">
      <c r="A55">
        <f ca="1"/>
        <v>-2.4500000000000002</v>
      </c>
      <c r="B55">
        <f ca="1"/>
        <v>1.7760000000000001E-2</v>
      </c>
      <c r="C55">
        <f t="shared" ca="1" si="0"/>
        <v>8.0704529575277462E-2</v>
      </c>
      <c r="D55">
        <f ca="1"/>
        <v>-0.22450000000000001</v>
      </c>
      <c r="I55">
        <f t="shared" ca="1" si="1"/>
        <v>7.6051515151515153E-3</v>
      </c>
      <c r="J55">
        <f t="shared" ca="1" si="2"/>
        <v>0.13888787878787875</v>
      </c>
      <c r="L55">
        <f t="shared" ca="1" si="3"/>
        <v>7.6192561983471074E-3</v>
      </c>
      <c r="M55">
        <f t="shared" ca="1" si="4"/>
        <v>0.42921515151515144</v>
      </c>
      <c r="O55">
        <f t="shared" ca="1" si="5"/>
        <v>5.6574920675718753E-2</v>
      </c>
      <c r="P55">
        <f t="shared" ca="1" si="6"/>
        <v>-0.18044848484848486</v>
      </c>
      <c r="R55">
        <f t="shared" ca="1" si="7"/>
        <v>3.9013258772686944E-2</v>
      </c>
      <c r="S55">
        <f t="shared" ca="1" si="8"/>
        <v>0.759530303030303</v>
      </c>
    </row>
    <row r="56" spans="1:19" x14ac:dyDescent="0.35">
      <c r="A56">
        <f ca="1"/>
        <v>-2.4</v>
      </c>
      <c r="B56">
        <f ca="1"/>
        <v>1.712E-2</v>
      </c>
      <c r="C56">
        <f t="shared" ca="1" si="0"/>
        <v>7.5787208845458642E-2</v>
      </c>
      <c r="D56">
        <f ca="1"/>
        <v>-0.2162</v>
      </c>
      <c r="I56">
        <f t="shared" ca="1" si="1"/>
        <v>7.5987542087542085E-3</v>
      </c>
      <c r="J56">
        <f t="shared" ca="1" si="2"/>
        <v>0.14144646464646463</v>
      </c>
      <c r="L56">
        <f t="shared" ca="1" si="3"/>
        <v>7.6122773186409554E-3</v>
      </c>
      <c r="M56">
        <f t="shared" ca="1" si="4"/>
        <v>0.42572525252525251</v>
      </c>
      <c r="O56">
        <f t="shared" ca="1" si="5"/>
        <v>5.4655840155570463E-2</v>
      </c>
      <c r="P56">
        <f t="shared" ca="1" si="6"/>
        <v>-0.1765141414141414</v>
      </c>
      <c r="R56">
        <f t="shared" ca="1" si="7"/>
        <v>4.0197918548462337E-2</v>
      </c>
      <c r="S56">
        <f t="shared" ca="1" si="8"/>
        <v>0.7625171717171717</v>
      </c>
    </row>
    <row r="57" spans="1:19" x14ac:dyDescent="0.35">
      <c r="A57">
        <f ca="1"/>
        <v>-2.35</v>
      </c>
      <c r="B57">
        <f ca="1"/>
        <v>1.6490000000000001E-2</v>
      </c>
      <c r="C57">
        <f t="shared" ca="1" si="0"/>
        <v>7.0817783803359402E-2</v>
      </c>
      <c r="D57">
        <f ca="1"/>
        <v>-0.20749999999999999</v>
      </c>
      <c r="I57">
        <f t="shared" ca="1" si="1"/>
        <v>7.5924915824915826E-3</v>
      </c>
      <c r="J57">
        <f t="shared" ca="1" si="2"/>
        <v>0.1440050505050505</v>
      </c>
      <c r="L57">
        <f t="shared" ca="1" si="3"/>
        <v>7.6054453627180897E-3</v>
      </c>
      <c r="M57">
        <f t="shared" ca="1" si="4"/>
        <v>0.42223535353535352</v>
      </c>
      <c r="O57">
        <f t="shared" ca="1" si="5"/>
        <v>5.2775457281070595E-2</v>
      </c>
      <c r="P57">
        <f t="shared" ca="1" si="6"/>
        <v>-0.17257979797979797</v>
      </c>
      <c r="R57">
        <f t="shared" ca="1" si="7"/>
        <v>4.1404881785619241E-2</v>
      </c>
      <c r="S57">
        <f t="shared" ca="1" si="8"/>
        <v>0.76550404040404041</v>
      </c>
    </row>
    <row r="58" spans="1:19" x14ac:dyDescent="0.35">
      <c r="A58">
        <f ca="1"/>
        <v>-2.2999999999999998</v>
      </c>
      <c r="B58">
        <f ca="1"/>
        <v>1.5890000000000001E-2</v>
      </c>
      <c r="C58">
        <f t="shared" ca="1" si="0"/>
        <v>6.5929919105119944E-2</v>
      </c>
      <c r="D58">
        <f ca="1"/>
        <v>-0.1986</v>
      </c>
      <c r="I58">
        <f t="shared" ca="1" si="1"/>
        <v>7.5863636363636359E-3</v>
      </c>
      <c r="J58">
        <f t="shared" ca="1" si="2"/>
        <v>0.14656363636363634</v>
      </c>
      <c r="L58">
        <f t="shared" ca="1" si="3"/>
        <v>7.5987603305785129E-3</v>
      </c>
      <c r="M58">
        <f t="shared" ca="1" si="4"/>
        <v>0.41874545454545453</v>
      </c>
      <c r="O58">
        <f t="shared" ca="1" si="5"/>
        <v>5.0933772052219099E-2</v>
      </c>
      <c r="P58">
        <f t="shared" ca="1" si="6"/>
        <v>-0.16864545454545452</v>
      </c>
      <c r="R58">
        <f t="shared" ca="1" si="7"/>
        <v>4.2634148484157627E-2</v>
      </c>
      <c r="S58">
        <f t="shared" ca="1" si="8"/>
        <v>0.76849090909090911</v>
      </c>
    </row>
    <row r="59" spans="1:19" x14ac:dyDescent="0.35">
      <c r="A59">
        <f ca="1"/>
        <v>-2.25</v>
      </c>
      <c r="B59">
        <f ca="1"/>
        <v>1.5299999999999999E-2</v>
      </c>
      <c r="C59">
        <f t="shared" ca="1" si="0"/>
        <v>6.1085444922670179E-2</v>
      </c>
      <c r="D59">
        <f ca="1"/>
        <v>-0.18940000000000001</v>
      </c>
      <c r="I59">
        <f t="shared" ca="1" si="1"/>
        <v>7.5803703703703701E-3</v>
      </c>
      <c r="J59">
        <f t="shared" ca="1" si="2"/>
        <v>0.14912222222222218</v>
      </c>
      <c r="L59">
        <f t="shared" ca="1" si="3"/>
        <v>7.5922222222222224E-3</v>
      </c>
      <c r="M59">
        <f t="shared" ca="1" si="4"/>
        <v>0.41525555555555554</v>
      </c>
      <c r="O59">
        <f t="shared" ca="1" si="5"/>
        <v>4.9130784469016038E-2</v>
      </c>
      <c r="P59">
        <f t="shared" ca="1" si="6"/>
        <v>-0.16471111111111111</v>
      </c>
      <c r="R59">
        <f t="shared" ca="1" si="7"/>
        <v>4.388571864407749E-2</v>
      </c>
      <c r="S59">
        <f t="shared" ca="1" si="8"/>
        <v>0.77147777777777782</v>
      </c>
    </row>
    <row r="60" spans="1:19" x14ac:dyDescent="0.35">
      <c r="A60">
        <f ca="1"/>
        <v>-2.2000000000000002</v>
      </c>
      <c r="B60">
        <f ca="1"/>
        <v>1.473E-2</v>
      </c>
      <c r="C60">
        <f t="shared" ca="1" si="0"/>
        <v>5.6354206084080184E-2</v>
      </c>
      <c r="D60">
        <f ca="1"/>
        <v>-0.18</v>
      </c>
      <c r="I60">
        <f t="shared" ca="1" si="1"/>
        <v>7.5745117845117844E-3</v>
      </c>
      <c r="J60">
        <f t="shared" ca="1" si="2"/>
        <v>0.15168080808080805</v>
      </c>
      <c r="L60">
        <f t="shared" ca="1" si="3"/>
        <v>7.5858310376492192E-3</v>
      </c>
      <c r="M60">
        <f t="shared" ca="1" si="4"/>
        <v>0.41176565656565656</v>
      </c>
      <c r="O60">
        <f t="shared" ca="1" si="5"/>
        <v>4.736649453146137E-2</v>
      </c>
      <c r="P60">
        <f t="shared" ca="1" si="6"/>
        <v>-0.16077676767676766</v>
      </c>
      <c r="R60">
        <f t="shared" ca="1" si="7"/>
        <v>4.5159592265378856E-2</v>
      </c>
      <c r="S60">
        <f t="shared" ca="1" si="8"/>
        <v>0.77446464646464652</v>
      </c>
    </row>
    <row r="61" spans="1:19" x14ac:dyDescent="0.35">
      <c r="A61">
        <f ca="1"/>
        <v>-2.15</v>
      </c>
      <c r="B61">
        <f ca="1"/>
        <v>1.417E-2</v>
      </c>
      <c r="C61">
        <f t="shared" ca="1" si="0"/>
        <v>5.1703557761279877E-2</v>
      </c>
      <c r="D61">
        <f ca="1"/>
        <v>-0.17030000000000001</v>
      </c>
      <c r="I61">
        <f t="shared" ca="1" si="1"/>
        <v>7.5687878787878788E-3</v>
      </c>
      <c r="J61">
        <f t="shared" ca="1" si="2"/>
        <v>0.15423939393939393</v>
      </c>
      <c r="L61">
        <f t="shared" ca="1" si="3"/>
        <v>7.5795867768595039E-3</v>
      </c>
      <c r="M61">
        <f t="shared" ca="1" si="4"/>
        <v>0.40827575757575751</v>
      </c>
      <c r="O61">
        <f t="shared" ca="1" si="5"/>
        <v>4.5640902239555102E-2</v>
      </c>
      <c r="P61">
        <f t="shared" ca="1" si="6"/>
        <v>-0.15684242424242426</v>
      </c>
      <c r="R61">
        <f t="shared" ca="1" si="7"/>
        <v>4.6455769348061671E-2</v>
      </c>
      <c r="S61">
        <f t="shared" ca="1" si="8"/>
        <v>0.77745151515151512</v>
      </c>
    </row>
    <row r="62" spans="1:19" x14ac:dyDescent="0.35">
      <c r="A62">
        <f ca="1"/>
        <v>-2.1</v>
      </c>
      <c r="B62">
        <f ca="1"/>
        <v>1.363E-2</v>
      </c>
      <c r="C62">
        <f t="shared" ca="1" si="0"/>
        <v>4.7243839610409469E-2</v>
      </c>
      <c r="D62">
        <f ca="1"/>
        <v>-0.1605</v>
      </c>
      <c r="I62">
        <f t="shared" ca="1" si="1"/>
        <v>7.5631986531986533E-3</v>
      </c>
      <c r="J62">
        <f t="shared" ca="1" si="2"/>
        <v>0.15679797979797977</v>
      </c>
      <c r="L62">
        <f t="shared" ca="1" si="3"/>
        <v>7.5734894398530759E-3</v>
      </c>
      <c r="M62">
        <f t="shared" ca="1" si="4"/>
        <v>0.40478585858585858</v>
      </c>
      <c r="O62">
        <f t="shared" ca="1" si="5"/>
        <v>4.3954007593297234E-2</v>
      </c>
      <c r="P62">
        <f t="shared" ca="1" si="6"/>
        <v>-0.1529080808080808</v>
      </c>
      <c r="R62">
        <f t="shared" ca="1" si="7"/>
        <v>4.7774249892126017E-2</v>
      </c>
      <c r="S62">
        <f t="shared" ca="1" si="8"/>
        <v>0.78043838383838382</v>
      </c>
    </row>
    <row r="63" spans="1:19" x14ac:dyDescent="0.35">
      <c r="A63">
        <f ca="1"/>
        <v>-2.0499999999999998</v>
      </c>
      <c r="B63">
        <f ca="1"/>
        <v>1.312E-2</v>
      </c>
      <c r="C63">
        <f t="shared" ca="1" si="0"/>
        <v>4.2857092147258621E-2</v>
      </c>
      <c r="D63">
        <f ca="1"/>
        <v>-0.15029999999999999</v>
      </c>
      <c r="I63">
        <f t="shared" ca="1" si="1"/>
        <v>7.5577441077441078E-3</v>
      </c>
      <c r="J63">
        <f t="shared" ca="1" si="2"/>
        <v>0.15935656565656561</v>
      </c>
      <c r="L63">
        <f t="shared" ca="1" si="3"/>
        <v>7.567539026629936E-3</v>
      </c>
      <c r="M63">
        <f t="shared" ca="1" si="4"/>
        <v>0.40129595959595954</v>
      </c>
      <c r="O63">
        <f t="shared" ca="1" si="5"/>
        <v>4.230581059268778E-2</v>
      </c>
      <c r="P63">
        <f t="shared" ca="1" si="6"/>
        <v>-0.14897373737373737</v>
      </c>
      <c r="R63">
        <f t="shared" ca="1" si="7"/>
        <v>4.9115033897571853E-2</v>
      </c>
      <c r="S63">
        <f t="shared" ca="1" si="8"/>
        <v>0.78342525252525252</v>
      </c>
    </row>
    <row r="64" spans="1:19" x14ac:dyDescent="0.35">
      <c r="A64">
        <f ca="1"/>
        <v>-2</v>
      </c>
      <c r="B64">
        <f ca="1"/>
        <v>1.2619999999999999E-2</v>
      </c>
      <c r="C64">
        <f t="shared" ca="1" si="0"/>
        <v>3.8730444684107787E-2</v>
      </c>
      <c r="D64">
        <f ca="1"/>
        <v>-0.1401</v>
      </c>
      <c r="I64">
        <f t="shared" ca="1" si="1"/>
        <v>7.5524242424242424E-3</v>
      </c>
      <c r="J64">
        <f t="shared" ca="1" si="2"/>
        <v>0.16191515151515148</v>
      </c>
      <c r="L64">
        <f t="shared" ca="1" si="3"/>
        <v>7.5617355371900823E-3</v>
      </c>
      <c r="M64">
        <f t="shared" ca="1" si="4"/>
        <v>0.39780606060606061</v>
      </c>
      <c r="O64">
        <f t="shared" ca="1" si="5"/>
        <v>4.0696311237726712E-2</v>
      </c>
      <c r="P64">
        <f t="shared" ca="1" si="6"/>
        <v>-0.14503939393939391</v>
      </c>
      <c r="R64">
        <f t="shared" ca="1" si="7"/>
        <v>5.0478121364399185E-2</v>
      </c>
      <c r="S64">
        <f t="shared" ca="1" si="8"/>
        <v>0.78641212121212123</v>
      </c>
    </row>
    <row r="65" spans="1:19" x14ac:dyDescent="0.35">
      <c r="A65">
        <f ca="1"/>
        <v>-1.95</v>
      </c>
      <c r="B65">
        <f ca="1"/>
        <v>1.2149999999999999E-2</v>
      </c>
      <c r="C65">
        <f t="shared" ca="1" si="0"/>
        <v>3.4754112736746633E-2</v>
      </c>
      <c r="D65">
        <f ca="1"/>
        <v>-0.12959999999999999</v>
      </c>
      <c r="I65">
        <f t="shared" ca="1" si="1"/>
        <v>7.5472390572390571E-3</v>
      </c>
      <c r="J65">
        <f t="shared" ca="1" si="2"/>
        <v>0.16447373737373736</v>
      </c>
      <c r="L65">
        <f t="shared" ca="1" si="3"/>
        <v>7.5560789715335168E-3</v>
      </c>
      <c r="M65">
        <f t="shared" ca="1" si="4"/>
        <v>0.39431616161616156</v>
      </c>
      <c r="O65">
        <f t="shared" ca="1" si="5"/>
        <v>3.9125509528414065E-2</v>
      </c>
      <c r="P65">
        <f t="shared" ca="1" si="6"/>
        <v>-0.14110505050505051</v>
      </c>
      <c r="R65">
        <f t="shared" ca="1" si="7"/>
        <v>5.1863512292608015E-2</v>
      </c>
      <c r="S65">
        <f t="shared" ca="1" si="8"/>
        <v>0.78939898989898993</v>
      </c>
    </row>
    <row r="66" spans="1:19" x14ac:dyDescent="0.35">
      <c r="A66">
        <f ca="1"/>
        <v>-1.9</v>
      </c>
      <c r="B66">
        <f ca="1"/>
        <v>1.1679999999999999E-2</v>
      </c>
      <c r="C66">
        <f t="shared" ca="1" si="0"/>
        <v>3.1053405789385476E-2</v>
      </c>
      <c r="D66">
        <f ca="1"/>
        <v>-0.1191</v>
      </c>
      <c r="I66">
        <f t="shared" ca="1" si="1"/>
        <v>7.5421885521885518E-3</v>
      </c>
      <c r="J66">
        <f t="shared" ca="1" si="2"/>
        <v>0.1670323232323232</v>
      </c>
      <c r="L66">
        <f t="shared" ca="1" si="3"/>
        <v>7.5505693296602392E-3</v>
      </c>
      <c r="M66">
        <f t="shared" ca="1" si="4"/>
        <v>0.39082626262626263</v>
      </c>
      <c r="O66">
        <f t="shared" ca="1" si="5"/>
        <v>3.7593405464749804E-2</v>
      </c>
      <c r="P66">
        <f t="shared" ca="1" si="6"/>
        <v>-0.13717070707070705</v>
      </c>
      <c r="R66">
        <f t="shared" ca="1" si="7"/>
        <v>5.3271206682198272E-2</v>
      </c>
      <c r="S66">
        <f t="shared" ca="1" si="8"/>
        <v>0.79238585858585853</v>
      </c>
    </row>
    <row r="67" spans="1:19" x14ac:dyDescent="0.35">
      <c r="A67">
        <f ca="1"/>
        <v>-1.85</v>
      </c>
      <c r="B67">
        <f ca="1"/>
        <v>1.124E-2</v>
      </c>
      <c r="C67">
        <f t="shared" ca="1" si="0"/>
        <v>2.7628323842024325E-2</v>
      </c>
      <c r="D67">
        <f ca="1"/>
        <v>-0.1086</v>
      </c>
      <c r="I67">
        <f t="shared" ca="1" si="1"/>
        <v>7.5372727272727275E-3</v>
      </c>
      <c r="J67">
        <f t="shared" ca="1" si="2"/>
        <v>0.16959090909090907</v>
      </c>
      <c r="L67">
        <f t="shared" ca="1" si="3"/>
        <v>7.5452066115702481E-3</v>
      </c>
      <c r="M67">
        <f t="shared" ca="1" si="4"/>
        <v>0.38733636363636359</v>
      </c>
      <c r="O67">
        <f t="shared" ca="1" si="5"/>
        <v>3.6099999046733972E-2</v>
      </c>
      <c r="P67">
        <f t="shared" ca="1" si="6"/>
        <v>-0.13323636363636365</v>
      </c>
      <c r="R67">
        <f t="shared" ca="1" si="7"/>
        <v>5.4701204533170129E-2</v>
      </c>
      <c r="S67">
        <f t="shared" ca="1" si="8"/>
        <v>0.79537272727272734</v>
      </c>
    </row>
    <row r="68" spans="1:19" x14ac:dyDescent="0.35">
      <c r="A68">
        <f ca="1"/>
        <v>-1.8</v>
      </c>
      <c r="B68">
        <f ca="1"/>
        <v>1.081E-2</v>
      </c>
      <c r="C68">
        <f t="shared" ca="1" si="0"/>
        <v>2.4450197066593061E-2</v>
      </c>
      <c r="D68">
        <f ca="1"/>
        <v>-9.8000000000000004E-2</v>
      </c>
      <c r="I68">
        <f t="shared" ca="1" si="1"/>
        <v>7.5324915824915824E-3</v>
      </c>
      <c r="J68">
        <f t="shared" ca="1" si="2"/>
        <v>0.17214949494949491</v>
      </c>
      <c r="L68">
        <f t="shared" ca="1" si="3"/>
        <v>7.5399908172635449E-3</v>
      </c>
      <c r="M68">
        <f t="shared" ca="1" si="4"/>
        <v>0.38384646464646466</v>
      </c>
      <c r="O68">
        <f t="shared" ca="1" si="5"/>
        <v>3.4645290274366525E-2</v>
      </c>
      <c r="P68">
        <f t="shared" ca="1" si="6"/>
        <v>-0.1293020202020202</v>
      </c>
      <c r="R68">
        <f t="shared" ca="1" si="7"/>
        <v>5.6153505845523387E-2</v>
      </c>
      <c r="S68">
        <f t="shared" ca="1" si="8"/>
        <v>0.79835959595959594</v>
      </c>
    </row>
    <row r="69" spans="1:19" x14ac:dyDescent="0.35">
      <c r="A69">
        <f ca="1"/>
        <v>-1.75</v>
      </c>
      <c r="B69">
        <f ca="1"/>
        <v>1.0410000000000001E-2</v>
      </c>
      <c r="C69">
        <f t="shared" ref="C69:C132" ca="1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2.1578990119231901E-2</v>
      </c>
      <c r="D69">
        <f ca="1"/>
        <v>-8.7499999999999994E-2</v>
      </c>
      <c r="I69">
        <f t="shared" ref="I69:I103" ca="1" si="10">$G$16 * (J69 - $G$6)^2 + $G$5</f>
        <v>7.5278451178451174E-3</v>
      </c>
      <c r="J69">
        <f t="shared" ref="J69:J103" ca="1" si="11">$G$9 + ($G$6 - $G$9) * (ROW(B66)-1)/99</f>
        <v>0.17470808080808078</v>
      </c>
      <c r="L69">
        <f t="shared" ref="L69:L103" ca="1" si="12">$G$17 * (M69 - $G$6)^2 + $G$5</f>
        <v>7.534921946740129E-3</v>
      </c>
      <c r="M69">
        <f t="shared" ref="M69:M103" ca="1" si="13">$G$13 + ($G$6 - $G$13) * (ROW(F66)-1)/99</f>
        <v>0.38035656565656562</v>
      </c>
      <c r="O69">
        <f t="shared" ref="O69:O103" ca="1" si="14">$G$10 + $G$19 * ($G$23 * (P69 - $G$9))^2 + $G$21 * (1 - (P69 - $G$6)/($G$9 - $G$6))</f>
        <v>3.3229279147647471E-2</v>
      </c>
      <c r="P69">
        <f t="shared" ref="P69:P103" ca="1" si="15">$G$26 + ($G$9 - $G$26) * (ROW(B66)-1)/99</f>
        <v>-0.12536767676767674</v>
      </c>
      <c r="R69">
        <f t="shared" ref="R69:R103" ca="1" si="16">$G$14 + $G$19 * ($G$23 * (S69 - $G$13))^2 - $G$22 * (1 - (S69 - $G$6)/($G$13 - $G$6))</f>
        <v>5.7628110619258176E-2</v>
      </c>
      <c r="S69">
        <f t="shared" ref="S69:S103" ca="1" si="17">$G$13 + ($G$25 - $G$13) * (ROW(B66)-1)/99</f>
        <v>0.80134646464646464</v>
      </c>
    </row>
    <row r="70" spans="1:19" x14ac:dyDescent="0.35">
      <c r="A70">
        <f ca="1"/>
        <v>-1.7</v>
      </c>
      <c r="B70">
        <f ca="1"/>
        <v>1.0019999999999999E-2</v>
      </c>
      <c r="C70">
        <f t="shared" ca="1" si="9"/>
        <v>1.9006827999940849E-2</v>
      </c>
      <c r="D70">
        <f ca="1"/>
        <v>-7.7100000000000002E-2</v>
      </c>
      <c r="I70">
        <f t="shared" ca="1" si="10"/>
        <v>7.5233333333333333E-3</v>
      </c>
      <c r="J70">
        <f t="shared" ca="1" si="11"/>
        <v>0.17726666666666663</v>
      </c>
      <c r="L70">
        <f t="shared" ca="1" si="12"/>
        <v>7.5300000000000002E-3</v>
      </c>
      <c r="M70">
        <f t="shared" ca="1" si="13"/>
        <v>0.37686666666666668</v>
      </c>
      <c r="O70">
        <f t="shared" ca="1" si="14"/>
        <v>3.1851965666576845E-2</v>
      </c>
      <c r="P70">
        <f t="shared" ca="1" si="15"/>
        <v>-0.12143333333333334</v>
      </c>
      <c r="R70">
        <f t="shared" ca="1" si="16"/>
        <v>5.9125018854374455E-2</v>
      </c>
      <c r="S70">
        <f t="shared" ca="1" si="17"/>
        <v>0.80433333333333334</v>
      </c>
    </row>
    <row r="71" spans="1:19" x14ac:dyDescent="0.35">
      <c r="A71">
        <f ca="1"/>
        <v>-1.65</v>
      </c>
      <c r="B71">
        <f ca="1"/>
        <v>9.6600000000000002E-3</v>
      </c>
      <c r="C71">
        <f t="shared" ca="1" si="9"/>
        <v>1.6705065880649798E-2</v>
      </c>
      <c r="D71">
        <f ca="1"/>
        <v>-6.6699999999999995E-2</v>
      </c>
      <c r="I71">
        <f t="shared" ca="1" si="10"/>
        <v>7.5189562289562292E-3</v>
      </c>
      <c r="J71">
        <f t="shared" ca="1" si="11"/>
        <v>0.17982525252525247</v>
      </c>
      <c r="L71">
        <f t="shared" ca="1" si="12"/>
        <v>7.5252249770431587E-3</v>
      </c>
      <c r="M71">
        <f t="shared" ca="1" si="13"/>
        <v>0.37337676767676764</v>
      </c>
      <c r="O71">
        <f t="shared" ca="1" si="14"/>
        <v>3.0513349831154599E-2</v>
      </c>
      <c r="P71">
        <f t="shared" ca="1" si="15"/>
        <v>-0.11749898989898988</v>
      </c>
      <c r="R71">
        <f t="shared" ca="1" si="16"/>
        <v>6.064423055087223E-2</v>
      </c>
      <c r="S71">
        <f t="shared" ca="1" si="17"/>
        <v>0.80732020202020205</v>
      </c>
    </row>
    <row r="72" spans="1:19" x14ac:dyDescent="0.35">
      <c r="A72">
        <f ca="1"/>
        <v>-1.6</v>
      </c>
      <c r="B72">
        <f ca="1"/>
        <v>9.3299999999999998E-3</v>
      </c>
      <c r="C72">
        <f t="shared" ca="1" si="9"/>
        <v>1.4691948589428853E-2</v>
      </c>
      <c r="D72">
        <f ca="1"/>
        <v>-5.6399999999999999E-2</v>
      </c>
      <c r="I72">
        <f t="shared" ca="1" si="10"/>
        <v>7.5147138047138044E-3</v>
      </c>
      <c r="J72">
        <f t="shared" ca="1" si="11"/>
        <v>0.18238383838383837</v>
      </c>
      <c r="L72">
        <f t="shared" ca="1" si="12"/>
        <v>7.5205968778696052E-3</v>
      </c>
      <c r="M72">
        <f t="shared" ca="1" si="13"/>
        <v>0.36988686868686865</v>
      </c>
      <c r="O72">
        <f t="shared" ca="1" si="14"/>
        <v>2.9213431641380783E-2</v>
      </c>
      <c r="P72">
        <f t="shared" ca="1" si="15"/>
        <v>-0.11356464646464648</v>
      </c>
      <c r="R72">
        <f t="shared" ca="1" si="16"/>
        <v>6.2185745708751503E-2</v>
      </c>
      <c r="S72">
        <f t="shared" ca="1" si="17"/>
        <v>0.81030707070707075</v>
      </c>
    </row>
    <row r="73" spans="1:19" x14ac:dyDescent="0.35">
      <c r="A73">
        <f ca="1"/>
        <v>-1.55</v>
      </c>
      <c r="B73">
        <f ca="1"/>
        <v>9.0299999999999998E-3</v>
      </c>
      <c r="C73">
        <f t="shared" ca="1" si="9"/>
        <v>1.294405629820791E-2</v>
      </c>
      <c r="D73">
        <f ca="1"/>
        <v>-4.6100000000000002E-2</v>
      </c>
      <c r="I73">
        <f t="shared" ca="1" si="10"/>
        <v>7.5106060606060605E-3</v>
      </c>
      <c r="J73">
        <f t="shared" ca="1" si="11"/>
        <v>0.18494242424242421</v>
      </c>
      <c r="L73">
        <f t="shared" ca="1" si="12"/>
        <v>7.5161157024793389E-3</v>
      </c>
      <c r="M73">
        <f t="shared" ca="1" si="13"/>
        <v>0.36639696969696967</v>
      </c>
      <c r="O73">
        <f t="shared" ca="1" si="14"/>
        <v>2.7952211097255347E-2</v>
      </c>
      <c r="P73">
        <f t="shared" ca="1" si="15"/>
        <v>-0.10963030303030302</v>
      </c>
      <c r="R73">
        <f t="shared" ca="1" si="16"/>
        <v>6.3749564328012195E-2</v>
      </c>
      <c r="S73">
        <f t="shared" ca="1" si="17"/>
        <v>0.81329393939393935</v>
      </c>
    </row>
    <row r="74" spans="1:19" x14ac:dyDescent="0.35">
      <c r="A74">
        <f ca="1"/>
        <v>-1.5</v>
      </c>
      <c r="B74">
        <f ca="1"/>
        <v>8.77E-3</v>
      </c>
      <c r="C74">
        <f t="shared" ca="1" si="9"/>
        <v>1.1435224350846753E-2</v>
      </c>
      <c r="D74">
        <f ca="1"/>
        <v>-3.56E-2</v>
      </c>
      <c r="I74">
        <f t="shared" ca="1" si="10"/>
        <v>7.5066329966329967E-3</v>
      </c>
      <c r="J74">
        <f t="shared" ca="1" si="11"/>
        <v>0.18750101010101008</v>
      </c>
      <c r="L74">
        <f t="shared" ca="1" si="12"/>
        <v>7.5117814508723598E-3</v>
      </c>
      <c r="M74">
        <f t="shared" ca="1" si="13"/>
        <v>0.36290707070707068</v>
      </c>
      <c r="O74">
        <f t="shared" ca="1" si="14"/>
        <v>2.6729688198778318E-2</v>
      </c>
      <c r="P74">
        <f t="shared" ca="1" si="15"/>
        <v>-0.10569595959595957</v>
      </c>
      <c r="R74">
        <f t="shared" ca="1" si="16"/>
        <v>6.5335686408654503E-2</v>
      </c>
      <c r="S74">
        <f t="shared" ca="1" si="17"/>
        <v>0.81628080808080816</v>
      </c>
    </row>
    <row r="75" spans="1:19" x14ac:dyDescent="0.35">
      <c r="A75">
        <f ca="1"/>
        <v>-1.45</v>
      </c>
      <c r="B75">
        <f ca="1"/>
        <v>8.5500000000000003E-3</v>
      </c>
      <c r="C75">
        <f t="shared" ca="1" si="9"/>
        <v>1.0181202747345384E-2</v>
      </c>
      <c r="D75">
        <f ca="1"/>
        <v>-2.4899999999999999E-2</v>
      </c>
      <c r="I75">
        <f t="shared" ca="1" si="10"/>
        <v>7.5027946127946129E-3</v>
      </c>
      <c r="J75">
        <f t="shared" ca="1" si="11"/>
        <v>0.19005959595959593</v>
      </c>
      <c r="L75">
        <f t="shared" ca="1" si="12"/>
        <v>7.5075941230486687E-3</v>
      </c>
      <c r="M75">
        <f t="shared" ca="1" si="13"/>
        <v>0.35941717171717169</v>
      </c>
      <c r="O75">
        <f t="shared" ca="1" si="14"/>
        <v>2.5545862945949686E-2</v>
      </c>
      <c r="P75">
        <f t="shared" ca="1" si="15"/>
        <v>-0.10176161616161611</v>
      </c>
      <c r="R75">
        <f t="shared" ca="1" si="16"/>
        <v>6.694411195067819E-2</v>
      </c>
      <c r="S75">
        <f t="shared" ca="1" si="17"/>
        <v>0.81926767676767676</v>
      </c>
    </row>
    <row r="76" spans="1:19" x14ac:dyDescent="0.35">
      <c r="A76">
        <f ca="1"/>
        <v>-1.4</v>
      </c>
      <c r="B76">
        <f ca="1"/>
        <v>8.3700000000000007E-3</v>
      </c>
      <c r="C76">
        <f t="shared" ca="1" si="9"/>
        <v>9.1980414877038015E-3</v>
      </c>
      <c r="D76">
        <f ca="1"/>
        <v>-1.4E-2</v>
      </c>
      <c r="I76">
        <f t="shared" ca="1" si="10"/>
        <v>7.4990909090909092E-3</v>
      </c>
      <c r="J76">
        <f t="shared" ca="1" si="11"/>
        <v>0.19261818181818177</v>
      </c>
      <c r="L76">
        <f t="shared" ca="1" si="12"/>
        <v>7.5035537190082649E-3</v>
      </c>
      <c r="M76">
        <f t="shared" ca="1" si="13"/>
        <v>0.3559272727272727</v>
      </c>
      <c r="O76">
        <f t="shared" ca="1" si="14"/>
        <v>2.4400735338769474E-2</v>
      </c>
      <c r="P76">
        <f t="shared" ca="1" si="15"/>
        <v>-9.7827272727272707E-2</v>
      </c>
      <c r="R76">
        <f t="shared" ca="1" si="16"/>
        <v>6.8574840954083408E-2</v>
      </c>
      <c r="S76">
        <f t="shared" ca="1" si="17"/>
        <v>0.82225454545454546</v>
      </c>
    </row>
    <row r="77" spans="1:19" x14ac:dyDescent="0.35">
      <c r="A77">
        <f ca="1"/>
        <v>-1.35</v>
      </c>
      <c r="B77">
        <f ca="1"/>
        <v>8.2299999999999995E-3</v>
      </c>
      <c r="C77">
        <f t="shared" ca="1" si="9"/>
        <v>8.4972207438519E-3</v>
      </c>
      <c r="D77">
        <f ca="1"/>
        <v>-2.8E-3</v>
      </c>
      <c r="I77">
        <f t="shared" ca="1" si="10"/>
        <v>7.4955218855218856E-3</v>
      </c>
      <c r="J77">
        <f t="shared" ca="1" si="11"/>
        <v>0.19517676767676764</v>
      </c>
      <c r="L77">
        <f t="shared" ca="1" si="12"/>
        <v>7.4996602387511482E-3</v>
      </c>
      <c r="M77">
        <f t="shared" ca="1" si="13"/>
        <v>0.35243737373737372</v>
      </c>
      <c r="O77">
        <f t="shared" ca="1" si="14"/>
        <v>2.3294305377237659E-2</v>
      </c>
      <c r="P77">
        <f t="shared" ca="1" si="15"/>
        <v>-9.389292929292925E-2</v>
      </c>
      <c r="R77">
        <f t="shared" ca="1" si="16"/>
        <v>7.0227873418870143E-2</v>
      </c>
      <c r="S77">
        <f t="shared" ca="1" si="17"/>
        <v>0.82524141414141416</v>
      </c>
    </row>
    <row r="78" spans="1:19" x14ac:dyDescent="0.35">
      <c r="A78">
        <f ca="1"/>
        <v>-1.3</v>
      </c>
      <c r="B78">
        <f ca="1"/>
        <v>8.1099999999999992E-3</v>
      </c>
      <c r="C78">
        <f t="shared" ca="1" si="9"/>
        <v>8.1099999999999992E-3</v>
      </c>
      <c r="D78">
        <f ca="1"/>
        <v>8.3999999999999995E-3</v>
      </c>
      <c r="I78">
        <f t="shared" ca="1" si="10"/>
        <v>7.4920875420875421E-3</v>
      </c>
      <c r="J78">
        <f t="shared" ca="1" si="11"/>
        <v>0.19773535353535351</v>
      </c>
      <c r="L78">
        <f t="shared" ca="1" si="12"/>
        <v>7.4959136822773187E-3</v>
      </c>
      <c r="M78">
        <f t="shared" ca="1" si="13"/>
        <v>0.34894747474747473</v>
      </c>
      <c r="O78">
        <f t="shared" ca="1" si="14"/>
        <v>2.2226573061354258E-2</v>
      </c>
      <c r="P78">
        <f t="shared" ca="1" si="15"/>
        <v>-8.9958585858585849E-2</v>
      </c>
      <c r="R78">
        <f t="shared" ca="1" si="16"/>
        <v>7.1903209345038382E-2</v>
      </c>
      <c r="S78">
        <f t="shared" ca="1" si="17"/>
        <v>0.82822828282828287</v>
      </c>
    </row>
    <row r="79" spans="1:19" x14ac:dyDescent="0.35">
      <c r="A79">
        <f ca="1"/>
        <v>-1.25</v>
      </c>
      <c r="B79">
        <f ca="1"/>
        <v>8.0199999999999994E-3</v>
      </c>
      <c r="C79">
        <f t="shared" ca="1" si="9"/>
        <v>8.0524268054885141E-3</v>
      </c>
      <c r="D79">
        <f ca="1"/>
        <v>1.9699999999999999E-2</v>
      </c>
      <c r="I79">
        <f t="shared" ca="1" si="10"/>
        <v>7.4887878787878786E-3</v>
      </c>
      <c r="J79">
        <f t="shared" ca="1" si="11"/>
        <v>0.20029393939393939</v>
      </c>
      <c r="L79">
        <f t="shared" ca="1" si="12"/>
        <v>7.4923140495867773E-3</v>
      </c>
      <c r="M79">
        <f t="shared" ca="1" si="13"/>
        <v>0.34545757575757574</v>
      </c>
      <c r="O79">
        <f t="shared" ca="1" si="14"/>
        <v>2.1197538391119247E-2</v>
      </c>
      <c r="P79">
        <f t="shared" ca="1" si="15"/>
        <v>-8.6024242424242392E-2</v>
      </c>
      <c r="R79">
        <f t="shared" ca="1" si="16"/>
        <v>7.360084873258807E-2</v>
      </c>
      <c r="S79">
        <f t="shared" ca="1" si="17"/>
        <v>0.83121515151515157</v>
      </c>
    </row>
    <row r="80" spans="1:19" x14ac:dyDescent="0.35">
      <c r="A80">
        <f ca="1"/>
        <v>-1.2</v>
      </c>
      <c r="B80">
        <f ca="1"/>
        <v>7.92E-3</v>
      </c>
      <c r="C80">
        <f t="shared" ca="1" si="9"/>
        <v>7.998430275826909E-3</v>
      </c>
      <c r="D80">
        <f ca="1"/>
        <v>3.0800000000000001E-2</v>
      </c>
      <c r="I80">
        <f t="shared" ca="1" si="10"/>
        <v>7.4856228956228952E-3</v>
      </c>
      <c r="J80">
        <f t="shared" ca="1" si="11"/>
        <v>0.20285252525252523</v>
      </c>
      <c r="L80">
        <f t="shared" ca="1" si="12"/>
        <v>7.4888613406795222E-3</v>
      </c>
      <c r="M80">
        <f t="shared" ca="1" si="13"/>
        <v>0.34196767676767675</v>
      </c>
      <c r="O80">
        <f t="shared" ca="1" si="14"/>
        <v>2.0207201366532646E-2</v>
      </c>
      <c r="P80">
        <f t="shared" ca="1" si="15"/>
        <v>-8.2089898989898991E-2</v>
      </c>
      <c r="R80">
        <f t="shared" ca="1" si="16"/>
        <v>7.5320791581519206E-2</v>
      </c>
      <c r="S80">
        <f t="shared" ca="1" si="17"/>
        <v>0.83420202020202017</v>
      </c>
    </row>
    <row r="81" spans="1:19" x14ac:dyDescent="0.35">
      <c r="A81">
        <f ca="1"/>
        <v>-1.1499999999999999</v>
      </c>
      <c r="B81">
        <f ca="1"/>
        <v>7.8300000000000002E-3</v>
      </c>
      <c r="C81">
        <f t="shared" ca="1" si="9"/>
        <v>7.9460645901264764E-3</v>
      </c>
      <c r="D81">
        <f ca="1"/>
        <v>4.2099999999999999E-2</v>
      </c>
      <c r="I81">
        <f t="shared" ca="1" si="10"/>
        <v>7.4825925925925928E-3</v>
      </c>
      <c r="J81">
        <f t="shared" ca="1" si="11"/>
        <v>0.20541111111111107</v>
      </c>
      <c r="L81">
        <f t="shared" ca="1" si="12"/>
        <v>7.4855555555555552E-3</v>
      </c>
      <c r="M81">
        <f t="shared" ca="1" si="13"/>
        <v>0.33847777777777777</v>
      </c>
      <c r="O81">
        <f t="shared" ca="1" si="14"/>
        <v>1.9255561987594438E-2</v>
      </c>
      <c r="P81">
        <f t="shared" ca="1" si="15"/>
        <v>-7.8155555555555534E-2</v>
      </c>
      <c r="R81">
        <f t="shared" ca="1" si="16"/>
        <v>7.7063037891831887E-2</v>
      </c>
      <c r="S81">
        <f t="shared" ca="1" si="17"/>
        <v>0.83718888888888887</v>
      </c>
    </row>
    <row r="82" spans="1:19" x14ac:dyDescent="0.35">
      <c r="A82">
        <f ca="1"/>
        <v>-1.1000000000000001</v>
      </c>
      <c r="B82">
        <f ca="1"/>
        <v>7.7600000000000004E-3</v>
      </c>
      <c r="C82">
        <f t="shared" ca="1" si="9"/>
        <v>7.8967545509421692E-3</v>
      </c>
      <c r="D82">
        <f ca="1"/>
        <v>5.33E-2</v>
      </c>
      <c r="I82">
        <f t="shared" ca="1" si="10"/>
        <v>7.4796969696969695E-3</v>
      </c>
      <c r="J82">
        <f t="shared" ca="1" si="11"/>
        <v>0.20796969696969694</v>
      </c>
      <c r="L82">
        <f t="shared" ca="1" si="12"/>
        <v>7.4823966942148762E-3</v>
      </c>
      <c r="M82">
        <f t="shared" ca="1" si="13"/>
        <v>0.33498787878787878</v>
      </c>
      <c r="O82">
        <f t="shared" ca="1" si="14"/>
        <v>1.8342620254304644E-2</v>
      </c>
      <c r="P82">
        <f t="shared" ca="1" si="15"/>
        <v>-7.4221212121212132E-2</v>
      </c>
      <c r="R82">
        <f t="shared" ca="1" si="16"/>
        <v>7.8827587663526086E-2</v>
      </c>
      <c r="S82">
        <f t="shared" ca="1" si="17"/>
        <v>0.84017575757575758</v>
      </c>
    </row>
    <row r="83" spans="1:19" x14ac:dyDescent="0.35">
      <c r="A83">
        <f ca="1"/>
        <v>-1.05</v>
      </c>
      <c r="B83">
        <f ca="1"/>
        <v>7.7000000000000002E-3</v>
      </c>
      <c r="C83">
        <f t="shared" ca="1" si="9"/>
        <v>7.8500252240890044E-3</v>
      </c>
      <c r="D83">
        <f ca="1"/>
        <v>6.4500000000000002E-2</v>
      </c>
      <c r="I83">
        <f t="shared" ca="1" si="10"/>
        <v>7.4769360269360272E-3</v>
      </c>
      <c r="J83">
        <f t="shared" ca="1" si="11"/>
        <v>0.21052828282828279</v>
      </c>
      <c r="L83">
        <f t="shared" ca="1" si="12"/>
        <v>7.4793847566574836E-3</v>
      </c>
      <c r="M83">
        <f t="shared" ca="1" si="13"/>
        <v>0.33149797979797979</v>
      </c>
      <c r="O83">
        <f t="shared" ca="1" si="14"/>
        <v>1.7468376166663243E-2</v>
      </c>
      <c r="P83">
        <f t="shared" ca="1" si="15"/>
        <v>-7.0286868686868675E-2</v>
      </c>
      <c r="R83">
        <f t="shared" ca="1" si="16"/>
        <v>8.0614440896601788E-2</v>
      </c>
      <c r="S83">
        <f t="shared" ca="1" si="17"/>
        <v>0.84316262626262628</v>
      </c>
    </row>
    <row r="84" spans="1:19" x14ac:dyDescent="0.35">
      <c r="A84">
        <f ca="1"/>
        <v>-1</v>
      </c>
      <c r="B84">
        <f ca="1"/>
        <v>7.6499999999999997E-3</v>
      </c>
      <c r="C84">
        <f t="shared" ca="1" si="9"/>
        <v>7.80587660956698E-3</v>
      </c>
      <c r="D84">
        <f ca="1"/>
        <v>7.5700000000000003E-2</v>
      </c>
      <c r="I84">
        <f t="shared" ca="1" si="10"/>
        <v>7.4743097643097641E-3</v>
      </c>
      <c r="J84">
        <f t="shared" ca="1" si="11"/>
        <v>0.21308686868686863</v>
      </c>
      <c r="L84">
        <f t="shared" ca="1" si="12"/>
        <v>7.476519742883379E-3</v>
      </c>
      <c r="M84">
        <f t="shared" ca="1" si="13"/>
        <v>0.3280080808080808</v>
      </c>
      <c r="O84">
        <f t="shared" ca="1" si="14"/>
        <v>1.6632829724670246E-2</v>
      </c>
      <c r="P84">
        <f t="shared" ca="1" si="15"/>
        <v>-6.6352525252525218E-2</v>
      </c>
      <c r="R84">
        <f t="shared" ca="1" si="16"/>
        <v>8.2423597591058939E-2</v>
      </c>
      <c r="S84">
        <f t="shared" ca="1" si="17"/>
        <v>0.84614949494949498</v>
      </c>
    </row>
    <row r="85" spans="1:19" x14ac:dyDescent="0.35">
      <c r="A85">
        <f ca="1"/>
        <v>-0.95</v>
      </c>
      <c r="B85">
        <f ca="1"/>
        <v>7.62E-3</v>
      </c>
      <c r="C85">
        <f t="shared" ca="1" si="9"/>
        <v>7.7643087073760971E-3</v>
      </c>
      <c r="D85">
        <f ca="1"/>
        <v>8.6900000000000005E-2</v>
      </c>
      <c r="I85">
        <f t="shared" ca="1" si="10"/>
        <v>7.4718181818181819E-3</v>
      </c>
      <c r="J85">
        <f t="shared" ca="1" si="11"/>
        <v>0.21564545454545453</v>
      </c>
      <c r="L85">
        <f t="shared" ca="1" si="12"/>
        <v>7.4738016528925616E-3</v>
      </c>
      <c r="M85">
        <f t="shared" ca="1" si="13"/>
        <v>0.32451818181818182</v>
      </c>
      <c r="O85">
        <f t="shared" ca="1" si="14"/>
        <v>1.5835980928325662E-2</v>
      </c>
      <c r="P85">
        <f t="shared" ca="1" si="15"/>
        <v>-6.2418181818181817E-2</v>
      </c>
      <c r="R85">
        <f t="shared" ca="1" si="16"/>
        <v>8.425505774689758E-2</v>
      </c>
      <c r="S85">
        <f t="shared" ca="1" si="17"/>
        <v>0.84913636363636369</v>
      </c>
    </row>
    <row r="86" spans="1:19" x14ac:dyDescent="0.35">
      <c r="A86">
        <f ca="1"/>
        <v>-0.9</v>
      </c>
      <c r="B86">
        <f ca="1"/>
        <v>7.5799999999999999E-3</v>
      </c>
      <c r="C86">
        <f t="shared" ca="1" si="9"/>
        <v>7.7253215175163556E-3</v>
      </c>
      <c r="D86">
        <f ca="1"/>
        <v>9.8100000000000007E-2</v>
      </c>
      <c r="I86">
        <f t="shared" ca="1" si="10"/>
        <v>7.4694612794612798E-3</v>
      </c>
      <c r="J86">
        <f t="shared" ca="1" si="11"/>
        <v>0.21820404040404037</v>
      </c>
      <c r="L86">
        <f t="shared" ca="1" si="12"/>
        <v>7.4712304866850323E-3</v>
      </c>
      <c r="M86">
        <f t="shared" ca="1" si="13"/>
        <v>0.32102828282828277</v>
      </c>
      <c r="O86">
        <f t="shared" ca="1" si="14"/>
        <v>1.5077829777629472E-2</v>
      </c>
      <c r="P86">
        <f t="shared" ca="1" si="15"/>
        <v>-5.848383838383836E-2</v>
      </c>
      <c r="R86">
        <f t="shared" ca="1" si="16"/>
        <v>8.6108821364117752E-2</v>
      </c>
      <c r="S86">
        <f t="shared" ca="1" si="17"/>
        <v>0.85212323232323239</v>
      </c>
    </row>
    <row r="87" spans="1:19" x14ac:dyDescent="0.35">
      <c r="A87">
        <f ca="1"/>
        <v>-0.85</v>
      </c>
      <c r="B87">
        <f ca="1"/>
        <v>7.5500000000000003E-3</v>
      </c>
      <c r="C87">
        <f t="shared" ca="1" si="9"/>
        <v>7.6892286796520432E-3</v>
      </c>
      <c r="D87">
        <f ca="1"/>
        <v>0.10920000000000001</v>
      </c>
      <c r="I87">
        <f t="shared" ca="1" si="10"/>
        <v>7.4672390572390569E-3</v>
      </c>
      <c r="J87">
        <f t="shared" ca="1" si="11"/>
        <v>0.22076262626262622</v>
      </c>
      <c r="L87">
        <f t="shared" ca="1" si="12"/>
        <v>7.4688062442607901E-3</v>
      </c>
      <c r="M87">
        <f t="shared" ca="1" si="13"/>
        <v>0.31753838383838384</v>
      </c>
      <c r="O87">
        <f t="shared" ca="1" si="14"/>
        <v>1.4358376272581696E-2</v>
      </c>
      <c r="P87">
        <f t="shared" ca="1" si="15"/>
        <v>-5.4549494949494959E-2</v>
      </c>
      <c r="R87">
        <f t="shared" ca="1" si="16"/>
        <v>8.7984888442719331E-2</v>
      </c>
      <c r="S87">
        <f t="shared" ca="1" si="17"/>
        <v>0.85511010101010099</v>
      </c>
    </row>
    <row r="88" spans="1:19" x14ac:dyDescent="0.35">
      <c r="A88">
        <f ca="1"/>
        <v>-0.8</v>
      </c>
      <c r="B88">
        <f ca="1"/>
        <v>7.5300000000000002E-3</v>
      </c>
      <c r="C88">
        <f t="shared" ca="1" si="9"/>
        <v>7.6556706757029084E-3</v>
      </c>
      <c r="D88">
        <f ca="1"/>
        <v>0.1203</v>
      </c>
      <c r="I88">
        <f t="shared" ca="1" si="10"/>
        <v>7.4651515151515149E-3</v>
      </c>
      <c r="J88">
        <f t="shared" ca="1" si="11"/>
        <v>0.22332121212121209</v>
      </c>
      <c r="L88">
        <f t="shared" ca="1" si="12"/>
        <v>7.4665289256198343E-3</v>
      </c>
      <c r="M88">
        <f t="shared" ca="1" si="13"/>
        <v>0.3140484848484848</v>
      </c>
      <c r="O88">
        <f t="shared" ca="1" si="14"/>
        <v>1.3677620413182302E-2</v>
      </c>
      <c r="P88">
        <f t="shared" ca="1" si="15"/>
        <v>-5.0615151515151446E-2</v>
      </c>
      <c r="R88">
        <f t="shared" ca="1" si="16"/>
        <v>8.9883258982702538E-2</v>
      </c>
      <c r="S88">
        <f t="shared" ca="1" si="17"/>
        <v>0.8580969696969698</v>
      </c>
    </row>
    <row r="89" spans="1:19" x14ac:dyDescent="0.35">
      <c r="A89">
        <f ca="1"/>
        <v>-0.75</v>
      </c>
      <c r="B89">
        <f ca="1"/>
        <v>7.5199999999999998E-3</v>
      </c>
      <c r="C89">
        <f t="shared" ca="1" si="9"/>
        <v>7.6249156783828901E-3</v>
      </c>
      <c r="D89">
        <f ca="1"/>
        <v>0.1313</v>
      </c>
      <c r="I89">
        <f t="shared" ca="1" si="10"/>
        <v>7.463198653198653E-3</v>
      </c>
      <c r="J89">
        <f t="shared" ca="1" si="11"/>
        <v>0.22587979797979793</v>
      </c>
      <c r="L89">
        <f t="shared" ca="1" si="12"/>
        <v>7.4643985307621674E-3</v>
      </c>
      <c r="M89">
        <f t="shared" ca="1" si="13"/>
        <v>0.31055858585858587</v>
      </c>
      <c r="O89">
        <f t="shared" ca="1" si="14"/>
        <v>1.303556219943133E-2</v>
      </c>
      <c r="P89">
        <f t="shared" ca="1" si="15"/>
        <v>-4.6680808080808045E-2</v>
      </c>
      <c r="R89">
        <f t="shared" ca="1" si="16"/>
        <v>9.1803932984067096E-2</v>
      </c>
      <c r="S89">
        <f t="shared" ca="1" si="17"/>
        <v>0.8610838383838384</v>
      </c>
    </row>
    <row r="90" spans="1:19" x14ac:dyDescent="0.35">
      <c r="A90">
        <f ca="1"/>
        <v>-0.7</v>
      </c>
      <c r="B90">
        <f ca="1"/>
        <v>7.5100000000000002E-3</v>
      </c>
      <c r="C90">
        <f t="shared" ca="1" si="9"/>
        <v>7.5966500480276998E-3</v>
      </c>
      <c r="D90">
        <f ca="1"/>
        <v>0.14230000000000001</v>
      </c>
      <c r="I90">
        <f t="shared" ca="1" si="10"/>
        <v>7.4613804713804712E-3</v>
      </c>
      <c r="J90">
        <f t="shared" ca="1" si="11"/>
        <v>0.22843838383838377</v>
      </c>
      <c r="L90">
        <f t="shared" ca="1" si="12"/>
        <v>7.4624150596877869E-3</v>
      </c>
      <c r="M90">
        <f t="shared" ca="1" si="13"/>
        <v>0.30706868686868688</v>
      </c>
      <c r="O90">
        <f t="shared" ca="1" si="14"/>
        <v>1.2432201631328762E-2</v>
      </c>
      <c r="P90">
        <f t="shared" ca="1" si="15"/>
        <v>-4.2746464646464644E-2</v>
      </c>
      <c r="R90">
        <f t="shared" ca="1" si="16"/>
        <v>9.37469104468132E-2</v>
      </c>
      <c r="S90">
        <f t="shared" ca="1" si="17"/>
        <v>0.8640707070707071</v>
      </c>
    </row>
    <row r="91" spans="1:19" x14ac:dyDescent="0.35">
      <c r="A91">
        <f ca="1"/>
        <v>-0.65</v>
      </c>
      <c r="B91">
        <f ca="1"/>
        <v>7.4999999999999997E-3</v>
      </c>
      <c r="C91">
        <f t="shared" ca="1" si="9"/>
        <v>7.5708737846373391E-3</v>
      </c>
      <c r="D91">
        <f ca="1"/>
        <v>0.15329999999999999</v>
      </c>
      <c r="I91">
        <f t="shared" ca="1" si="10"/>
        <v>7.4596969696969695E-3</v>
      </c>
      <c r="J91">
        <f t="shared" ca="1" si="11"/>
        <v>0.23099696969696967</v>
      </c>
      <c r="L91">
        <f t="shared" ca="1" si="12"/>
        <v>7.4605785123966943E-3</v>
      </c>
      <c r="M91">
        <f t="shared" ca="1" si="13"/>
        <v>0.30357878787878784</v>
      </c>
      <c r="O91">
        <f t="shared" ca="1" si="14"/>
        <v>1.1867538708874595E-2</v>
      </c>
      <c r="P91">
        <f t="shared" ca="1" si="15"/>
        <v>-3.8812121212121242E-2</v>
      </c>
      <c r="R91">
        <f t="shared" ca="1" si="16"/>
        <v>9.5712191370940822E-2</v>
      </c>
      <c r="S91">
        <f t="shared" ca="1" si="17"/>
        <v>0.8670575757575758</v>
      </c>
    </row>
    <row r="92" spans="1:19" x14ac:dyDescent="0.35">
      <c r="A92">
        <f ca="1"/>
        <v>-0.6</v>
      </c>
      <c r="B92">
        <f ca="1"/>
        <v>7.4900000000000001E-3</v>
      </c>
      <c r="C92">
        <f t="shared" ca="1" si="9"/>
        <v>7.5477873748322384E-3</v>
      </c>
      <c r="D92">
        <f ca="1"/>
        <v>0.16420000000000001</v>
      </c>
      <c r="I92">
        <f t="shared" ca="1" si="10"/>
        <v>7.4581481481481478E-3</v>
      </c>
      <c r="J92">
        <f t="shared" ca="1" si="11"/>
        <v>0.23355555555555552</v>
      </c>
      <c r="L92">
        <f t="shared" ca="1" si="12"/>
        <v>7.458888888888889E-3</v>
      </c>
      <c r="M92">
        <f t="shared" ca="1" si="13"/>
        <v>0.30008888888888891</v>
      </c>
      <c r="O92">
        <f t="shared" ca="1" si="14"/>
        <v>1.1341573432068817E-2</v>
      </c>
      <c r="P92">
        <f t="shared" ca="1" si="15"/>
        <v>-3.487777777777773E-2</v>
      </c>
      <c r="R92">
        <f t="shared" ca="1" si="16"/>
        <v>9.769977575644985E-2</v>
      </c>
      <c r="S92">
        <f t="shared" ca="1" si="17"/>
        <v>0.8700444444444444</v>
      </c>
    </row>
    <row r="93" spans="1:19" x14ac:dyDescent="0.35">
      <c r="A93">
        <f ca="1"/>
        <v>-0.55000000000000004</v>
      </c>
      <c r="B93">
        <f ca="1"/>
        <v>7.4799999999999997E-3</v>
      </c>
      <c r="C93">
        <f t="shared" ca="1" si="9"/>
        <v>7.526967214762763E-3</v>
      </c>
      <c r="D93">
        <f ca="1"/>
        <v>0.17519999999999999</v>
      </c>
      <c r="I93">
        <f t="shared" ca="1" si="10"/>
        <v>7.456734006734007E-3</v>
      </c>
      <c r="J93">
        <f t="shared" ca="1" si="11"/>
        <v>0.23611414141414139</v>
      </c>
      <c r="L93">
        <f t="shared" ca="1" si="12"/>
        <v>7.4573461891643709E-3</v>
      </c>
      <c r="M93">
        <f t="shared" ca="1" si="13"/>
        <v>0.29659898989898986</v>
      </c>
      <c r="O93">
        <f t="shared" ca="1" si="14"/>
        <v>1.0854305800911459E-2</v>
      </c>
      <c r="P93">
        <f t="shared" ca="1" si="15"/>
        <v>-3.0943434343434328E-2</v>
      </c>
      <c r="R93">
        <f t="shared" ca="1" si="16"/>
        <v>9.970966360334052E-2</v>
      </c>
      <c r="S93">
        <f t="shared" ca="1" si="17"/>
        <v>0.87303131313131321</v>
      </c>
    </row>
    <row r="94" spans="1:19" x14ac:dyDescent="0.35">
      <c r="A94">
        <f ca="1"/>
        <v>-0.5</v>
      </c>
      <c r="B94">
        <f ca="1"/>
        <v>7.4799999999999997E-3</v>
      </c>
      <c r="C94">
        <f t="shared" ca="1" si="9"/>
        <v>7.5089474896623161E-3</v>
      </c>
      <c r="D94">
        <f ca="1"/>
        <v>0.186</v>
      </c>
      <c r="I94">
        <f t="shared" ca="1" si="10"/>
        <v>7.4554545454545455E-3</v>
      </c>
      <c r="J94">
        <f t="shared" ca="1" si="11"/>
        <v>0.23867272727272723</v>
      </c>
      <c r="L94">
        <f t="shared" ca="1" si="12"/>
        <v>7.4559504132231409E-3</v>
      </c>
      <c r="M94">
        <f t="shared" ca="1" si="13"/>
        <v>0.29310909090909087</v>
      </c>
      <c r="O94">
        <f t="shared" ca="1" si="14"/>
        <v>1.0405735815402503E-2</v>
      </c>
      <c r="P94">
        <f t="shared" ca="1" si="15"/>
        <v>-2.7009090909090927E-2</v>
      </c>
      <c r="R94">
        <f t="shared" ca="1" si="16"/>
        <v>0.10174185491161253</v>
      </c>
      <c r="S94">
        <f t="shared" ca="1" si="17"/>
        <v>0.87601818181818181</v>
      </c>
    </row>
    <row r="95" spans="1:19" x14ac:dyDescent="0.35">
      <c r="A95">
        <f ca="1"/>
        <v>-0.45</v>
      </c>
      <c r="B95">
        <f ca="1"/>
        <v>7.4700000000000001E-3</v>
      </c>
      <c r="C95">
        <f t="shared" ca="1" si="9"/>
        <v>7.4931940142974945E-3</v>
      </c>
      <c r="D95">
        <f ca="1"/>
        <v>0.19689999999999999</v>
      </c>
      <c r="I95">
        <f t="shared" ca="1" si="10"/>
        <v>7.454309764309764E-3</v>
      </c>
      <c r="J95">
        <f t="shared" ca="1" si="11"/>
        <v>0.24123131313131307</v>
      </c>
      <c r="L95">
        <f t="shared" ca="1" si="12"/>
        <v>7.4547015610651971E-3</v>
      </c>
      <c r="M95">
        <f t="shared" ca="1" si="13"/>
        <v>0.28961919191919194</v>
      </c>
      <c r="O95">
        <f t="shared" ca="1" si="14"/>
        <v>9.9958634755419416E-3</v>
      </c>
      <c r="P95">
        <f t="shared" ca="1" si="15"/>
        <v>-2.307474747474747E-2</v>
      </c>
      <c r="R95">
        <f t="shared" ca="1" si="16"/>
        <v>0.1037963496812661</v>
      </c>
      <c r="S95">
        <f t="shared" ca="1" si="17"/>
        <v>0.87900505050505051</v>
      </c>
    </row>
    <row r="96" spans="1:19" x14ac:dyDescent="0.35">
      <c r="A96">
        <f ca="1"/>
        <v>-0.4</v>
      </c>
      <c r="B96">
        <f ca="1"/>
        <v>7.4700000000000001E-3</v>
      </c>
      <c r="C96">
        <f t="shared" ca="1" si="9"/>
        <v>7.479995843262149E-3</v>
      </c>
      <c r="D96">
        <f ca="1"/>
        <v>0.2077</v>
      </c>
      <c r="I96">
        <f t="shared" ca="1" si="10"/>
        <v>7.4532996632996635E-3</v>
      </c>
      <c r="J96">
        <f t="shared" ca="1" si="11"/>
        <v>0.24378989898989895</v>
      </c>
      <c r="L96">
        <f t="shared" ca="1" si="12"/>
        <v>7.4535996326905414E-3</v>
      </c>
      <c r="M96">
        <f t="shared" ca="1" si="13"/>
        <v>0.2861292929292929</v>
      </c>
      <c r="O96">
        <f t="shared" ca="1" si="14"/>
        <v>9.6246887813297866E-3</v>
      </c>
      <c r="P96">
        <f t="shared" ca="1" si="15"/>
        <v>-1.9140404040404013E-2</v>
      </c>
      <c r="R96">
        <f t="shared" ca="1" si="16"/>
        <v>0.10587314791230118</v>
      </c>
      <c r="S96">
        <f t="shared" ca="1" si="17"/>
        <v>0.88199191919191922</v>
      </c>
    </row>
    <row r="97" spans="1:19" x14ac:dyDescent="0.35">
      <c r="A97">
        <f ca="1"/>
        <v>-0.35</v>
      </c>
      <c r="B97">
        <f ca="1"/>
        <v>7.4700000000000001E-3</v>
      </c>
      <c r="C97">
        <f t="shared" ca="1" si="9"/>
        <v>7.4691973396877756E-3</v>
      </c>
      <c r="D97">
        <f ca="1"/>
        <v>0.2185</v>
      </c>
      <c r="I97">
        <f t="shared" ca="1" si="10"/>
        <v>7.4524242424242422E-3</v>
      </c>
      <c r="J97">
        <f t="shared" ca="1" si="11"/>
        <v>0.24634848484848482</v>
      </c>
      <c r="L97">
        <f t="shared" ca="1" si="12"/>
        <v>7.4526446280991738E-3</v>
      </c>
      <c r="M97">
        <f t="shared" ca="1" si="13"/>
        <v>0.28263939393939397</v>
      </c>
      <c r="O97">
        <f t="shared" ca="1" si="14"/>
        <v>9.2922117327660387E-3</v>
      </c>
      <c r="P97">
        <f t="shared" ca="1" si="15"/>
        <v>-1.5206060606060612E-2</v>
      </c>
      <c r="R97">
        <f t="shared" ca="1" si="16"/>
        <v>0.10797224960471777</v>
      </c>
      <c r="S97">
        <f t="shared" ca="1" si="17"/>
        <v>0.88497878787878792</v>
      </c>
    </row>
    <row r="98" spans="1:19" x14ac:dyDescent="0.35">
      <c r="A98">
        <f ca="1"/>
        <v>-0.3</v>
      </c>
      <c r="B98">
        <f ca="1"/>
        <v>7.4700000000000001E-3</v>
      </c>
      <c r="C98">
        <f t="shared" ca="1" si="9"/>
        <v>7.4607985035743734E-3</v>
      </c>
      <c r="D98">
        <f ca="1"/>
        <v>0.2293</v>
      </c>
      <c r="I98">
        <f t="shared" ca="1" si="10"/>
        <v>7.4516835016835018E-3</v>
      </c>
      <c r="J98">
        <f t="shared" ca="1" si="11"/>
        <v>0.24890707070707069</v>
      </c>
      <c r="L98">
        <f t="shared" ca="1" si="12"/>
        <v>7.4518365472910925E-3</v>
      </c>
      <c r="M98">
        <f t="shared" ca="1" si="13"/>
        <v>0.27914949494949493</v>
      </c>
      <c r="O98">
        <f t="shared" ca="1" si="14"/>
        <v>8.9984323298506891E-3</v>
      </c>
      <c r="P98">
        <f t="shared" ca="1" si="15"/>
        <v>-1.1271717171717155E-2</v>
      </c>
      <c r="R98">
        <f t="shared" ca="1" si="16"/>
        <v>0.1100936547585158</v>
      </c>
      <c r="S98">
        <f t="shared" ca="1" si="17"/>
        <v>0.88796565656565662</v>
      </c>
    </row>
    <row r="99" spans="1:19" x14ac:dyDescent="0.35">
      <c r="A99">
        <f ca="1"/>
        <v>-0.25</v>
      </c>
      <c r="B99">
        <f ca="1"/>
        <v>7.4599999999999996E-3</v>
      </c>
      <c r="C99">
        <f t="shared" ca="1" si="9"/>
        <v>7.4547993349219441E-3</v>
      </c>
      <c r="D99">
        <f ca="1"/>
        <v>0.24010000000000001</v>
      </c>
      <c r="I99">
        <f t="shared" ca="1" si="10"/>
        <v>7.4510774410774415E-3</v>
      </c>
      <c r="J99">
        <f t="shared" ca="1" si="11"/>
        <v>0.25146565656565656</v>
      </c>
      <c r="L99">
        <f t="shared" ca="1" si="12"/>
        <v>7.4511753902662993E-3</v>
      </c>
      <c r="M99">
        <f t="shared" ca="1" si="13"/>
        <v>0.27565959595959594</v>
      </c>
      <c r="O99">
        <f t="shared" ca="1" si="14"/>
        <v>8.7433505725837465E-3</v>
      </c>
      <c r="P99">
        <f t="shared" ca="1" si="15"/>
        <v>-7.3373737373737535E-3</v>
      </c>
      <c r="R99">
        <f t="shared" ca="1" si="16"/>
        <v>0.11223736337369528</v>
      </c>
      <c r="S99">
        <f t="shared" ca="1" si="17"/>
        <v>0.89095252525252522</v>
      </c>
    </row>
    <row r="100" spans="1:19" x14ac:dyDescent="0.35">
      <c r="A100">
        <f ca="1"/>
        <v>-0.2</v>
      </c>
      <c r="B100">
        <f ca="1"/>
        <v>7.4599999999999996E-3</v>
      </c>
      <c r="C100">
        <f t="shared" ca="1" si="9"/>
        <v>7.4511998337304861E-3</v>
      </c>
      <c r="D100">
        <f ca="1"/>
        <v>0.25090000000000001</v>
      </c>
      <c r="I100">
        <f t="shared" ca="1" si="10"/>
        <v>7.4506060606060603E-3</v>
      </c>
      <c r="J100">
        <f t="shared" ca="1" si="11"/>
        <v>0.25402424242424237</v>
      </c>
      <c r="L100">
        <f t="shared" ca="1" si="12"/>
        <v>7.4506611570247933E-3</v>
      </c>
      <c r="M100">
        <f t="shared" ca="1" si="13"/>
        <v>0.27216969696969695</v>
      </c>
      <c r="O100">
        <f t="shared" ca="1" si="14"/>
        <v>8.5269664609652004E-3</v>
      </c>
      <c r="P100">
        <f t="shared" ca="1" si="15"/>
        <v>-3.4030303030302411E-3</v>
      </c>
      <c r="R100">
        <f t="shared" ca="1" si="16"/>
        <v>0.11440337545025639</v>
      </c>
      <c r="S100">
        <f t="shared" ca="1" si="17"/>
        <v>0.89393939393939403</v>
      </c>
    </row>
    <row r="101" spans="1:19" x14ac:dyDescent="0.35">
      <c r="A101">
        <f ca="1"/>
        <v>-0.15</v>
      </c>
      <c r="B101">
        <f ca="1"/>
        <v>7.45E-3</v>
      </c>
      <c r="C101">
        <f t="shared" ca="1" si="9"/>
        <v>7.45E-3</v>
      </c>
      <c r="D101">
        <f ca="1"/>
        <v>0.26169999999999999</v>
      </c>
      <c r="I101">
        <f t="shared" ca="1" si="10"/>
        <v>7.4502693602693602E-3</v>
      </c>
      <c r="J101">
        <f t="shared" ca="1" si="11"/>
        <v>0.25658282828282825</v>
      </c>
      <c r="L101">
        <f t="shared" ca="1" si="12"/>
        <v>7.4502938475665753E-3</v>
      </c>
      <c r="M101">
        <f t="shared" ca="1" si="13"/>
        <v>0.26867979797979796</v>
      </c>
      <c r="O101">
        <f t="shared" ca="1" si="14"/>
        <v>8.3492799949950649E-3</v>
      </c>
      <c r="P101">
        <f t="shared" ca="1" si="15"/>
        <v>5.3131313131316027E-4</v>
      </c>
      <c r="R101">
        <f t="shared" ca="1" si="16"/>
        <v>0.11659169098819884</v>
      </c>
      <c r="S101">
        <f t="shared" ca="1" si="17"/>
        <v>0.89692626262626263</v>
      </c>
    </row>
    <row r="102" spans="1:19" x14ac:dyDescent="0.35">
      <c r="A102">
        <f ca="1"/>
        <v>-0.1</v>
      </c>
      <c r="B102">
        <f ca="1"/>
        <v>7.4599999999999996E-3</v>
      </c>
      <c r="C102">
        <f t="shared" ca="1" si="9"/>
        <v>7.4506905640224427E-3</v>
      </c>
      <c r="D102">
        <f ca="1"/>
        <v>0.27239999999999998</v>
      </c>
      <c r="I102">
        <f t="shared" ca="1" si="10"/>
        <v>7.4500673400673401E-3</v>
      </c>
      <c r="J102">
        <f t="shared" ca="1" si="11"/>
        <v>0.25914141414141412</v>
      </c>
      <c r="L102">
        <f t="shared" ca="1" si="12"/>
        <v>7.4500734618916436E-3</v>
      </c>
      <c r="M102">
        <f t="shared" ca="1" si="13"/>
        <v>0.26518989898989903</v>
      </c>
      <c r="O102">
        <f t="shared" ca="1" si="14"/>
        <v>8.2102911746733311E-3</v>
      </c>
      <c r="P102">
        <f t="shared" ca="1" si="15"/>
        <v>4.4656565656565617E-3</v>
      </c>
      <c r="R102">
        <f t="shared" ca="1" si="16"/>
        <v>0.11880230998752286</v>
      </c>
      <c r="S102">
        <f t="shared" ca="1" si="17"/>
        <v>0.89991313131313133</v>
      </c>
    </row>
    <row r="103" spans="1:19" x14ac:dyDescent="0.35">
      <c r="A103">
        <f ca="1"/>
        <v>-0.05</v>
      </c>
      <c r="B103">
        <f ca="1"/>
        <v>7.4599999999999996E-3</v>
      </c>
      <c r="C103">
        <f t="shared" ca="1" si="9"/>
        <v>7.4527881318837818E-3</v>
      </c>
      <c r="D103">
        <f ca="1"/>
        <v>0.28320000000000001</v>
      </c>
      <c r="I103">
        <f t="shared" ca="1" si="10"/>
        <v>7.45E-3</v>
      </c>
      <c r="J103">
        <f t="shared" ca="1" si="11"/>
        <v>0.26169999999999999</v>
      </c>
      <c r="L103">
        <f t="shared" ca="1" si="12"/>
        <v>7.45E-3</v>
      </c>
      <c r="M103">
        <f t="shared" ca="1" si="13"/>
        <v>0.26169999999999999</v>
      </c>
      <c r="O103">
        <f t="shared" ca="1" si="14"/>
        <v>8.1099999999999974E-3</v>
      </c>
      <c r="P103">
        <f t="shared" ca="1" si="15"/>
        <v>8.4000000000000741E-3</v>
      </c>
      <c r="R103">
        <f t="shared" ca="1" si="16"/>
        <v>0.12103523244822836</v>
      </c>
      <c r="S103">
        <f t="shared" ca="1" si="17"/>
        <v>0.90290000000000004</v>
      </c>
    </row>
    <row r="104" spans="1:19" x14ac:dyDescent="0.35">
      <c r="A104">
        <f ca="1"/>
        <v>0</v>
      </c>
      <c r="B104">
        <f ca="1"/>
        <v>7.4599999999999996E-3</v>
      </c>
      <c r="C104">
        <f t="shared" ca="1" si="9"/>
        <v>7.4562538597347326E-3</v>
      </c>
      <c r="D104">
        <f ca="1"/>
        <v>0.29389999999999999</v>
      </c>
    </row>
    <row r="105" spans="1:19" x14ac:dyDescent="0.35">
      <c r="A105">
        <f ca="1"/>
        <v>0.05</v>
      </c>
      <c r="B105">
        <f ca="1"/>
        <v>7.4599999999999996E-3</v>
      </c>
      <c r="C105">
        <f t="shared" ca="1" si="9"/>
        <v>7.4611525275351271E-3</v>
      </c>
      <c r="D105">
        <f ca="1"/>
        <v>0.30470000000000003</v>
      </c>
    </row>
    <row r="106" spans="1:19" x14ac:dyDescent="0.35">
      <c r="A106">
        <f ca="1"/>
        <v>0.1</v>
      </c>
      <c r="B106">
        <f ca="1"/>
        <v>7.4599999999999996E-3</v>
      </c>
      <c r="C106">
        <f t="shared" ca="1" si="9"/>
        <v>7.4674582594909536E-3</v>
      </c>
      <c r="D106">
        <f ca="1"/>
        <v>0.3155</v>
      </c>
    </row>
    <row r="107" spans="1:19" x14ac:dyDescent="0.35">
      <c r="A107">
        <f ca="1"/>
        <v>0.15</v>
      </c>
      <c r="B107">
        <f ca="1"/>
        <v>7.45E-3</v>
      </c>
      <c r="C107">
        <f t="shared" ca="1" si="9"/>
        <v>7.4750931869540359E-3</v>
      </c>
      <c r="D107">
        <f ca="1"/>
        <v>0.32619999999999999</v>
      </c>
    </row>
    <row r="108" spans="1:19" x14ac:dyDescent="0.35">
      <c r="A108">
        <f ca="1"/>
        <v>0.2</v>
      </c>
      <c r="B108">
        <f ca="1"/>
        <v>7.4599999999999996E-3</v>
      </c>
      <c r="C108">
        <f t="shared" ca="1" si="9"/>
        <v>7.484200018848918E-3</v>
      </c>
      <c r="D108">
        <f ca="1"/>
        <v>0.33700000000000002</v>
      </c>
    </row>
    <row r="109" spans="1:19" x14ac:dyDescent="0.35">
      <c r="A109">
        <f ca="1"/>
        <v>0.25</v>
      </c>
      <c r="B109">
        <f ca="1"/>
        <v>7.4700000000000001E-3</v>
      </c>
      <c r="C109">
        <f t="shared" ca="1" si="9"/>
        <v>7.4946101101405083E-3</v>
      </c>
      <c r="D109">
        <f ca="1"/>
        <v>0.34770000000000001</v>
      </c>
    </row>
    <row r="110" spans="1:19" x14ac:dyDescent="0.35">
      <c r="A110">
        <f ca="1"/>
        <v>0.3</v>
      </c>
      <c r="B110">
        <f ca="1"/>
        <v>7.4799999999999997E-3</v>
      </c>
      <c r="C110">
        <f t="shared" ca="1" si="9"/>
        <v>7.506518041974445E-3</v>
      </c>
      <c r="D110">
        <f ca="1"/>
        <v>0.35849999999999999</v>
      </c>
    </row>
    <row r="111" spans="1:19" x14ac:dyDescent="0.35">
      <c r="A111">
        <f ca="1"/>
        <v>0.35</v>
      </c>
      <c r="B111">
        <f ca="1"/>
        <v>7.4900000000000001E-3</v>
      </c>
      <c r="C111">
        <f t="shared" ca="1" si="9"/>
        <v>7.5198330379638145E-3</v>
      </c>
      <c r="D111">
        <f ca="1"/>
        <v>0.36930000000000002</v>
      </c>
    </row>
    <row r="112" spans="1:19" x14ac:dyDescent="0.35">
      <c r="A112">
        <f ca="1"/>
        <v>0.4</v>
      </c>
      <c r="B112">
        <f ca="1"/>
        <v>7.4999999999999997E-3</v>
      </c>
      <c r="C112">
        <f t="shared" ca="1" si="9"/>
        <v>7.5345550981086159E-3</v>
      </c>
      <c r="D112">
        <f ca="1"/>
        <v>0.38009999999999999</v>
      </c>
    </row>
    <row r="113" spans="1:4" x14ac:dyDescent="0.35">
      <c r="A113">
        <f ca="1"/>
        <v>0.45</v>
      </c>
      <c r="B113">
        <f ca="1"/>
        <v>7.5100000000000002E-3</v>
      </c>
      <c r="C113">
        <f t="shared" ca="1" si="9"/>
        <v>7.5506842224088502E-3</v>
      </c>
      <c r="D113">
        <f ca="1"/>
        <v>0.39090000000000003</v>
      </c>
    </row>
    <row r="114" spans="1:4" x14ac:dyDescent="0.35">
      <c r="A114">
        <f ca="1"/>
        <v>0.5</v>
      </c>
      <c r="B114">
        <f ca="1"/>
        <v>7.5199999999999998E-3</v>
      </c>
      <c r="C114">
        <f t="shared" ca="1" si="9"/>
        <v>7.5682204108645165E-3</v>
      </c>
      <c r="D114">
        <f ca="1"/>
        <v>0.4017</v>
      </c>
    </row>
    <row r="115" spans="1:4" x14ac:dyDescent="0.35">
      <c r="A115">
        <f ca="1"/>
        <v>0.55000000000000004</v>
      </c>
      <c r="B115">
        <f ca="1"/>
        <v>7.5399999999999998E-3</v>
      </c>
      <c r="C115">
        <f t="shared" ca="1" si="9"/>
        <v>7.5871636634756148E-3</v>
      </c>
      <c r="D115">
        <f ca="1"/>
        <v>0.41249999999999998</v>
      </c>
    </row>
    <row r="116" spans="1:4" x14ac:dyDescent="0.35">
      <c r="A116">
        <f ca="1"/>
        <v>0.6</v>
      </c>
      <c r="B116">
        <f ca="1"/>
        <v>7.5700000000000003E-3</v>
      </c>
      <c r="C116">
        <f t="shared" ca="1" si="9"/>
        <v>7.6067351731273075E-3</v>
      </c>
      <c r="D116">
        <f ca="1"/>
        <v>0.4229</v>
      </c>
    </row>
    <row r="117" spans="1:4" x14ac:dyDescent="0.35">
      <c r="A117">
        <f ca="1"/>
        <v>0.65</v>
      </c>
      <c r="B117">
        <f ca="1"/>
        <v>7.62E-3</v>
      </c>
      <c r="C117">
        <f t="shared" ca="1" si="9"/>
        <v>7.6274045040535645E-3</v>
      </c>
      <c r="D117">
        <f ca="1"/>
        <v>0.43319999999999997</v>
      </c>
    </row>
    <row r="118" spans="1:4" x14ac:dyDescent="0.35">
      <c r="A118">
        <f ca="1"/>
        <v>0.7</v>
      </c>
      <c r="B118">
        <f ca="1"/>
        <v>7.6499999999999997E-3</v>
      </c>
      <c r="C118">
        <f t="shared" ca="1" si="9"/>
        <v>7.650231840010388E-3</v>
      </c>
      <c r="D118">
        <f ca="1"/>
        <v>0.44390000000000002</v>
      </c>
    </row>
    <row r="119" spans="1:4" x14ac:dyDescent="0.35">
      <c r="A119">
        <f ca="1"/>
        <v>0.75</v>
      </c>
      <c r="B119">
        <f ca="1"/>
        <v>7.6800000000000002E-3</v>
      </c>
      <c r="C119">
        <f t="shared" ca="1" si="9"/>
        <v>7.674440304012097E-3</v>
      </c>
      <c r="D119">
        <f ca="1"/>
        <v>0.4546</v>
      </c>
    </row>
    <row r="120" spans="1:4" x14ac:dyDescent="0.35">
      <c r="A120">
        <f ca="1"/>
        <v>0.8</v>
      </c>
      <c r="B120">
        <f ca="1"/>
        <v>7.7099999999999998E-3</v>
      </c>
      <c r="C120">
        <f t="shared" ca="1" si="9"/>
        <v>7.7000298960586914E-3</v>
      </c>
      <c r="D120">
        <f ca="1"/>
        <v>0.46529999999999999</v>
      </c>
    </row>
    <row r="121" spans="1:4" x14ac:dyDescent="0.35">
      <c r="A121">
        <f ca="1"/>
        <v>0.85</v>
      </c>
      <c r="B121">
        <f ca="1"/>
        <v>7.7299999999999999E-3</v>
      </c>
      <c r="C121">
        <f t="shared" ca="1" si="9"/>
        <v>7.7270006161501712E-3</v>
      </c>
      <c r="D121">
        <f ca="1"/>
        <v>0.47599999999999998</v>
      </c>
    </row>
    <row r="122" spans="1:4" x14ac:dyDescent="0.35">
      <c r="A122">
        <f ca="1"/>
        <v>0.9</v>
      </c>
      <c r="B122">
        <f ca="1"/>
        <v>7.7600000000000004E-3</v>
      </c>
      <c r="C122">
        <f t="shared" ca="1" si="9"/>
        <v>7.7558955543780804E-3</v>
      </c>
      <c r="D122">
        <f ca="1"/>
        <v>0.4869</v>
      </c>
    </row>
    <row r="123" spans="1:4" x14ac:dyDescent="0.35">
      <c r="A123">
        <f ca="1"/>
        <v>0.95</v>
      </c>
      <c r="B123">
        <f ca="1"/>
        <v>7.7799999999999996E-3</v>
      </c>
      <c r="C123">
        <f t="shared" ca="1" si="9"/>
        <v>7.7862237341381124E-3</v>
      </c>
      <c r="D123">
        <f ca="1"/>
        <v>0.49780000000000002</v>
      </c>
    </row>
    <row r="124" spans="1:4" x14ac:dyDescent="0.35">
      <c r="A124">
        <f ca="1"/>
        <v>1</v>
      </c>
      <c r="B124">
        <f ca="1"/>
        <v>7.8100000000000001E-3</v>
      </c>
      <c r="C124">
        <f t="shared" ca="1" si="9"/>
        <v>7.8179851554302689E-3</v>
      </c>
      <c r="D124">
        <f ca="1"/>
        <v>0.50870000000000004</v>
      </c>
    </row>
    <row r="125" spans="1:4" x14ac:dyDescent="0.35">
      <c r="A125">
        <f ca="1"/>
        <v>1.05</v>
      </c>
      <c r="B125">
        <f ca="1"/>
        <v>7.8399999999999997E-3</v>
      </c>
      <c r="C125">
        <f t="shared" ca="1" si="9"/>
        <v>7.851179818254549E-3</v>
      </c>
      <c r="D125">
        <f ca="1"/>
        <v>0.51959999999999995</v>
      </c>
    </row>
    <row r="126" spans="1:4" x14ac:dyDescent="0.35">
      <c r="A126">
        <f ca="1"/>
        <v>1.1000000000000001</v>
      </c>
      <c r="B126">
        <f ca="1"/>
        <v>7.8700000000000003E-3</v>
      </c>
      <c r="C126">
        <f t="shared" ca="1" si="9"/>
        <v>7.8858077226109519E-3</v>
      </c>
      <c r="D126">
        <f ca="1"/>
        <v>0.53049999999999997</v>
      </c>
    </row>
    <row r="127" spans="1:4" x14ac:dyDescent="0.35">
      <c r="A127">
        <f ca="1"/>
        <v>1.1499999999999999</v>
      </c>
      <c r="B127">
        <f ca="1"/>
        <v>7.9100000000000004E-3</v>
      </c>
      <c r="C127">
        <f t="shared" ca="1" si="9"/>
        <v>7.9215315181127635E-3</v>
      </c>
      <c r="D127">
        <f ca="1"/>
        <v>0.5413</v>
      </c>
    </row>
    <row r="128" spans="1:4" x14ac:dyDescent="0.35">
      <c r="A128">
        <f ca="1"/>
        <v>1.2</v>
      </c>
      <c r="B128">
        <f ca="1"/>
        <v>7.9500000000000005E-3</v>
      </c>
      <c r="C128">
        <f t="shared" ca="1" si="9"/>
        <v>7.9590127565285322E-3</v>
      </c>
      <c r="D128">
        <f ca="1"/>
        <v>0.55220000000000002</v>
      </c>
    </row>
    <row r="129" spans="1:4" x14ac:dyDescent="0.35">
      <c r="A129">
        <f ca="1"/>
        <v>1.25</v>
      </c>
      <c r="B129">
        <f ca="1"/>
        <v>7.9900000000000006E-3</v>
      </c>
      <c r="C129">
        <f t="shared" ca="1" si="9"/>
        <v>7.9982908848729058E-3</v>
      </c>
      <c r="D129">
        <f ca="1"/>
        <v>0.56320000000000003</v>
      </c>
    </row>
    <row r="130" spans="1:4" x14ac:dyDescent="0.35">
      <c r="A130">
        <f ca="1"/>
        <v>1.3</v>
      </c>
      <c r="B130">
        <f ca="1"/>
        <v>8.0300000000000007E-3</v>
      </c>
      <c r="C130">
        <f t="shared" ca="1" si="9"/>
        <v>8.0390286733922397E-3</v>
      </c>
      <c r="D130">
        <f ca="1"/>
        <v>0.57420000000000004</v>
      </c>
    </row>
    <row r="131" spans="1:4" x14ac:dyDescent="0.35">
      <c r="A131">
        <f ca="1"/>
        <v>1.35</v>
      </c>
      <c r="B131">
        <f ca="1"/>
        <v>8.0700000000000008E-3</v>
      </c>
      <c r="C131">
        <f t="shared" ca="1" si="9"/>
        <v>8.081226122086534E-3</v>
      </c>
      <c r="D131">
        <f ca="1"/>
        <v>0.58520000000000005</v>
      </c>
    </row>
    <row r="132" spans="1:4" x14ac:dyDescent="0.35">
      <c r="A132">
        <f ca="1"/>
        <v>1.4</v>
      </c>
      <c r="B132">
        <f ca="1"/>
        <v>8.1200000000000005E-3</v>
      </c>
      <c r="C132">
        <f t="shared" ca="1" si="9"/>
        <v>8.1248832309557869E-3</v>
      </c>
      <c r="D132">
        <f ca="1"/>
        <v>0.59619999999999995</v>
      </c>
    </row>
    <row r="133" spans="1:4" x14ac:dyDescent="0.35">
      <c r="A133">
        <f ca="1"/>
        <v>1.45</v>
      </c>
      <c r="B133">
        <f ca="1"/>
        <v>8.1700000000000002E-3</v>
      </c>
      <c r="C133">
        <f t="shared" ref="C133:C196" ca="1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>8.1700000000000002E-3</v>
      </c>
      <c r="D133">
        <f ca="1"/>
        <v>0.60719999999999996</v>
      </c>
    </row>
    <row r="134" spans="1:4" x14ac:dyDescent="0.35">
      <c r="A134">
        <f ca="1"/>
        <v>1.5</v>
      </c>
      <c r="B134">
        <f ca="1"/>
        <v>8.2299999999999995E-3</v>
      </c>
      <c r="C134">
        <f t="shared" ca="1" si="18"/>
        <v>8.4500025488186987E-3</v>
      </c>
      <c r="D134">
        <f ca="1"/>
        <v>0.61809999999999998</v>
      </c>
    </row>
    <row r="135" spans="1:4" x14ac:dyDescent="0.35">
      <c r="A135">
        <f ca="1"/>
        <v>1.55</v>
      </c>
      <c r="B135">
        <f ca="1"/>
        <v>8.3099999999999997E-3</v>
      </c>
      <c r="C135">
        <f t="shared" ca="1" si="18"/>
        <v>9.0270300976373966E-3</v>
      </c>
      <c r="D135">
        <f ca="1"/>
        <v>0.629</v>
      </c>
    </row>
    <row r="136" spans="1:4" x14ac:dyDescent="0.35">
      <c r="A136">
        <f ca="1"/>
        <v>1.6</v>
      </c>
      <c r="B136">
        <f ca="1"/>
        <v>8.3899999999999999E-3</v>
      </c>
      <c r="C136">
        <f t="shared" ca="1" si="18"/>
        <v>9.8730511542867664E-3</v>
      </c>
      <c r="D136">
        <f ca="1"/>
        <v>0.63959999999999995</v>
      </c>
    </row>
    <row r="137" spans="1:4" x14ac:dyDescent="0.35">
      <c r="A137">
        <f ca="1"/>
        <v>1.65</v>
      </c>
      <c r="B137">
        <f ca="1"/>
        <v>8.4899999999999993E-3</v>
      </c>
      <c r="C137">
        <f t="shared" ca="1" si="18"/>
        <v>1.0988028380213042E-2</v>
      </c>
      <c r="D137">
        <f ca="1"/>
        <v>0.65010000000000001</v>
      </c>
    </row>
    <row r="138" spans="1:4" x14ac:dyDescent="0.35">
      <c r="A138">
        <f ca="1"/>
        <v>1.7</v>
      </c>
      <c r="B138">
        <f ca="1"/>
        <v>8.6099999999999996E-3</v>
      </c>
      <c r="C138">
        <f t="shared" ca="1" si="18"/>
        <v>1.2335074113969986E-2</v>
      </c>
      <c r="D138">
        <f ca="1"/>
        <v>0.6603</v>
      </c>
    </row>
    <row r="139" spans="1:4" x14ac:dyDescent="0.35">
      <c r="A139">
        <f ca="1"/>
        <v>1.75</v>
      </c>
      <c r="B139">
        <f ca="1"/>
        <v>8.7500000000000008E-3</v>
      </c>
      <c r="C139">
        <f t="shared" ca="1" si="18"/>
        <v>1.3908207186280717E-2</v>
      </c>
      <c r="D139">
        <f ca="1"/>
        <v>0.67030000000000001</v>
      </c>
    </row>
    <row r="140" spans="1:4" x14ac:dyDescent="0.35">
      <c r="A140">
        <f ca="1"/>
        <v>1.8</v>
      </c>
      <c r="B140">
        <f ca="1"/>
        <v>8.9099999999999995E-3</v>
      </c>
      <c r="C140">
        <f t="shared" ca="1" si="18"/>
        <v>1.5634246104975904E-2</v>
      </c>
      <c r="D140">
        <f ca="1"/>
        <v>0.67979999999999996</v>
      </c>
    </row>
    <row r="141" spans="1:4" x14ac:dyDescent="0.35">
      <c r="A141">
        <f ca="1"/>
        <v>1.85</v>
      </c>
      <c r="B141">
        <f ca="1"/>
        <v>9.0900000000000009E-3</v>
      </c>
      <c r="C141">
        <f t="shared" ca="1" si="18"/>
        <v>1.7520828531501772E-2</v>
      </c>
      <c r="D141">
        <f ca="1"/>
        <v>0.68899999999999995</v>
      </c>
    </row>
    <row r="142" spans="1:4" x14ac:dyDescent="0.35">
      <c r="A142">
        <f ca="1"/>
        <v>1.9</v>
      </c>
      <c r="B142">
        <f ca="1"/>
        <v>9.2999999999999992E-3</v>
      </c>
      <c r="C142">
        <f t="shared" ca="1" si="18"/>
        <v>1.9523385635135226E-2</v>
      </c>
      <c r="D142">
        <f ca="1"/>
        <v>0.69779999999999998</v>
      </c>
    </row>
    <row r="143" spans="1:4" x14ac:dyDescent="0.35">
      <c r="A143">
        <f ca="1"/>
        <v>1.95</v>
      </c>
      <c r="B143">
        <f ca="1"/>
        <v>9.5200000000000007E-3</v>
      </c>
      <c r="C143">
        <f t="shared" ca="1" si="18"/>
        <v>2.1615517415876258E-2</v>
      </c>
      <c r="D143">
        <f ca="1"/>
        <v>0.70620000000000005</v>
      </c>
    </row>
    <row r="144" spans="1:4" x14ac:dyDescent="0.35">
      <c r="A144">
        <f ca="1"/>
        <v>2</v>
      </c>
      <c r="B144">
        <f ca="1"/>
        <v>9.7599999999999996E-3</v>
      </c>
      <c r="C144">
        <f t="shared" ca="1" si="18"/>
        <v>2.3827986535171056E-2</v>
      </c>
      <c r="D144">
        <f ca="1"/>
        <v>0.71440000000000003</v>
      </c>
    </row>
    <row r="145" spans="1:4" x14ac:dyDescent="0.35">
      <c r="A145">
        <f ca="1"/>
        <v>2.0499999999999998</v>
      </c>
      <c r="B145">
        <f ca="1"/>
        <v>1.0019999999999999E-2</v>
      </c>
      <c r="C145">
        <f t="shared" ca="1" si="18"/>
        <v>2.6178511823742746E-2</v>
      </c>
      <c r="D145">
        <f ca="1"/>
        <v>0.72250000000000003</v>
      </c>
    </row>
    <row r="146" spans="1:4" x14ac:dyDescent="0.35">
      <c r="A146">
        <f ca="1"/>
        <v>2.1</v>
      </c>
      <c r="B146">
        <f ca="1"/>
        <v>1.0290000000000001E-2</v>
      </c>
      <c r="C146">
        <f t="shared" ca="1" si="18"/>
        <v>2.8693062112314441E-2</v>
      </c>
      <c r="D146">
        <f ca="1"/>
        <v>0.73060000000000003</v>
      </c>
    </row>
    <row r="147" spans="1:4" x14ac:dyDescent="0.35">
      <c r="A147">
        <f ca="1"/>
        <v>2.15</v>
      </c>
      <c r="B147">
        <f ca="1"/>
        <v>1.0580000000000001E-2</v>
      </c>
      <c r="C147">
        <f t="shared" ca="1" si="18"/>
        <v>3.1439850062332339E-2</v>
      </c>
      <c r="D147">
        <f ca="1"/>
        <v>0.7389</v>
      </c>
    </row>
    <row r="148" spans="1:4" x14ac:dyDescent="0.35">
      <c r="A148">
        <f ca="1"/>
        <v>2.2000000000000002</v>
      </c>
      <c r="B148">
        <f ca="1"/>
        <v>1.0880000000000001E-2</v>
      </c>
      <c r="C148">
        <f t="shared" ca="1" si="18"/>
        <v>3.446759450451959E-2</v>
      </c>
      <c r="D148">
        <f ca="1"/>
        <v>0.74750000000000005</v>
      </c>
    </row>
    <row r="149" spans="1:4" x14ac:dyDescent="0.35">
      <c r="A149">
        <f ca="1"/>
        <v>2.25</v>
      </c>
      <c r="B149">
        <f ca="1"/>
        <v>1.12E-2</v>
      </c>
      <c r="C149">
        <f t="shared" ca="1" si="18"/>
        <v>3.7834164269599208E-2</v>
      </c>
      <c r="D149">
        <f ca="1"/>
        <v>0.75649999999999995</v>
      </c>
    </row>
    <row r="150" spans="1:4" x14ac:dyDescent="0.35">
      <c r="A150">
        <f ca="1"/>
        <v>2.2999999999999998</v>
      </c>
      <c r="B150">
        <f ca="1"/>
        <v>1.154E-2</v>
      </c>
      <c r="C150">
        <f t="shared" ca="1" si="18"/>
        <v>4.156655935757133E-2</v>
      </c>
      <c r="D150">
        <f ca="1"/>
        <v>0.76590000000000003</v>
      </c>
    </row>
    <row r="151" spans="1:4" x14ac:dyDescent="0.35">
      <c r="A151">
        <f ca="1"/>
        <v>2.35</v>
      </c>
      <c r="B151">
        <f ca="1"/>
        <v>1.1900000000000001E-2</v>
      </c>
      <c r="C151">
        <f t="shared" ca="1" si="18"/>
        <v>4.5692979768435803E-2</v>
      </c>
      <c r="D151">
        <f ca="1"/>
        <v>0.77569999999999995</v>
      </c>
    </row>
    <row r="152" spans="1:4" x14ac:dyDescent="0.35">
      <c r="A152">
        <f ca="1"/>
        <v>2.4</v>
      </c>
      <c r="B152">
        <f ca="1"/>
        <v>1.2290000000000001E-2</v>
      </c>
      <c r="C152">
        <f t="shared" ca="1" si="18"/>
        <v>5.0196956671469693E-2</v>
      </c>
      <c r="D152">
        <f ca="1"/>
        <v>0.78580000000000005</v>
      </c>
    </row>
    <row r="153" spans="1:4" x14ac:dyDescent="0.35">
      <c r="A153">
        <f ca="1"/>
        <v>2.4500000000000002</v>
      </c>
      <c r="B153">
        <f ca="1"/>
        <v>1.269E-2</v>
      </c>
      <c r="C153">
        <f t="shared" ca="1" si="18"/>
        <v>5.5052771235949739E-2</v>
      </c>
      <c r="D153">
        <f ca="1"/>
        <v>0.79610000000000003</v>
      </c>
    </row>
    <row r="154" spans="1:4" x14ac:dyDescent="0.35">
      <c r="A154">
        <f ca="1"/>
        <v>2.5</v>
      </c>
      <c r="B154">
        <f ca="1"/>
        <v>1.312E-2</v>
      </c>
      <c r="C154">
        <f t="shared" ca="1" si="18"/>
        <v>6.0224829631152887E-2</v>
      </c>
      <c r="D154">
        <f ca="1"/>
        <v>0.80649999999999999</v>
      </c>
    </row>
    <row r="155" spans="1:4" x14ac:dyDescent="0.35">
      <c r="A155">
        <f ca="1"/>
        <v>2.5499999999999998</v>
      </c>
      <c r="B155">
        <f ca="1"/>
        <v>1.358E-2</v>
      </c>
      <c r="C155">
        <f t="shared" ca="1" si="18"/>
        <v>6.5560075364909834E-2</v>
      </c>
      <c r="D155">
        <f ca="1"/>
        <v>0.81669999999999998</v>
      </c>
    </row>
    <row r="156" spans="1:4" x14ac:dyDescent="0.35">
      <c r="A156">
        <f ca="1"/>
        <v>2.6</v>
      </c>
      <c r="B156">
        <f ca="1"/>
        <v>1.4069999999999999E-2</v>
      </c>
      <c r="C156">
        <f t="shared" ca="1" si="18"/>
        <v>7.0987139606497454E-2</v>
      </c>
      <c r="D156">
        <f ca="1"/>
        <v>0.8266</v>
      </c>
    </row>
    <row r="157" spans="1:4" x14ac:dyDescent="0.35">
      <c r="A157">
        <f ca="1"/>
        <v>2.65</v>
      </c>
      <c r="B157">
        <f ca="1"/>
        <v>1.4579999999999999E-2</v>
      </c>
      <c r="C157">
        <f t="shared" ca="1" si="18"/>
        <v>7.6366884694469533E-2</v>
      </c>
      <c r="D157">
        <f ca="1"/>
        <v>0.83599999999999997</v>
      </c>
    </row>
    <row r="158" spans="1:4" x14ac:dyDescent="0.35">
      <c r="A158">
        <f ca="1"/>
        <v>2.7</v>
      </c>
      <c r="B158">
        <f ca="1"/>
        <v>1.511E-2</v>
      </c>
      <c r="C158">
        <f t="shared" ca="1" si="18"/>
        <v>8.1664060628826071E-2</v>
      </c>
      <c r="D158">
        <f ca="1"/>
        <v>0.84489999999999998</v>
      </c>
    </row>
    <row r="159" spans="1:4" x14ac:dyDescent="0.35">
      <c r="A159">
        <f ca="1"/>
        <v>2.75</v>
      </c>
      <c r="B159">
        <f ca="1"/>
        <v>1.567E-2</v>
      </c>
      <c r="C159">
        <f t="shared" ca="1" si="18"/>
        <v>8.6719879748120871E-2</v>
      </c>
      <c r="D159">
        <f ca="1"/>
        <v>0.85309999999999997</v>
      </c>
    </row>
    <row r="160" spans="1:4" x14ac:dyDescent="0.35">
      <c r="A160">
        <f ca="1"/>
        <v>2.8</v>
      </c>
      <c r="B160">
        <f ca="1"/>
        <v>1.6250000000000001E-2</v>
      </c>
      <c r="C160">
        <f t="shared" ca="1" si="18"/>
        <v>9.1620454713800162E-2</v>
      </c>
      <c r="D160">
        <f ca="1"/>
        <v>0.86080000000000001</v>
      </c>
    </row>
    <row r="161" spans="1:4" x14ac:dyDescent="0.35">
      <c r="A161">
        <f ca="1"/>
        <v>2.85</v>
      </c>
      <c r="B161">
        <f ca="1"/>
        <v>1.6840000000000001E-2</v>
      </c>
      <c r="C161">
        <f t="shared" ca="1" si="18"/>
        <v>9.6137804033694568E-2</v>
      </c>
      <c r="D161">
        <f ca="1"/>
        <v>0.86770000000000003</v>
      </c>
    </row>
    <row r="162" spans="1:4" x14ac:dyDescent="0.35">
      <c r="A162">
        <f ca="1"/>
        <v>2.9</v>
      </c>
      <c r="B162">
        <f ca="1"/>
        <v>1.746E-2</v>
      </c>
      <c r="C162">
        <f t="shared" ca="1" si="18"/>
        <v>0.10036629036925031</v>
      </c>
      <c r="D162">
        <f ca="1"/>
        <v>0.874</v>
      </c>
    </row>
    <row r="163" spans="1:4" x14ac:dyDescent="0.35">
      <c r="A163">
        <f ca="1"/>
        <v>2.95</v>
      </c>
      <c r="B163">
        <f ca="1"/>
        <v>1.8089999999999998E-2</v>
      </c>
      <c r="C163">
        <f t="shared" ca="1" si="18"/>
        <v>0.10420824488974438</v>
      </c>
      <c r="D163">
        <f ca="1"/>
        <v>0.87960000000000005</v>
      </c>
    </row>
    <row r="164" spans="1:4" x14ac:dyDescent="0.35">
      <c r="A164">
        <f ca="1"/>
        <v>3</v>
      </c>
      <c r="B164">
        <f ca="1"/>
        <v>1.873E-2</v>
      </c>
      <c r="C164">
        <f t="shared" ca="1" si="18"/>
        <v>0.10770481142589973</v>
      </c>
      <c r="D164">
        <f ca="1"/>
        <v>0.88460000000000005</v>
      </c>
    </row>
    <row r="165" spans="1:4" x14ac:dyDescent="0.35">
      <c r="A165">
        <f ca="1"/>
        <v>3.05</v>
      </c>
      <c r="B165">
        <f ca="1"/>
        <v>1.9390000000000001E-2</v>
      </c>
      <c r="C165">
        <f t="shared" ca="1" si="18"/>
        <v>0.11083348997771644</v>
      </c>
      <c r="D165">
        <f ca="1"/>
        <v>0.88900000000000001</v>
      </c>
    </row>
    <row r="166" spans="1:4" x14ac:dyDescent="0.35">
      <c r="A166">
        <f ca="1"/>
        <v>3.1</v>
      </c>
      <c r="B166">
        <f ca="1"/>
        <v>2.0070000000000001E-2</v>
      </c>
      <c r="C166">
        <f t="shared" ca="1" si="18"/>
        <v>0.11357448054519452</v>
      </c>
      <c r="D166">
        <f ca="1"/>
        <v>0.89280000000000004</v>
      </c>
    </row>
    <row r="167" spans="1:4" x14ac:dyDescent="0.35">
      <c r="A167">
        <f ca="1"/>
        <v>3.15</v>
      </c>
      <c r="B167">
        <f ca="1"/>
        <v>2.0760000000000001E-2</v>
      </c>
      <c r="C167">
        <f t="shared" ca="1" si="18"/>
        <v>0.11591068312833397</v>
      </c>
      <c r="D167">
        <f ca="1"/>
        <v>0.89600000000000002</v>
      </c>
    </row>
    <row r="168" spans="1:4" x14ac:dyDescent="0.35">
      <c r="A168">
        <f ca="1"/>
        <v>3.2</v>
      </c>
      <c r="B168">
        <f ca="1"/>
        <v>2.146E-2</v>
      </c>
      <c r="C168">
        <f t="shared" ca="1" si="18"/>
        <v>0.11782769772713468</v>
      </c>
      <c r="D168">
        <f ca="1"/>
        <v>0.89859999999999995</v>
      </c>
    </row>
    <row r="169" spans="1:4" x14ac:dyDescent="0.35">
      <c r="A169">
        <f ca="1"/>
        <v>3.25</v>
      </c>
      <c r="B169">
        <f ca="1"/>
        <v>2.2190000000000001E-2</v>
      </c>
      <c r="C169">
        <f t="shared" ca="1" si="18"/>
        <v>0.11938839317231992</v>
      </c>
      <c r="D169">
        <f ca="1"/>
        <v>0.90069999999999995</v>
      </c>
    </row>
    <row r="170" spans="1:4" x14ac:dyDescent="0.35">
      <c r="A170">
        <f ca="1"/>
        <v>3.3</v>
      </c>
      <c r="B170">
        <f ca="1"/>
        <v>2.2929999999999999E-2</v>
      </c>
      <c r="C170">
        <f t="shared" ca="1" si="18"/>
        <v>0.12043498180244351</v>
      </c>
      <c r="D170">
        <f ca="1"/>
        <v>0.90210000000000001</v>
      </c>
    </row>
    <row r="171" spans="1:4" x14ac:dyDescent="0.35">
      <c r="A171">
        <f ca="1"/>
        <v>3.35</v>
      </c>
      <c r="B171">
        <f ca="1"/>
        <v>2.3709999999999998E-2</v>
      </c>
      <c r="C171">
        <f t="shared" ca="1" si="18"/>
        <v>0.12103523244822836</v>
      </c>
      <c r="D171">
        <f ca="1"/>
        <v>0.90290000000000004</v>
      </c>
    </row>
    <row r="172" spans="1:4" x14ac:dyDescent="0.35">
      <c r="A172">
        <f ca="1"/>
        <v>3.4</v>
      </c>
      <c r="B172">
        <f ca="1"/>
        <v>2.4539999999999999E-2</v>
      </c>
      <c r="C172">
        <f t="shared" ca="1" si="18"/>
        <v>0.12080995095605898</v>
      </c>
      <c r="D172">
        <f ca="1"/>
        <v>0.90259999999999996</v>
      </c>
    </row>
    <row r="173" spans="1:4" x14ac:dyDescent="0.35">
      <c r="C173" t="str">
        <f t="shared" si="18"/>
        <v/>
      </c>
    </row>
    <row r="174" spans="1:4" x14ac:dyDescent="0.35">
      <c r="C174" t="str">
        <f t="shared" si="18"/>
        <v/>
      </c>
    </row>
    <row r="175" spans="1:4" x14ac:dyDescent="0.35">
      <c r="C175" t="str">
        <f t="shared" si="18"/>
        <v/>
      </c>
    </row>
    <row r="176" spans="1:4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zoomScale="70" zoomScaleNormal="70"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238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273</v>
      </c>
      <c r="Y29" t="s">
        <v>272</v>
      </c>
      <c r="Z29" t="s">
        <v>274</v>
      </c>
    </row>
    <row r="30" spans="1:26" x14ac:dyDescent="0.35">
      <c r="W30" s="18">
        <v>3000000</v>
      </c>
      <c r="X30">
        <v>8.1200000000000005E-3</v>
      </c>
      <c r="Y30">
        <f>W30*'A_CDCL(Re)'!$C$10+'A_CDCL(Re)'!$C$11</f>
        <v>8.9499999999999996E-3</v>
      </c>
      <c r="Z30">
        <f t="shared" ref="Z30:Z35" si="0">Y30-X30</f>
        <v>8.2999999999999914E-4</v>
      </c>
    </row>
    <row r="31" spans="1:26" x14ac:dyDescent="0.35">
      <c r="W31" s="18">
        <v>5000000</v>
      </c>
      <c r="X31">
        <v>7.45E-3</v>
      </c>
      <c r="Y31">
        <f>W31*'A_CDCL(Re)'!$C$10+'A_CDCL(Re)'!$C$11</f>
        <v>8.8500000000000002E-3</v>
      </c>
      <c r="Z31">
        <f t="shared" si="0"/>
        <v>1.4000000000000002E-3</v>
      </c>
    </row>
    <row r="32" spans="1:26" x14ac:dyDescent="0.35">
      <c r="W32" s="18">
        <v>10000000</v>
      </c>
      <c r="X32">
        <v>6.6600000000000001E-3</v>
      </c>
      <c r="Y32">
        <f>W32*'A_CDCL(Re)'!$C$10+'A_CDCL(Re)'!$C$11</f>
        <v>8.6E-3</v>
      </c>
      <c r="Z32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>
        <f>W33*'A_CDCL(Re)'!$C$10+'A_CDCL(Re)'!$C$11</f>
        <v>8.0999999999999996E-3</v>
      </c>
      <c r="Z33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>
        <f>W34*'A_CDCL(Re)'!$C$10+'A_CDCL(Re)'!$C$11</f>
        <v>7.1000000000000004E-3</v>
      </c>
      <c r="Z34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>
        <f>W35*'A_CDCL(Re)'!$C$10+'A_CDCL(Re)'!$C$11</f>
        <v>6.1000000000000004E-3</v>
      </c>
      <c r="Z35">
        <f t="shared" si="0"/>
        <v>1.0100000000000005E-3</v>
      </c>
    </row>
    <row r="37" spans="23:28" x14ac:dyDescent="0.35">
      <c r="W37" s="8" t="s">
        <v>35</v>
      </c>
      <c r="X37" s="7" t="s">
        <v>275</v>
      </c>
      <c r="Y37" s="8" t="s">
        <v>38</v>
      </c>
      <c r="Z37" s="7" t="s">
        <v>276</v>
      </c>
      <c r="AA37" s="8" t="s">
        <v>47</v>
      </c>
      <c r="AB37" s="8" t="s">
        <v>277</v>
      </c>
    </row>
    <row r="38" spans="23:28" x14ac:dyDescent="0.35">
      <c r="W38">
        <v>9.0699999999999999E-3</v>
      </c>
      <c r="X38" s="6">
        <f t="shared" ref="X38:X43" si="1">W38+Z30</f>
        <v>9.8999999999999991E-3</v>
      </c>
      <c r="Y38">
        <v>8.1200000000000005E-3</v>
      </c>
      <c r="Z38" s="6">
        <f t="shared" ref="Z38:Z43" si="2">Y38+Z30</f>
        <v>8.9499999999999996E-3</v>
      </c>
      <c r="AA38">
        <v>8.94E-3</v>
      </c>
      <c r="AB38">
        <f t="shared" ref="AB38:AB43" si="3">AA38+Z30</f>
        <v>9.7699999999999992E-3</v>
      </c>
    </row>
    <row r="39" spans="23:28" x14ac:dyDescent="0.35">
      <c r="W39">
        <v>8.2299999999999995E-3</v>
      </c>
      <c r="X39" s="6">
        <f t="shared" si="1"/>
        <v>9.6299999999999997E-3</v>
      </c>
      <c r="Y39">
        <v>7.45E-3</v>
      </c>
      <c r="Z39" s="6">
        <f t="shared" si="2"/>
        <v>8.8500000000000002E-3</v>
      </c>
      <c r="AA39">
        <v>8.1700000000000002E-3</v>
      </c>
      <c r="AB39">
        <f t="shared" si="3"/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794B3-429B-400B-831D-EA630CE129E3}">
  <sheetPr codeName="Sheet38"/>
  <dimension ref="A1:I22"/>
  <sheetViews>
    <sheetView workbookViewId="0">
      <selection activeCell="C14" sqref="C14:I14"/>
    </sheetView>
  </sheetViews>
  <sheetFormatPr defaultRowHeight="14.5" x14ac:dyDescent="0.35"/>
  <cols>
    <col min="2" max="2" width="9.90625" bestFit="1" customWidth="1"/>
  </cols>
  <sheetData>
    <row r="1" spans="1:9" x14ac:dyDescent="0.35">
      <c r="A1" t="s">
        <v>236</v>
      </c>
      <c r="B1">
        <v>28</v>
      </c>
    </row>
    <row r="3" spans="1:9" x14ac:dyDescent="0.35">
      <c r="A3" t="s">
        <v>280</v>
      </c>
    </row>
    <row r="5" spans="1:9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</row>
    <row r="6" spans="1:9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</row>
    <row r="7" spans="1:9" x14ac:dyDescent="0.35">
      <c r="A7" s="44" t="s">
        <v>281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5.0542E-3</v>
      </c>
      <c r="I7" s="22">
        <v>5.0521000000000003E-3</v>
      </c>
    </row>
    <row r="8" spans="1:9" ht="14.5" customHeight="1" x14ac:dyDescent="0.35">
      <c r="A8" s="45"/>
      <c r="B8" s="6" t="s">
        <v>136</v>
      </c>
      <c r="C8">
        <v>0.22969000000000001</v>
      </c>
      <c r="D8">
        <v>3.175E-2</v>
      </c>
      <c r="E8">
        <v>8.1200000000000005E-3</v>
      </c>
      <c r="F8">
        <v>7.9900000000000006E-3</v>
      </c>
      <c r="G8">
        <v>7.9299999999999995E-3</v>
      </c>
      <c r="H8">
        <v>7.8899999999999994E-3</v>
      </c>
      <c r="I8">
        <v>7.7999999999999996E-3</v>
      </c>
    </row>
    <row r="9" spans="1:9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9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 s="45"/>
      <c r="B11" s="6" t="s">
        <v>232</v>
      </c>
      <c r="C11">
        <v>0.30085810503039012</v>
      </c>
      <c r="D11">
        <v>6.1949805030390111E-2</v>
      </c>
      <c r="E11">
        <v>2.5853905030390111E-2</v>
      </c>
      <c r="F11">
        <v>2.3014805030390106E-2</v>
      </c>
      <c r="G11">
        <v>2.2165105030390105E-2</v>
      </c>
      <c r="H11">
        <v>2.2118805030390105E-2</v>
      </c>
      <c r="I11">
        <v>2.2026705030390108E-2</v>
      </c>
    </row>
    <row r="12" spans="1:9" x14ac:dyDescent="0.35">
      <c r="A12" s="45"/>
      <c r="B12" s="6" t="s">
        <v>251</v>
      </c>
      <c r="C12">
        <v>0.84521847432606423</v>
      </c>
      <c r="D12">
        <v>4.1047881974393974</v>
      </c>
      <c r="E12">
        <v>9.8356835543222427</v>
      </c>
      <c r="F12">
        <v>11.049010764446473</v>
      </c>
      <c r="G12">
        <v>11.472574940374267</v>
      </c>
      <c r="H12">
        <v>11.496589810029727</v>
      </c>
      <c r="I12">
        <v>11.544660364388303</v>
      </c>
    </row>
    <row r="13" spans="1:9" x14ac:dyDescent="0.35">
      <c r="A13" s="45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0.99633230008967166</v>
      </c>
      <c r="I13">
        <v>0.99674644427331571</v>
      </c>
    </row>
    <row r="14" spans="1:9" x14ac:dyDescent="0.35">
      <c r="A14" s="46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0.2878</v>
      </c>
      <c r="I14" s="8">
        <v>0.28339999999999999</v>
      </c>
    </row>
    <row r="15" spans="1:9" x14ac:dyDescent="0.35">
      <c r="A15" s="44" t="s">
        <v>282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>
        <v>0.1204443</v>
      </c>
      <c r="I15" s="22">
        <v>0.1205527</v>
      </c>
    </row>
    <row r="16" spans="1:9" x14ac:dyDescent="0.35">
      <c r="A16" s="45"/>
      <c r="B16" t="s">
        <v>136</v>
      </c>
      <c r="C16" s="11">
        <v>1.0346500000000001</v>
      </c>
      <c r="D16">
        <v>0.86821000000000004</v>
      </c>
      <c r="E16">
        <v>0.85860000000000003</v>
      </c>
      <c r="F16">
        <v>0.86021000000000003</v>
      </c>
      <c r="G16">
        <v>0.86173</v>
      </c>
      <c r="H16">
        <v>0.85589000000000004</v>
      </c>
      <c r="I16">
        <v>0.85390999999999995</v>
      </c>
    </row>
    <row r="17" spans="1:9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45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H18">
        <v>4.0413247848057245E-3</v>
      </c>
      <c r="I18">
        <v>4.0413247848057245E-3</v>
      </c>
    </row>
    <row r="19" spans="1:9" x14ac:dyDescent="0.35">
      <c r="A19" s="45"/>
      <c r="B19" t="s">
        <v>232</v>
      </c>
      <c r="C19" s="11">
        <v>1.2336409298151958</v>
      </c>
      <c r="D19">
        <v>1.0246707298151958</v>
      </c>
      <c r="E19">
        <v>0.99846762981519588</v>
      </c>
      <c r="F19">
        <v>0.99555832981519587</v>
      </c>
      <c r="G19">
        <v>0.99536922981519582</v>
      </c>
      <c r="H19">
        <v>0.9895502298151958</v>
      </c>
      <c r="I19">
        <v>0.98767862981519572</v>
      </c>
    </row>
    <row r="20" spans="1:9" x14ac:dyDescent="0.35">
      <c r="A20" s="45"/>
      <c r="B20" t="s">
        <v>251</v>
      </c>
      <c r="C20" s="11">
        <v>0.97273037153506625</v>
      </c>
      <c r="D20">
        <v>1.1711079130916773</v>
      </c>
      <c r="E20">
        <v>1.2018416663363491</v>
      </c>
      <c r="F20">
        <v>1.2053537839643753</v>
      </c>
      <c r="G20">
        <v>1.205582776778017</v>
      </c>
      <c r="H20">
        <v>1.212672145227137</v>
      </c>
      <c r="I20">
        <v>1.2149700963202288</v>
      </c>
    </row>
    <row r="21" spans="1:9" x14ac:dyDescent="0.35">
      <c r="A21" s="45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H21">
        <v>0.93104673164865048</v>
      </c>
      <c r="I21">
        <v>0.93020954205678974</v>
      </c>
    </row>
    <row r="22" spans="1:9" x14ac:dyDescent="0.35">
      <c r="A22" s="46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>
        <v>1.4234</v>
      </c>
      <c r="I22" s="8">
        <v>1.3931</v>
      </c>
    </row>
  </sheetData>
  <mergeCells count="2">
    <mergeCell ref="A7:A14"/>
    <mergeCell ref="A15:A22"/>
  </mergeCells>
  <conditionalFormatting sqref="C12:K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9D75A-0E0E-43AE-BBC7-794BED850192}">
  <sheetPr codeName="Sheet39"/>
  <dimension ref="A1:Q22"/>
  <sheetViews>
    <sheetView workbookViewId="0">
      <selection activeCell="C14" sqref="C14"/>
    </sheetView>
  </sheetViews>
  <sheetFormatPr defaultRowHeight="14.5" x14ac:dyDescent="0.35"/>
  <cols>
    <col min="2" max="2" width="9.90625" bestFit="1" customWidth="1"/>
  </cols>
  <sheetData>
    <row r="1" spans="1:17" x14ac:dyDescent="0.35">
      <c r="A1" t="s">
        <v>236</v>
      </c>
      <c r="B1">
        <v>28</v>
      </c>
    </row>
    <row r="3" spans="1:17" x14ac:dyDescent="0.35">
      <c r="A3" t="s">
        <v>280</v>
      </c>
    </row>
    <row r="5" spans="1:17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0.26</v>
      </c>
      <c r="I5">
        <v>0.27</v>
      </c>
      <c r="J5">
        <v>0.28000000000000003</v>
      </c>
      <c r="K5">
        <v>0.28999999999999998</v>
      </c>
      <c r="L5">
        <v>0.3</v>
      </c>
      <c r="M5">
        <v>0.31</v>
      </c>
      <c r="N5">
        <v>0.32</v>
      </c>
      <c r="O5">
        <v>0.33</v>
      </c>
      <c r="P5">
        <v>0.34</v>
      </c>
      <c r="Q5">
        <v>0.35</v>
      </c>
    </row>
    <row r="6" spans="1:17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  <c r="J6" s="8">
        <v>-1</v>
      </c>
      <c r="K6" s="8">
        <v>-1</v>
      </c>
      <c r="L6" s="8">
        <v>-1</v>
      </c>
      <c r="M6" s="8">
        <v>-1</v>
      </c>
      <c r="N6" s="8">
        <v>-1</v>
      </c>
      <c r="O6" s="8">
        <v>-1</v>
      </c>
      <c r="P6" s="8">
        <v>-1</v>
      </c>
      <c r="Q6" s="8">
        <v>-1</v>
      </c>
    </row>
    <row r="7" spans="1:17" x14ac:dyDescent="0.35">
      <c r="A7" s="44" t="s">
        <v>281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5.0587999999999996E-3</v>
      </c>
      <c r="I7" s="22">
        <v>5.0574000000000001E-3</v>
      </c>
      <c r="J7" s="22">
        <v>5.0561E-3</v>
      </c>
      <c r="K7" s="22"/>
      <c r="L7" s="22">
        <v>5.0542E-3</v>
      </c>
      <c r="M7" s="22"/>
      <c r="N7" s="22"/>
      <c r="O7" s="22"/>
      <c r="P7" s="22"/>
      <c r="Q7" s="22">
        <v>5.0521000000000003E-3</v>
      </c>
    </row>
    <row r="8" spans="1:17" ht="14.5" customHeight="1" x14ac:dyDescent="0.35">
      <c r="A8" s="45"/>
      <c r="B8" s="6" t="s">
        <v>136</v>
      </c>
      <c r="C8">
        <v>0.25607000000000002</v>
      </c>
      <c r="D8">
        <v>4.6249999999999999E-2</v>
      </c>
      <c r="E8">
        <v>8.5500000000000003E-3</v>
      </c>
      <c r="F8">
        <v>7.1799999999999998E-3</v>
      </c>
      <c r="G8">
        <v>7.2300000000000003E-3</v>
      </c>
      <c r="H8">
        <v>7.2199999999999999E-3</v>
      </c>
      <c r="I8">
        <v>7.1900000000000002E-3</v>
      </c>
      <c r="J8">
        <v>7.2100000000000003E-3</v>
      </c>
      <c r="L8">
        <v>7.2100000000000003E-3</v>
      </c>
      <c r="Q8">
        <v>7.2399999999999999E-3</v>
      </c>
    </row>
    <row r="9" spans="1:17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L9">
        <v>0.01</v>
      </c>
      <c r="Q9">
        <v>0.01</v>
      </c>
    </row>
    <row r="10" spans="1:17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Q10">
        <v>0</v>
      </c>
    </row>
    <row r="11" spans="1:17" x14ac:dyDescent="0.35">
      <c r="A11" s="45"/>
      <c r="B11" s="6" t="s">
        <v>232</v>
      </c>
      <c r="C11">
        <v>0.32723810503039014</v>
      </c>
      <c r="D11">
        <v>7.6449805030390103E-2</v>
      </c>
      <c r="E11">
        <v>2.628390503039011E-2</v>
      </c>
      <c r="F11">
        <v>2.2204805030390108E-2</v>
      </c>
      <c r="G11">
        <v>2.1465105030390105E-2</v>
      </c>
      <c r="H11">
        <v>2.1453405030390109E-2</v>
      </c>
      <c r="I11">
        <v>2.1422005030390108E-2</v>
      </c>
      <c r="J11">
        <v>2.1440705030390108E-2</v>
      </c>
      <c r="L11">
        <v>2.1438805030390105E-2</v>
      </c>
      <c r="Q11">
        <v>2.146670503039011E-2</v>
      </c>
    </row>
    <row r="12" spans="1:17" x14ac:dyDescent="0.35">
      <c r="A12" s="45"/>
      <c r="B12" s="6" t="s">
        <v>251</v>
      </c>
      <c r="C12">
        <v>0.77708196146289721</v>
      </c>
      <c r="D12">
        <v>3.3262456120238917</v>
      </c>
      <c r="E12">
        <v>9.6747735250298508</v>
      </c>
      <c r="F12">
        <v>11.452063108610398</v>
      </c>
      <c r="G12">
        <v>11.846707862011131</v>
      </c>
      <c r="H12">
        <v>11.853168677056068</v>
      </c>
      <c r="I12">
        <v>11.8705428442235</v>
      </c>
      <c r="J12">
        <v>11.860189679489769</v>
      </c>
      <c r="L12">
        <v>11.861240781002149</v>
      </c>
      <c r="Q12">
        <v>11.845824879152213</v>
      </c>
    </row>
    <row r="13" spans="1:17" x14ac:dyDescent="0.35">
      <c r="A13" s="45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0.99542632859832769</v>
      </c>
      <c r="I13">
        <v>0.99570188458757825</v>
      </c>
      <c r="J13">
        <v>0.99595789464472995</v>
      </c>
      <c r="L13">
        <v>0.99633230008967166</v>
      </c>
      <c r="Q13">
        <v>0.99674644427331571</v>
      </c>
    </row>
    <row r="14" spans="1:17" x14ac:dyDescent="0.35">
      <c r="A14" s="46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0.29220000000000002</v>
      </c>
      <c r="I14" s="8">
        <v>0.29110000000000003</v>
      </c>
      <c r="J14" s="8">
        <v>0.28989999999999999</v>
      </c>
      <c r="K14" s="8"/>
      <c r="L14" s="8">
        <v>0.2878</v>
      </c>
      <c r="M14" s="8"/>
      <c r="N14" s="8"/>
      <c r="O14" s="8"/>
      <c r="P14" s="8"/>
      <c r="Q14" s="8">
        <v>0.28339999999999999</v>
      </c>
    </row>
    <row r="15" spans="1:17" x14ac:dyDescent="0.35">
      <c r="A15" s="44" t="s">
        <v>282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/>
      <c r="I15" s="22"/>
      <c r="J15" s="22"/>
      <c r="K15" s="22"/>
      <c r="L15" s="22">
        <v>0.1204443</v>
      </c>
      <c r="M15" s="22"/>
      <c r="N15" s="22"/>
      <c r="O15" s="22"/>
      <c r="P15" s="22"/>
      <c r="Q15" s="22">
        <v>0.1205527</v>
      </c>
    </row>
    <row r="16" spans="1:17" x14ac:dyDescent="0.35">
      <c r="A16" s="45"/>
      <c r="B16" t="s">
        <v>136</v>
      </c>
      <c r="C16" s="11">
        <v>1.0667</v>
      </c>
      <c r="D16">
        <v>0.88724000000000003</v>
      </c>
      <c r="E16">
        <v>0.87717000000000001</v>
      </c>
      <c r="F16">
        <v>0.87639</v>
      </c>
      <c r="G16">
        <v>0.87580999999999998</v>
      </c>
      <c r="L16">
        <v>0.87073999999999996</v>
      </c>
      <c r="Q16">
        <v>0.86738000000000004</v>
      </c>
    </row>
    <row r="17" spans="1:17" x14ac:dyDescent="0.35">
      <c r="A17" s="45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L17">
        <v>0.01</v>
      </c>
      <c r="Q17">
        <v>0.01</v>
      </c>
    </row>
    <row r="18" spans="1:17" x14ac:dyDescent="0.35">
      <c r="A18" s="45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L18">
        <v>4.0413247848057245E-3</v>
      </c>
      <c r="Q18">
        <v>4.0413247848057245E-3</v>
      </c>
    </row>
    <row r="19" spans="1:17" x14ac:dyDescent="0.35">
      <c r="A19" s="45"/>
      <c r="B19" t="s">
        <v>232</v>
      </c>
      <c r="C19" s="11">
        <v>1.2656909298151957</v>
      </c>
      <c r="D19">
        <v>1.0437007298151957</v>
      </c>
      <c r="E19">
        <v>1.0170376298151957</v>
      </c>
      <c r="F19">
        <v>1.0117383298151956</v>
      </c>
      <c r="G19">
        <v>1.0094492298151956</v>
      </c>
      <c r="L19">
        <v>1.0044002298151957</v>
      </c>
      <c r="Q19">
        <v>1.0011486298151957</v>
      </c>
    </row>
    <row r="20" spans="1:17" x14ac:dyDescent="0.35">
      <c r="A20" s="45"/>
      <c r="B20" t="s">
        <v>251</v>
      </c>
      <c r="C20" s="11">
        <v>0.94809875913009245</v>
      </c>
      <c r="D20">
        <v>1.1497548729437792</v>
      </c>
      <c r="E20">
        <v>1.1798973458022886</v>
      </c>
      <c r="F20">
        <v>1.1860774319177887</v>
      </c>
      <c r="G20">
        <v>1.1887670667891732</v>
      </c>
      <c r="L20">
        <v>1.1947428568597536</v>
      </c>
      <c r="Q20">
        <v>1.19862322562586</v>
      </c>
    </row>
    <row r="21" spans="1:17" x14ac:dyDescent="0.35">
      <c r="A21" s="45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L21">
        <v>0.93104673164865048</v>
      </c>
      <c r="Q21">
        <v>0.93020954205678974</v>
      </c>
    </row>
    <row r="22" spans="1:17" x14ac:dyDescent="0.35">
      <c r="A22" s="46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/>
      <c r="I22" s="8"/>
      <c r="J22" s="8"/>
      <c r="K22" s="8"/>
      <c r="L22" s="8">
        <v>1.4234</v>
      </c>
      <c r="M22" s="8"/>
      <c r="N22" s="8"/>
      <c r="O22" s="8"/>
      <c r="P22" s="8"/>
      <c r="Q22" s="8">
        <v>1.3931</v>
      </c>
    </row>
  </sheetData>
  <mergeCells count="2">
    <mergeCell ref="A7:A14"/>
    <mergeCell ref="A15:A22"/>
  </mergeCells>
  <conditionalFormatting sqref="C12:S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Q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3834-FA67-45C3-9745-47DC1C0FAA6D}">
  <sheetPr codeName="Sheet41"/>
  <dimension ref="A1:H14"/>
  <sheetViews>
    <sheetView workbookViewId="0">
      <selection activeCell="F6" sqref="F6:F14"/>
    </sheetView>
  </sheetViews>
  <sheetFormatPr defaultRowHeight="14.5" x14ac:dyDescent="0.35"/>
  <cols>
    <col min="2" max="2" width="9.90625" bestFit="1" customWidth="1"/>
  </cols>
  <sheetData>
    <row r="1" spans="1:8" x14ac:dyDescent="0.35">
      <c r="A1" t="s">
        <v>236</v>
      </c>
      <c r="B1">
        <v>28</v>
      </c>
    </row>
    <row r="2" spans="1:8" x14ac:dyDescent="0.35">
      <c r="A2" t="s">
        <v>233</v>
      </c>
      <c r="B2">
        <v>0.27</v>
      </c>
    </row>
    <row r="4" spans="1:8" x14ac:dyDescent="0.35">
      <c r="A4" t="s">
        <v>262</v>
      </c>
    </row>
    <row r="6" spans="1:8" x14ac:dyDescent="0.35">
      <c r="B6" s="7" t="s">
        <v>263</v>
      </c>
      <c r="C6" s="8">
        <v>-1</v>
      </c>
      <c r="D6" s="8">
        <v>-0.8</v>
      </c>
      <c r="E6" s="8">
        <v>-0.6</v>
      </c>
      <c r="F6" s="8">
        <v>-0.4</v>
      </c>
      <c r="G6" s="8">
        <v>-0.2</v>
      </c>
      <c r="H6" s="8">
        <v>0</v>
      </c>
    </row>
    <row r="7" spans="1:8" x14ac:dyDescent="0.35">
      <c r="A7" s="44" t="s">
        <v>281</v>
      </c>
      <c r="B7" s="23" t="s">
        <v>139</v>
      </c>
      <c r="C7" s="22">
        <v>5.0574000000000001E-3</v>
      </c>
      <c r="D7" s="22">
        <v>5.0549999999999996E-3</v>
      </c>
      <c r="E7" s="22">
        <v>5.0534999999999998E-3</v>
      </c>
      <c r="F7" s="22">
        <v>5.0528999999999999E-3</v>
      </c>
      <c r="G7" s="22">
        <v>5.0531999999999999E-3</v>
      </c>
      <c r="H7" s="22">
        <v>5.0545E-3</v>
      </c>
    </row>
    <row r="8" spans="1:8" ht="14.5" customHeight="1" x14ac:dyDescent="0.35">
      <c r="A8" s="45"/>
      <c r="B8" s="6" t="s">
        <v>136</v>
      </c>
      <c r="C8">
        <v>7.1900000000000002E-3</v>
      </c>
      <c r="D8">
        <v>7.1900000000000002E-3</v>
      </c>
      <c r="E8">
        <v>7.1900000000000002E-3</v>
      </c>
      <c r="F8">
        <v>7.1900000000000002E-3</v>
      </c>
      <c r="G8">
        <v>7.1900000000000002E-3</v>
      </c>
      <c r="H8">
        <v>7.1900000000000002E-3</v>
      </c>
    </row>
    <row r="9" spans="1:8" x14ac:dyDescent="0.35">
      <c r="A9" s="45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</row>
    <row r="10" spans="1:8" x14ac:dyDescent="0.35">
      <c r="A10" s="45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5">
      <c r="A11" s="45"/>
      <c r="B11" s="6" t="s">
        <v>232</v>
      </c>
      <c r="C11">
        <v>2.1422005030390108E-2</v>
      </c>
      <c r="D11">
        <v>2.1419605030390108E-2</v>
      </c>
      <c r="E11">
        <v>2.1418105030390107E-2</v>
      </c>
      <c r="F11">
        <v>2.141750503039011E-2</v>
      </c>
      <c r="G11">
        <v>2.1417805030390105E-2</v>
      </c>
      <c r="H11">
        <v>2.1419105030390108E-2</v>
      </c>
    </row>
    <row r="12" spans="1:8" x14ac:dyDescent="0.35">
      <c r="A12" s="45"/>
      <c r="B12" s="6" t="s">
        <v>251</v>
      </c>
      <c r="C12">
        <v>11.8705428442235</v>
      </c>
      <c r="D12">
        <v>11.871872901560492</v>
      </c>
      <c r="E12">
        <v>11.872704338764068</v>
      </c>
      <c r="F12">
        <v>11.873036946254675</v>
      </c>
      <c r="G12">
        <v>11.872870640179951</v>
      </c>
      <c r="H12">
        <v>11.872150034355833</v>
      </c>
    </row>
    <row r="13" spans="1:8" x14ac:dyDescent="0.35">
      <c r="A13" s="45"/>
      <c r="B13" s="6" t="s">
        <v>143</v>
      </c>
      <c r="C13">
        <v>0.99570188458757825</v>
      </c>
      <c r="D13">
        <v>0.99617462138738255</v>
      </c>
      <c r="E13">
        <v>0.99647030990664265</v>
      </c>
      <c r="F13">
        <v>0.99658863446995172</v>
      </c>
      <c r="G13">
        <v>0.99652946867593195</v>
      </c>
      <c r="H13">
        <v>0.99627316472711824</v>
      </c>
    </row>
    <row r="14" spans="1:8" x14ac:dyDescent="0.35">
      <c r="A14" s="46"/>
      <c r="B14" s="8" t="s">
        <v>33</v>
      </c>
      <c r="C14" s="20">
        <v>0.29110000000000003</v>
      </c>
      <c r="D14" s="8">
        <v>0.29239999999999999</v>
      </c>
      <c r="E14" s="8">
        <v>0.29409999999999997</v>
      </c>
      <c r="F14" s="8">
        <v>0.29609999999999997</v>
      </c>
      <c r="G14" s="8">
        <v>0.29809999999999998</v>
      </c>
      <c r="H14" s="8">
        <v>0.30009999999999998</v>
      </c>
    </row>
  </sheetData>
  <mergeCells count="1">
    <mergeCell ref="A7:A14"/>
  </mergeCells>
  <conditionalFormatting sqref="C12:Z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A2C8A-698F-4316-99C0-D8B20661C806}">
  <dimension ref="A1:D41"/>
  <sheetViews>
    <sheetView workbookViewId="0">
      <selection activeCell="C24" sqref="C24"/>
    </sheetView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-0.43144226308594874</v>
      </c>
      <c r="C2">
        <v>2.0762626491451074E-2</v>
      </c>
      <c r="D2">
        <v>-4.3673197945410268E-2</v>
      </c>
    </row>
    <row r="3" spans="1:4" x14ac:dyDescent="0.35">
      <c r="A3">
        <v>-2.8461538461538463</v>
      </c>
      <c r="B3">
        <v>-0.58922300842456532</v>
      </c>
      <c r="C3">
        <v>2.6731069783210458E-2</v>
      </c>
      <c r="D3">
        <v>1.8239105477614627E-2</v>
      </c>
    </row>
    <row r="4" spans="1:4" x14ac:dyDescent="0.35">
      <c r="A4">
        <v>-2.6923076923076925</v>
      </c>
      <c r="B4">
        <v>-0.56427096362307461</v>
      </c>
      <c r="C4">
        <v>2.3260958694217227E-2</v>
      </c>
      <c r="D4">
        <v>1.3031466384860654E-2</v>
      </c>
    </row>
    <row r="5" spans="1:4" x14ac:dyDescent="0.35">
      <c r="A5">
        <v>-2.5384615384615383</v>
      </c>
      <c r="B5">
        <v>-0.52433190992430678</v>
      </c>
      <c r="C5">
        <v>1.905273924792774E-2</v>
      </c>
      <c r="D5">
        <v>2.6375811470650038E-3</v>
      </c>
    </row>
    <row r="6" spans="1:4" x14ac:dyDescent="0.35">
      <c r="A6">
        <v>-2.3846153846153846</v>
      </c>
      <c r="B6">
        <v>-0.47928438417741526</v>
      </c>
      <c r="C6">
        <v>1.5102744564496237E-2</v>
      </c>
      <c r="D6">
        <v>-8.8972287952289869E-3</v>
      </c>
    </row>
    <row r="7" spans="1:4" x14ac:dyDescent="0.35">
      <c r="A7">
        <v>-2.2307692307692308</v>
      </c>
      <c r="B7">
        <v>-0.40969719286116341</v>
      </c>
      <c r="C7">
        <v>1.1359388654780304E-2</v>
      </c>
      <c r="D7">
        <v>-2.335548420036573E-2</v>
      </c>
    </row>
    <row r="8" spans="1:4" x14ac:dyDescent="0.35">
      <c r="A8">
        <v>-2.0769230769230766</v>
      </c>
      <c r="B8">
        <v>-0.35267298820868725</v>
      </c>
      <c r="C8">
        <v>1.0442078186554869E-2</v>
      </c>
      <c r="D8">
        <v>-2.7136095154784861E-2</v>
      </c>
    </row>
    <row r="9" spans="1:4" x14ac:dyDescent="0.35">
      <c r="A9">
        <v>-1.9230769230769229</v>
      </c>
      <c r="B9">
        <v>-0.33917479943798506</v>
      </c>
      <c r="C9">
        <v>9.0081445615526196E-3</v>
      </c>
      <c r="D9">
        <v>-3.0042331172385833E-2</v>
      </c>
    </row>
    <row r="10" spans="1:4" x14ac:dyDescent="0.35">
      <c r="A10">
        <v>-1.7692307692307692</v>
      </c>
      <c r="B10">
        <v>-0.25730083567386902</v>
      </c>
      <c r="C10">
        <v>9.9585825554046915E-3</v>
      </c>
      <c r="D10">
        <v>-2.5697651940130482E-2</v>
      </c>
    </row>
    <row r="11" spans="1:4" x14ac:dyDescent="0.35">
      <c r="A11">
        <v>-1.6153846153846154</v>
      </c>
      <c r="B11">
        <v>-0.21565355359848665</v>
      </c>
      <c r="C11">
        <v>8.8252393976860789E-3</v>
      </c>
      <c r="D11">
        <v>-2.9732361977470787E-2</v>
      </c>
    </row>
    <row r="12" spans="1:4" x14ac:dyDescent="0.35">
      <c r="A12">
        <v>-1.4615384615384615</v>
      </c>
      <c r="B12">
        <v>-0.17526853132933995</v>
      </c>
      <c r="C12">
        <v>7.972605116331067E-3</v>
      </c>
      <c r="D12">
        <v>-3.3564038999701416E-2</v>
      </c>
    </row>
    <row r="13" spans="1:4" x14ac:dyDescent="0.35">
      <c r="A13">
        <v>-1.3076923076923075</v>
      </c>
      <c r="B13">
        <v>-0.13551084580648445</v>
      </c>
      <c r="C13">
        <v>7.3836390638719494E-3</v>
      </c>
      <c r="D13">
        <v>-3.7048033482889244E-2</v>
      </c>
    </row>
    <row r="14" spans="1:4" x14ac:dyDescent="0.35">
      <c r="A14">
        <v>-1.1538461538461537</v>
      </c>
      <c r="B14">
        <v>-9.7860912382717866E-2</v>
      </c>
      <c r="C14">
        <v>6.9281899313163274E-3</v>
      </c>
      <c r="D14">
        <v>-4.0198908285218014E-2</v>
      </c>
    </row>
    <row r="15" spans="1:4" x14ac:dyDescent="0.35">
      <c r="A15">
        <v>-1</v>
      </c>
      <c r="B15">
        <v>-7.1653994179530445E-2</v>
      </c>
      <c r="C15">
        <v>6.6701551426987908E-3</v>
      </c>
      <c r="D15">
        <v>-4.281207889683001E-2</v>
      </c>
    </row>
    <row r="16" spans="1:4" x14ac:dyDescent="0.35">
      <c r="A16">
        <v>-0.84615384615384581</v>
      </c>
      <c r="B16">
        <v>-4.3341748871891642E-2</v>
      </c>
      <c r="C16">
        <v>6.5268971731127015E-3</v>
      </c>
      <c r="D16">
        <v>-4.5344250418544146E-2</v>
      </c>
    </row>
    <row r="17" spans="1:4" x14ac:dyDescent="0.35">
      <c r="A17">
        <v>-0.69230769230769207</v>
      </c>
      <c r="B17">
        <v>1.9754028165769075E-2</v>
      </c>
      <c r="C17">
        <v>6.5555805851805924E-3</v>
      </c>
      <c r="D17">
        <v>-4.9630504428660779E-2</v>
      </c>
    </row>
    <row r="18" spans="1:4" x14ac:dyDescent="0.35">
      <c r="A18">
        <v>-0.53846153846153832</v>
      </c>
      <c r="B18">
        <v>5.7143342476516784E-2</v>
      </c>
      <c r="C18">
        <v>6.5829098600688864E-3</v>
      </c>
      <c r="D18">
        <v>-5.2263388380061226E-2</v>
      </c>
    </row>
    <row r="19" spans="1:4" x14ac:dyDescent="0.35">
      <c r="A19">
        <v>-0.38461538461538458</v>
      </c>
      <c r="B19">
        <v>9.4095583116752798E-2</v>
      </c>
      <c r="C19">
        <v>6.6509869745660158E-3</v>
      </c>
      <c r="D19">
        <v>-5.4762183804841068E-2</v>
      </c>
    </row>
    <row r="20" spans="1:4" x14ac:dyDescent="0.35">
      <c r="A20">
        <v>-0.23076923076923084</v>
      </c>
      <c r="B20">
        <v>0.13073787698698214</v>
      </c>
      <c r="C20">
        <v>6.7426710283406046E-3</v>
      </c>
      <c r="D20">
        <v>-5.7141965699680317E-2</v>
      </c>
    </row>
    <row r="21" spans="1:4" x14ac:dyDescent="0.35">
      <c r="A21">
        <v>-7.692307692307665E-2</v>
      </c>
      <c r="B21">
        <v>0.16706677485444543</v>
      </c>
      <c r="C21">
        <v>6.8536416321900639E-3</v>
      </c>
      <c r="D21">
        <v>-5.9349507784447697E-2</v>
      </c>
    </row>
    <row r="22" spans="1:4" x14ac:dyDescent="0.35">
      <c r="A22">
        <v>7.6923076923077094E-2</v>
      </c>
      <c r="B22">
        <v>0.20307424174172303</v>
      </c>
      <c r="C22">
        <v>6.9801697013243307E-3</v>
      </c>
      <c r="D22">
        <v>-6.1325878568881394E-2</v>
      </c>
    </row>
    <row r="23" spans="1:4" x14ac:dyDescent="0.35">
      <c r="A23">
        <v>0.23076923076923084</v>
      </c>
      <c r="B23">
        <v>0.23880998984116422</v>
      </c>
      <c r="C23">
        <v>7.117210584767792E-3</v>
      </c>
      <c r="D23">
        <v>-6.3025548193745937E-2</v>
      </c>
    </row>
    <row r="24" spans="1:4" x14ac:dyDescent="0.35">
      <c r="A24">
        <v>0.38461538461538503</v>
      </c>
      <c r="B24">
        <v>0.27429806298704251</v>
      </c>
      <c r="C24">
        <v>7.2659379060358055E-3</v>
      </c>
      <c r="D24">
        <v>-6.4401804093141099E-2</v>
      </c>
    </row>
    <row r="25" spans="1:4" x14ac:dyDescent="0.35">
      <c r="A25">
        <v>0.53846153846153877</v>
      </c>
      <c r="B25">
        <v>0.30972468750384707</v>
      </c>
      <c r="C25">
        <v>7.4310495748494583E-3</v>
      </c>
      <c r="D25">
        <v>-6.5378400436983022E-2</v>
      </c>
    </row>
    <row r="26" spans="1:4" x14ac:dyDescent="0.35">
      <c r="A26">
        <v>0.69230769230769251</v>
      </c>
      <c r="B26">
        <v>0.34578666477345982</v>
      </c>
      <c r="C26">
        <v>7.6180228072061981E-3</v>
      </c>
      <c r="D26">
        <v>-6.6111188288632855E-2</v>
      </c>
    </row>
    <row r="27" spans="1:4" x14ac:dyDescent="0.35">
      <c r="A27">
        <v>0.84615384615384626</v>
      </c>
      <c r="B27">
        <v>0.38397319471285918</v>
      </c>
      <c r="C27">
        <v>7.8517765427252376E-3</v>
      </c>
      <c r="D27">
        <v>-6.6387325405793368E-2</v>
      </c>
    </row>
    <row r="28" spans="1:4" x14ac:dyDescent="0.35">
      <c r="A28">
        <v>1</v>
      </c>
      <c r="B28">
        <v>0.4055028801290273</v>
      </c>
      <c r="C28">
        <v>8.5795287022982607E-3</v>
      </c>
      <c r="D28">
        <v>-6.7149429474943026E-2</v>
      </c>
    </row>
    <row r="29" spans="1:4" x14ac:dyDescent="0.35">
      <c r="A29">
        <v>1.1538461538461542</v>
      </c>
      <c r="B29">
        <v>0.42140448753238241</v>
      </c>
      <c r="C29">
        <v>9.4588273047107093E-3</v>
      </c>
      <c r="D29">
        <v>-6.8727043658292006E-2</v>
      </c>
    </row>
    <row r="30" spans="1:4" x14ac:dyDescent="0.35">
      <c r="A30">
        <v>1.3076923076923084</v>
      </c>
      <c r="B30">
        <v>0.52887392418128387</v>
      </c>
      <c r="C30">
        <v>8.2857099344917431E-3</v>
      </c>
      <c r="D30">
        <v>-6.3019964516142585E-2</v>
      </c>
    </row>
    <row r="31" spans="1:4" x14ac:dyDescent="0.35">
      <c r="A31">
        <v>1.4615384615384617</v>
      </c>
      <c r="B31">
        <v>0.55832389508419411</v>
      </c>
      <c r="C31">
        <v>1.0000916953434979E-2</v>
      </c>
      <c r="D31">
        <v>-6.7340780720138771E-2</v>
      </c>
    </row>
    <row r="32" spans="1:4" x14ac:dyDescent="0.35">
      <c r="A32">
        <v>1.6153846153846159</v>
      </c>
      <c r="B32">
        <v>0.66970132936809146</v>
      </c>
      <c r="C32">
        <v>1.4480852393229483E-2</v>
      </c>
      <c r="D32">
        <v>-9.9396803045687168E-2</v>
      </c>
    </row>
    <row r="33" spans="1:4" x14ac:dyDescent="0.35">
      <c r="A33">
        <v>1.7692307692307692</v>
      </c>
      <c r="B33">
        <v>0.70104329287290401</v>
      </c>
      <c r="C33">
        <v>1.7956901088619311E-2</v>
      </c>
      <c r="D33">
        <v>-0.10686493044484262</v>
      </c>
    </row>
    <row r="34" spans="1:4" x14ac:dyDescent="0.35">
      <c r="A34">
        <v>1.9230769230769234</v>
      </c>
      <c r="B34">
        <v>0.72406825465833302</v>
      </c>
      <c r="C34">
        <v>2.1171446457157524E-2</v>
      </c>
      <c r="D34">
        <v>-0.11114249978642747</v>
      </c>
    </row>
    <row r="35" spans="1:4" x14ac:dyDescent="0.35">
      <c r="A35">
        <v>2.0769230769230775</v>
      </c>
      <c r="B35">
        <v>0.74296026523397884</v>
      </c>
      <c r="C35">
        <v>2.4252323296670767E-2</v>
      </c>
      <c r="D35">
        <v>-0.11384997796771559</v>
      </c>
    </row>
    <row r="36" spans="1:4" x14ac:dyDescent="0.35">
      <c r="A36">
        <v>2.2307692307692308</v>
      </c>
      <c r="B36">
        <v>0.75955406545833382</v>
      </c>
      <c r="C36">
        <v>2.7286932193483639E-2</v>
      </c>
      <c r="D36">
        <v>-0.11572477282218273</v>
      </c>
    </row>
    <row r="37" spans="1:4" x14ac:dyDescent="0.35">
      <c r="A37">
        <v>2.384615384615385</v>
      </c>
      <c r="B37">
        <v>0.77474184081758102</v>
      </c>
      <c r="C37">
        <v>3.0321477107374342E-2</v>
      </c>
      <c r="D37">
        <v>-0.11713278513201805</v>
      </c>
    </row>
    <row r="38" spans="1:4" x14ac:dyDescent="0.35">
      <c r="A38">
        <v>2.5384615384615383</v>
      </c>
      <c r="B38">
        <v>0.78904098182580407</v>
      </c>
      <c r="C38">
        <v>3.3376865509442653E-2</v>
      </c>
      <c r="D38">
        <v>-0.11828103048621676</v>
      </c>
    </row>
    <row r="39" spans="1:4" x14ac:dyDescent="0.35">
      <c r="A39">
        <v>2.6923076923076925</v>
      </c>
      <c r="B39">
        <v>0.80267343866219987</v>
      </c>
      <c r="C39">
        <v>3.6465741113041482E-2</v>
      </c>
      <c r="D39">
        <v>-0.11925351513330791</v>
      </c>
    </row>
    <row r="40" spans="1:4" x14ac:dyDescent="0.35">
      <c r="A40">
        <v>2.8461538461538467</v>
      </c>
      <c r="B40">
        <v>0.81584453603978579</v>
      </c>
      <c r="C40">
        <v>3.9597974905372917E-2</v>
      </c>
      <c r="D40">
        <v>-0.12012678172568467</v>
      </c>
    </row>
    <row r="41" spans="1:4" x14ac:dyDescent="0.35">
      <c r="A41">
        <v>3</v>
      </c>
      <c r="B41">
        <v>0.82869219788493276</v>
      </c>
      <c r="C41">
        <v>4.2779487482111266E-2</v>
      </c>
      <c r="D41">
        <v>-0.12096024912731877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6601-D314-4E78-A3EE-F318A636B435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-0.42083021423201933</v>
      </c>
      <c r="C2">
        <v>2.0322108750800306E-2</v>
      </c>
      <c r="D2">
        <v>-4.7580011961552329E-2</v>
      </c>
    </row>
    <row r="3" spans="1:4" x14ac:dyDescent="0.35">
      <c r="A3">
        <v>-2.8461538461538463</v>
      </c>
      <c r="B3">
        <v>-0.58782297806736072</v>
      </c>
      <c r="C3">
        <v>2.6711633114024632E-2</v>
      </c>
      <c r="D3">
        <v>1.7770433352965031E-2</v>
      </c>
    </row>
    <row r="4" spans="1:4" x14ac:dyDescent="0.35">
      <c r="A4">
        <v>-2.6923076923076925</v>
      </c>
      <c r="B4">
        <v>-0.56306919464117644</v>
      </c>
      <c r="C4">
        <v>2.3265118548082182E-2</v>
      </c>
      <c r="D4">
        <v>1.2663573483897328E-2</v>
      </c>
    </row>
    <row r="5" spans="1:4" x14ac:dyDescent="0.35">
      <c r="A5">
        <v>-2.5384615384615383</v>
      </c>
      <c r="B5">
        <v>-0.52375470803470281</v>
      </c>
      <c r="C5">
        <v>1.910797475440057E-2</v>
      </c>
      <c r="D5">
        <v>2.5268175358210574E-3</v>
      </c>
    </row>
    <row r="6" spans="1:4" x14ac:dyDescent="0.35">
      <c r="A6">
        <v>-2.3846153846153846</v>
      </c>
      <c r="B6">
        <v>-0.47656139537137532</v>
      </c>
      <c r="C6">
        <v>1.5042763332689392E-2</v>
      </c>
      <c r="D6">
        <v>-9.4603483330727121E-3</v>
      </c>
    </row>
    <row r="7" spans="1:4" x14ac:dyDescent="0.35">
      <c r="A7">
        <v>-2.2307692307692308</v>
      </c>
      <c r="B7">
        <v>-0.40510097821518182</v>
      </c>
      <c r="C7">
        <v>1.1401205154528372E-2</v>
      </c>
      <c r="D7">
        <v>-2.3929202148627652E-2</v>
      </c>
    </row>
    <row r="8" spans="1:4" x14ac:dyDescent="0.35">
      <c r="A8">
        <v>-2.0769230769230766</v>
      </c>
      <c r="B8">
        <v>-0.3542779474055231</v>
      </c>
      <c r="C8">
        <v>1.0361847812406634E-2</v>
      </c>
      <c r="D8">
        <v>-2.7442940634643163E-2</v>
      </c>
    </row>
    <row r="9" spans="1:4" x14ac:dyDescent="0.35">
      <c r="A9">
        <v>-1.9230769230769229</v>
      </c>
      <c r="B9">
        <v>-0.33881433551330647</v>
      </c>
      <c r="C9">
        <v>8.933018611031145E-3</v>
      </c>
      <c r="D9">
        <v>-3.0117749717291632E-2</v>
      </c>
    </row>
    <row r="10" spans="1:4" x14ac:dyDescent="0.35">
      <c r="A10">
        <v>-1.7692307692307692</v>
      </c>
      <c r="B10">
        <v>-0.25811757228139848</v>
      </c>
      <c r="C10">
        <v>1.0069947877170683E-2</v>
      </c>
      <c r="D10">
        <v>-2.5390157615278464E-2</v>
      </c>
    </row>
    <row r="11" spans="1:4" x14ac:dyDescent="0.35">
      <c r="A11">
        <v>-1.6153846153846154</v>
      </c>
      <c r="B11">
        <v>-0.21653509774393276</v>
      </c>
      <c r="C11">
        <v>8.9329447770615557E-3</v>
      </c>
      <c r="D11">
        <v>-2.9409270085662038E-2</v>
      </c>
    </row>
    <row r="12" spans="1:4" x14ac:dyDescent="0.35">
      <c r="A12">
        <v>-1.4615384615384615</v>
      </c>
      <c r="B12">
        <v>-0.1762240422790313</v>
      </c>
      <c r="C12">
        <v>8.0760300010114007E-3</v>
      </c>
      <c r="D12">
        <v>-3.3228482148027511E-2</v>
      </c>
    </row>
    <row r="13" spans="1:4" x14ac:dyDescent="0.35">
      <c r="A13">
        <v>-1.3076923076923075</v>
      </c>
      <c r="B13">
        <v>-0.13653214991604934</v>
      </c>
      <c r="C13">
        <v>7.4828079601462916E-3</v>
      </c>
      <c r="D13">
        <v>-3.6703290373635407E-2</v>
      </c>
    </row>
    <row r="14" spans="1:4" x14ac:dyDescent="0.35">
      <c r="A14">
        <v>-1.1538461538461537</v>
      </c>
      <c r="B14">
        <v>-0.1039763575166148</v>
      </c>
      <c r="C14">
        <v>7.0351449500067227E-3</v>
      </c>
      <c r="D14">
        <v>-3.953858287372207E-2</v>
      </c>
    </row>
    <row r="15" spans="1:4" x14ac:dyDescent="0.35">
      <c r="A15">
        <v>-1</v>
      </c>
      <c r="B15">
        <v>-7.394535795622055E-2</v>
      </c>
      <c r="C15">
        <v>6.7547242902346602E-3</v>
      </c>
      <c r="D15">
        <v>-4.2353996187708826E-2</v>
      </c>
    </row>
    <row r="16" spans="1:4" x14ac:dyDescent="0.35">
      <c r="A16">
        <v>-0.84615384615384581</v>
      </c>
      <c r="B16">
        <v>-2.5382394564130453E-2</v>
      </c>
      <c r="C16">
        <v>6.5975984812294032E-3</v>
      </c>
      <c r="D16">
        <v>-4.5826883518682034E-2</v>
      </c>
    </row>
    <row r="17" spans="1:4" x14ac:dyDescent="0.35">
      <c r="A17">
        <v>-0.69230769230769207</v>
      </c>
      <c r="B17">
        <v>1.8148289255492413E-2</v>
      </c>
      <c r="C17">
        <v>6.6350430483959073E-3</v>
      </c>
      <c r="D17">
        <v>-4.9198597331171628E-2</v>
      </c>
    </row>
    <row r="18" spans="1:4" x14ac:dyDescent="0.35">
      <c r="A18">
        <v>-0.53846153846153832</v>
      </c>
      <c r="B18">
        <v>5.5448650664399621E-2</v>
      </c>
      <c r="C18">
        <v>6.6629044923768388E-3</v>
      </c>
      <c r="D18">
        <v>-5.1810498600395202E-2</v>
      </c>
    </row>
    <row r="19" spans="1:4" x14ac:dyDescent="0.35">
      <c r="A19">
        <v>-0.38461538461538458</v>
      </c>
      <c r="B19">
        <v>9.273196347571197E-2</v>
      </c>
      <c r="C19">
        <v>6.7323846752301063E-3</v>
      </c>
      <c r="D19">
        <v>-5.4349581016191931E-2</v>
      </c>
    </row>
    <row r="20" spans="1:4" x14ac:dyDescent="0.35">
      <c r="A20">
        <v>-0.23076923076923084</v>
      </c>
      <c r="B20">
        <v>0.12931924772066694</v>
      </c>
      <c r="C20">
        <v>6.8220051546182417E-3</v>
      </c>
      <c r="D20">
        <v>-5.6717042865290508E-2</v>
      </c>
    </row>
    <row r="21" spans="1:4" x14ac:dyDescent="0.35">
      <c r="A21">
        <v>-7.692307692307665E-2</v>
      </c>
      <c r="B21">
        <v>0.16559597942174031</v>
      </c>
      <c r="C21">
        <v>6.931192248543599E-3</v>
      </c>
      <c r="D21">
        <v>-5.8914502582722399E-2</v>
      </c>
    </row>
    <row r="22" spans="1:4" x14ac:dyDescent="0.35">
      <c r="A22">
        <v>7.6923076923077094E-2</v>
      </c>
      <c r="B22">
        <v>0.20155212758793459</v>
      </c>
      <c r="C22">
        <v>7.0563524574415604E-3</v>
      </c>
      <c r="D22">
        <v>-6.0882800064836214E-2</v>
      </c>
    </row>
    <row r="23" spans="1:4" x14ac:dyDescent="0.35">
      <c r="A23">
        <v>0.23076923076923084</v>
      </c>
      <c r="B23">
        <v>0.23723202194437024</v>
      </c>
      <c r="C23">
        <v>7.1930446837552226E-3</v>
      </c>
      <c r="D23">
        <v>-6.2575563863606257E-2</v>
      </c>
    </row>
    <row r="24" spans="1:4" x14ac:dyDescent="0.35">
      <c r="A24">
        <v>0.38461538461538503</v>
      </c>
      <c r="B24">
        <v>0.27265840678516079</v>
      </c>
      <c r="C24">
        <v>7.34287487389804E-3</v>
      </c>
      <c r="D24">
        <v>-6.3951108223543329E-2</v>
      </c>
    </row>
    <row r="25" spans="1:4" x14ac:dyDescent="0.35">
      <c r="A25">
        <v>0.53846153846153877</v>
      </c>
      <c r="B25">
        <v>0.30802212367324533</v>
      </c>
      <c r="C25">
        <v>7.5079584144109252E-3</v>
      </c>
      <c r="D25">
        <v>-6.4919357472731337E-2</v>
      </c>
    </row>
    <row r="26" spans="1:4" x14ac:dyDescent="0.35">
      <c r="A26">
        <v>0.69230769230769251</v>
      </c>
      <c r="B26">
        <v>0.34396556179388288</v>
      </c>
      <c r="C26">
        <v>7.6977825058094111E-3</v>
      </c>
      <c r="D26">
        <v>-6.5639442136600668E-2</v>
      </c>
    </row>
    <row r="27" spans="1:4" x14ac:dyDescent="0.35">
      <c r="A27">
        <v>0.84615384615384626</v>
      </c>
      <c r="B27">
        <v>0.38192517886768268</v>
      </c>
      <c r="C27">
        <v>7.9331225891134359E-3</v>
      </c>
      <c r="D27">
        <v>-6.5906583475845701E-2</v>
      </c>
    </row>
    <row r="28" spans="1:4" x14ac:dyDescent="0.35">
      <c r="A28">
        <v>1</v>
      </c>
      <c r="B28">
        <v>0.41468742496219052</v>
      </c>
      <c r="C28">
        <v>8.3900694830101041E-3</v>
      </c>
      <c r="D28">
        <v>-6.6645535927323724E-2</v>
      </c>
    </row>
    <row r="29" spans="1:4" x14ac:dyDescent="0.35">
      <c r="A29">
        <v>1.1538461538461542</v>
      </c>
      <c r="B29">
        <v>0.4266187440293196</v>
      </c>
      <c r="C29">
        <v>9.2539840448335239E-3</v>
      </c>
      <c r="D29">
        <v>-6.8100589846784604E-2</v>
      </c>
    </row>
    <row r="30" spans="1:4" x14ac:dyDescent="0.35">
      <c r="A30">
        <v>1.3076923076923084</v>
      </c>
      <c r="B30">
        <v>0.52668943898037024</v>
      </c>
      <c r="C30">
        <v>8.3472863984607962E-3</v>
      </c>
      <c r="D30">
        <v>-6.2392258082920794E-2</v>
      </c>
    </row>
    <row r="31" spans="1:4" x14ac:dyDescent="0.35">
      <c r="A31">
        <v>1.4615384615384617</v>
      </c>
      <c r="B31">
        <v>0.55567533051889006</v>
      </c>
      <c r="C31">
        <v>1.0055512108113363E-2</v>
      </c>
      <c r="D31">
        <v>-6.6531503592099916E-2</v>
      </c>
    </row>
    <row r="32" spans="1:4" x14ac:dyDescent="0.35">
      <c r="A32">
        <v>1.6153846153846159</v>
      </c>
      <c r="B32">
        <v>0.66706362239774963</v>
      </c>
      <c r="C32">
        <v>1.441600807355848E-2</v>
      </c>
      <c r="D32">
        <v>-9.8260671718142262E-2</v>
      </c>
    </row>
    <row r="33" spans="1:4" x14ac:dyDescent="0.35">
      <c r="A33">
        <v>1.7692307692307692</v>
      </c>
      <c r="B33">
        <v>0.69889354192794018</v>
      </c>
      <c r="C33">
        <v>1.7892712177384956E-2</v>
      </c>
      <c r="D33">
        <v>-0.10590515072227437</v>
      </c>
    </row>
    <row r="34" spans="1:4" x14ac:dyDescent="0.35">
      <c r="A34">
        <v>1.9230769230769234</v>
      </c>
      <c r="B34">
        <v>0.72222589079116595</v>
      </c>
      <c r="C34">
        <v>2.1115820440743598E-2</v>
      </c>
      <c r="D34">
        <v>-0.11030300546842235</v>
      </c>
    </row>
    <row r="35" spans="1:4" x14ac:dyDescent="0.35">
      <c r="A35">
        <v>2.0769230769230775</v>
      </c>
      <c r="B35">
        <v>0.74118586419910759</v>
      </c>
      <c r="C35">
        <v>2.4195032557036731E-2</v>
      </c>
      <c r="D35">
        <v>-0.1130333517986514</v>
      </c>
    </row>
    <row r="36" spans="1:4" x14ac:dyDescent="0.35">
      <c r="A36">
        <v>2.2307692307692308</v>
      </c>
      <c r="B36">
        <v>0.75782411354274315</v>
      </c>
      <c r="C36">
        <v>2.723002138293459E-2</v>
      </c>
      <c r="D36">
        <v>-0.1149230725189079</v>
      </c>
    </row>
    <row r="37" spans="1:4" x14ac:dyDescent="0.35">
      <c r="A37">
        <v>2.384615384615385</v>
      </c>
      <c r="B37">
        <v>0.7730731209784466</v>
      </c>
      <c r="C37">
        <v>3.0264139549059151E-2</v>
      </c>
      <c r="D37">
        <v>-0.11635382851333055</v>
      </c>
    </row>
    <row r="38" spans="1:4" x14ac:dyDescent="0.35">
      <c r="A38">
        <v>2.5384615384615383</v>
      </c>
      <c r="B38">
        <v>0.78737440118181046</v>
      </c>
      <c r="C38">
        <v>3.3316683802203956E-2</v>
      </c>
      <c r="D38">
        <v>-0.11750202878628149</v>
      </c>
    </row>
    <row r="39" spans="1:4" x14ac:dyDescent="0.35">
      <c r="A39">
        <v>2.6923076923076925</v>
      </c>
      <c r="B39">
        <v>0.80101848895490535</v>
      </c>
      <c r="C39">
        <v>3.6403710829580764E-2</v>
      </c>
      <c r="D39">
        <v>-0.11847633817285139</v>
      </c>
    </row>
    <row r="40" spans="1:4" x14ac:dyDescent="0.35">
      <c r="A40">
        <v>2.8461538461538467</v>
      </c>
      <c r="B40">
        <v>0.81418365344525101</v>
      </c>
      <c r="C40">
        <v>3.9533264823241723E-2</v>
      </c>
      <c r="D40">
        <v>-0.11934609594151015</v>
      </c>
    </row>
    <row r="41" spans="1:4" x14ac:dyDescent="0.35">
      <c r="A41">
        <v>3</v>
      </c>
      <c r="B41">
        <v>0.82702231372413326</v>
      </c>
      <c r="C41">
        <v>4.2711089996875569E-2</v>
      </c>
      <c r="D41">
        <v>-0.12017225587007914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78D9F-2DC3-4FAC-8138-D8D62715870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-0.53470738358033898</v>
      </c>
      <c r="C2">
        <v>2.3964998670565028E-2</v>
      </c>
      <c r="D2">
        <v>-4.8593912553548425E-3</v>
      </c>
    </row>
    <row r="3" spans="1:4" x14ac:dyDescent="0.35">
      <c r="A3">
        <v>-2.8461538461538463</v>
      </c>
      <c r="B3">
        <v>-0.58605087186267424</v>
      </c>
      <c r="C3">
        <v>2.6683589706278474E-2</v>
      </c>
      <c r="D3">
        <v>1.7181274874358107E-2</v>
      </c>
    </row>
    <row r="4" spans="1:4" x14ac:dyDescent="0.35">
      <c r="A4">
        <v>-2.6923076923076925</v>
      </c>
      <c r="B4">
        <v>-0.56164227648541953</v>
      </c>
      <c r="C4">
        <v>2.3273007588051148E-2</v>
      </c>
      <c r="D4">
        <v>1.2228791320131204E-2</v>
      </c>
    </row>
    <row r="5" spans="1:4" x14ac:dyDescent="0.35">
      <c r="A5">
        <v>-2.5384615384615383</v>
      </c>
      <c r="B5">
        <v>-0.52305561278450208</v>
      </c>
      <c r="C5">
        <v>1.9175679791128178E-2</v>
      </c>
      <c r="D5">
        <v>2.3920394347365309E-3</v>
      </c>
    </row>
    <row r="6" spans="1:4" x14ac:dyDescent="0.35">
      <c r="A6">
        <v>-2.3846153846153846</v>
      </c>
      <c r="B6">
        <v>-0.46961346625596256</v>
      </c>
      <c r="C6">
        <v>1.4830067682238292E-2</v>
      </c>
      <c r="D6">
        <v>-1.1214619002430617E-2</v>
      </c>
    </row>
    <row r="7" spans="1:4" x14ac:dyDescent="0.35">
      <c r="A7">
        <v>-2.2307692307692308</v>
      </c>
      <c r="B7">
        <v>-0.40357165098273795</v>
      </c>
      <c r="C7">
        <v>1.1520817351331479E-2</v>
      </c>
      <c r="D7">
        <v>-2.393858630856675E-2</v>
      </c>
    </row>
    <row r="8" spans="1:4" x14ac:dyDescent="0.35">
      <c r="A8">
        <v>-2.0769230769230766</v>
      </c>
      <c r="B8">
        <v>-0.35532696266742114</v>
      </c>
      <c r="C8">
        <v>1.0655899363493437E-2</v>
      </c>
      <c r="D8">
        <v>-2.6601407546526408E-2</v>
      </c>
    </row>
    <row r="9" spans="1:4" x14ac:dyDescent="0.35">
      <c r="A9">
        <v>-1.9230769230769229</v>
      </c>
      <c r="B9">
        <v>-0.34416516714556461</v>
      </c>
      <c r="C9">
        <v>9.1942044362581278E-3</v>
      </c>
      <c r="D9">
        <v>-2.9067274672154371E-2</v>
      </c>
    </row>
    <row r="10" spans="1:4" x14ac:dyDescent="0.35">
      <c r="A10">
        <v>-1.7692307692307692</v>
      </c>
      <c r="B10">
        <v>-0.25910885354550439</v>
      </c>
      <c r="C10">
        <v>1.020639785129018E-2</v>
      </c>
      <c r="D10">
        <v>-2.5017020571324742E-2</v>
      </c>
    </row>
    <row r="11" spans="1:4" x14ac:dyDescent="0.35">
      <c r="A11">
        <v>-1.6153846153846154</v>
      </c>
      <c r="B11">
        <v>-0.21760780341215594</v>
      </c>
      <c r="C11">
        <v>9.0651259799192849E-3</v>
      </c>
      <c r="D11">
        <v>-2.9016317230088726E-2</v>
      </c>
    </row>
    <row r="12" spans="1:4" x14ac:dyDescent="0.35">
      <c r="A12">
        <v>-1.4615384615384615</v>
      </c>
      <c r="B12">
        <v>-0.17738827364302295</v>
      </c>
      <c r="C12">
        <v>8.2029899304453622E-3</v>
      </c>
      <c r="D12">
        <v>-3.281958932536308E-2</v>
      </c>
    </row>
    <row r="13" spans="1:4" x14ac:dyDescent="0.35">
      <c r="A13">
        <v>-1.3076923076923075</v>
      </c>
      <c r="B13">
        <v>-0.13777585051095248</v>
      </c>
      <c r="C13">
        <v>7.6044810530322676E-3</v>
      </c>
      <c r="D13">
        <v>-3.6283125967497956E-2</v>
      </c>
    </row>
    <row r="14" spans="1:4" x14ac:dyDescent="0.35">
      <c r="A14">
        <v>-1.1538461538461537</v>
      </c>
      <c r="B14">
        <v>-9.8435179132015313E-2</v>
      </c>
      <c r="C14">
        <v>7.1791124473193045E-3</v>
      </c>
      <c r="D14">
        <v>-3.9689228939970164E-2</v>
      </c>
    </row>
    <row r="15" spans="1:4" x14ac:dyDescent="0.35">
      <c r="A15">
        <v>-1</v>
      </c>
      <c r="B15">
        <v>-7.1569127701253329E-2</v>
      </c>
      <c r="C15">
        <v>6.8891163968171484E-3</v>
      </c>
      <c r="D15">
        <v>-4.2227465439969143E-2</v>
      </c>
    </row>
    <row r="16" spans="1:4" x14ac:dyDescent="0.35">
      <c r="A16">
        <v>-0.84615384615384581</v>
      </c>
      <c r="B16">
        <v>-3.8352624338435448E-2</v>
      </c>
      <c r="C16">
        <v>6.7263081536915788E-3</v>
      </c>
      <c r="D16">
        <v>-4.4980708590476197E-2</v>
      </c>
    </row>
    <row r="17" spans="1:4" x14ac:dyDescent="0.35">
      <c r="A17">
        <v>-0.69230769230769207</v>
      </c>
      <c r="B17">
        <v>1.306807311787204E-2</v>
      </c>
      <c r="C17">
        <v>6.7116146605929903E-3</v>
      </c>
      <c r="D17">
        <v>-4.8228426743369635E-2</v>
      </c>
    </row>
    <row r="18" spans="1:4" x14ac:dyDescent="0.35">
      <c r="A18">
        <v>-0.53846153846153832</v>
      </c>
      <c r="B18">
        <v>5.4242688998407319E-2</v>
      </c>
      <c r="C18">
        <v>6.7694098524046665E-3</v>
      </c>
      <c r="D18">
        <v>-5.1378177259359489E-2</v>
      </c>
    </row>
    <row r="19" spans="1:4" x14ac:dyDescent="0.35">
      <c r="A19">
        <v>-0.38461538461538458</v>
      </c>
      <c r="B19">
        <v>9.1071480345319283E-2</v>
      </c>
      <c r="C19">
        <v>6.8325133650434348E-3</v>
      </c>
      <c r="D19">
        <v>-5.3847212535349881E-2</v>
      </c>
    </row>
    <row r="20" spans="1:4" x14ac:dyDescent="0.35">
      <c r="A20">
        <v>-0.23076923076923084</v>
      </c>
      <c r="B20">
        <v>0.12759134237566494</v>
      </c>
      <c r="C20">
        <v>6.9196186221825943E-3</v>
      </c>
      <c r="D20">
        <v>-5.619953647162864E-2</v>
      </c>
    </row>
    <row r="21" spans="1:4" x14ac:dyDescent="0.35">
      <c r="A21">
        <v>-7.692307692307665E-2</v>
      </c>
      <c r="B21">
        <v>0.16380354467113248</v>
      </c>
      <c r="C21">
        <v>7.0266132535391854E-3</v>
      </c>
      <c r="D21">
        <v>-5.8384400088718938E-2</v>
      </c>
    </row>
    <row r="22" spans="1:4" x14ac:dyDescent="0.35">
      <c r="A22">
        <v>7.6923076923077094E-2</v>
      </c>
      <c r="B22">
        <v>0.19969727218310196</v>
      </c>
      <c r="C22">
        <v>7.1500649674733118E-3</v>
      </c>
      <c r="D22">
        <v>-6.0342831337131045E-2</v>
      </c>
    </row>
    <row r="23" spans="1:4" x14ac:dyDescent="0.35">
      <c r="A23">
        <v>0.23076923076923084</v>
      </c>
      <c r="B23">
        <v>0.23531097218389974</v>
      </c>
      <c r="C23">
        <v>7.2861787022746941E-3</v>
      </c>
      <c r="D23">
        <v>-6.2027462077440143E-2</v>
      </c>
    </row>
    <row r="24" spans="1:4" x14ac:dyDescent="0.35">
      <c r="A24">
        <v>0.38461538461538503</v>
      </c>
      <c r="B24">
        <v>0.27068243103745881</v>
      </c>
      <c r="C24">
        <v>7.4347231308695685E-3</v>
      </c>
      <c r="D24">
        <v>-6.339213492651577E-2</v>
      </c>
    </row>
    <row r="25" spans="1:4" x14ac:dyDescent="0.35">
      <c r="A25">
        <v>0.53846153846153877</v>
      </c>
      <c r="B25">
        <v>0.30595295068639972</v>
      </c>
      <c r="C25">
        <v>7.6022319372121335E-3</v>
      </c>
      <c r="D25">
        <v>-6.436113017423481E-2</v>
      </c>
    </row>
    <row r="26" spans="1:4" x14ac:dyDescent="0.35">
      <c r="A26">
        <v>0.69230769230769251</v>
      </c>
      <c r="B26">
        <v>0.34175941626654638</v>
      </c>
      <c r="C26">
        <v>7.7948525301397009E-3</v>
      </c>
      <c r="D26">
        <v>-6.5066811544736133E-2</v>
      </c>
    </row>
    <row r="27" spans="1:4" x14ac:dyDescent="0.35">
      <c r="A27">
        <v>0.84615384615384626</v>
      </c>
      <c r="B27">
        <v>0.37946774057443405</v>
      </c>
      <c r="C27">
        <v>8.0315976454391237E-3</v>
      </c>
      <c r="D27">
        <v>-6.5329325522279533E-2</v>
      </c>
    </row>
    <row r="28" spans="1:4" x14ac:dyDescent="0.35">
      <c r="A28">
        <v>1</v>
      </c>
      <c r="B28">
        <v>0.41378869602233964</v>
      </c>
      <c r="C28">
        <v>8.4254370013295068E-3</v>
      </c>
      <c r="D28">
        <v>-6.592401752067531E-2</v>
      </c>
    </row>
    <row r="29" spans="1:4" x14ac:dyDescent="0.35">
      <c r="A29">
        <v>1.1538461538461542</v>
      </c>
      <c r="B29">
        <v>0.42772511708062405</v>
      </c>
      <c r="C29">
        <v>9.4610696545862835E-3</v>
      </c>
      <c r="D29">
        <v>-6.7324600101377183E-2</v>
      </c>
    </row>
    <row r="30" spans="1:4" x14ac:dyDescent="0.35">
      <c r="A30">
        <v>1.3076923076923084</v>
      </c>
      <c r="B30">
        <v>0.52290542347801305</v>
      </c>
      <c r="C30">
        <v>8.4373883723288176E-3</v>
      </c>
      <c r="D30">
        <v>-6.1497349771307712E-2</v>
      </c>
    </row>
    <row r="31" spans="1:4" x14ac:dyDescent="0.35">
      <c r="A31">
        <v>1.4615384615384617</v>
      </c>
      <c r="B31">
        <v>0.55357997353297428</v>
      </c>
      <c r="C31">
        <v>1.009006081162275E-2</v>
      </c>
      <c r="D31">
        <v>-6.5725220659252431E-2</v>
      </c>
    </row>
    <row r="32" spans="1:4" x14ac:dyDescent="0.35">
      <c r="A32">
        <v>1.6153846153846159</v>
      </c>
      <c r="B32">
        <v>0.66375786387608893</v>
      </c>
      <c r="C32">
        <v>1.4338062517158433E-2</v>
      </c>
      <c r="D32">
        <v>-9.6841051653106025E-2</v>
      </c>
    </row>
    <row r="33" spans="1:4" x14ac:dyDescent="0.35">
      <c r="A33">
        <v>1.7692307692307692</v>
      </c>
      <c r="B33">
        <v>0.69627031810486528</v>
      </c>
      <c r="C33">
        <v>1.7817255797481578E-2</v>
      </c>
      <c r="D33">
        <v>-0.10473664531144929</v>
      </c>
    </row>
    <row r="34" spans="1:4" x14ac:dyDescent="0.35">
      <c r="A34">
        <v>1.9230769230769234</v>
      </c>
      <c r="B34">
        <v>0.71984398000627958</v>
      </c>
      <c r="C34">
        <v>2.1041058020829839E-2</v>
      </c>
      <c r="D34">
        <v>-0.10922208451328309</v>
      </c>
    </row>
    <row r="35" spans="1:4" x14ac:dyDescent="0.35">
      <c r="A35">
        <v>2.0769230769230775</v>
      </c>
      <c r="B35">
        <v>0.73939902415893255</v>
      </c>
      <c r="C35">
        <v>2.4154011379711082E-2</v>
      </c>
      <c r="D35">
        <v>-0.11220286997321723</v>
      </c>
    </row>
    <row r="36" spans="1:4" x14ac:dyDescent="0.35">
      <c r="A36">
        <v>2.2307692307692308</v>
      </c>
      <c r="B36">
        <v>0.75575569459870651</v>
      </c>
      <c r="C36">
        <v>2.7162584873743671E-2</v>
      </c>
      <c r="D36">
        <v>-0.1139650584105546</v>
      </c>
    </row>
    <row r="37" spans="1:4" x14ac:dyDescent="0.35">
      <c r="A37">
        <v>2.384615384615385</v>
      </c>
      <c r="B37">
        <v>0.77103569707308539</v>
      </c>
      <c r="C37">
        <v>3.0195059262563658E-2</v>
      </c>
      <c r="D37">
        <v>-0.11540542261014725</v>
      </c>
    </row>
    <row r="38" spans="1:4" x14ac:dyDescent="0.35">
      <c r="A38">
        <v>2.5384615384615383</v>
      </c>
      <c r="B38">
        <v>0.7853662106839252</v>
      </c>
      <c r="C38">
        <v>3.3246371687390974E-2</v>
      </c>
      <c r="D38">
        <v>-0.11656208684299621</v>
      </c>
    </row>
    <row r="39" spans="1:4" x14ac:dyDescent="0.35">
      <c r="A39">
        <v>2.6923076923076925</v>
      </c>
      <c r="B39">
        <v>0.79918335318547928</v>
      </c>
      <c r="C39">
        <v>3.63459213796999E-2</v>
      </c>
      <c r="D39">
        <v>-0.11761088786644359</v>
      </c>
    </row>
    <row r="40" spans="1:4" x14ac:dyDescent="0.35">
      <c r="A40">
        <v>2.8461538461538467</v>
      </c>
      <c r="B40">
        <v>0.81216998100715743</v>
      </c>
      <c r="C40">
        <v>3.9456393832059795E-2</v>
      </c>
      <c r="D40">
        <v>-0.11839795749285897</v>
      </c>
    </row>
    <row r="41" spans="1:4" x14ac:dyDescent="0.35">
      <c r="A41">
        <v>3</v>
      </c>
      <c r="B41">
        <v>0.82538271612742309</v>
      </c>
      <c r="C41">
        <v>4.2665558501323905E-2</v>
      </c>
      <c r="D41">
        <v>-0.11937242335305769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9CA0D-BAEB-4739-BDFA-18E2A2BD77C3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-0.4112041772535413</v>
      </c>
      <c r="C2">
        <v>2.1156337871879885E-2</v>
      </c>
      <c r="D2">
        <v>-4.7243803759221464E-2</v>
      </c>
    </row>
    <row r="3" spans="1:4" x14ac:dyDescent="0.35">
      <c r="A3">
        <v>-2.8461538461538463</v>
      </c>
      <c r="B3">
        <v>-0.58410020360401493</v>
      </c>
      <c r="C3">
        <v>2.6667948018929889E-2</v>
      </c>
      <c r="D3">
        <v>1.6535247214662364E-2</v>
      </c>
    </row>
    <row r="4" spans="1:4" x14ac:dyDescent="0.35">
      <c r="A4">
        <v>-2.6923076923076925</v>
      </c>
      <c r="B4">
        <v>-0.55990919924669336</v>
      </c>
      <c r="C4">
        <v>2.3286702903301496E-2</v>
      </c>
      <c r="D4">
        <v>1.170329578491474E-2</v>
      </c>
    </row>
    <row r="5" spans="1:4" x14ac:dyDescent="0.35">
      <c r="A5">
        <v>-2.5384615384615383</v>
      </c>
      <c r="B5">
        <v>-0.52217996796326671</v>
      </c>
      <c r="C5">
        <v>1.9260509512020015E-2</v>
      </c>
      <c r="D5">
        <v>2.2214366886629026E-3</v>
      </c>
    </row>
    <row r="6" spans="1:4" x14ac:dyDescent="0.35">
      <c r="A6">
        <v>-2.3846153846153846</v>
      </c>
      <c r="B6">
        <v>-0.46958419988675476</v>
      </c>
      <c r="C6">
        <v>1.4972390288052796E-2</v>
      </c>
      <c r="D6">
        <v>-1.1066492864809966E-2</v>
      </c>
    </row>
    <row r="7" spans="1:4" x14ac:dyDescent="0.35">
      <c r="A7">
        <v>-2.2307692307692308</v>
      </c>
      <c r="B7">
        <v>-0.40431031851071264</v>
      </c>
      <c r="C7">
        <v>1.1693095570073699E-2</v>
      </c>
      <c r="D7">
        <v>-2.358021049794545E-2</v>
      </c>
    </row>
    <row r="8" spans="1:4" x14ac:dyDescent="0.35">
      <c r="A8">
        <v>-2.0769230769230766</v>
      </c>
      <c r="B8">
        <v>-0.35671698085029818</v>
      </c>
      <c r="C8">
        <v>1.0735298368296191E-2</v>
      </c>
      <c r="D8">
        <v>-2.6513987821607819E-2</v>
      </c>
    </row>
    <row r="9" spans="1:4" x14ac:dyDescent="0.35">
      <c r="A9">
        <v>-1.9230769230769229</v>
      </c>
      <c r="B9">
        <v>-0.34196838111197869</v>
      </c>
      <c r="C9">
        <v>9.3015426085148439E-3</v>
      </c>
      <c r="D9">
        <v>-2.9136602646824144E-2</v>
      </c>
    </row>
    <row r="10" spans="1:4" x14ac:dyDescent="0.35">
      <c r="A10">
        <v>-1.7692307692307692</v>
      </c>
      <c r="B10">
        <v>-0.26037085868792936</v>
      </c>
      <c r="C10">
        <v>1.0377015544754687E-2</v>
      </c>
      <c r="D10">
        <v>-2.4546711825243071E-2</v>
      </c>
    </row>
    <row r="11" spans="1:4" x14ac:dyDescent="0.35">
      <c r="A11">
        <v>-1.6153846153846154</v>
      </c>
      <c r="B11">
        <v>-0.21898487132067701</v>
      </c>
      <c r="C11">
        <v>9.2300864189670956E-3</v>
      </c>
      <c r="D11">
        <v>-2.8518744768340987E-2</v>
      </c>
    </row>
    <row r="12" spans="1:4" x14ac:dyDescent="0.35">
      <c r="A12">
        <v>-1.4615384615384615</v>
      </c>
      <c r="B12">
        <v>-0.17911895370572656</v>
      </c>
      <c r="C12">
        <v>8.3612392196943594E-3</v>
      </c>
      <c r="D12">
        <v>-3.2258098736282388E-2</v>
      </c>
    </row>
    <row r="13" spans="1:4" x14ac:dyDescent="0.35">
      <c r="A13">
        <v>-1.3076923076923075</v>
      </c>
      <c r="B13">
        <v>-0.14010502172193084</v>
      </c>
      <c r="C13">
        <v>7.7430899820748467E-3</v>
      </c>
      <c r="D13">
        <v>-3.5611864257478115E-2</v>
      </c>
    </row>
    <row r="14" spans="1:4" x14ac:dyDescent="0.35">
      <c r="A14">
        <v>-1.1538461538461537</v>
      </c>
      <c r="B14">
        <v>-0.11366006134072835</v>
      </c>
      <c r="C14">
        <v>7.3037317511027806E-3</v>
      </c>
      <c r="D14">
        <v>-3.8134974624895526E-2</v>
      </c>
    </row>
    <row r="15" spans="1:4" x14ac:dyDescent="0.35">
      <c r="A15">
        <v>-1</v>
      </c>
      <c r="B15">
        <v>-8.7072920442429633E-2</v>
      </c>
      <c r="C15">
        <v>6.9840021917483546E-3</v>
      </c>
      <c r="D15">
        <v>-4.0702305840305313E-2</v>
      </c>
    </row>
    <row r="16" spans="1:4" x14ac:dyDescent="0.35">
      <c r="A16">
        <v>-0.84615384615384581</v>
      </c>
      <c r="B16">
        <v>-2.2697764862173744E-2</v>
      </c>
      <c r="C16">
        <v>6.9268427900973451E-3</v>
      </c>
      <c r="D16">
        <v>-4.5412945071355834E-2</v>
      </c>
    </row>
    <row r="17" spans="1:4" x14ac:dyDescent="0.35">
      <c r="A17">
        <v>-0.69230769230769207</v>
      </c>
      <c r="B17">
        <v>1.5059629668972089E-2</v>
      </c>
      <c r="C17">
        <v>6.8815761413528447E-3</v>
      </c>
      <c r="D17">
        <v>-4.8183164361290498E-2</v>
      </c>
    </row>
    <row r="18" spans="1:4" x14ac:dyDescent="0.35">
      <c r="A18">
        <v>-0.53846153846153832</v>
      </c>
      <c r="B18">
        <v>5.2252904063501429E-2</v>
      </c>
      <c r="C18">
        <v>6.8993176787223408E-3</v>
      </c>
      <c r="D18">
        <v>-5.0771048658481394E-2</v>
      </c>
    </row>
    <row r="19" spans="1:4" x14ac:dyDescent="0.35">
      <c r="A19">
        <v>-0.38461538461538458</v>
      </c>
      <c r="B19">
        <v>8.8998696969646185E-2</v>
      </c>
      <c r="C19">
        <v>6.9590563288464812E-3</v>
      </c>
      <c r="D19">
        <v>-5.3220233676486359E-2</v>
      </c>
    </row>
    <row r="20" spans="1:4" x14ac:dyDescent="0.35">
      <c r="A20">
        <v>-0.23076923076923084</v>
      </c>
      <c r="B20">
        <v>0.12543432097568702</v>
      </c>
      <c r="C20">
        <v>7.0430123966516373E-3</v>
      </c>
      <c r="D20">
        <v>-5.5553615180628818E-2</v>
      </c>
    </row>
    <row r="21" spans="1:4" x14ac:dyDescent="0.35">
      <c r="A21">
        <v>-7.692307692307665E-2</v>
      </c>
      <c r="B21">
        <v>0.1615656989616818</v>
      </c>
      <c r="C21">
        <v>7.1472511785423947E-3</v>
      </c>
      <c r="D21">
        <v>-5.7722627671098585E-2</v>
      </c>
    </row>
    <row r="22" spans="1:4" x14ac:dyDescent="0.35">
      <c r="A22">
        <v>7.6923076923077094E-2</v>
      </c>
      <c r="B22">
        <v>0.19738123842451569</v>
      </c>
      <c r="C22">
        <v>7.2685201146350008E-3</v>
      </c>
      <c r="D22">
        <v>-5.9668593910663349E-2</v>
      </c>
    </row>
    <row r="23" spans="1:4" x14ac:dyDescent="0.35">
      <c r="A23">
        <v>0.23076923076923084</v>
      </c>
      <c r="B23">
        <v>0.2329143842098951</v>
      </c>
      <c r="C23">
        <v>7.4036997949060617E-3</v>
      </c>
      <c r="D23">
        <v>-6.1343385439283471E-2</v>
      </c>
    </row>
    <row r="24" spans="1:4" x14ac:dyDescent="0.35">
      <c r="A24">
        <v>0.38461538461538503</v>
      </c>
      <c r="B24">
        <v>0.26728453323944168</v>
      </c>
      <c r="C24">
        <v>7.5672313615865756E-3</v>
      </c>
      <c r="D24">
        <v>-6.2841797344040051E-2</v>
      </c>
    </row>
    <row r="25" spans="1:4" x14ac:dyDescent="0.35">
      <c r="A25">
        <v>0.53846153846153877</v>
      </c>
      <c r="B25">
        <v>0.30337387898374524</v>
      </c>
      <c r="C25">
        <v>7.7209379456292717E-3</v>
      </c>
      <c r="D25">
        <v>-6.366505540706846E-2</v>
      </c>
    </row>
    <row r="26" spans="1:4" x14ac:dyDescent="0.35">
      <c r="A26">
        <v>0.69230769230769251</v>
      </c>
      <c r="B26">
        <v>0.33901962553917331</v>
      </c>
      <c r="C26">
        <v>7.9163141927501134E-3</v>
      </c>
      <c r="D26">
        <v>-6.4354403890212408E-2</v>
      </c>
    </row>
    <row r="27" spans="1:4" x14ac:dyDescent="0.35">
      <c r="A27">
        <v>0.84615384615384626</v>
      </c>
      <c r="B27">
        <v>0.37645913479755283</v>
      </c>
      <c r="C27">
        <v>8.153860905970001E-3</v>
      </c>
      <c r="D27">
        <v>-6.4622252180094028E-2</v>
      </c>
    </row>
    <row r="28" spans="1:4" x14ac:dyDescent="0.35">
      <c r="A28">
        <v>1</v>
      </c>
      <c r="B28">
        <v>0.39310030321364325</v>
      </c>
      <c r="C28">
        <v>8.9542267924468868E-3</v>
      </c>
      <c r="D28">
        <v>-6.5513976155399209E-2</v>
      </c>
    </row>
    <row r="29" spans="1:4" x14ac:dyDescent="0.35">
      <c r="A29">
        <v>1.1538461538461542</v>
      </c>
      <c r="B29">
        <v>0.44912188231899436</v>
      </c>
      <c r="C29">
        <v>8.8814431550571105E-3</v>
      </c>
      <c r="D29">
        <v>-6.4657427554952671E-2</v>
      </c>
    </row>
    <row r="30" spans="1:4" x14ac:dyDescent="0.35">
      <c r="A30">
        <v>1.3076923076923084</v>
      </c>
      <c r="B30">
        <v>0.46345414405743612</v>
      </c>
      <c r="C30">
        <v>1.0101522266674262E-2</v>
      </c>
      <c r="D30">
        <v>-6.6960547093528264E-2</v>
      </c>
    </row>
    <row r="31" spans="1:4" x14ac:dyDescent="0.35">
      <c r="A31">
        <v>1.4615384615384617</v>
      </c>
      <c r="B31">
        <v>0.58919756521223721</v>
      </c>
      <c r="C31">
        <v>1.0442712625313372E-2</v>
      </c>
      <c r="D31">
        <v>-7.4061135180880727E-2</v>
      </c>
    </row>
    <row r="32" spans="1:4" x14ac:dyDescent="0.35">
      <c r="A32">
        <v>1.6153846153846159</v>
      </c>
      <c r="B32">
        <v>0.6292289513752779</v>
      </c>
      <c r="C32">
        <v>1.3012078513491267E-2</v>
      </c>
      <c r="D32">
        <v>-8.4271582321526789E-2</v>
      </c>
    </row>
    <row r="33" spans="1:4" x14ac:dyDescent="0.35">
      <c r="A33">
        <v>1.7692307692307692</v>
      </c>
      <c r="B33">
        <v>0.69297339018307091</v>
      </c>
      <c r="C33">
        <v>1.7726907723925205E-2</v>
      </c>
      <c r="D33">
        <v>-0.10327280775425951</v>
      </c>
    </row>
    <row r="34" spans="1:4" x14ac:dyDescent="0.35">
      <c r="A34">
        <v>1.9230769230769234</v>
      </c>
      <c r="B34">
        <v>0.71692663978207105</v>
      </c>
      <c r="C34">
        <v>2.0955012598469432E-2</v>
      </c>
      <c r="D34">
        <v>-0.10789985503742131</v>
      </c>
    </row>
    <row r="35" spans="1:4" x14ac:dyDescent="0.35">
      <c r="A35">
        <v>2.0769230769230775</v>
      </c>
      <c r="B35">
        <v>0.73666082665326238</v>
      </c>
      <c r="C35">
        <v>2.4064150805963448E-2</v>
      </c>
      <c r="D35">
        <v>-0.11095140950479372</v>
      </c>
    </row>
    <row r="36" spans="1:4" x14ac:dyDescent="0.35">
      <c r="A36">
        <v>2.2307692307692308</v>
      </c>
      <c r="B36">
        <v>0.75320893637140418</v>
      </c>
      <c r="C36">
        <v>2.708075356558836E-2</v>
      </c>
      <c r="D36">
        <v>-0.11278741768966216</v>
      </c>
    </row>
    <row r="37" spans="1:4" x14ac:dyDescent="0.35">
      <c r="A37">
        <v>2.384615384615385</v>
      </c>
      <c r="B37">
        <v>0.76871735979491462</v>
      </c>
      <c r="C37">
        <v>3.0129274349911615E-2</v>
      </c>
      <c r="D37">
        <v>-0.11431585910550943</v>
      </c>
    </row>
    <row r="38" spans="1:4" x14ac:dyDescent="0.35">
      <c r="A38">
        <v>2.5384615384615383</v>
      </c>
      <c r="B38">
        <v>0.78286489228333056</v>
      </c>
      <c r="C38">
        <v>3.3161277035959766E-2</v>
      </c>
      <c r="D38">
        <v>-0.11539353143080448</v>
      </c>
    </row>
    <row r="39" spans="1:4" x14ac:dyDescent="0.35">
      <c r="A39">
        <v>2.6923076923076925</v>
      </c>
      <c r="B39">
        <v>0.79681745257033409</v>
      </c>
      <c r="C39">
        <v>3.6249748698815629E-2</v>
      </c>
      <c r="D39">
        <v>-0.11657251872881817</v>
      </c>
    </row>
    <row r="40" spans="1:4" x14ac:dyDescent="0.35">
      <c r="A40">
        <v>2.8461538461538467</v>
      </c>
      <c r="B40">
        <v>0.81041593101661824</v>
      </c>
      <c r="C40">
        <v>3.9419264672817228E-2</v>
      </c>
      <c r="D40">
        <v>-0.11758407999696854</v>
      </c>
    </row>
    <row r="41" spans="1:4" x14ac:dyDescent="0.35">
      <c r="A41">
        <v>3</v>
      </c>
      <c r="B41">
        <v>0.82257227071366446</v>
      </c>
      <c r="C41">
        <v>4.2539122456419359E-2</v>
      </c>
      <c r="D41">
        <v>-0.11807397719658907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0224-062D-4F36-9CD6-FE417EA1A7CA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-0.4707244947018191</v>
      </c>
      <c r="C2">
        <v>1.9686264599091906E-2</v>
      </c>
      <c r="D2">
        <v>-2.7490079415125789E-2</v>
      </c>
    </row>
    <row r="3" spans="1:4" x14ac:dyDescent="0.35">
      <c r="A3">
        <v>-2.8461538461538463</v>
      </c>
      <c r="B3">
        <v>-0.58170191942017735</v>
      </c>
      <c r="C3">
        <v>2.6650794921904836E-2</v>
      </c>
      <c r="D3">
        <v>1.5749216945319118E-2</v>
      </c>
    </row>
    <row r="4" spans="1:4" x14ac:dyDescent="0.35">
      <c r="A4">
        <v>-2.6923076923076925</v>
      </c>
      <c r="B4">
        <v>-0.55808940324509815</v>
      </c>
      <c r="C4">
        <v>2.3325520755381721E-2</v>
      </c>
      <c r="D4">
        <v>1.1165521704271864E-2</v>
      </c>
    </row>
    <row r="5" spans="1:4" x14ac:dyDescent="0.35">
      <c r="A5">
        <v>-2.5384615384615383</v>
      </c>
      <c r="B5">
        <v>-0.52141656889982146</v>
      </c>
      <c r="C5">
        <v>1.9384046209951395E-2</v>
      </c>
      <c r="D5">
        <v>2.111775335019024E-3</v>
      </c>
    </row>
    <row r="6" spans="1:4" x14ac:dyDescent="0.35">
      <c r="A6">
        <v>-2.3846153846153846</v>
      </c>
      <c r="B6">
        <v>-0.47005583479990565</v>
      </c>
      <c r="C6">
        <v>1.517086051492454E-2</v>
      </c>
      <c r="D6">
        <v>-1.0745656392678731E-2</v>
      </c>
    </row>
    <row r="7" spans="1:4" x14ac:dyDescent="0.35">
      <c r="A7">
        <v>-2.2307692307692308</v>
      </c>
      <c r="B7">
        <v>-0.40812747893575441</v>
      </c>
      <c r="C7">
        <v>1.193811906433382E-2</v>
      </c>
      <c r="D7">
        <v>-2.2702682264113982E-2</v>
      </c>
    </row>
    <row r="8" spans="1:4" x14ac:dyDescent="0.35">
      <c r="A8">
        <v>-2.0769230769230766</v>
      </c>
      <c r="B8">
        <v>-0.36091260546951748</v>
      </c>
      <c r="C8">
        <v>1.0634974264679088E-2</v>
      </c>
      <c r="D8">
        <v>-2.6934604299742173E-2</v>
      </c>
    </row>
    <row r="9" spans="1:4" x14ac:dyDescent="0.35">
      <c r="A9">
        <v>-1.9230769230769229</v>
      </c>
      <c r="B9">
        <v>-0.34459362014762285</v>
      </c>
      <c r="C9">
        <v>9.2509025123608899E-3</v>
      </c>
      <c r="D9">
        <v>-2.9223705555557443E-2</v>
      </c>
    </row>
    <row r="10" spans="1:4" x14ac:dyDescent="0.35">
      <c r="A10">
        <v>-1.7692307692307692</v>
      </c>
      <c r="B10">
        <v>-0.26195487276713375</v>
      </c>
      <c r="C10">
        <v>1.0601005913947635E-2</v>
      </c>
      <c r="D10">
        <v>-2.3950332203690756E-2</v>
      </c>
    </row>
    <row r="11" spans="1:4" x14ac:dyDescent="0.35">
      <c r="A11">
        <v>-1.6153846153846154</v>
      </c>
      <c r="B11">
        <v>-0.22069019061475151</v>
      </c>
      <c r="C11">
        <v>9.4485393663400735E-3</v>
      </c>
      <c r="D11">
        <v>-2.78908837776831E-2</v>
      </c>
    </row>
    <row r="12" spans="1:4" x14ac:dyDescent="0.35">
      <c r="A12">
        <v>-1.4615384615384615</v>
      </c>
      <c r="B12">
        <v>-0.18079024956605125</v>
      </c>
      <c r="C12">
        <v>8.5708561576352624E-3</v>
      </c>
      <c r="D12">
        <v>-3.1635744425391188E-2</v>
      </c>
    </row>
    <row r="13" spans="1:4" x14ac:dyDescent="0.35">
      <c r="A13">
        <v>-1.3076923076923075</v>
      </c>
      <c r="B13">
        <v>-0.14143012557959783</v>
      </c>
      <c r="C13">
        <v>7.9565958926644097E-3</v>
      </c>
      <c r="D13">
        <v>-3.5061535375138696E-2</v>
      </c>
    </row>
    <row r="14" spans="1:4" x14ac:dyDescent="0.35">
      <c r="A14">
        <v>-1.1538461538461537</v>
      </c>
      <c r="B14">
        <v>-0.10242624688875276</v>
      </c>
      <c r="C14">
        <v>7.5175628244753745E-3</v>
      </c>
      <c r="D14">
        <v>-3.8408181222963071E-2</v>
      </c>
    </row>
    <row r="15" spans="1:4" x14ac:dyDescent="0.35">
      <c r="A15">
        <v>-1</v>
      </c>
      <c r="B15">
        <v>-7.5797478961882464E-2</v>
      </c>
      <c r="C15">
        <v>7.2070562273080186E-3</v>
      </c>
      <c r="D15">
        <v>-4.098236843173348E-2</v>
      </c>
    </row>
    <row r="16" spans="1:4" x14ac:dyDescent="0.35">
      <c r="A16">
        <v>-0.84615384615384581</v>
      </c>
      <c r="B16">
        <v>-5.021048722689786E-2</v>
      </c>
      <c r="C16">
        <v>7.0450117723259448E-3</v>
      </c>
      <c r="D16">
        <v>-4.3099059714032655E-2</v>
      </c>
    </row>
    <row r="17" spans="1:4" x14ac:dyDescent="0.35">
      <c r="A17">
        <v>-0.69230769230769207</v>
      </c>
      <c r="B17">
        <v>1.2588328239324291E-2</v>
      </c>
      <c r="C17">
        <v>7.0569699908736216E-3</v>
      </c>
      <c r="D17">
        <v>-4.7420817739876525E-2</v>
      </c>
    </row>
    <row r="18" spans="1:4" x14ac:dyDescent="0.35">
      <c r="A18">
        <v>-0.53846153846153832</v>
      </c>
      <c r="B18">
        <v>4.9676062698543806E-2</v>
      </c>
      <c r="C18">
        <v>7.0698198738185294E-3</v>
      </c>
      <c r="D18">
        <v>-4.9984944281891076E-2</v>
      </c>
    </row>
    <row r="19" spans="1:4" x14ac:dyDescent="0.35">
      <c r="A19">
        <v>-0.38461538461538458</v>
      </c>
      <c r="B19">
        <v>8.6315721217586891E-2</v>
      </c>
      <c r="C19">
        <v>7.1252794575186072E-3</v>
      </c>
      <c r="D19">
        <v>-5.2409002505257207E-2</v>
      </c>
    </row>
    <row r="20" spans="1:4" x14ac:dyDescent="0.35">
      <c r="A20">
        <v>-0.23076923076923084</v>
      </c>
      <c r="B20">
        <v>0.12264282343151711</v>
      </c>
      <c r="C20">
        <v>7.2051959575513413E-3</v>
      </c>
      <c r="D20">
        <v>-5.471805260071113E-2</v>
      </c>
    </row>
    <row r="21" spans="1:4" x14ac:dyDescent="0.35">
      <c r="A21">
        <v>-7.692307692307665E-2</v>
      </c>
      <c r="B21">
        <v>0.15866904143429414</v>
      </c>
      <c r="C21">
        <v>7.3058464260458396E-3</v>
      </c>
      <c r="D21">
        <v>-5.6866323386581985E-2</v>
      </c>
    </row>
    <row r="22" spans="1:4" x14ac:dyDescent="0.35">
      <c r="A22">
        <v>7.6923076923077094E-2</v>
      </c>
      <c r="B22">
        <v>0.19438324982790811</v>
      </c>
      <c r="C22">
        <v>7.4242305847792081E-3</v>
      </c>
      <c r="D22">
        <v>-5.8796007981784998E-2</v>
      </c>
    </row>
    <row r="23" spans="1:4" x14ac:dyDescent="0.35">
      <c r="A23">
        <v>0.23076923076923084</v>
      </c>
      <c r="B23">
        <v>0.2298127876157125</v>
      </c>
      <c r="C23">
        <v>7.5579059131782025E-3</v>
      </c>
      <c r="D23">
        <v>-6.0457860690704475E-2</v>
      </c>
    </row>
    <row r="24" spans="1:4" x14ac:dyDescent="0.35">
      <c r="A24">
        <v>0.38461538461538503</v>
      </c>
      <c r="B24">
        <v>0.26476827200733888</v>
      </c>
      <c r="C24">
        <v>7.7065316594751663E-3</v>
      </c>
      <c r="D24">
        <v>-6.1813632556771851E-2</v>
      </c>
    </row>
    <row r="25" spans="1:4" x14ac:dyDescent="0.35">
      <c r="A25">
        <v>0.53846153846153877</v>
      </c>
      <c r="B25">
        <v>0.30005088904258825</v>
      </c>
      <c r="C25">
        <v>7.8759575358728386E-3</v>
      </c>
      <c r="D25">
        <v>-6.2768147011800987E-2</v>
      </c>
    </row>
    <row r="26" spans="1:4" x14ac:dyDescent="0.35">
      <c r="A26">
        <v>0.69230769230769251</v>
      </c>
      <c r="B26">
        <v>0.33549016714645657</v>
      </c>
      <c r="C26">
        <v>8.0746154891171134E-3</v>
      </c>
      <c r="D26">
        <v>-6.3433883377017664E-2</v>
      </c>
    </row>
    <row r="27" spans="1:4" x14ac:dyDescent="0.35">
      <c r="A27">
        <v>0.84615384615384626</v>
      </c>
      <c r="B27">
        <v>0.37268916117836531</v>
      </c>
      <c r="C27">
        <v>8.3110616309410353E-3</v>
      </c>
      <c r="D27">
        <v>-6.3731589399724439E-2</v>
      </c>
    </row>
    <row r="28" spans="1:4" x14ac:dyDescent="0.35">
      <c r="A28">
        <v>1</v>
      </c>
      <c r="B28">
        <v>0.3944171406917818</v>
      </c>
      <c r="C28">
        <v>8.9730165439279759E-3</v>
      </c>
      <c r="D28">
        <v>-6.4599194014201652E-2</v>
      </c>
    </row>
    <row r="29" spans="1:4" x14ac:dyDescent="0.35">
      <c r="A29">
        <v>1.1538461538461542</v>
      </c>
      <c r="B29">
        <v>0.41663052566010411</v>
      </c>
      <c r="C29">
        <v>9.7805284848984913E-3</v>
      </c>
      <c r="D29">
        <v>-6.6041819064654353E-2</v>
      </c>
    </row>
    <row r="30" spans="1:4" x14ac:dyDescent="0.35">
      <c r="A30">
        <v>1.3076923076923084</v>
      </c>
      <c r="B30">
        <v>0.51208038826124036</v>
      </c>
      <c r="C30">
        <v>8.718684914984209E-3</v>
      </c>
      <c r="D30">
        <v>-5.905907638712634E-2</v>
      </c>
    </row>
    <row r="31" spans="1:4" x14ac:dyDescent="0.35">
      <c r="A31">
        <v>1.4615384615384617</v>
      </c>
      <c r="B31">
        <v>0.53739909271384789</v>
      </c>
      <c r="C31">
        <v>1.0278732119366725E-2</v>
      </c>
      <c r="D31">
        <v>-6.2122986563377912E-2</v>
      </c>
    </row>
    <row r="32" spans="1:4" x14ac:dyDescent="0.35">
      <c r="A32">
        <v>1.6153846153846159</v>
      </c>
      <c r="B32">
        <v>0.64934060673797034</v>
      </c>
      <c r="C32">
        <v>1.3925451850662417E-2</v>
      </c>
      <c r="D32">
        <v>-9.0864241139132718E-2</v>
      </c>
    </row>
    <row r="33" spans="1:4" x14ac:dyDescent="0.35">
      <c r="A33">
        <v>1.7692307692307692</v>
      </c>
      <c r="B33">
        <v>0.68863221156693077</v>
      </c>
      <c r="C33">
        <v>1.761404112117539E-2</v>
      </c>
      <c r="D33">
        <v>-0.10135383804477661</v>
      </c>
    </row>
    <row r="34" spans="1:4" x14ac:dyDescent="0.35">
      <c r="A34">
        <v>1.9230769230769234</v>
      </c>
      <c r="B34">
        <v>0.71304722076802207</v>
      </c>
      <c r="C34">
        <v>2.084139275838608E-2</v>
      </c>
      <c r="D34">
        <v>-0.10615189329321247</v>
      </c>
    </row>
    <row r="35" spans="1:4" x14ac:dyDescent="0.35">
      <c r="A35">
        <v>2.0769230769230775</v>
      </c>
      <c r="B35">
        <v>0.73283330715237138</v>
      </c>
      <c r="C35">
        <v>2.3943926342654395E-2</v>
      </c>
      <c r="D35">
        <v>-0.10920289720274602</v>
      </c>
    </row>
    <row r="36" spans="1:4" x14ac:dyDescent="0.35">
      <c r="A36">
        <v>2.2307692307692308</v>
      </c>
      <c r="B36">
        <v>0.75033899744066435</v>
      </c>
      <c r="C36">
        <v>2.7005246365414931E-2</v>
      </c>
      <c r="D36">
        <v>-0.11145569642391909</v>
      </c>
    </row>
    <row r="37" spans="1:4" x14ac:dyDescent="0.35">
      <c r="A37">
        <v>2.384615384615385</v>
      </c>
      <c r="B37">
        <v>0.76534518285197861</v>
      </c>
      <c r="C37">
        <v>3.0018849177036917E-2</v>
      </c>
      <c r="D37">
        <v>-0.11275452425597444</v>
      </c>
    </row>
    <row r="38" spans="1:4" x14ac:dyDescent="0.35">
      <c r="A38">
        <v>2.5384615384615383</v>
      </c>
      <c r="B38">
        <v>0.77965726812740377</v>
      </c>
      <c r="C38">
        <v>3.3056145265318755E-2</v>
      </c>
      <c r="D38">
        <v>-0.11389692895142475</v>
      </c>
    </row>
    <row r="39" spans="1:4" x14ac:dyDescent="0.35">
      <c r="A39">
        <v>2.6923076923076925</v>
      </c>
      <c r="B39">
        <v>0.79334314996049271</v>
      </c>
      <c r="C39">
        <v>3.613145813142131E-2</v>
      </c>
      <c r="D39">
        <v>-0.11488042325180071</v>
      </c>
    </row>
    <row r="40" spans="1:4" x14ac:dyDescent="0.35">
      <c r="A40">
        <v>2.8461538461538467</v>
      </c>
      <c r="B40">
        <v>0.80641550456553956</v>
      </c>
      <c r="C40">
        <v>3.9244709761667322E-2</v>
      </c>
      <c r="D40">
        <v>-0.11570025205528334</v>
      </c>
    </row>
    <row r="41" spans="1:4" x14ac:dyDescent="0.35">
      <c r="A41">
        <v>3</v>
      </c>
      <c r="B41">
        <v>0.81918511725839993</v>
      </c>
      <c r="C41">
        <v>4.2405173359646775E-2</v>
      </c>
      <c r="D41">
        <v>-0.11648787848736422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D15-F22C-4720-889B-F6FF5F289B20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-0.38881471023734648</v>
      </c>
      <c r="C2">
        <v>2.0548407429339381E-2</v>
      </c>
      <c r="D2">
        <v>-5.5629635703204304E-2</v>
      </c>
    </row>
    <row r="3" spans="1:4" x14ac:dyDescent="0.35">
      <c r="A3">
        <v>-2.8461538461538463</v>
      </c>
      <c r="B3">
        <v>-0.57839638089870693</v>
      </c>
      <c r="C3">
        <v>2.6638367312757236E-2</v>
      </c>
      <c r="D3">
        <v>1.4671223050478089E-2</v>
      </c>
    </row>
    <row r="4" spans="1:4" x14ac:dyDescent="0.35">
      <c r="A4">
        <v>-2.6923076923076925</v>
      </c>
      <c r="B4">
        <v>-0.55521711552123165</v>
      </c>
      <c r="C4">
        <v>2.3367244452274134E-2</v>
      </c>
      <c r="D4">
        <v>1.0305490674226012E-2</v>
      </c>
    </row>
    <row r="5" spans="1:4" x14ac:dyDescent="0.35">
      <c r="A5">
        <v>-2.5384615384615383</v>
      </c>
      <c r="B5">
        <v>-0.51981901950270681</v>
      </c>
      <c r="C5">
        <v>1.9534493502484981E-2</v>
      </c>
      <c r="D5">
        <v>1.7857479466064793E-3</v>
      </c>
    </row>
    <row r="6" spans="1:4" x14ac:dyDescent="0.35">
      <c r="A6">
        <v>-2.3846153846153846</v>
      </c>
      <c r="B6">
        <v>-0.47018523310662441</v>
      </c>
      <c r="C6">
        <v>1.5433654430691461E-2</v>
      </c>
      <c r="D6">
        <v>-1.0446303109032072E-2</v>
      </c>
    </row>
    <row r="7" spans="1:4" x14ac:dyDescent="0.35">
      <c r="A7">
        <v>-2.2307692307692308</v>
      </c>
      <c r="B7">
        <v>-0.40685823931340354</v>
      </c>
      <c r="C7">
        <v>1.2218270405131532E-2</v>
      </c>
      <c r="D7">
        <v>-2.2460050212773745E-2</v>
      </c>
    </row>
    <row r="8" spans="1:4" x14ac:dyDescent="0.35">
      <c r="A8">
        <v>-2.0769230769230766</v>
      </c>
      <c r="B8">
        <v>-0.35403153146225513</v>
      </c>
      <c r="C8">
        <v>1.1583133359394017E-2</v>
      </c>
      <c r="D8">
        <v>-2.4573222209626322E-2</v>
      </c>
    </row>
    <row r="9" spans="1:4" x14ac:dyDescent="0.35">
      <c r="A9">
        <v>-1.9230769230769229</v>
      </c>
      <c r="B9">
        <v>-0.32366467717702291</v>
      </c>
      <c r="C9">
        <v>1.1675585635669219E-2</v>
      </c>
      <c r="D9">
        <v>-2.2579727883741744E-2</v>
      </c>
    </row>
    <row r="10" spans="1:4" x14ac:dyDescent="0.35">
      <c r="A10">
        <v>-1.7692307692307692</v>
      </c>
      <c r="B10">
        <v>-0.26408446441156019</v>
      </c>
      <c r="C10">
        <v>1.0910816834273208E-2</v>
      </c>
      <c r="D10">
        <v>-2.3144619637276615E-2</v>
      </c>
    </row>
    <row r="11" spans="1:4" x14ac:dyDescent="0.35">
      <c r="A11">
        <v>-1.6153846153846154</v>
      </c>
      <c r="B11">
        <v>-0.22302123904319268</v>
      </c>
      <c r="C11">
        <v>9.7517103118052017E-3</v>
      </c>
      <c r="D11">
        <v>-2.7035529999322648E-2</v>
      </c>
    </row>
    <row r="12" spans="1:4" x14ac:dyDescent="0.35">
      <c r="A12">
        <v>-1.4615384615384615</v>
      </c>
      <c r="B12">
        <v>-0.18330679663599631</v>
      </c>
      <c r="C12">
        <v>8.8645108986367665E-3</v>
      </c>
      <c r="D12">
        <v>-3.0743105416619298E-2</v>
      </c>
    </row>
    <row r="13" spans="1:4" x14ac:dyDescent="0.35">
      <c r="A13">
        <v>-1.3076923076923075</v>
      </c>
      <c r="B13">
        <v>-0.14413595863576253</v>
      </c>
      <c r="C13">
        <v>8.2369731418821673E-3</v>
      </c>
      <c r="D13">
        <v>-3.4135641465552889E-2</v>
      </c>
    </row>
    <row r="14" spans="1:4" x14ac:dyDescent="0.35">
      <c r="A14">
        <v>-1.1538461538461537</v>
      </c>
      <c r="B14">
        <v>-0.11317617403050739</v>
      </c>
      <c r="C14">
        <v>7.7602318691809011E-3</v>
      </c>
      <c r="D14">
        <v>-3.6870573728620473E-2</v>
      </c>
    </row>
    <row r="15" spans="1:4" x14ac:dyDescent="0.35">
      <c r="A15">
        <v>-1</v>
      </c>
      <c r="B15">
        <v>-8.3919295296408847E-2</v>
      </c>
      <c r="C15">
        <v>7.4649095451472768E-3</v>
      </c>
      <c r="D15">
        <v>-3.9465314172490391E-2</v>
      </c>
    </row>
    <row r="16" spans="1:4" x14ac:dyDescent="0.35">
      <c r="A16">
        <v>-0.84615384615384581</v>
      </c>
      <c r="B16">
        <v>-2.8288103649341628E-2</v>
      </c>
      <c r="C16">
        <v>7.3588151778633407E-3</v>
      </c>
      <c r="D16">
        <v>-4.3658921164655848E-2</v>
      </c>
    </row>
    <row r="17" spans="1:4" x14ac:dyDescent="0.35">
      <c r="A17">
        <v>-0.69230769230769207</v>
      </c>
      <c r="B17">
        <v>9.2097607205136548E-3</v>
      </c>
      <c r="C17">
        <v>7.3011236148181682E-3</v>
      </c>
      <c r="D17">
        <v>-4.6377760937160874E-2</v>
      </c>
    </row>
    <row r="18" spans="1:4" x14ac:dyDescent="0.35">
      <c r="A18">
        <v>-0.53846153846153832</v>
      </c>
      <c r="B18">
        <v>4.6149811198394647E-2</v>
      </c>
      <c r="C18">
        <v>7.3074028773249637E-3</v>
      </c>
      <c r="D18">
        <v>-4.8909242662209564E-2</v>
      </c>
    </row>
    <row r="19" spans="1:4" x14ac:dyDescent="0.35">
      <c r="A19">
        <v>-0.38461538461538458</v>
      </c>
      <c r="B19">
        <v>8.2641419999135185E-2</v>
      </c>
      <c r="C19">
        <v>7.357124810481586E-3</v>
      </c>
      <c r="D19">
        <v>-5.1298684383078476E-2</v>
      </c>
    </row>
    <row r="20" spans="1:4" x14ac:dyDescent="0.35">
      <c r="A20">
        <v>-0.23076923076923084</v>
      </c>
      <c r="B20">
        <v>0.11882144534702563</v>
      </c>
      <c r="C20">
        <v>7.4316404975127487E-3</v>
      </c>
      <c r="D20">
        <v>-5.3575029011208412E-2</v>
      </c>
    </row>
    <row r="21" spans="1:4" x14ac:dyDescent="0.35">
      <c r="A21">
        <v>-7.692307692307665E-2</v>
      </c>
      <c r="B21">
        <v>0.15470497297527452</v>
      </c>
      <c r="C21">
        <v>7.5274361697150191E-3</v>
      </c>
      <c r="D21">
        <v>-5.5695234403027323E-2</v>
      </c>
    </row>
    <row r="22" spans="1:4" x14ac:dyDescent="0.35">
      <c r="A22">
        <v>7.6923076923077094E-2</v>
      </c>
      <c r="B22">
        <v>0.19028023484000769</v>
      </c>
      <c r="C22">
        <v>7.6418270685402641E-3</v>
      </c>
      <c r="D22">
        <v>-5.7602421203677541E-2</v>
      </c>
    </row>
    <row r="23" spans="1:4" x14ac:dyDescent="0.35">
      <c r="A23">
        <v>0.23076923076923084</v>
      </c>
      <c r="B23">
        <v>0.22556873914039061</v>
      </c>
      <c r="C23">
        <v>7.7730641357613211E-3</v>
      </c>
      <c r="D23">
        <v>-5.924646001321391E-2</v>
      </c>
    </row>
    <row r="24" spans="1:4" x14ac:dyDescent="0.35">
      <c r="A24">
        <v>0.38461538461538503</v>
      </c>
      <c r="B24">
        <v>0.2606045904157881</v>
      </c>
      <c r="C24">
        <v>7.9213836443355525E-3</v>
      </c>
      <c r="D24">
        <v>-6.0581876145214604E-2</v>
      </c>
    </row>
    <row r="25" spans="1:4" x14ac:dyDescent="0.35">
      <c r="A25">
        <v>0.53846153846153877</v>
      </c>
      <c r="B25">
        <v>0.29549787196919286</v>
      </c>
      <c r="C25">
        <v>8.0921751564464531E-3</v>
      </c>
      <c r="D25">
        <v>-6.1536475613780214E-2</v>
      </c>
    </row>
    <row r="26" spans="1:4" x14ac:dyDescent="0.35">
      <c r="A26">
        <v>0.69230769230769251</v>
      </c>
      <c r="B26">
        <v>0.33071062530575623</v>
      </c>
      <c r="C26">
        <v>8.2924755521882852E-3</v>
      </c>
      <c r="D26">
        <v>-6.2189777477531551E-2</v>
      </c>
    </row>
    <row r="27" spans="1:4" x14ac:dyDescent="0.35">
      <c r="A27">
        <v>0.84615384615384626</v>
      </c>
      <c r="B27">
        <v>0.36761163435898153</v>
      </c>
      <c r="C27">
        <v>8.5274279082865785E-3</v>
      </c>
      <c r="D27">
        <v>-6.255128029737865E-2</v>
      </c>
    </row>
    <row r="28" spans="1:4" x14ac:dyDescent="0.35">
      <c r="A28">
        <v>1</v>
      </c>
      <c r="B28">
        <v>0.40174199382883713</v>
      </c>
      <c r="C28">
        <v>8.8779821731957542E-3</v>
      </c>
      <c r="D28">
        <v>-6.2777931256525643E-2</v>
      </c>
    </row>
    <row r="29" spans="1:4" x14ac:dyDescent="0.35">
      <c r="A29">
        <v>1.1538461538461542</v>
      </c>
      <c r="B29">
        <v>0.41522838232033826</v>
      </c>
      <c r="C29">
        <v>9.7890104328449117E-3</v>
      </c>
      <c r="D29">
        <v>-6.3924916468811946E-2</v>
      </c>
    </row>
    <row r="30" spans="1:4" x14ac:dyDescent="0.35">
      <c r="A30">
        <v>1.3076923076923084</v>
      </c>
      <c r="B30">
        <v>0.50398771215348059</v>
      </c>
      <c r="C30">
        <v>8.9485751873634774E-3</v>
      </c>
      <c r="D30">
        <v>-5.7341712671679451E-2</v>
      </c>
    </row>
    <row r="31" spans="1:4" x14ac:dyDescent="0.35">
      <c r="A31">
        <v>1.4615384615384617</v>
      </c>
      <c r="B31">
        <v>0.51868827130262241</v>
      </c>
      <c r="C31">
        <v>1.0487322229835432E-2</v>
      </c>
      <c r="D31">
        <v>-5.9579581882816951E-2</v>
      </c>
    </row>
    <row r="32" spans="1:4" x14ac:dyDescent="0.35">
      <c r="A32">
        <v>1.6153846153846159</v>
      </c>
      <c r="B32">
        <v>0.63672226953443556</v>
      </c>
      <c r="C32">
        <v>1.3630656554943927E-2</v>
      </c>
      <c r="D32">
        <v>-8.5728424030788952E-2</v>
      </c>
    </row>
    <row r="33" spans="1:4" x14ac:dyDescent="0.35">
      <c r="A33">
        <v>1.7692307692307692</v>
      </c>
      <c r="B33">
        <v>0.68253871480665462</v>
      </c>
      <c r="C33">
        <v>1.7468275767252912E-2</v>
      </c>
      <c r="D33">
        <v>-9.867848777334047E-2</v>
      </c>
    </row>
    <row r="34" spans="1:4" x14ac:dyDescent="0.35">
      <c r="A34">
        <v>1.9230769230769234</v>
      </c>
      <c r="B34">
        <v>0.70782568206021224</v>
      </c>
      <c r="C34">
        <v>2.0707779602604687E-2</v>
      </c>
      <c r="D34">
        <v>-0.1038003261337886</v>
      </c>
    </row>
    <row r="35" spans="1:4" x14ac:dyDescent="0.35">
      <c r="A35">
        <v>2.0769230769230775</v>
      </c>
      <c r="B35">
        <v>0.727949426042658</v>
      </c>
      <c r="C35">
        <v>2.3807789380649941E-2</v>
      </c>
      <c r="D35">
        <v>-0.10697725415720254</v>
      </c>
    </row>
    <row r="36" spans="1:4" x14ac:dyDescent="0.35">
      <c r="A36">
        <v>2.2307692307692308</v>
      </c>
      <c r="B36">
        <v>0.74517776091959798</v>
      </c>
      <c r="C36">
        <v>2.6846032260057998E-2</v>
      </c>
      <c r="D36">
        <v>-0.10908789813080806</v>
      </c>
    </row>
    <row r="37" spans="1:4" x14ac:dyDescent="0.35">
      <c r="A37">
        <v>2.384615384615385</v>
      </c>
      <c r="B37">
        <v>0.76072861436670236</v>
      </c>
      <c r="C37">
        <v>2.9874329316429384E-2</v>
      </c>
      <c r="D37">
        <v>-0.11062470322237571</v>
      </c>
    </row>
    <row r="38" spans="1:4" x14ac:dyDescent="0.35">
      <c r="A38">
        <v>2.5384615384615383</v>
      </c>
      <c r="B38">
        <v>0.77517951338612434</v>
      </c>
      <c r="C38">
        <v>3.2915438653219324E-2</v>
      </c>
      <c r="D38">
        <v>-0.11181739531452788</v>
      </c>
    </row>
    <row r="39" spans="1:4" x14ac:dyDescent="0.35">
      <c r="A39">
        <v>2.6923076923076925</v>
      </c>
      <c r="B39">
        <v>0.78884770378252433</v>
      </c>
      <c r="C39">
        <v>3.5983731162610416E-2</v>
      </c>
      <c r="D39">
        <v>-0.11278666293530269</v>
      </c>
    </row>
    <row r="40" spans="1:4" x14ac:dyDescent="0.35">
      <c r="A40">
        <v>2.8461538461538467</v>
      </c>
      <c r="B40">
        <v>0.80196033307454007</v>
      </c>
      <c r="C40">
        <v>3.9089731198917767E-2</v>
      </c>
      <c r="D40">
        <v>-0.11361930792009582</v>
      </c>
    </row>
    <row r="41" spans="1:4" x14ac:dyDescent="0.35">
      <c r="A41">
        <v>3</v>
      </c>
      <c r="B41">
        <v>0.81468726272200365</v>
      </c>
      <c r="C41">
        <v>4.2239826443952334E-2</v>
      </c>
      <c r="D41">
        <v>-0.11438362573246956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CF8B-6A55-4838-851B-DD8FD6F66744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-0.38410228665961715</v>
      </c>
      <c r="C2">
        <v>2.0890980688701353E-2</v>
      </c>
      <c r="D2">
        <v>-5.4077421372984366E-2</v>
      </c>
    </row>
    <row r="3" spans="1:4" x14ac:dyDescent="0.35">
      <c r="A3">
        <v>-2.8461538461538463</v>
      </c>
      <c r="B3">
        <v>-0.57350072686008247</v>
      </c>
      <c r="C3">
        <v>2.6636930451126587E-2</v>
      </c>
      <c r="D3">
        <v>1.3092284799025756E-2</v>
      </c>
    </row>
    <row r="4" spans="1:4" x14ac:dyDescent="0.35">
      <c r="A4">
        <v>-2.6923076923076925</v>
      </c>
      <c r="B4">
        <v>-0.55101724348332959</v>
      </c>
      <c r="C4">
        <v>2.3446244287078043E-2</v>
      </c>
      <c r="D4">
        <v>9.0593026801512166E-3</v>
      </c>
    </row>
    <row r="5" spans="1:4" x14ac:dyDescent="0.35">
      <c r="A5">
        <v>-2.5384615384615383</v>
      </c>
      <c r="B5">
        <v>-0.51730717877945387</v>
      </c>
      <c r="C5">
        <v>1.9761408178267499E-2</v>
      </c>
      <c r="D5">
        <v>1.2549527929554293E-3</v>
      </c>
    </row>
    <row r="6" spans="1:4" x14ac:dyDescent="0.35">
      <c r="A6">
        <v>-2.3846153846153846</v>
      </c>
      <c r="B6">
        <v>-0.4701336966233382</v>
      </c>
      <c r="C6">
        <v>1.5825122757287254E-2</v>
      </c>
      <c r="D6">
        <v>-1.0073764022605753E-2</v>
      </c>
    </row>
    <row r="7" spans="1:4" x14ac:dyDescent="0.35">
      <c r="A7">
        <v>-2.2307692307692308</v>
      </c>
      <c r="B7">
        <v>-0.40857070318551375</v>
      </c>
      <c r="C7">
        <v>1.2684311463744838E-2</v>
      </c>
      <c r="D7">
        <v>-2.1574673642638723E-2</v>
      </c>
    </row>
    <row r="8" spans="1:4" x14ac:dyDescent="0.35">
      <c r="A8">
        <v>-2.0769230769230766</v>
      </c>
      <c r="B8">
        <v>-0.35462432206241795</v>
      </c>
      <c r="C8">
        <v>1.2641579626382952E-2</v>
      </c>
      <c r="D8">
        <v>-2.1468818128288374E-2</v>
      </c>
    </row>
    <row r="9" spans="1:4" x14ac:dyDescent="0.35">
      <c r="A9">
        <v>-1.9230769230769229</v>
      </c>
      <c r="B9">
        <v>-0.32059288944134312</v>
      </c>
      <c r="C9">
        <v>1.2673082892589669E-2</v>
      </c>
      <c r="D9">
        <v>-1.9402734223725848E-2</v>
      </c>
    </row>
    <row r="10" spans="1:4" x14ac:dyDescent="0.35">
      <c r="A10">
        <v>-1.7692307692307692</v>
      </c>
      <c r="B10">
        <v>-0.26731546656431887</v>
      </c>
      <c r="C10">
        <v>1.1382842682857918E-2</v>
      </c>
      <c r="D10">
        <v>-2.1933542403248588E-2</v>
      </c>
    </row>
    <row r="11" spans="1:4" x14ac:dyDescent="0.35">
      <c r="A11">
        <v>-1.6153846153846154</v>
      </c>
      <c r="B11">
        <v>-0.22657509075874904</v>
      </c>
      <c r="C11">
        <v>1.0214054527113556E-2</v>
      </c>
      <c r="D11">
        <v>-2.5746016470612275E-2</v>
      </c>
    </row>
    <row r="12" spans="1:4" x14ac:dyDescent="0.35">
      <c r="A12">
        <v>-1.4615384615384615</v>
      </c>
      <c r="B12">
        <v>-0.1872669945268908</v>
      </c>
      <c r="C12">
        <v>9.3101760860272234E-3</v>
      </c>
      <c r="D12">
        <v>-2.9374433031120716E-2</v>
      </c>
    </row>
    <row r="13" spans="1:4" x14ac:dyDescent="0.35">
      <c r="A13">
        <v>-1.3076923076923075</v>
      </c>
      <c r="B13">
        <v>-0.15267931930101247</v>
      </c>
      <c r="C13">
        <v>8.5674305139354298E-3</v>
      </c>
      <c r="D13">
        <v>-3.2532548154327233E-2</v>
      </c>
    </row>
    <row r="14" spans="1:4" x14ac:dyDescent="0.35">
      <c r="A14">
        <v>-1.1538461538461537</v>
      </c>
      <c r="B14">
        <v>-0.11517047150059864</v>
      </c>
      <c r="C14">
        <v>8.1540827174356838E-3</v>
      </c>
      <c r="D14">
        <v>-3.5466165176386191E-2</v>
      </c>
    </row>
    <row r="15" spans="1:4" x14ac:dyDescent="0.35">
      <c r="A15">
        <v>-1</v>
      </c>
      <c r="B15">
        <v>-9.0151053488402522E-2</v>
      </c>
      <c r="C15">
        <v>7.8280988603556204E-3</v>
      </c>
      <c r="D15">
        <v>-3.7956086867391034E-2</v>
      </c>
    </row>
    <row r="16" spans="1:4" x14ac:dyDescent="0.35">
      <c r="A16">
        <v>-0.84615384615384581</v>
      </c>
      <c r="B16">
        <v>-6.7586090914956862E-2</v>
      </c>
      <c r="C16">
        <v>7.6759614437052065E-3</v>
      </c>
      <c r="D16">
        <v>-3.9984587139506582E-2</v>
      </c>
    </row>
    <row r="17" spans="1:4" x14ac:dyDescent="0.35">
      <c r="A17">
        <v>-0.69230769230769207</v>
      </c>
      <c r="B17">
        <v>4.1121795662919444E-3</v>
      </c>
      <c r="C17">
        <v>7.6788124367844594E-3</v>
      </c>
      <c r="D17">
        <v>-4.4801674621774916E-2</v>
      </c>
    </row>
    <row r="18" spans="1:4" x14ac:dyDescent="0.35">
      <c r="A18">
        <v>-0.53846153846153832</v>
      </c>
      <c r="B18">
        <v>4.0830645056508505E-2</v>
      </c>
      <c r="C18">
        <v>7.6754239657528377E-3</v>
      </c>
      <c r="D18">
        <v>-4.728610898544678E-2</v>
      </c>
    </row>
    <row r="19" spans="1:4" x14ac:dyDescent="0.35">
      <c r="A19">
        <v>-0.38461538461538458</v>
      </c>
      <c r="B19">
        <v>7.7092800450409615E-2</v>
      </c>
      <c r="C19">
        <v>7.7166785884203309E-3</v>
      </c>
      <c r="D19">
        <v>-4.9623137224786673E-2</v>
      </c>
    </row>
    <row r="20" spans="1:4" x14ac:dyDescent="0.35">
      <c r="A20">
        <v>-0.23076923076923084</v>
      </c>
      <c r="B20">
        <v>0.11304324270960842</v>
      </c>
      <c r="C20">
        <v>7.7833945918931247E-3</v>
      </c>
      <c r="D20">
        <v>-5.184880129856393E-2</v>
      </c>
    </row>
    <row r="21" spans="1:4" x14ac:dyDescent="0.35">
      <c r="A21">
        <v>-7.692307692307665E-2</v>
      </c>
      <c r="B21">
        <v>0.14870764657100505</v>
      </c>
      <c r="C21">
        <v>7.8720540391872124E-3</v>
      </c>
      <c r="D21">
        <v>-5.3925894487462538E-2</v>
      </c>
    </row>
    <row r="22" spans="1:4" x14ac:dyDescent="0.35">
      <c r="A22">
        <v>7.6923076923077094E-2</v>
      </c>
      <c r="B22">
        <v>0.18407014209429651</v>
      </c>
      <c r="C22">
        <v>7.9804416645567703E-3</v>
      </c>
      <c r="D22">
        <v>-5.5798216647970612E-2</v>
      </c>
    </row>
    <row r="23" spans="1:4" x14ac:dyDescent="0.35">
      <c r="A23">
        <v>0.23076923076923084</v>
      </c>
      <c r="B23">
        <v>0.21914388668314369</v>
      </c>
      <c r="C23">
        <v>8.1075357006917433E-3</v>
      </c>
      <c r="D23">
        <v>-5.7414617042831122E-2</v>
      </c>
    </row>
    <row r="24" spans="1:4" x14ac:dyDescent="0.35">
      <c r="A24">
        <v>0.38461538461538503</v>
      </c>
      <c r="B24">
        <v>0.2539471824297716</v>
      </c>
      <c r="C24">
        <v>8.254973015083409E-3</v>
      </c>
      <c r="D24">
        <v>-5.8730216344425809E-2</v>
      </c>
    </row>
    <row r="25" spans="1:4" x14ac:dyDescent="0.35">
      <c r="A25">
        <v>0.53846153846153877</v>
      </c>
      <c r="B25">
        <v>0.28864396596712744</v>
      </c>
      <c r="C25">
        <v>8.4258268458069652E-3</v>
      </c>
      <c r="D25">
        <v>-5.9689353607400304E-2</v>
      </c>
    </row>
    <row r="26" spans="1:4" x14ac:dyDescent="0.35">
      <c r="A26">
        <v>0.69230769230769251</v>
      </c>
      <c r="B26">
        <v>0.32344219772662536</v>
      </c>
      <c r="C26">
        <v>8.6311518848847368E-3</v>
      </c>
      <c r="D26">
        <v>-6.0294713833163753E-2</v>
      </c>
    </row>
    <row r="27" spans="1:4" x14ac:dyDescent="0.35">
      <c r="A27">
        <v>0.84615384615384626</v>
      </c>
      <c r="B27">
        <v>0.35994612232957285</v>
      </c>
      <c r="C27">
        <v>8.8657763656821518E-3</v>
      </c>
      <c r="D27">
        <v>-6.0735871856944672E-2</v>
      </c>
    </row>
    <row r="28" spans="1:4" x14ac:dyDescent="0.35">
      <c r="A28">
        <v>1</v>
      </c>
      <c r="B28">
        <v>0.39918126214252703</v>
      </c>
      <c r="C28">
        <v>9.0291115686938692E-3</v>
      </c>
      <c r="D28">
        <v>-6.0635999238960785E-2</v>
      </c>
    </row>
    <row r="29" spans="1:4" x14ac:dyDescent="0.35">
      <c r="A29">
        <v>1.1538461538461542</v>
      </c>
      <c r="B29">
        <v>0.41099689433128961</v>
      </c>
      <c r="C29">
        <v>1.0111651395537574E-2</v>
      </c>
      <c r="D29">
        <v>-6.1924637616192595E-2</v>
      </c>
    </row>
    <row r="30" spans="1:4" x14ac:dyDescent="0.35">
      <c r="A30">
        <v>1.3076923076923084</v>
      </c>
      <c r="B30">
        <v>0.47071354825858347</v>
      </c>
      <c r="C30">
        <v>1.0070497991848877E-2</v>
      </c>
      <c r="D30">
        <v>-5.9127855564247302E-2</v>
      </c>
    </row>
    <row r="31" spans="1:4" x14ac:dyDescent="0.35">
      <c r="A31">
        <v>1.4615384615384617</v>
      </c>
      <c r="B31">
        <v>0.56050683144259206</v>
      </c>
      <c r="C31">
        <v>1.063258988424964E-2</v>
      </c>
      <c r="D31">
        <v>-6.4296297179119291E-2</v>
      </c>
    </row>
    <row r="32" spans="1:4" x14ac:dyDescent="0.35">
      <c r="A32">
        <v>1.6153846153846159</v>
      </c>
      <c r="B32">
        <v>0.60103348843064308</v>
      </c>
      <c r="C32">
        <v>1.2924299740149863E-2</v>
      </c>
      <c r="D32">
        <v>-7.3334545562713904E-2</v>
      </c>
    </row>
    <row r="33" spans="1:4" x14ac:dyDescent="0.35">
      <c r="A33">
        <v>1.7692307692307692</v>
      </c>
      <c r="B33">
        <v>0.6479834899500011</v>
      </c>
      <c r="C33">
        <v>1.6010655839396943E-2</v>
      </c>
      <c r="D33">
        <v>-8.5890420871267192E-2</v>
      </c>
    </row>
    <row r="34" spans="1:4" x14ac:dyDescent="0.35">
      <c r="A34">
        <v>1.9230769230769234</v>
      </c>
      <c r="B34">
        <v>0.69956732036953939</v>
      </c>
      <c r="C34">
        <v>2.0508616925112286E-2</v>
      </c>
      <c r="D34">
        <v>-0.10011834128429327</v>
      </c>
    </row>
    <row r="35" spans="1:4" x14ac:dyDescent="0.35">
      <c r="A35">
        <v>2.0769230769230775</v>
      </c>
      <c r="B35">
        <v>0.72041887483069589</v>
      </c>
      <c r="C35">
        <v>2.3615015724761712E-2</v>
      </c>
      <c r="D35">
        <v>-0.10356795124024029</v>
      </c>
    </row>
    <row r="36" spans="1:4" x14ac:dyDescent="0.35">
      <c r="A36">
        <v>2.2307692307692308</v>
      </c>
      <c r="B36">
        <v>0.73806960257476129</v>
      </c>
      <c r="C36">
        <v>2.6656357244235557E-2</v>
      </c>
      <c r="D36">
        <v>-0.10583750028978538</v>
      </c>
    </row>
    <row r="37" spans="1:4" x14ac:dyDescent="0.35">
      <c r="A37">
        <v>2.384615384615385</v>
      </c>
      <c r="B37">
        <v>0.75380043950675824</v>
      </c>
      <c r="C37">
        <v>2.967844550668482E-2</v>
      </c>
      <c r="D37">
        <v>-0.10743698204198461</v>
      </c>
    </row>
    <row r="38" spans="1:4" x14ac:dyDescent="0.35">
      <c r="A38">
        <v>2.5384615384615383</v>
      </c>
      <c r="B38">
        <v>0.76842011511747921</v>
      </c>
      <c r="C38">
        <v>3.2717989211493839E-2</v>
      </c>
      <c r="D38">
        <v>-0.10869144801364093</v>
      </c>
    </row>
    <row r="39" spans="1:4" x14ac:dyDescent="0.35">
      <c r="A39">
        <v>2.6923076923076925</v>
      </c>
      <c r="B39">
        <v>0.78211888531552332</v>
      </c>
      <c r="C39">
        <v>3.577666325094863E-2</v>
      </c>
      <c r="D39">
        <v>-0.10966528998585047</v>
      </c>
    </row>
    <row r="40" spans="1:4" x14ac:dyDescent="0.35">
      <c r="A40">
        <v>2.8461538461538467</v>
      </c>
      <c r="B40">
        <v>0.79543839994448551</v>
      </c>
      <c r="C40">
        <v>3.8887199351079968E-2</v>
      </c>
      <c r="D40">
        <v>-0.11058292332279746</v>
      </c>
    </row>
    <row r="41" spans="1:4" x14ac:dyDescent="0.35">
      <c r="A41">
        <v>3</v>
      </c>
      <c r="B41">
        <v>0.80783721342987413</v>
      </c>
      <c r="C41">
        <v>4.2000449590627459E-2</v>
      </c>
      <c r="D41">
        <v>-0.11119286842115181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E27D-19E9-4B96-87AB-CE83EC32C96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341</v>
      </c>
    </row>
    <row r="2" spans="1:4" x14ac:dyDescent="0.35">
      <c r="A2">
        <v>-3</v>
      </c>
      <c r="B2">
        <v>-0.32618134186220088</v>
      </c>
      <c r="C2">
        <v>1.8350994714941848E-2</v>
      </c>
      <c r="D2">
        <v>-7.4928083868169695E-2</v>
      </c>
    </row>
    <row r="3" spans="1:4" x14ac:dyDescent="0.35">
      <c r="A3">
        <v>-2.8461538461538463</v>
      </c>
      <c r="B3">
        <v>-0.56545434190026245</v>
      </c>
      <c r="C3">
        <v>2.6728845537761503E-2</v>
      </c>
      <c r="D3">
        <v>1.0553051520391231E-2</v>
      </c>
    </row>
    <row r="4" spans="1:4" x14ac:dyDescent="0.35">
      <c r="A4">
        <v>-2.6923076923076925</v>
      </c>
      <c r="B4">
        <v>-0.54400623416428007</v>
      </c>
      <c r="C4">
        <v>2.3665511757492996E-2</v>
      </c>
      <c r="D4">
        <v>7.027417021007943E-3</v>
      </c>
    </row>
    <row r="5" spans="1:4" x14ac:dyDescent="0.35">
      <c r="A5">
        <v>-2.5384615384615383</v>
      </c>
      <c r="B5">
        <v>-0.51289003215908879</v>
      </c>
      <c r="C5">
        <v>2.0213205281497761E-2</v>
      </c>
      <c r="D5">
        <v>3.297110366068991E-4</v>
      </c>
    </row>
    <row r="6" spans="1:4" x14ac:dyDescent="0.35">
      <c r="A6">
        <v>-2.3846153846153846</v>
      </c>
      <c r="B6">
        <v>-0.46980970870843775</v>
      </c>
      <c r="C6">
        <v>1.6555449339055076E-2</v>
      </c>
      <c r="D6">
        <v>-9.485351828390479E-3</v>
      </c>
    </row>
    <row r="7" spans="1:4" x14ac:dyDescent="0.35">
      <c r="A7">
        <v>-2.2307692307692308</v>
      </c>
      <c r="B7">
        <v>-0.41163140242130075</v>
      </c>
      <c r="C7">
        <v>1.3557184593800302E-2</v>
      </c>
      <c r="D7">
        <v>-2.0005905377383691E-2</v>
      </c>
    </row>
    <row r="8" spans="1:4" x14ac:dyDescent="0.35">
      <c r="A8">
        <v>-2.0769230769230766</v>
      </c>
      <c r="B8">
        <v>-0.35940221554748703</v>
      </c>
      <c r="C8">
        <v>1.3174635325219871E-2</v>
      </c>
      <c r="D8">
        <v>-2.0867467046162685E-2</v>
      </c>
    </row>
    <row r="9" spans="1:4" x14ac:dyDescent="0.35">
      <c r="A9">
        <v>-1.9230769230769229</v>
      </c>
      <c r="B9">
        <v>-0.32648665462296123</v>
      </c>
      <c r="C9">
        <v>1.3339880314071254E-2</v>
      </c>
      <c r="D9">
        <v>-1.8673397165024586E-2</v>
      </c>
    </row>
    <row r="10" spans="1:4" x14ac:dyDescent="0.35">
      <c r="A10">
        <v>-1.7692307692307692</v>
      </c>
      <c r="B10">
        <v>-0.27316095761037984</v>
      </c>
      <c r="C10">
        <v>1.229358784789474E-2</v>
      </c>
      <c r="D10">
        <v>-1.9745074802326797E-2</v>
      </c>
    </row>
    <row r="11" spans="1:4" x14ac:dyDescent="0.35">
      <c r="A11">
        <v>-1.6153846153846154</v>
      </c>
      <c r="B11">
        <v>-0.23545920227796399</v>
      </c>
      <c r="C11">
        <v>1.1110572377731559E-2</v>
      </c>
      <c r="D11">
        <v>-2.3169081438316846E-2</v>
      </c>
    </row>
    <row r="12" spans="1:4" x14ac:dyDescent="0.35">
      <c r="A12">
        <v>-1.4615384615384615</v>
      </c>
      <c r="B12">
        <v>-0.19501742501340236</v>
      </c>
      <c r="C12">
        <v>1.0194383343105117E-2</v>
      </c>
      <c r="D12">
        <v>-2.6796581551587147E-2</v>
      </c>
    </row>
    <row r="13" spans="1:4" x14ac:dyDescent="0.35">
      <c r="A13">
        <v>-1.3076923076923075</v>
      </c>
      <c r="B13">
        <v>-0.15671633501401616</v>
      </c>
      <c r="C13">
        <v>9.5173364329842348E-3</v>
      </c>
      <c r="D13">
        <v>-3.001451351126061E-2</v>
      </c>
    </row>
    <row r="14" spans="1:4" x14ac:dyDescent="0.35">
      <c r="A14">
        <v>-1.1538461538461537</v>
      </c>
      <c r="B14">
        <v>-0.12749314312878138</v>
      </c>
      <c r="C14">
        <v>9.0391170666828408E-3</v>
      </c>
      <c r="D14">
        <v>-3.2490334683779744E-2</v>
      </c>
    </row>
    <row r="15" spans="1:4" x14ac:dyDescent="0.35">
      <c r="A15">
        <v>-1</v>
      </c>
      <c r="B15">
        <v>-0.1012067977908422</v>
      </c>
      <c r="C15">
        <v>8.5172168891264766E-3</v>
      </c>
      <c r="D15">
        <v>-3.540775984866025E-2</v>
      </c>
    </row>
    <row r="16" spans="1:4" x14ac:dyDescent="0.35">
      <c r="A16">
        <v>-0.84615384615384581</v>
      </c>
      <c r="B16">
        <v>-6.3901200982504819E-2</v>
      </c>
      <c r="C16">
        <v>8.3336935849526485E-3</v>
      </c>
      <c r="D16">
        <v>-3.7644868638247141E-2</v>
      </c>
    </row>
    <row r="17" spans="1:4" x14ac:dyDescent="0.35">
      <c r="A17">
        <v>-0.69230769230769207</v>
      </c>
      <c r="B17">
        <v>-9.9064070735570449E-3</v>
      </c>
      <c r="C17">
        <v>8.3809766964687976E-3</v>
      </c>
      <c r="D17">
        <v>-4.1222198601460008E-2</v>
      </c>
    </row>
    <row r="18" spans="1:4" x14ac:dyDescent="0.35">
      <c r="A18">
        <v>-0.53846153846153832</v>
      </c>
      <c r="B18">
        <v>2.3763022838845037E-2</v>
      </c>
      <c r="C18">
        <v>8.3406142224253313E-3</v>
      </c>
      <c r="D18">
        <v>-4.3833310359751056E-2</v>
      </c>
    </row>
    <row r="19" spans="1:4" x14ac:dyDescent="0.35">
      <c r="A19">
        <v>-0.38461538461538458</v>
      </c>
      <c r="B19">
        <v>6.5115833632654829E-2</v>
      </c>
      <c r="C19">
        <v>8.4062457997830659E-3</v>
      </c>
      <c r="D19">
        <v>-4.6256455637665471E-2</v>
      </c>
    </row>
    <row r="20" spans="1:4" x14ac:dyDescent="0.35">
      <c r="A20">
        <v>-0.23076923076923084</v>
      </c>
      <c r="B20">
        <v>0.10223400819052668</v>
      </c>
      <c r="C20">
        <v>8.4603998572839994E-3</v>
      </c>
      <c r="D20">
        <v>-4.8614995514783772E-2</v>
      </c>
    </row>
    <row r="21" spans="1:4" x14ac:dyDescent="0.35">
      <c r="A21">
        <v>-7.692307692307665E-2</v>
      </c>
      <c r="B21">
        <v>0.13626636976986628</v>
      </c>
      <c r="C21">
        <v>8.5409979033397275E-3</v>
      </c>
      <c r="D21">
        <v>-5.041365297461986E-2</v>
      </c>
    </row>
    <row r="22" spans="1:4" x14ac:dyDescent="0.35">
      <c r="A22">
        <v>7.6923076923077094E-2</v>
      </c>
      <c r="B22">
        <v>0.17088429287112505</v>
      </c>
      <c r="C22">
        <v>8.6236712036325148E-3</v>
      </c>
      <c r="D22">
        <v>-5.2111752254781624E-2</v>
      </c>
    </row>
    <row r="23" spans="1:4" x14ac:dyDescent="0.35">
      <c r="A23">
        <v>0.23076923076923084</v>
      </c>
      <c r="B23">
        <v>0.20539799765062683</v>
      </c>
      <c r="C23">
        <v>8.7662015615982362E-3</v>
      </c>
      <c r="D23">
        <v>-5.3890949974855544E-2</v>
      </c>
    </row>
    <row r="24" spans="1:4" x14ac:dyDescent="0.35">
      <c r="A24">
        <v>0.38461538461538503</v>
      </c>
      <c r="B24">
        <v>0.24120059565490568</v>
      </c>
      <c r="C24">
        <v>8.910928177817027E-3</v>
      </c>
      <c r="D24">
        <v>-5.5238448085583577E-2</v>
      </c>
    </row>
    <row r="25" spans="1:4" x14ac:dyDescent="0.35">
      <c r="A25">
        <v>0.53846153846153877</v>
      </c>
      <c r="B25">
        <v>0.2754711049093258</v>
      </c>
      <c r="C25">
        <v>9.088285631740781E-3</v>
      </c>
      <c r="D25">
        <v>-5.6191995503625171E-2</v>
      </c>
    </row>
    <row r="26" spans="1:4" x14ac:dyDescent="0.35">
      <c r="A26">
        <v>0.69230769230769251</v>
      </c>
      <c r="B26">
        <v>0.3061634486367284</v>
      </c>
      <c r="C26">
        <v>9.4341091646672429E-3</v>
      </c>
      <c r="D26">
        <v>-5.7425627932565851E-2</v>
      </c>
    </row>
    <row r="27" spans="1:4" x14ac:dyDescent="0.35">
      <c r="A27">
        <v>0.84615384615384626</v>
      </c>
      <c r="B27">
        <v>0.34508965527612279</v>
      </c>
      <c r="C27">
        <v>9.5394197876853323E-3</v>
      </c>
      <c r="D27">
        <v>-5.7076022122076173E-2</v>
      </c>
    </row>
    <row r="28" spans="1:4" x14ac:dyDescent="0.35">
      <c r="A28">
        <v>1</v>
      </c>
      <c r="B28">
        <v>0.38460855302344671</v>
      </c>
      <c r="C28">
        <v>9.7168374108598798E-3</v>
      </c>
      <c r="D28">
        <v>-5.7023048678863486E-2</v>
      </c>
    </row>
    <row r="29" spans="1:4" x14ac:dyDescent="0.35">
      <c r="A29">
        <v>1.1538461538461542</v>
      </c>
      <c r="B29">
        <v>0.39825422882222455</v>
      </c>
      <c r="C29">
        <v>1.0675275776257031E-2</v>
      </c>
      <c r="D29">
        <v>-5.7878003523767728E-2</v>
      </c>
    </row>
    <row r="30" spans="1:4" x14ac:dyDescent="0.35">
      <c r="A30">
        <v>1.3076923076923084</v>
      </c>
      <c r="B30">
        <v>0.43299264308059071</v>
      </c>
      <c r="C30">
        <v>1.1304430141381164E-2</v>
      </c>
      <c r="D30">
        <v>-5.9305543783055296E-2</v>
      </c>
    </row>
    <row r="31" spans="1:4" x14ac:dyDescent="0.35">
      <c r="A31">
        <v>1.4615384615384617</v>
      </c>
      <c r="B31">
        <v>0.46311158974314626</v>
      </c>
      <c r="C31">
        <v>1.2381155161149659E-2</v>
      </c>
      <c r="D31">
        <v>-5.9550081444381057E-2</v>
      </c>
    </row>
    <row r="32" spans="1:4" x14ac:dyDescent="0.35">
      <c r="A32">
        <v>1.6153846153846159</v>
      </c>
      <c r="B32">
        <v>0.59999606012828255</v>
      </c>
      <c r="C32">
        <v>1.3480507215681841E-2</v>
      </c>
      <c r="D32">
        <v>-7.1427996378323907E-2</v>
      </c>
    </row>
    <row r="33" spans="1:4" x14ac:dyDescent="0.35">
      <c r="A33">
        <v>1.7692307692307692</v>
      </c>
      <c r="B33">
        <v>0.65246040621111501</v>
      </c>
      <c r="C33">
        <v>1.692690238403418E-2</v>
      </c>
      <c r="D33">
        <v>-8.5849744751628293E-2</v>
      </c>
    </row>
    <row r="34" spans="1:4" x14ac:dyDescent="0.35">
      <c r="A34">
        <v>1.9230769230769234</v>
      </c>
      <c r="B34">
        <v>0.68283949298310376</v>
      </c>
      <c r="C34">
        <v>2.0170572191860844E-2</v>
      </c>
      <c r="D34">
        <v>-9.2794843043395664E-2</v>
      </c>
    </row>
    <row r="35" spans="1:4" x14ac:dyDescent="0.35">
      <c r="A35">
        <v>2.0769230769230775</v>
      </c>
      <c r="B35">
        <v>0.70538653267422058</v>
      </c>
      <c r="C35">
        <v>2.3281883270736291E-2</v>
      </c>
      <c r="D35">
        <v>-9.6865826128214219E-2</v>
      </c>
    </row>
    <row r="36" spans="1:4" x14ac:dyDescent="0.35">
      <c r="A36">
        <v>2.2307692307692308</v>
      </c>
      <c r="B36">
        <v>0.72394039025106838</v>
      </c>
      <c r="C36">
        <v>2.6321531376243334E-2</v>
      </c>
      <c r="D36">
        <v>-9.9469129927932859E-2</v>
      </c>
    </row>
    <row r="37" spans="1:4" x14ac:dyDescent="0.35">
      <c r="A37">
        <v>2.384615384615385</v>
      </c>
      <c r="B37">
        <v>0.74021085215020799</v>
      </c>
      <c r="C37">
        <v>2.933888601256273E-2</v>
      </c>
      <c r="D37">
        <v>-0.10126667054773161</v>
      </c>
    </row>
    <row r="38" spans="1:4" x14ac:dyDescent="0.35">
      <c r="A38">
        <v>2.5384615384615383</v>
      </c>
      <c r="B38">
        <v>0.75501748501734534</v>
      </c>
      <c r="C38">
        <v>3.2358172840471662E-2</v>
      </c>
      <c r="D38">
        <v>-0.10257869229854942</v>
      </c>
    </row>
    <row r="39" spans="1:4" x14ac:dyDescent="0.35">
      <c r="A39">
        <v>2.6923076923076925</v>
      </c>
      <c r="B39">
        <v>0.76880652880763944</v>
      </c>
      <c r="C39">
        <v>3.5395408024299496E-2</v>
      </c>
      <c r="D39">
        <v>-0.10357616553785669</v>
      </c>
    </row>
    <row r="40" spans="1:4" x14ac:dyDescent="0.35">
      <c r="A40">
        <v>2.8461538461538467</v>
      </c>
      <c r="B40">
        <v>0.78184446555351961</v>
      </c>
      <c r="C40">
        <v>3.8460047704393402E-2</v>
      </c>
      <c r="D40">
        <v>-0.10435729556432853</v>
      </c>
    </row>
    <row r="41" spans="1:4" x14ac:dyDescent="0.35">
      <c r="A41">
        <v>3</v>
      </c>
      <c r="B41">
        <v>0.79436610089298754</v>
      </c>
      <c r="C41">
        <v>4.156016382103353E-2</v>
      </c>
      <c r="D41">
        <v>-0.10501671280530883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8952D-E1D5-4FA1-ADC2-6D91198AB85C}">
  <sheetPr codeName="Sheet44"/>
  <dimension ref="A1:J16"/>
  <sheetViews>
    <sheetView workbookViewId="0">
      <selection activeCell="G7" sqref="G7:G16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236</v>
      </c>
      <c r="B1">
        <v>29</v>
      </c>
    </row>
    <row r="3" spans="1:10" x14ac:dyDescent="0.35">
      <c r="A3" t="s">
        <v>262</v>
      </c>
    </row>
    <row r="5" spans="1:10" x14ac:dyDescent="0.35">
      <c r="A5" t="s">
        <v>233</v>
      </c>
      <c r="B5" s="11">
        <v>0.26</v>
      </c>
      <c r="C5">
        <v>0.27</v>
      </c>
      <c r="D5">
        <v>0.28000000000000003</v>
      </c>
      <c r="E5">
        <v>0.28999999999999998</v>
      </c>
      <c r="F5">
        <v>0.3</v>
      </c>
      <c r="G5">
        <v>0.31</v>
      </c>
      <c r="H5">
        <v>0.32</v>
      </c>
      <c r="I5">
        <v>0.33</v>
      </c>
      <c r="J5">
        <v>0.34</v>
      </c>
    </row>
    <row r="6" spans="1:10" x14ac:dyDescent="0.35">
      <c r="A6" s="7" t="s">
        <v>263</v>
      </c>
      <c r="B6" s="8"/>
      <c r="C6" s="8"/>
      <c r="D6" s="8">
        <v>-3.1</v>
      </c>
      <c r="E6" s="8">
        <v>-2.9</v>
      </c>
      <c r="F6" s="8">
        <v>-2.7</v>
      </c>
      <c r="G6" s="8">
        <v>-2.4</v>
      </c>
      <c r="H6" s="8"/>
      <c r="I6" s="8"/>
      <c r="J6" s="8"/>
    </row>
    <row r="7" spans="1:10" x14ac:dyDescent="0.35">
      <c r="A7" s="6" t="s">
        <v>139</v>
      </c>
      <c r="D7">
        <v>1.8454000000000002E-2</v>
      </c>
      <c r="E7">
        <v>1.8440100000000001E-2</v>
      </c>
      <c r="F7">
        <v>1.8429399999999999E-2</v>
      </c>
      <c r="G7">
        <v>1.8418E-2</v>
      </c>
    </row>
    <row r="8" spans="1:10" ht="14.5" customHeight="1" x14ac:dyDescent="0.35">
      <c r="A8" s="6" t="s">
        <v>136</v>
      </c>
      <c r="D8">
        <v>1.201E-2</v>
      </c>
      <c r="E8">
        <v>1.201E-2</v>
      </c>
      <c r="F8">
        <v>1.201E-2</v>
      </c>
      <c r="G8">
        <v>1.204E-2</v>
      </c>
    </row>
    <row r="9" spans="1:10" x14ac:dyDescent="0.35">
      <c r="A9" s="6" t="s">
        <v>252</v>
      </c>
      <c r="D9">
        <v>0.01</v>
      </c>
      <c r="E9">
        <v>0.01</v>
      </c>
      <c r="F9">
        <v>0.01</v>
      </c>
      <c r="G9">
        <v>0.01</v>
      </c>
    </row>
    <row r="10" spans="1:10" x14ac:dyDescent="0.35">
      <c r="A10" s="6" t="s">
        <v>258</v>
      </c>
      <c r="D10">
        <v>2.5833738409599696E-6</v>
      </c>
      <c r="E10">
        <v>2.5833738409599696E-6</v>
      </c>
      <c r="F10">
        <v>2.5833738409599696E-6</v>
      </c>
      <c r="G10">
        <v>2.5833738409599696E-6</v>
      </c>
    </row>
    <row r="11" spans="1:10" x14ac:dyDescent="0.35">
      <c r="A11" s="6" t="s">
        <v>232</v>
      </c>
      <c r="D11">
        <v>3.9641188404231066E-2</v>
      </c>
      <c r="E11">
        <v>3.9627288404231069E-2</v>
      </c>
      <c r="F11">
        <v>3.9616588404231066E-2</v>
      </c>
      <c r="G11">
        <v>3.9635188404231067E-2</v>
      </c>
    </row>
    <row r="12" spans="1:10" x14ac:dyDescent="0.35">
      <c r="A12" s="6" t="s">
        <v>251</v>
      </c>
      <c r="D12">
        <v>13.993021458983167</v>
      </c>
      <c r="E12">
        <v>13.997929768537324</v>
      </c>
      <c r="F12">
        <v>14.001710453713823</v>
      </c>
      <c r="G12">
        <v>13.995139731461087</v>
      </c>
    </row>
    <row r="13" spans="1:10" x14ac:dyDescent="0.35">
      <c r="A13" t="s">
        <v>143</v>
      </c>
      <c r="B13" s="11"/>
      <c r="D13">
        <v>0.98775215977102804</v>
      </c>
      <c r="E13">
        <v>0.98849671945458817</v>
      </c>
      <c r="F13">
        <v>0.98907063476914892</v>
      </c>
      <c r="G13">
        <v>0.98968282964570276</v>
      </c>
    </row>
    <row r="14" spans="1:10" x14ac:dyDescent="0.35">
      <c r="A14" t="s">
        <v>33</v>
      </c>
      <c r="B14" s="11"/>
      <c r="D14">
        <v>3.4036</v>
      </c>
      <c r="E14">
        <v>3.4036</v>
      </c>
      <c r="F14">
        <v>3.4036</v>
      </c>
      <c r="G14">
        <v>3.4036</v>
      </c>
    </row>
    <row r="15" spans="1:10" x14ac:dyDescent="0.35">
      <c r="A15" t="s">
        <v>324</v>
      </c>
      <c r="B15" s="11"/>
      <c r="D15">
        <v>6.3216000000000001</v>
      </c>
      <c r="E15">
        <v>6.3216000000000001</v>
      </c>
      <c r="F15">
        <v>6.3216000000000001</v>
      </c>
      <c r="G15">
        <v>5.6393000000000004</v>
      </c>
    </row>
    <row r="16" spans="1:10" x14ac:dyDescent="0.35">
      <c r="A16" t="s">
        <v>325</v>
      </c>
      <c r="B16" s="11"/>
      <c r="D16">
        <v>0.6913385826771653</v>
      </c>
      <c r="E16">
        <v>0.6913385826771653</v>
      </c>
      <c r="F16">
        <v>0.6913385826771653</v>
      </c>
      <c r="G16">
        <v>0.61672134733158357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7BDB-B731-401B-8ECB-7BCD35F41A56}">
  <sheetPr codeName="Sheet43"/>
  <dimension ref="A1:AR42"/>
  <sheetViews>
    <sheetView showGridLines="0" topLeftCell="AK7" zoomScale="207" zoomScaleNormal="172" workbookViewId="0">
      <selection activeCell="AK18" sqref="AK18"/>
    </sheetView>
  </sheetViews>
  <sheetFormatPr defaultRowHeight="14" x14ac:dyDescent="0.3"/>
  <cols>
    <col min="1" max="1" width="9.90625" style="28" bestFit="1" customWidth="1"/>
    <col min="2" max="14" width="8.7265625" style="28"/>
    <col min="15" max="15" width="8.81640625" style="28" bestFit="1" customWidth="1"/>
    <col min="16" max="19" width="12.08984375" style="28" bestFit="1" customWidth="1"/>
    <col min="20" max="20" width="11.08984375" style="28" bestFit="1" customWidth="1"/>
    <col min="21" max="25" width="12.08984375" style="28" bestFit="1" customWidth="1"/>
    <col min="26" max="26" width="11.08984375" style="28" bestFit="1" customWidth="1"/>
    <col min="27" max="29" width="13.26953125" style="28" bestFit="1" customWidth="1"/>
    <col min="30" max="30" width="8.7265625" style="28" customWidth="1"/>
    <col min="31" max="31" width="13.26953125" style="28" bestFit="1" customWidth="1"/>
    <col min="32" max="32" width="12.26953125" style="28" bestFit="1" customWidth="1"/>
    <col min="33" max="37" width="13.26953125" style="28" bestFit="1" customWidth="1"/>
    <col min="38" max="38" width="5" style="28" customWidth="1"/>
    <col min="39" max="44" width="8.81640625" style="28" bestFit="1" customWidth="1"/>
    <col min="45" max="16384" width="8.7265625" style="28"/>
  </cols>
  <sheetData>
    <row r="1" spans="1:44" x14ac:dyDescent="0.3">
      <c r="B1" s="28" t="s">
        <v>51</v>
      </c>
      <c r="C1" s="28" t="s">
        <v>53</v>
      </c>
      <c r="D1" s="28" t="s">
        <v>237</v>
      </c>
      <c r="E1" s="28" t="s">
        <v>264</v>
      </c>
    </row>
    <row r="2" spans="1:44" x14ac:dyDescent="0.3">
      <c r="A2" s="28" t="s">
        <v>56</v>
      </c>
      <c r="B2" s="28">
        <v>0.27</v>
      </c>
      <c r="C2" s="28">
        <v>0.32</v>
      </c>
      <c r="D2" s="28">
        <v>0.01</v>
      </c>
      <c r="E2" s="28">
        <f>(C2-B2)/D2+1</f>
        <v>5.9999999999999991</v>
      </c>
      <c r="G2" s="29" t="s">
        <v>346</v>
      </c>
    </row>
    <row r="3" spans="1:44" x14ac:dyDescent="0.3">
      <c r="A3" s="28" t="s">
        <v>236</v>
      </c>
      <c r="B3" s="28">
        <v>26</v>
      </c>
      <c r="C3" s="28">
        <v>31</v>
      </c>
      <c r="D3" s="28">
        <v>1</v>
      </c>
      <c r="E3" s="28">
        <f>(C3-B3)/D3+1</f>
        <v>6</v>
      </c>
      <c r="G3" s="28" t="s">
        <v>278</v>
      </c>
    </row>
    <row r="4" spans="1:44" x14ac:dyDescent="0.3">
      <c r="E4" s="28">
        <f>E2*E3</f>
        <v>35.999999999999993</v>
      </c>
      <c r="G4" s="28" t="s">
        <v>347</v>
      </c>
    </row>
    <row r="6" spans="1:44" x14ac:dyDescent="0.3">
      <c r="A6" s="28" t="s">
        <v>262</v>
      </c>
    </row>
    <row r="7" spans="1:44" x14ac:dyDescent="0.3">
      <c r="AJ7" s="28" t="s">
        <v>357</v>
      </c>
    </row>
    <row r="8" spans="1:44" x14ac:dyDescent="0.3">
      <c r="A8" s="28" t="s">
        <v>251</v>
      </c>
      <c r="B8" s="30"/>
      <c r="C8" s="51" t="s">
        <v>356</v>
      </c>
      <c r="D8" s="52"/>
      <c r="E8" s="52"/>
      <c r="F8" s="52"/>
      <c r="G8" s="52"/>
      <c r="H8" s="52"/>
      <c r="J8" s="28" t="s">
        <v>143</v>
      </c>
      <c r="K8" s="30"/>
      <c r="L8" s="51" t="s">
        <v>356</v>
      </c>
      <c r="M8" s="52"/>
      <c r="N8" s="52"/>
      <c r="O8" s="52"/>
      <c r="P8" s="52"/>
      <c r="Q8" s="52"/>
      <c r="S8" s="28" t="s">
        <v>3</v>
      </c>
      <c r="T8" s="30"/>
      <c r="U8" s="51" t="s">
        <v>356</v>
      </c>
      <c r="V8" s="52"/>
      <c r="W8" s="52"/>
      <c r="X8" s="52"/>
      <c r="Y8" s="52"/>
      <c r="Z8" s="52"/>
      <c r="AB8" s="28" t="s">
        <v>258</v>
      </c>
      <c r="AC8" s="30"/>
      <c r="AD8" s="51" t="s">
        <v>356</v>
      </c>
      <c r="AE8" s="52"/>
      <c r="AF8" s="52"/>
      <c r="AG8" s="52"/>
      <c r="AH8" s="52"/>
      <c r="AI8" s="52"/>
      <c r="AL8" s="30"/>
      <c r="AM8" s="51" t="s">
        <v>356</v>
      </c>
      <c r="AN8" s="52"/>
      <c r="AO8" s="52"/>
      <c r="AP8" s="52"/>
      <c r="AQ8" s="52"/>
      <c r="AR8" s="52"/>
    </row>
    <row r="9" spans="1:44" x14ac:dyDescent="0.3">
      <c r="A9" s="31"/>
      <c r="B9" s="32"/>
      <c r="C9" s="33">
        <v>26</v>
      </c>
      <c r="D9" s="31">
        <v>27</v>
      </c>
      <c r="E9" s="31">
        <v>28</v>
      </c>
      <c r="F9" s="31">
        <v>29</v>
      </c>
      <c r="G9" s="31">
        <v>30</v>
      </c>
      <c r="H9" s="31">
        <v>31</v>
      </c>
      <c r="J9" s="31"/>
      <c r="K9" s="32"/>
      <c r="L9" s="33">
        <v>26</v>
      </c>
      <c r="M9" s="31">
        <v>27</v>
      </c>
      <c r="N9" s="31">
        <v>28</v>
      </c>
      <c r="O9" s="31">
        <v>29</v>
      </c>
      <c r="P9" s="31">
        <v>30</v>
      </c>
      <c r="Q9" s="31">
        <v>31</v>
      </c>
      <c r="S9" s="31"/>
      <c r="T9" s="32"/>
      <c r="U9" s="33">
        <v>26</v>
      </c>
      <c r="V9" s="31">
        <v>27</v>
      </c>
      <c r="W9" s="31">
        <v>28</v>
      </c>
      <c r="X9" s="31">
        <v>29</v>
      </c>
      <c r="Y9" s="31">
        <v>30</v>
      </c>
      <c r="Z9" s="31">
        <v>31</v>
      </c>
      <c r="AB9" s="31"/>
      <c r="AC9" s="32"/>
      <c r="AD9" s="33">
        <v>26</v>
      </c>
      <c r="AE9" s="31">
        <v>27</v>
      </c>
      <c r="AF9" s="31">
        <v>28</v>
      </c>
      <c r="AG9" s="31">
        <v>29</v>
      </c>
      <c r="AH9" s="31">
        <v>30</v>
      </c>
      <c r="AI9" s="31">
        <v>31</v>
      </c>
      <c r="AK9" s="31"/>
      <c r="AL9" s="32"/>
      <c r="AM9" s="33">
        <v>26</v>
      </c>
      <c r="AN9" s="31">
        <v>27</v>
      </c>
      <c r="AO9" s="31">
        <v>28</v>
      </c>
      <c r="AP9" s="31">
        <v>29</v>
      </c>
      <c r="AQ9" s="31">
        <v>30</v>
      </c>
      <c r="AR9" s="31">
        <v>31</v>
      </c>
    </row>
    <row r="10" spans="1:44" ht="14.5" customHeight="1" x14ac:dyDescent="0.3">
      <c r="A10" s="47" t="s">
        <v>56</v>
      </c>
      <c r="B10" s="30">
        <v>0.27</v>
      </c>
      <c r="C10" s="28">
        <f t="shared" ref="C10:H10" si="0">IF(B25="","",B25)</f>
        <v>13.972984148464743</v>
      </c>
      <c r="D10" s="28">
        <f t="shared" si="0"/>
        <v>13.979344447362154</v>
      </c>
      <c r="E10" s="28">
        <f t="shared" si="0"/>
        <v>13.984961528678324</v>
      </c>
      <c r="F10" s="28">
        <f t="shared" si="0"/>
        <v>13.986141499773453</v>
      </c>
      <c r="G10" s="28">
        <f t="shared" si="0"/>
        <v>13.985911012975702</v>
      </c>
      <c r="H10" s="28">
        <f t="shared" si="0"/>
        <v>13.985037843307152</v>
      </c>
      <c r="J10" s="49" t="s">
        <v>56</v>
      </c>
      <c r="K10" s="30">
        <v>0.27</v>
      </c>
      <c r="L10" s="28">
        <f t="shared" ref="L10:Q10" si="1">IF(B26="","",B26)</f>
        <v>0.98887746739079652</v>
      </c>
      <c r="M10" s="28">
        <f t="shared" si="1"/>
        <v>0.98876482126023479</v>
      </c>
      <c r="N10" s="28">
        <f t="shared" si="1"/>
        <v>0.98844847656930512</v>
      </c>
      <c r="O10" s="28">
        <f t="shared" si="1"/>
        <v>0.98831449325857634</v>
      </c>
      <c r="P10" s="28">
        <f t="shared" si="1"/>
        <v>0.98816447506624927</v>
      </c>
      <c r="Q10" s="28">
        <f t="shared" si="1"/>
        <v>0.98800914708575727</v>
      </c>
      <c r="S10" s="49" t="s">
        <v>56</v>
      </c>
      <c r="T10" s="30">
        <v>0.27</v>
      </c>
      <c r="U10" s="28">
        <f>IF(B21="","",B21)*10000</f>
        <v>120.5</v>
      </c>
      <c r="V10" s="28">
        <f t="shared" ref="V10:Z10" si="2">IF(C21="","",C21)*10000</f>
        <v>120.5</v>
      </c>
      <c r="W10" s="28">
        <f t="shared" si="2"/>
        <v>120.4</v>
      </c>
      <c r="X10" s="28">
        <f t="shared" si="2"/>
        <v>120.4</v>
      </c>
      <c r="Y10" s="28">
        <f t="shared" si="2"/>
        <v>120.4</v>
      </c>
      <c r="Z10" s="28">
        <f t="shared" si="2"/>
        <v>120.4</v>
      </c>
      <c r="AB10" s="49" t="s">
        <v>56</v>
      </c>
      <c r="AC10" s="30">
        <v>0.27</v>
      </c>
      <c r="AD10" s="28">
        <f>IF(B23="","",B23)*10000</f>
        <v>0.40428983406909053</v>
      </c>
      <c r="AE10" s="28">
        <f t="shared" ref="AE10:AI10" si="3">IF(C23="","",C23)*10000</f>
        <v>0.20267237885288786</v>
      </c>
      <c r="AF10" s="28">
        <f t="shared" si="3"/>
        <v>8.4297159695387938E-2</v>
      </c>
      <c r="AG10" s="28">
        <f t="shared" si="3"/>
        <v>2.5833738409599696E-2</v>
      </c>
      <c r="AH10" s="28">
        <f t="shared" si="3"/>
        <v>4.3697910546292348E-3</v>
      </c>
      <c r="AI10" s="28">
        <f t="shared" si="3"/>
        <v>1.3274217757576823E-4</v>
      </c>
      <c r="AK10" s="47" t="s">
        <v>56</v>
      </c>
      <c r="AL10" s="30">
        <v>0.27</v>
      </c>
      <c r="AM10" s="37">
        <f>IF(B24="","",B24)*10000</f>
        <v>396.98034013797019</v>
      </c>
      <c r="AN10" s="37">
        <f t="shared" ref="AN10:AR10" si="4">IF(C24="","",C24)*10000</f>
        <v>396.79972268275401</v>
      </c>
      <c r="AO10" s="37">
        <f t="shared" si="4"/>
        <v>396.64034746359647</v>
      </c>
      <c r="AP10" s="37">
        <f t="shared" si="4"/>
        <v>396.6068840423107</v>
      </c>
      <c r="AQ10" s="37">
        <f t="shared" si="4"/>
        <v>396.61342009495576</v>
      </c>
      <c r="AR10" s="37">
        <f t="shared" si="4"/>
        <v>396.63818304607872</v>
      </c>
    </row>
    <row r="11" spans="1:44" x14ac:dyDescent="0.3">
      <c r="A11" s="48"/>
      <c r="B11" s="30">
        <v>0.28000000000000003</v>
      </c>
      <c r="C11" s="28">
        <f t="shared" ref="C11:H11" si="5">IF(H25="","",H25)</f>
        <v>13.980732041088269</v>
      </c>
      <c r="D11" s="28">
        <f t="shared" si="5"/>
        <v>13.988157556820903</v>
      </c>
      <c r="E11" s="28">
        <f t="shared" si="5"/>
        <v>13.991557986553115</v>
      </c>
      <c r="F11" s="28">
        <f t="shared" si="5"/>
        <v>13.992774368962595</v>
      </c>
      <c r="G11" s="28">
        <f t="shared" si="5"/>
        <v>13.992614257430402</v>
      </c>
      <c r="H11" s="28">
        <f t="shared" si="5"/>
        <v>13.991775543415267</v>
      </c>
      <c r="J11" s="50"/>
      <c r="K11" s="30">
        <v>0.28000000000000003</v>
      </c>
      <c r="L11" s="28">
        <f t="shared" ref="L11:Q11" si="6">IF(H26="","",H26)</f>
        <v>0.98898477328493051</v>
      </c>
      <c r="M11" s="28">
        <f t="shared" si="6"/>
        <v>0.98903306853541495</v>
      </c>
      <c r="N11" s="28">
        <f t="shared" si="6"/>
        <v>0.98891502180490531</v>
      </c>
      <c r="O11" s="28">
        <f t="shared" si="6"/>
        <v>0.98878627568740241</v>
      </c>
      <c r="P11" s="28">
        <f t="shared" si="6"/>
        <v>0.98864683855090241</v>
      </c>
      <c r="Q11" s="28">
        <f t="shared" si="6"/>
        <v>0.98849671945458817</v>
      </c>
      <c r="S11" s="50"/>
      <c r="T11" s="30">
        <v>0.28000000000000003</v>
      </c>
      <c r="U11" s="28">
        <f>IF(H21="","",H21)*10000</f>
        <v>120.30000000000001</v>
      </c>
      <c r="V11" s="28">
        <f t="shared" ref="V11:Z11" si="7">IF(I21="","",I21)*10000</f>
        <v>120.30000000000001</v>
      </c>
      <c r="W11" s="28">
        <f t="shared" si="7"/>
        <v>120.30000000000001</v>
      </c>
      <c r="X11" s="28">
        <f t="shared" si="7"/>
        <v>120.30000000000001</v>
      </c>
      <c r="Y11" s="28">
        <f t="shared" si="7"/>
        <v>120.30000000000001</v>
      </c>
      <c r="Z11" s="28">
        <f t="shared" si="7"/>
        <v>120.30000000000001</v>
      </c>
      <c r="AB11" s="50"/>
      <c r="AC11" s="30">
        <v>0.28000000000000003</v>
      </c>
      <c r="AD11" s="28">
        <f>IF(H23="","",H23)*10000</f>
        <v>0.40428983406909053</v>
      </c>
      <c r="AE11" s="28">
        <f t="shared" ref="AE11:AI11" si="8">IF(I23="","",I23)*10000</f>
        <v>0.20267237885288786</v>
      </c>
      <c r="AF11" s="28">
        <f t="shared" si="8"/>
        <v>8.4297159695387938E-2</v>
      </c>
      <c r="AG11" s="28">
        <f t="shared" si="8"/>
        <v>2.5833738409599696E-2</v>
      </c>
      <c r="AH11" s="28">
        <f t="shared" si="8"/>
        <v>4.3697910546292348E-3</v>
      </c>
      <c r="AI11" s="28">
        <f t="shared" si="8"/>
        <v>1.3274217757576823E-4</v>
      </c>
      <c r="AK11" s="48"/>
      <c r="AL11" s="30">
        <v>0.28000000000000003</v>
      </c>
      <c r="AM11" s="37">
        <f>IF(H24="","",H24)*10000</f>
        <v>396.76034013797016</v>
      </c>
      <c r="AN11" s="37">
        <f t="shared" ref="AN11:AR11" si="9">IF(I24="","",I24)*10000</f>
        <v>396.54972268275407</v>
      </c>
      <c r="AO11" s="37">
        <f t="shared" si="9"/>
        <v>396.45334746359646</v>
      </c>
      <c r="AP11" s="37">
        <f t="shared" si="9"/>
        <v>396.41888404231065</v>
      </c>
      <c r="AQ11" s="37">
        <f t="shared" si="9"/>
        <v>396.42342009495576</v>
      </c>
      <c r="AR11" s="37">
        <f t="shared" si="9"/>
        <v>396.44718304607869</v>
      </c>
    </row>
    <row r="12" spans="1:44" x14ac:dyDescent="0.3">
      <c r="A12" s="48"/>
      <c r="B12" s="30">
        <v>0.28999999999999998</v>
      </c>
      <c r="C12" s="28">
        <f t="shared" ref="C12:H12" si="10">IF(N25="","",N25)</f>
        <v>13.987218698095255</v>
      </c>
      <c r="D12" s="28">
        <f t="shared" si="10"/>
        <v>13.993521361472069</v>
      </c>
      <c r="E12" s="28">
        <f t="shared" si="10"/>
        <v>13.996818443960001</v>
      </c>
      <c r="F12" s="28">
        <f t="shared" si="10"/>
        <v>13.997929768537324</v>
      </c>
      <c r="G12" s="28">
        <f t="shared" si="10"/>
        <v>13.997663570334465</v>
      </c>
      <c r="H12" s="28">
        <f t="shared" si="10"/>
        <v>13.996753614502774</v>
      </c>
      <c r="J12" s="50"/>
      <c r="K12" s="30">
        <v>0.28999999999999998</v>
      </c>
      <c r="L12" s="28">
        <f t="shared" ref="L12:Q12" si="11">IF(N26="","",N26)</f>
        <v>0.98889892670673452</v>
      </c>
      <c r="M12" s="28">
        <f t="shared" si="11"/>
        <v>0.98877554835743897</v>
      </c>
      <c r="N12" s="28">
        <f t="shared" si="11"/>
        <v>0.98864147636947464</v>
      </c>
      <c r="O12" s="28">
        <f t="shared" si="11"/>
        <v>0.98849671945458817</v>
      </c>
      <c r="P12" s="28">
        <f t="shared" si="11"/>
        <v>0.98834128701483226</v>
      </c>
      <c r="Q12" s="28">
        <f t="shared" si="11"/>
        <v>0.98818054626556184</v>
      </c>
      <c r="S12" s="50"/>
      <c r="T12" s="30">
        <v>0.28999999999999998</v>
      </c>
      <c r="U12" s="28">
        <f>IF(N21="","",N21)*10000</f>
        <v>120.1</v>
      </c>
      <c r="V12" s="28">
        <f t="shared" ref="V12:Z12" si="12">IF(O21="","",O21)*10000</f>
        <v>120.1</v>
      </c>
      <c r="W12" s="28">
        <f t="shared" si="12"/>
        <v>120.1</v>
      </c>
      <c r="X12" s="28">
        <f t="shared" si="12"/>
        <v>120.1</v>
      </c>
      <c r="Y12" s="28">
        <f t="shared" si="12"/>
        <v>120.1</v>
      </c>
      <c r="Z12" s="28">
        <f t="shared" si="12"/>
        <v>120.1</v>
      </c>
      <c r="AB12" s="50"/>
      <c r="AC12" s="30">
        <v>0.28999999999999998</v>
      </c>
      <c r="AD12" s="28">
        <f>IF(N23="","",N23)*10000</f>
        <v>0.40428983406909053</v>
      </c>
      <c r="AE12" s="28">
        <f t="shared" ref="AE12:AI12" si="13">IF(O23="","",O23)*10000</f>
        <v>0.20267237885288786</v>
      </c>
      <c r="AF12" s="28">
        <f t="shared" si="13"/>
        <v>8.4297159695387938E-2</v>
      </c>
      <c r="AG12" s="28">
        <f t="shared" si="13"/>
        <v>2.5833738409599696E-2</v>
      </c>
      <c r="AH12" s="28">
        <f t="shared" si="13"/>
        <v>4.3697910546292348E-3</v>
      </c>
      <c r="AI12" s="28">
        <f t="shared" si="13"/>
        <v>1.3274217757576823E-4</v>
      </c>
      <c r="AK12" s="48"/>
      <c r="AL12" s="30">
        <v>0.28999999999999998</v>
      </c>
      <c r="AM12" s="37">
        <f>IF(N24="","",N24)*10000</f>
        <v>396.57634013797013</v>
      </c>
      <c r="AN12" s="37">
        <f t="shared" ref="AN12:AR12" si="14">IF(O24="","",O24)*10000</f>
        <v>396.39772268275397</v>
      </c>
      <c r="AO12" s="37">
        <f t="shared" si="14"/>
        <v>396.30434746359646</v>
      </c>
      <c r="AP12" s="37">
        <f t="shared" si="14"/>
        <v>396.27288404231069</v>
      </c>
      <c r="AQ12" s="37">
        <f t="shared" si="14"/>
        <v>396.28042009495573</v>
      </c>
      <c r="AR12" s="37">
        <f t="shared" si="14"/>
        <v>396.30618304607867</v>
      </c>
    </row>
    <row r="13" spans="1:44" x14ac:dyDescent="0.3">
      <c r="A13" s="48"/>
      <c r="B13" s="30">
        <v>0.3</v>
      </c>
      <c r="C13" s="28">
        <f t="shared" ref="C13:H13" si="15">IF(T25="","",T25)</f>
        <v>13.990040861587252</v>
      </c>
      <c r="D13" s="28">
        <f t="shared" si="15"/>
        <v>13.996275437546826</v>
      </c>
      <c r="E13" s="28">
        <f t="shared" si="15"/>
        <v>13.999503153947439</v>
      </c>
      <c r="F13" s="28">
        <f t="shared" si="15"/>
        <v>14.001710453713823</v>
      </c>
      <c r="G13" s="28">
        <f t="shared" si="15"/>
        <v>14.000595962160892</v>
      </c>
      <c r="H13" s="28">
        <f t="shared" si="15"/>
        <v>13.999862291415598</v>
      </c>
      <c r="J13" s="50"/>
      <c r="K13" s="30">
        <v>0.3</v>
      </c>
      <c r="L13" s="28">
        <f t="shared" ref="L13:Q13" si="16">IF(T26="","",T26)</f>
        <v>0.98879163943967074</v>
      </c>
      <c r="M13" s="28">
        <f t="shared" si="16"/>
        <v>0.98865756308825958</v>
      </c>
      <c r="N13" s="28">
        <f t="shared" si="16"/>
        <v>0.98851280146284415</v>
      </c>
      <c r="O13" s="28">
        <f t="shared" si="16"/>
        <v>0.98907063476914892</v>
      </c>
      <c r="P13" s="28">
        <f t="shared" si="16"/>
        <v>0.98932293912055858</v>
      </c>
      <c r="Q13" s="28">
        <f t="shared" si="16"/>
        <v>0.98918871865582136</v>
      </c>
      <c r="S13" s="50"/>
      <c r="T13" s="30">
        <v>0.3</v>
      </c>
      <c r="U13" s="28">
        <f>IF(T21="","",T21)*10000</f>
        <v>120</v>
      </c>
      <c r="V13" s="28">
        <f t="shared" ref="V13:Z13" si="17">IF(U21="","",U21)*10000</f>
        <v>120</v>
      </c>
      <c r="W13" s="28">
        <f t="shared" si="17"/>
        <v>120</v>
      </c>
      <c r="X13" s="28">
        <f t="shared" si="17"/>
        <v>120.1</v>
      </c>
      <c r="Y13" s="28">
        <f t="shared" si="17"/>
        <v>120.19999999999999</v>
      </c>
      <c r="Z13" s="28">
        <f t="shared" si="17"/>
        <v>120.19999999999999</v>
      </c>
      <c r="AB13" s="50"/>
      <c r="AC13" s="30">
        <v>0.3</v>
      </c>
      <c r="AD13" s="28">
        <f>IF(T23="","",T23)*10000</f>
        <v>0.40428983406909053</v>
      </c>
      <c r="AE13" s="28">
        <f t="shared" ref="AE13:AI13" si="18">IF(U23="","",U23)*10000</f>
        <v>0.20267237885288786</v>
      </c>
      <c r="AF13" s="28">
        <f t="shared" si="18"/>
        <v>8.4297159695387938E-2</v>
      </c>
      <c r="AG13" s="28">
        <f t="shared" si="18"/>
        <v>2.5833738409599696E-2</v>
      </c>
      <c r="AH13" s="28">
        <f t="shared" si="18"/>
        <v>4.3697910546292348E-3</v>
      </c>
      <c r="AI13" s="28">
        <f t="shared" si="18"/>
        <v>1.3274217757576823E-4</v>
      </c>
      <c r="AK13" s="48"/>
      <c r="AL13" s="30">
        <v>0.3</v>
      </c>
      <c r="AM13" s="37">
        <f>IF(T24="","",T24)*10000</f>
        <v>396.49634013797015</v>
      </c>
      <c r="AN13" s="37">
        <f t="shared" ref="AN13:AR13" si="19">IF(U24="","",U24)*10000</f>
        <v>396.31972268275405</v>
      </c>
      <c r="AO13" s="37">
        <f t="shared" si="19"/>
        <v>396.22834746359644</v>
      </c>
      <c r="AP13" s="37">
        <f t="shared" si="19"/>
        <v>396.16588404231067</v>
      </c>
      <c r="AQ13" s="37">
        <f t="shared" si="19"/>
        <v>396.1974200949557</v>
      </c>
      <c r="AR13" s="37">
        <f t="shared" si="19"/>
        <v>396.21818304607871</v>
      </c>
    </row>
    <row r="14" spans="1:44" x14ac:dyDescent="0.3">
      <c r="A14" s="48"/>
      <c r="B14" s="30">
        <v>0.31</v>
      </c>
      <c r="C14" s="28">
        <f t="shared" ref="C14:H14" si="20">IF(Z25="","",Z25)</f>
        <v>13.982423632375141</v>
      </c>
      <c r="D14" s="28">
        <f t="shared" si="20"/>
        <v>13.988933642447826</v>
      </c>
      <c r="E14" s="28">
        <f t="shared" si="20"/>
        <v>13.992440337555259</v>
      </c>
      <c r="F14" s="28">
        <f t="shared" si="20"/>
        <v>13.993762781406229</v>
      </c>
      <c r="G14" s="28">
        <f t="shared" si="20"/>
        <v>13.993673251869874</v>
      </c>
      <c r="H14" s="28">
        <f t="shared" si="20"/>
        <v>13.992940306465329</v>
      </c>
      <c r="J14" s="50"/>
      <c r="K14" s="30">
        <v>0.31</v>
      </c>
      <c r="L14" s="28">
        <f t="shared" ref="L14:Q14" si="21">IF(Z26="","",Z26)</f>
        <v>0.98977956127836109</v>
      </c>
      <c r="M14" s="28">
        <f t="shared" si="21"/>
        <v>0.98968820312926831</v>
      </c>
      <c r="N14" s="28">
        <f t="shared" si="21"/>
        <v>0.98958611691845477</v>
      </c>
      <c r="O14" s="28">
        <f t="shared" si="21"/>
        <v>0.98947330929027688</v>
      </c>
      <c r="P14" s="28">
        <f t="shared" si="21"/>
        <v>0.98934441777514226</v>
      </c>
      <c r="Q14" s="28">
        <f t="shared" si="21"/>
        <v>0.98921019148276168</v>
      </c>
      <c r="S14" s="50"/>
      <c r="T14" s="30">
        <v>0.31</v>
      </c>
      <c r="U14" s="28">
        <f>IF(Z21="","",Z21)*10000</f>
        <v>120.4</v>
      </c>
      <c r="V14" s="28">
        <f t="shared" ref="V14:Z14" si="22">IF(AA21="","",AA21)*10000</f>
        <v>120.4</v>
      </c>
      <c r="W14" s="28">
        <f t="shared" si="22"/>
        <v>120.4</v>
      </c>
      <c r="X14" s="28">
        <f t="shared" si="22"/>
        <v>120.4</v>
      </c>
      <c r="Y14" s="28">
        <f t="shared" si="22"/>
        <v>120.4</v>
      </c>
      <c r="Z14" s="28">
        <f t="shared" si="22"/>
        <v>120.4</v>
      </c>
      <c r="AB14" s="50"/>
      <c r="AC14" s="30">
        <v>0.31</v>
      </c>
      <c r="AD14" s="28">
        <f>IF(Z23="","",Z23)*10000</f>
        <v>0.40428983406909053</v>
      </c>
      <c r="AE14" s="28">
        <f t="shared" ref="AE14:AI14" si="23">IF(AA23="","",AA23)*10000</f>
        <v>0.20267237885288786</v>
      </c>
      <c r="AF14" s="28">
        <f t="shared" si="23"/>
        <v>8.4297159695387938E-2</v>
      </c>
      <c r="AG14" s="28">
        <f t="shared" si="23"/>
        <v>2.5833738409599696E-2</v>
      </c>
      <c r="AH14" s="28">
        <f t="shared" si="23"/>
        <v>4.3697910546292348E-3</v>
      </c>
      <c r="AI14" s="28">
        <f t="shared" si="23"/>
        <v>1.3274217757576823E-4</v>
      </c>
      <c r="AK14" s="48"/>
      <c r="AL14" s="30">
        <v>0.31</v>
      </c>
      <c r="AM14" s="37">
        <f>IF(Z24="","",Z24)*10000</f>
        <v>396.71234013797016</v>
      </c>
      <c r="AN14" s="37">
        <f t="shared" ref="AN14:AR14" si="24">IF(AA24="","",AA24)*10000</f>
        <v>396.52772268275407</v>
      </c>
      <c r="AO14" s="37">
        <f t="shared" si="24"/>
        <v>396.42834746359648</v>
      </c>
      <c r="AP14" s="37">
        <f t="shared" si="24"/>
        <v>396.39088404231069</v>
      </c>
      <c r="AQ14" s="37">
        <f t="shared" si="24"/>
        <v>396.39342009495573</v>
      </c>
      <c r="AR14" s="37">
        <f t="shared" si="24"/>
        <v>396.41418304607873</v>
      </c>
    </row>
    <row r="15" spans="1:44" x14ac:dyDescent="0.3">
      <c r="A15" s="48"/>
      <c r="B15" s="30">
        <v>0.32</v>
      </c>
      <c r="C15" s="28">
        <f t="shared" ref="C15:H15" si="25">IF(AF25="","",AF25)</f>
        <v>13.983516335985684</v>
      </c>
      <c r="D15" s="28">
        <f t="shared" si="25"/>
        <v>13.990168501625501</v>
      </c>
      <c r="E15" s="28">
        <f t="shared" si="25"/>
        <v>13.993781724236923</v>
      </c>
      <c r="F15" s="28">
        <f t="shared" si="25"/>
        <v>13.995210351588883</v>
      </c>
      <c r="G15" s="28">
        <f t="shared" si="25"/>
        <v>13.9952620441153</v>
      </c>
      <c r="H15" s="28">
        <f t="shared" si="25"/>
        <v>13.994599546237275</v>
      </c>
      <c r="J15" s="50"/>
      <c r="K15" s="30">
        <v>0.32</v>
      </c>
      <c r="L15" s="28">
        <f t="shared" ref="L15:Q15" si="26">IF(AF26="","",AF26)</f>
        <v>0.98994619897869196</v>
      </c>
      <c r="M15" s="28">
        <f t="shared" si="26"/>
        <v>0.98987631182197366</v>
      </c>
      <c r="N15" s="28">
        <f t="shared" si="26"/>
        <v>0.98979031040478682</v>
      </c>
      <c r="O15" s="28">
        <f t="shared" si="26"/>
        <v>0.98969357667118496</v>
      </c>
      <c r="P15" s="28">
        <f t="shared" si="26"/>
        <v>0.98958611691845477</v>
      </c>
      <c r="Q15" s="28">
        <f t="shared" si="26"/>
        <v>0.98946256704797775</v>
      </c>
      <c r="S15" s="50"/>
      <c r="T15" s="30">
        <v>0.32</v>
      </c>
      <c r="U15" s="28">
        <f>IF(AF21="","",AF21)*10000</f>
        <v>120.4</v>
      </c>
      <c r="V15" s="28">
        <f t="shared" ref="V15:Z15" si="27">IF(AG21="","",AG21)*10000</f>
        <v>120.4</v>
      </c>
      <c r="W15" s="28">
        <f t="shared" si="27"/>
        <v>120.4</v>
      </c>
      <c r="X15" s="28">
        <f t="shared" si="27"/>
        <v>120.4</v>
      </c>
      <c r="Y15" s="28">
        <f t="shared" si="27"/>
        <v>120.4</v>
      </c>
      <c r="Z15" s="28">
        <f t="shared" si="27"/>
        <v>120.4</v>
      </c>
      <c r="AB15" s="50"/>
      <c r="AC15" s="30">
        <v>0.32</v>
      </c>
      <c r="AD15" s="28">
        <f>IF(AF23="","",AF23)*10000</f>
        <v>0.40428983406909053</v>
      </c>
      <c r="AE15" s="28">
        <f t="shared" ref="AE15:AI15" si="28">IF(AG23="","",AG23)*10000</f>
        <v>0.20267237885288786</v>
      </c>
      <c r="AF15" s="28">
        <f t="shared" si="28"/>
        <v>8.4297159695387938E-2</v>
      </c>
      <c r="AG15" s="28">
        <f t="shared" si="28"/>
        <v>2.5833738409599696E-2</v>
      </c>
      <c r="AH15" s="28">
        <f t="shared" si="28"/>
        <v>4.3697910546292348E-3</v>
      </c>
      <c r="AI15" s="28">
        <f t="shared" si="28"/>
        <v>1.3274217757576823E-4</v>
      </c>
      <c r="AK15" s="48"/>
      <c r="AL15" s="30">
        <v>0.32</v>
      </c>
      <c r="AM15" s="37">
        <f>IF(AF24="","",AF24)*10000</f>
        <v>396.68134013797021</v>
      </c>
      <c r="AN15" s="37">
        <f t="shared" ref="AN15:AR15" si="29">IF(AG24="","",AG24)*10000</f>
        <v>396.49272268275399</v>
      </c>
      <c r="AO15" s="37">
        <f t="shared" si="29"/>
        <v>396.39034746359647</v>
      </c>
      <c r="AP15" s="37">
        <f t="shared" si="29"/>
        <v>396.34988404231069</v>
      </c>
      <c r="AQ15" s="37">
        <f t="shared" si="29"/>
        <v>396.34842009495577</v>
      </c>
      <c r="AR15" s="37">
        <f t="shared" si="29"/>
        <v>396.36718304607871</v>
      </c>
    </row>
    <row r="17" spans="1:37" x14ac:dyDescent="0.3">
      <c r="A17" s="28" t="s">
        <v>233</v>
      </c>
      <c r="B17" s="34">
        <v>0.27</v>
      </c>
      <c r="C17" s="28">
        <v>0.27</v>
      </c>
      <c r="D17" s="28">
        <v>0.27</v>
      </c>
      <c r="E17" s="28">
        <v>0.27</v>
      </c>
      <c r="F17" s="28">
        <v>0.27</v>
      </c>
      <c r="G17" s="28">
        <v>0.27</v>
      </c>
      <c r="H17" s="28">
        <v>0.28000000000000003</v>
      </c>
      <c r="I17" s="28">
        <v>0.28000000000000003</v>
      </c>
      <c r="J17" s="28">
        <v>0.28000000000000003</v>
      </c>
      <c r="K17" s="28">
        <v>0.28000000000000003</v>
      </c>
      <c r="L17" s="28">
        <v>0.28000000000000003</v>
      </c>
      <c r="M17" s="28">
        <v>0.28000000000000003</v>
      </c>
      <c r="N17" s="28">
        <v>0.28999999999999998</v>
      </c>
      <c r="O17" s="28">
        <v>0.28999999999999998</v>
      </c>
      <c r="P17" s="28">
        <v>0.28999999999999998</v>
      </c>
      <c r="Q17" s="28">
        <v>0.28999999999999998</v>
      </c>
      <c r="R17" s="28">
        <v>0.28999999999999998</v>
      </c>
      <c r="S17" s="28">
        <v>0.28999999999999998</v>
      </c>
      <c r="T17" s="28">
        <v>0.3</v>
      </c>
      <c r="U17" s="28">
        <v>0.3</v>
      </c>
      <c r="V17" s="28">
        <v>0.3</v>
      </c>
      <c r="W17" s="28">
        <v>0.3</v>
      </c>
      <c r="X17" s="28">
        <v>0.3</v>
      </c>
      <c r="Y17" s="28">
        <v>0.3</v>
      </c>
      <c r="Z17" s="28">
        <v>0.31</v>
      </c>
      <c r="AA17" s="28">
        <v>0.31</v>
      </c>
      <c r="AB17" s="28">
        <v>0.31</v>
      </c>
      <c r="AC17" s="28">
        <v>0.31</v>
      </c>
      <c r="AD17" s="28">
        <v>0.31</v>
      </c>
      <c r="AE17" s="28">
        <v>0.31</v>
      </c>
      <c r="AF17" s="28">
        <v>0.32</v>
      </c>
      <c r="AG17" s="28">
        <v>0.32</v>
      </c>
      <c r="AH17" s="28">
        <v>0.32</v>
      </c>
      <c r="AI17" s="28">
        <v>0.32</v>
      </c>
      <c r="AJ17" s="28">
        <v>0.32</v>
      </c>
      <c r="AK17" s="28">
        <v>0.32</v>
      </c>
    </row>
    <row r="18" spans="1:37" x14ac:dyDescent="0.3">
      <c r="A18" s="28" t="s">
        <v>236</v>
      </c>
      <c r="B18" s="34">
        <v>26</v>
      </c>
      <c r="C18" s="28">
        <v>27</v>
      </c>
      <c r="D18" s="28">
        <v>28</v>
      </c>
      <c r="E18" s="28">
        <v>29</v>
      </c>
      <c r="F18" s="28">
        <v>30</v>
      </c>
      <c r="G18" s="28">
        <v>31</v>
      </c>
      <c r="H18" s="28">
        <v>26</v>
      </c>
      <c r="I18" s="28">
        <v>27</v>
      </c>
      <c r="J18" s="28">
        <v>28</v>
      </c>
      <c r="K18" s="28">
        <v>29</v>
      </c>
      <c r="L18" s="28">
        <v>30</v>
      </c>
      <c r="M18" s="28">
        <v>31</v>
      </c>
      <c r="N18" s="28">
        <v>26</v>
      </c>
      <c r="O18" s="28">
        <v>27</v>
      </c>
      <c r="P18" s="28">
        <v>28</v>
      </c>
      <c r="Q18" s="28">
        <v>29</v>
      </c>
      <c r="R18" s="28">
        <v>30</v>
      </c>
      <c r="S18" s="28">
        <v>31</v>
      </c>
      <c r="T18" s="28">
        <v>26</v>
      </c>
      <c r="U18" s="28">
        <v>27</v>
      </c>
      <c r="V18" s="28">
        <v>28</v>
      </c>
      <c r="W18" s="28">
        <v>29</v>
      </c>
      <c r="X18" s="28">
        <v>30</v>
      </c>
      <c r="Y18" s="28">
        <v>31</v>
      </c>
      <c r="Z18" s="28">
        <v>26</v>
      </c>
      <c r="AA18" s="28">
        <v>27</v>
      </c>
      <c r="AB18" s="28">
        <v>28</v>
      </c>
      <c r="AC18" s="28">
        <v>29</v>
      </c>
      <c r="AD18" s="28">
        <v>30</v>
      </c>
      <c r="AE18" s="28">
        <v>31</v>
      </c>
      <c r="AF18" s="28">
        <v>26</v>
      </c>
      <c r="AG18" s="28">
        <v>27</v>
      </c>
      <c r="AH18" s="28">
        <v>28</v>
      </c>
      <c r="AI18" s="28">
        <v>29</v>
      </c>
      <c r="AJ18" s="28">
        <v>30</v>
      </c>
      <c r="AK18" s="28">
        <v>31</v>
      </c>
    </row>
    <row r="19" spans="1:37" x14ac:dyDescent="0.3">
      <c r="A19" s="31" t="s">
        <v>263</v>
      </c>
      <c r="B19" s="33">
        <v>-2</v>
      </c>
      <c r="C19" s="31">
        <v>-2.2000000000000002</v>
      </c>
      <c r="D19" s="31">
        <v>-2.5</v>
      </c>
      <c r="E19" s="31">
        <v>-2.7</v>
      </c>
      <c r="F19" s="31">
        <v>-2.9</v>
      </c>
      <c r="G19" s="31">
        <v>-3.1</v>
      </c>
      <c r="H19" s="31">
        <v>-2.1</v>
      </c>
      <c r="I19" s="31">
        <v>-2.2000000000000002</v>
      </c>
      <c r="J19" s="31">
        <v>-2.4</v>
      </c>
      <c r="K19" s="31">
        <v>-2.6</v>
      </c>
      <c r="L19" s="31">
        <v>-2.8</v>
      </c>
      <c r="M19" s="31">
        <v>-3</v>
      </c>
      <c r="N19" s="31">
        <v>-2.2999999999999998</v>
      </c>
      <c r="O19" s="31">
        <v>-2.5</v>
      </c>
      <c r="P19" s="31">
        <v>-2.7</v>
      </c>
      <c r="Q19" s="31">
        <v>-2.9</v>
      </c>
      <c r="R19" s="31">
        <v>-3.1</v>
      </c>
      <c r="S19" s="31">
        <v>-3.3</v>
      </c>
      <c r="T19" s="31">
        <v>-2.5</v>
      </c>
      <c r="U19" s="31">
        <v>-2.7</v>
      </c>
      <c r="V19" s="31">
        <v>-2.9</v>
      </c>
      <c r="W19" s="31">
        <v>-2.7</v>
      </c>
      <c r="X19" s="31">
        <v>-2.6</v>
      </c>
      <c r="Y19" s="31">
        <v>-2.8</v>
      </c>
      <c r="Z19" s="31">
        <v>-1.9</v>
      </c>
      <c r="AA19" s="31">
        <v>-2.1</v>
      </c>
      <c r="AB19" s="31">
        <v>-2.2999999999999998</v>
      </c>
      <c r="AC19" s="31">
        <v>-2.4</v>
      </c>
      <c r="AD19" s="31">
        <v>-2.7</v>
      </c>
      <c r="AE19" s="31">
        <v>-2.9</v>
      </c>
      <c r="AF19" s="31">
        <v>-1.7</v>
      </c>
      <c r="AG19" s="31">
        <v>-1.9</v>
      </c>
      <c r="AH19" s="31">
        <v>-2.1</v>
      </c>
      <c r="AI19" s="31">
        <v>-2.2999999999999998</v>
      </c>
      <c r="AJ19" s="31">
        <v>-2.5</v>
      </c>
      <c r="AK19" s="31">
        <v>-2.7</v>
      </c>
    </row>
    <row r="20" spans="1:37" x14ac:dyDescent="0.3">
      <c r="A20" s="28" t="s">
        <v>139</v>
      </c>
      <c r="B20" s="34">
        <v>1.8433000000000001E-2</v>
      </c>
      <c r="C20" s="28">
        <v>1.8435099999999999E-2</v>
      </c>
      <c r="D20" s="28">
        <v>1.8440999999999999E-2</v>
      </c>
      <c r="E20" s="28">
        <v>1.8443500000000002E-2</v>
      </c>
      <c r="F20" s="28">
        <v>1.8446299999999999E-2</v>
      </c>
      <c r="G20" s="28">
        <v>1.8449199999999999E-2</v>
      </c>
      <c r="H20" s="28">
        <v>1.8430999999999999E-2</v>
      </c>
      <c r="I20" s="28">
        <v>1.8430100000000001E-2</v>
      </c>
      <c r="J20" s="28">
        <v>1.8432299999999999E-2</v>
      </c>
      <c r="K20" s="28">
        <v>1.8434699999999998E-2</v>
      </c>
      <c r="L20" s="28">
        <v>1.84373E-2</v>
      </c>
      <c r="M20" s="28">
        <v>1.8440100000000001E-2</v>
      </c>
      <c r="N20" s="28">
        <v>1.84326E-2</v>
      </c>
      <c r="O20" s="28">
        <v>1.8434900000000001E-2</v>
      </c>
      <c r="P20" s="28">
        <v>1.84374E-2</v>
      </c>
      <c r="Q20" s="28">
        <v>1.8440100000000001E-2</v>
      </c>
      <c r="R20" s="28">
        <v>1.8443000000000001E-2</v>
      </c>
      <c r="S20" s="28">
        <v>1.8446000000000001E-2</v>
      </c>
      <c r="T20" s="28">
        <v>1.8434599999999999E-2</v>
      </c>
      <c r="U20" s="28">
        <v>1.8437100000000001E-2</v>
      </c>
      <c r="V20" s="28">
        <v>1.8439799999999999E-2</v>
      </c>
      <c r="W20" s="28">
        <v>1.8429399999999999E-2</v>
      </c>
      <c r="X20" s="28">
        <v>1.8424699999999999E-2</v>
      </c>
      <c r="Y20" s="28">
        <v>1.8427200000000001E-2</v>
      </c>
      <c r="Z20" s="28">
        <v>1.8416200000000001E-2</v>
      </c>
      <c r="AA20" s="28">
        <v>1.8417900000000001E-2</v>
      </c>
      <c r="AB20" s="28">
        <v>1.84198E-2</v>
      </c>
      <c r="AC20" s="28">
        <v>1.8421900000000001E-2</v>
      </c>
      <c r="AD20" s="28">
        <v>1.8424300000000001E-2</v>
      </c>
      <c r="AE20" s="28">
        <v>1.84268E-2</v>
      </c>
      <c r="AF20" s="28">
        <v>1.8413100000000002E-2</v>
      </c>
      <c r="AG20" s="28">
        <v>1.8414400000000001E-2</v>
      </c>
      <c r="AH20" s="28">
        <v>1.8415999999999998E-2</v>
      </c>
      <c r="AI20" s="28">
        <v>1.8417800000000002E-2</v>
      </c>
      <c r="AJ20" s="28">
        <v>1.84198E-2</v>
      </c>
      <c r="AK20" s="28">
        <v>1.84221E-2</v>
      </c>
    </row>
    <row r="21" spans="1:37" x14ac:dyDescent="0.3">
      <c r="A21" s="28" t="s">
        <v>136</v>
      </c>
      <c r="B21" s="34">
        <v>1.205E-2</v>
      </c>
      <c r="C21" s="28">
        <v>1.205E-2</v>
      </c>
      <c r="D21" s="28">
        <v>1.204E-2</v>
      </c>
      <c r="E21" s="28">
        <v>1.204E-2</v>
      </c>
      <c r="F21" s="28">
        <v>1.204E-2</v>
      </c>
      <c r="G21" s="28">
        <v>1.204E-2</v>
      </c>
      <c r="H21" s="28">
        <v>1.2030000000000001E-2</v>
      </c>
      <c r="I21" s="28">
        <v>1.2030000000000001E-2</v>
      </c>
      <c r="J21" s="28">
        <v>1.2030000000000001E-2</v>
      </c>
      <c r="K21" s="28">
        <v>1.2030000000000001E-2</v>
      </c>
      <c r="L21" s="28">
        <v>1.2030000000000001E-2</v>
      </c>
      <c r="M21" s="28">
        <v>1.2030000000000001E-2</v>
      </c>
      <c r="N21" s="28">
        <v>1.201E-2</v>
      </c>
      <c r="O21" s="28">
        <v>1.201E-2</v>
      </c>
      <c r="P21" s="28">
        <v>1.201E-2</v>
      </c>
      <c r="Q21" s="28">
        <v>1.201E-2</v>
      </c>
      <c r="R21" s="28">
        <v>1.201E-2</v>
      </c>
      <c r="S21" s="28">
        <v>1.201E-2</v>
      </c>
      <c r="T21" s="28">
        <v>1.2E-2</v>
      </c>
      <c r="U21" s="28">
        <v>1.2E-2</v>
      </c>
      <c r="V21" s="28">
        <v>1.2E-2</v>
      </c>
      <c r="W21" s="28">
        <v>1.201E-2</v>
      </c>
      <c r="X21" s="28">
        <v>1.2019999999999999E-2</v>
      </c>
      <c r="Y21" s="28">
        <v>1.2019999999999999E-2</v>
      </c>
      <c r="Z21" s="28">
        <v>1.204E-2</v>
      </c>
      <c r="AA21" s="28">
        <v>1.204E-2</v>
      </c>
      <c r="AB21" s="28">
        <v>1.204E-2</v>
      </c>
      <c r="AC21" s="28">
        <v>1.204E-2</v>
      </c>
      <c r="AD21" s="28">
        <v>1.204E-2</v>
      </c>
      <c r="AE21" s="28">
        <v>1.204E-2</v>
      </c>
      <c r="AF21" s="28">
        <v>1.204E-2</v>
      </c>
      <c r="AG21" s="28">
        <v>1.204E-2</v>
      </c>
      <c r="AH21" s="28">
        <v>1.204E-2</v>
      </c>
      <c r="AI21" s="28">
        <v>1.204E-2</v>
      </c>
      <c r="AJ21" s="28">
        <v>1.204E-2</v>
      </c>
      <c r="AK21" s="28">
        <v>1.204E-2</v>
      </c>
    </row>
    <row r="22" spans="1:37" x14ac:dyDescent="0.3">
      <c r="A22" s="28" t="s">
        <v>252</v>
      </c>
      <c r="B22" s="34">
        <v>0.01</v>
      </c>
      <c r="C22" s="28">
        <v>0.01</v>
      </c>
      <c r="D22" s="28">
        <v>0.01</v>
      </c>
      <c r="E22" s="28">
        <v>0.01</v>
      </c>
      <c r="F22" s="28">
        <v>0.01</v>
      </c>
      <c r="G22" s="28">
        <v>0.01</v>
      </c>
      <c r="H22" s="28">
        <v>0.01</v>
      </c>
      <c r="I22" s="28">
        <v>0.01</v>
      </c>
      <c r="J22" s="28">
        <v>0.01</v>
      </c>
      <c r="K22" s="28">
        <v>0.01</v>
      </c>
      <c r="L22" s="28">
        <v>0.01</v>
      </c>
      <c r="M22" s="28">
        <v>0.01</v>
      </c>
      <c r="N22" s="28">
        <v>0.01</v>
      </c>
      <c r="O22" s="28">
        <v>0.01</v>
      </c>
      <c r="P22" s="28">
        <v>0.01</v>
      </c>
      <c r="Q22" s="28">
        <v>0.01</v>
      </c>
      <c r="R22" s="28">
        <v>0.01</v>
      </c>
      <c r="S22" s="28">
        <v>0.01</v>
      </c>
      <c r="T22" s="28">
        <v>0.01</v>
      </c>
      <c r="U22" s="28">
        <v>0.01</v>
      </c>
      <c r="V22" s="28">
        <v>0.01</v>
      </c>
      <c r="W22" s="28">
        <v>0.01</v>
      </c>
      <c r="X22" s="28">
        <v>0.01</v>
      </c>
      <c r="Y22" s="28">
        <v>0.01</v>
      </c>
      <c r="Z22" s="28">
        <v>0.01</v>
      </c>
      <c r="AA22" s="28">
        <v>0.01</v>
      </c>
      <c r="AB22" s="28">
        <v>0.01</v>
      </c>
      <c r="AC22" s="28">
        <v>0.01</v>
      </c>
      <c r="AD22" s="28">
        <v>0.01</v>
      </c>
      <c r="AE22" s="28">
        <v>0.01</v>
      </c>
      <c r="AF22" s="28">
        <v>0.01</v>
      </c>
      <c r="AG22" s="28">
        <v>0.01</v>
      </c>
      <c r="AH22" s="28">
        <v>0.01</v>
      </c>
      <c r="AI22" s="28">
        <v>0.01</v>
      </c>
      <c r="AJ22" s="28">
        <v>0.01</v>
      </c>
      <c r="AK22" s="28">
        <v>0.01</v>
      </c>
    </row>
    <row r="23" spans="1:37" x14ac:dyDescent="0.3">
      <c r="A23" s="28" t="s">
        <v>258</v>
      </c>
      <c r="B23" s="35">
        <v>4.0428983406909053E-5</v>
      </c>
      <c r="C23" s="36">
        <v>2.0267237885288786E-5</v>
      </c>
      <c r="D23" s="28">
        <v>8.4297159695387932E-6</v>
      </c>
      <c r="E23" s="28">
        <v>2.5833738409599696E-6</v>
      </c>
      <c r="F23" s="28">
        <v>4.3697910546292349E-7</v>
      </c>
      <c r="G23" s="28">
        <v>1.3274217757576822E-8</v>
      </c>
      <c r="H23" s="36">
        <v>4.0428983406909053E-5</v>
      </c>
      <c r="I23" s="36">
        <v>2.0267237885288786E-5</v>
      </c>
      <c r="J23" s="28">
        <v>8.4297159695387932E-6</v>
      </c>
      <c r="K23" s="28">
        <v>2.5833738409599696E-6</v>
      </c>
      <c r="L23" s="28">
        <v>4.3697910546292349E-7</v>
      </c>
      <c r="M23" s="28">
        <v>1.3274217757576822E-8</v>
      </c>
      <c r="N23" s="36">
        <v>4.0428983406909053E-5</v>
      </c>
      <c r="O23" s="36">
        <v>2.0267237885288786E-5</v>
      </c>
      <c r="P23" s="28">
        <v>8.4297159695387932E-6</v>
      </c>
      <c r="Q23" s="28">
        <v>2.5833738409599696E-6</v>
      </c>
      <c r="R23" s="28">
        <v>4.3697910546292349E-7</v>
      </c>
      <c r="S23" s="28">
        <v>1.3274217757576822E-8</v>
      </c>
      <c r="T23" s="28">
        <v>4.0428983406909053E-5</v>
      </c>
      <c r="U23" s="28">
        <v>2.0267237885288786E-5</v>
      </c>
      <c r="V23" s="28">
        <v>8.4297159695387932E-6</v>
      </c>
      <c r="W23" s="28">
        <v>2.5833738409599696E-6</v>
      </c>
      <c r="X23" s="28">
        <v>4.3697910546292349E-7</v>
      </c>
      <c r="Y23" s="28">
        <v>1.3274217757576822E-8</v>
      </c>
      <c r="Z23" s="28">
        <v>4.0428983406909053E-5</v>
      </c>
      <c r="AA23" s="28">
        <v>2.0267237885288786E-5</v>
      </c>
      <c r="AB23" s="28">
        <v>8.4297159695387932E-6</v>
      </c>
      <c r="AC23" s="28">
        <v>2.5833738409599696E-6</v>
      </c>
      <c r="AD23" s="28">
        <v>4.3697910546292349E-7</v>
      </c>
      <c r="AE23" s="28">
        <v>1.3274217757576822E-8</v>
      </c>
      <c r="AF23" s="28">
        <v>4.0428983406909053E-5</v>
      </c>
      <c r="AG23" s="28">
        <v>2.0267237885288786E-5</v>
      </c>
      <c r="AH23" s="28">
        <v>8.4297159695387932E-6</v>
      </c>
      <c r="AI23" s="28">
        <v>2.5833738409599696E-6</v>
      </c>
      <c r="AJ23" s="28">
        <v>4.3697910546292349E-7</v>
      </c>
      <c r="AK23" s="28">
        <v>1.3274217757576822E-8</v>
      </c>
    </row>
    <row r="24" spans="1:37" x14ac:dyDescent="0.3">
      <c r="A24" s="28" t="s">
        <v>232</v>
      </c>
      <c r="B24" s="34">
        <v>3.9698034013797019E-2</v>
      </c>
      <c r="C24" s="28">
        <v>3.9679972268275403E-2</v>
      </c>
      <c r="D24" s="28">
        <v>3.9664034746359648E-2</v>
      </c>
      <c r="E24" s="28">
        <v>3.9660688404231072E-2</v>
      </c>
      <c r="F24" s="28">
        <v>3.9661342009495573E-2</v>
      </c>
      <c r="G24" s="28">
        <v>3.966381830460787E-2</v>
      </c>
      <c r="H24" s="28">
        <v>3.9676034013797018E-2</v>
      </c>
      <c r="I24" s="28">
        <v>3.9654972268275406E-2</v>
      </c>
      <c r="J24" s="28">
        <v>3.9645334746359645E-2</v>
      </c>
      <c r="K24" s="28">
        <v>3.9641888404231065E-2</v>
      </c>
      <c r="L24" s="28">
        <v>3.9642342009495575E-2</v>
      </c>
      <c r="M24" s="28">
        <v>3.9644718304607869E-2</v>
      </c>
      <c r="N24" s="28">
        <v>3.9657634013797016E-2</v>
      </c>
      <c r="O24" s="28">
        <v>3.9639772268275399E-2</v>
      </c>
      <c r="P24" s="28">
        <v>3.9630434746359647E-2</v>
      </c>
      <c r="Q24" s="28">
        <v>3.9627288404231069E-2</v>
      </c>
      <c r="R24" s="28">
        <v>3.9628042009495573E-2</v>
      </c>
      <c r="S24" s="28">
        <v>3.9630618304607866E-2</v>
      </c>
      <c r="T24" s="28">
        <v>3.9649634013797015E-2</v>
      </c>
      <c r="U24" s="28">
        <v>3.9631972268275403E-2</v>
      </c>
      <c r="V24" s="28">
        <v>3.9622834746359643E-2</v>
      </c>
      <c r="W24" s="28">
        <v>3.9616588404231066E-2</v>
      </c>
      <c r="X24" s="28">
        <v>3.961974200949557E-2</v>
      </c>
      <c r="Y24" s="28">
        <v>3.962181830460787E-2</v>
      </c>
      <c r="Z24" s="28">
        <v>3.9671234013797019E-2</v>
      </c>
      <c r="AA24" s="28">
        <v>3.9652772268275405E-2</v>
      </c>
      <c r="AB24" s="28">
        <v>3.9642834746359649E-2</v>
      </c>
      <c r="AC24" s="28">
        <v>3.9639088404231068E-2</v>
      </c>
      <c r="AD24" s="28">
        <v>3.9639342009495572E-2</v>
      </c>
      <c r="AE24" s="28">
        <v>3.9641418304607871E-2</v>
      </c>
      <c r="AF24" s="28">
        <v>3.966813401379702E-2</v>
      </c>
      <c r="AG24" s="28">
        <v>3.9649272268275401E-2</v>
      </c>
      <c r="AH24" s="28">
        <v>3.9639034746359644E-2</v>
      </c>
      <c r="AI24" s="28">
        <v>3.9634988404231068E-2</v>
      </c>
      <c r="AJ24" s="28">
        <v>3.9634842009495574E-2</v>
      </c>
      <c r="AK24" s="28">
        <v>3.9636718304607868E-2</v>
      </c>
    </row>
    <row r="25" spans="1:37" x14ac:dyDescent="0.3">
      <c r="A25" s="30" t="s">
        <v>251</v>
      </c>
      <c r="B25" s="28">
        <v>13.972984148464743</v>
      </c>
      <c r="C25" s="28">
        <v>13.979344447362154</v>
      </c>
      <c r="D25" s="28">
        <v>13.984961528678324</v>
      </c>
      <c r="E25" s="28">
        <v>13.986141499773453</v>
      </c>
      <c r="F25" s="28">
        <v>13.985911012975702</v>
      </c>
      <c r="G25" s="28">
        <v>13.985037843307152</v>
      </c>
      <c r="H25" s="28">
        <v>13.980732041088269</v>
      </c>
      <c r="I25" s="28">
        <v>13.988157556820903</v>
      </c>
      <c r="J25" s="28">
        <v>13.991557986553115</v>
      </c>
      <c r="K25" s="28">
        <v>13.992774368962595</v>
      </c>
      <c r="L25" s="28">
        <v>13.992614257430402</v>
      </c>
      <c r="M25" s="28">
        <v>13.991775543415267</v>
      </c>
      <c r="N25" s="28">
        <v>13.987218698095255</v>
      </c>
      <c r="O25" s="28">
        <v>13.993521361472069</v>
      </c>
      <c r="P25" s="28">
        <v>13.996818443960001</v>
      </c>
      <c r="Q25" s="28">
        <v>13.997929768537324</v>
      </c>
      <c r="R25" s="28">
        <v>13.997663570334465</v>
      </c>
      <c r="S25" s="28">
        <v>13.996753614502774</v>
      </c>
      <c r="T25" s="28">
        <v>13.990040861587252</v>
      </c>
      <c r="U25" s="28">
        <v>13.996275437546826</v>
      </c>
      <c r="V25" s="28">
        <v>13.999503153947439</v>
      </c>
      <c r="W25" s="28">
        <v>14.001710453713823</v>
      </c>
      <c r="X25" s="28">
        <v>14.000595962160892</v>
      </c>
      <c r="Y25" s="28">
        <v>13.999862291415598</v>
      </c>
      <c r="Z25" s="28">
        <v>13.982423632375141</v>
      </c>
      <c r="AA25" s="28">
        <v>13.988933642447826</v>
      </c>
      <c r="AB25" s="28">
        <v>13.992440337555259</v>
      </c>
      <c r="AC25" s="28">
        <v>13.993762781406229</v>
      </c>
      <c r="AD25" s="28">
        <v>13.993673251869874</v>
      </c>
      <c r="AE25" s="28">
        <v>13.992940306465329</v>
      </c>
      <c r="AF25" s="28">
        <v>13.983516335985684</v>
      </c>
      <c r="AG25" s="28">
        <v>13.990168501625501</v>
      </c>
      <c r="AH25" s="28">
        <v>13.993781724236923</v>
      </c>
      <c r="AI25" s="28">
        <v>13.995210351588883</v>
      </c>
      <c r="AJ25" s="28">
        <v>13.9952620441153</v>
      </c>
      <c r="AK25" s="28">
        <v>13.994599546237275</v>
      </c>
    </row>
    <row r="26" spans="1:37" x14ac:dyDescent="0.3">
      <c r="A26" s="30" t="s">
        <v>143</v>
      </c>
      <c r="B26" s="28">
        <v>0.98887746739079652</v>
      </c>
      <c r="C26" s="28">
        <v>0.98876482126023479</v>
      </c>
      <c r="D26" s="28">
        <v>0.98844847656930512</v>
      </c>
      <c r="E26" s="28">
        <v>0.98831449325857634</v>
      </c>
      <c r="F26" s="28">
        <v>0.98816447506624927</v>
      </c>
      <c r="G26" s="28">
        <v>0.98800914708575727</v>
      </c>
      <c r="H26" s="28">
        <v>0.98898477328493051</v>
      </c>
      <c r="I26" s="28">
        <v>0.98903306853541495</v>
      </c>
      <c r="J26" s="28">
        <v>0.98891502180490531</v>
      </c>
      <c r="K26" s="28">
        <v>0.98878627568740241</v>
      </c>
      <c r="L26" s="28">
        <v>0.98864683855090241</v>
      </c>
      <c r="M26" s="28">
        <v>0.98849671945458817</v>
      </c>
      <c r="N26" s="28">
        <v>0.98889892670673452</v>
      </c>
      <c r="O26" s="28">
        <v>0.98877554835743897</v>
      </c>
      <c r="P26" s="28">
        <v>0.98864147636947464</v>
      </c>
      <c r="Q26" s="28">
        <v>0.98849671945458817</v>
      </c>
      <c r="R26" s="28">
        <v>0.98834128701483226</v>
      </c>
      <c r="S26" s="28">
        <v>0.98818054626556184</v>
      </c>
      <c r="T26" s="28">
        <v>0.98879163943967074</v>
      </c>
      <c r="U26" s="28">
        <v>0.98865756308825958</v>
      </c>
      <c r="V26" s="28">
        <v>0.98851280146284415</v>
      </c>
      <c r="W26" s="28">
        <v>0.98907063476914892</v>
      </c>
      <c r="X26" s="28">
        <v>0.98932293912055858</v>
      </c>
      <c r="Y26" s="28">
        <v>0.98918871865582136</v>
      </c>
      <c r="Z26" s="28">
        <v>0.98977956127836109</v>
      </c>
      <c r="AA26" s="28">
        <v>0.98968820312926831</v>
      </c>
      <c r="AB26" s="28">
        <v>0.98958611691845477</v>
      </c>
      <c r="AC26" s="28">
        <v>0.98947330929027688</v>
      </c>
      <c r="AD26" s="28">
        <v>0.98934441777514226</v>
      </c>
      <c r="AE26" s="28">
        <v>0.98921019148276168</v>
      </c>
      <c r="AF26" s="28">
        <v>0.98994619897869196</v>
      </c>
      <c r="AG26" s="28">
        <v>0.98987631182197366</v>
      </c>
      <c r="AH26" s="28">
        <v>0.98979031040478682</v>
      </c>
      <c r="AI26" s="28">
        <v>0.98969357667118496</v>
      </c>
      <c r="AJ26" s="28">
        <v>0.98958611691845477</v>
      </c>
      <c r="AK26" s="28">
        <v>0.98946256704797775</v>
      </c>
    </row>
    <row r="27" spans="1:37" x14ac:dyDescent="0.3">
      <c r="A27" s="28" t="s">
        <v>33</v>
      </c>
      <c r="B27" s="34">
        <v>3.4036</v>
      </c>
      <c r="C27" s="28">
        <v>3.4036</v>
      </c>
      <c r="D27" s="28">
        <v>3.4036</v>
      </c>
      <c r="E27" s="28">
        <v>3.4036</v>
      </c>
      <c r="F27" s="28">
        <v>3.4036</v>
      </c>
      <c r="G27" s="28">
        <v>3.4036</v>
      </c>
      <c r="H27" s="28">
        <v>3.4036</v>
      </c>
      <c r="I27" s="28">
        <v>3.4036</v>
      </c>
      <c r="J27" s="28">
        <v>3.4036</v>
      </c>
      <c r="K27" s="28">
        <v>3.4036</v>
      </c>
      <c r="L27" s="28">
        <v>3.4036</v>
      </c>
      <c r="M27" s="28">
        <v>3.4036</v>
      </c>
      <c r="N27" s="28">
        <v>3.4036</v>
      </c>
      <c r="O27" s="28">
        <v>3.4036</v>
      </c>
      <c r="P27" s="28">
        <v>3.4036</v>
      </c>
      <c r="Q27" s="28">
        <v>3.4036</v>
      </c>
      <c r="R27" s="28">
        <v>3.4036</v>
      </c>
      <c r="S27" s="28">
        <v>3.4036</v>
      </c>
      <c r="T27" s="28">
        <v>3.4036</v>
      </c>
      <c r="U27" s="28">
        <v>3.4036</v>
      </c>
      <c r="V27" s="28">
        <v>3.4036</v>
      </c>
      <c r="W27" s="28">
        <v>3.4036</v>
      </c>
      <c r="X27" s="28">
        <v>3.4036</v>
      </c>
      <c r="Y27" s="28">
        <v>3.4036</v>
      </c>
      <c r="Z27" s="28">
        <v>3.4036</v>
      </c>
      <c r="AA27" s="28">
        <v>3.4036</v>
      </c>
      <c r="AB27" s="28">
        <v>3.4036</v>
      </c>
      <c r="AC27" s="28">
        <v>3.4036</v>
      </c>
      <c r="AD27" s="28">
        <v>3.4036</v>
      </c>
      <c r="AE27" s="28">
        <v>3.4036</v>
      </c>
      <c r="AF27" s="28">
        <v>3.4036</v>
      </c>
      <c r="AG27" s="28">
        <v>3.4036</v>
      </c>
      <c r="AH27" s="28">
        <v>3.4036</v>
      </c>
      <c r="AI27" s="28">
        <v>3.4036</v>
      </c>
      <c r="AJ27" s="28">
        <v>3.4036</v>
      </c>
      <c r="AK27" s="28">
        <v>3.4036</v>
      </c>
    </row>
    <row r="28" spans="1:37" x14ac:dyDescent="0.3">
      <c r="A28" s="28" t="s">
        <v>324</v>
      </c>
      <c r="B28" s="34">
        <v>6.3216000000000001</v>
      </c>
      <c r="C28" s="28">
        <v>6.3216000000000001</v>
      </c>
      <c r="D28" s="28">
        <v>6.3216000000000001</v>
      </c>
      <c r="E28" s="28">
        <v>6.3216000000000001</v>
      </c>
      <c r="F28" s="28">
        <v>6.3216000000000001</v>
      </c>
      <c r="G28" s="28">
        <v>6.3216000000000001</v>
      </c>
      <c r="H28" s="28">
        <v>6.3216000000000001</v>
      </c>
      <c r="I28" s="28">
        <v>6.3216000000000001</v>
      </c>
      <c r="J28" s="28">
        <v>6.3216000000000001</v>
      </c>
      <c r="K28" s="28">
        <v>6.3216000000000001</v>
      </c>
      <c r="L28" s="28">
        <v>6.3216000000000001</v>
      </c>
      <c r="M28" s="28">
        <v>6.3216000000000001</v>
      </c>
      <c r="N28" s="28">
        <v>6.3216000000000001</v>
      </c>
      <c r="O28" s="28">
        <v>6.3216000000000001</v>
      </c>
      <c r="P28" s="28">
        <v>6.3216000000000001</v>
      </c>
      <c r="Q28" s="28">
        <v>6.3216000000000001</v>
      </c>
      <c r="R28" s="28">
        <v>6.3216000000000001</v>
      </c>
      <c r="S28" s="28">
        <v>6.3216000000000001</v>
      </c>
      <c r="T28" s="28">
        <v>6.3216000000000001</v>
      </c>
      <c r="U28" s="28">
        <v>6.3216000000000001</v>
      </c>
      <c r="V28" s="28">
        <v>6.3216000000000001</v>
      </c>
      <c r="W28" s="28">
        <v>6.3216000000000001</v>
      </c>
      <c r="X28" s="28">
        <v>6.3216000000000001</v>
      </c>
      <c r="Y28" s="28">
        <v>6.3216000000000001</v>
      </c>
      <c r="Z28" s="28">
        <v>6.3216000000000001</v>
      </c>
      <c r="AA28" s="28">
        <v>6.3216000000000001</v>
      </c>
      <c r="AB28" s="28">
        <v>6.3216000000000001</v>
      </c>
      <c r="AC28" s="28">
        <v>6.3216000000000001</v>
      </c>
      <c r="AD28" s="28">
        <v>6.3216000000000001</v>
      </c>
      <c r="AE28" s="28">
        <v>6.3216000000000001</v>
      </c>
      <c r="AF28" s="28">
        <v>6.3216000000000001</v>
      </c>
      <c r="AG28" s="28">
        <v>6.3216000000000001</v>
      </c>
      <c r="AH28" s="28">
        <v>6.3216000000000001</v>
      </c>
      <c r="AI28" s="28">
        <v>6.3216000000000001</v>
      </c>
      <c r="AJ28" s="28">
        <v>6.3216000000000001</v>
      </c>
      <c r="AK28" s="28">
        <v>6.3216000000000001</v>
      </c>
    </row>
    <row r="29" spans="1:37" x14ac:dyDescent="0.3">
      <c r="A29" s="28" t="s">
        <v>325</v>
      </c>
      <c r="B29" s="34">
        <v>0.6913385826771653</v>
      </c>
      <c r="C29" s="28">
        <v>0.6913385826771653</v>
      </c>
      <c r="D29" s="28">
        <v>0.6913385826771653</v>
      </c>
      <c r="E29" s="28">
        <v>0.6913385826771653</v>
      </c>
      <c r="F29" s="28">
        <v>0.6913385826771653</v>
      </c>
      <c r="G29" s="28">
        <v>0.6913385826771653</v>
      </c>
      <c r="H29" s="28">
        <v>0.6913385826771653</v>
      </c>
      <c r="I29" s="28">
        <v>0.6913385826771653</v>
      </c>
      <c r="J29" s="28">
        <v>0.6913385826771653</v>
      </c>
      <c r="K29" s="28">
        <v>0.6913385826771653</v>
      </c>
      <c r="L29" s="28">
        <v>0.6913385826771653</v>
      </c>
      <c r="M29" s="28">
        <v>0.6913385826771653</v>
      </c>
      <c r="N29" s="28">
        <v>0.6913385826771653</v>
      </c>
      <c r="O29" s="28">
        <v>0.6913385826771653</v>
      </c>
      <c r="P29" s="28">
        <v>0.6913385826771653</v>
      </c>
      <c r="Q29" s="28">
        <v>0.6913385826771653</v>
      </c>
      <c r="R29" s="28">
        <v>0.6913385826771653</v>
      </c>
      <c r="S29" s="28">
        <v>0.6913385826771653</v>
      </c>
      <c r="T29" s="28">
        <v>0.6913385826771653</v>
      </c>
      <c r="U29" s="28">
        <v>0.6913385826771653</v>
      </c>
      <c r="V29" s="28">
        <v>0.6913385826771653</v>
      </c>
      <c r="W29" s="28">
        <v>0.6913385826771653</v>
      </c>
      <c r="X29" s="28">
        <v>0.6913385826771653</v>
      </c>
      <c r="Y29" s="28">
        <v>0.6913385826771653</v>
      </c>
      <c r="Z29" s="28">
        <v>0.6913385826771653</v>
      </c>
      <c r="AA29" s="28">
        <v>0.6913385826771653</v>
      </c>
      <c r="AB29" s="28">
        <v>0.6913385826771653</v>
      </c>
      <c r="AC29" s="28">
        <v>0.6913385826771653</v>
      </c>
      <c r="AD29" s="28">
        <v>0.6913385826771653</v>
      </c>
      <c r="AE29" s="28">
        <v>0.6913385826771653</v>
      </c>
      <c r="AF29" s="28">
        <v>0.6913385826771653</v>
      </c>
      <c r="AG29" s="28">
        <v>0.6913385826771653</v>
      </c>
      <c r="AH29" s="28">
        <v>0.6913385826771653</v>
      </c>
      <c r="AI29" s="28">
        <v>0.6913385826771653</v>
      </c>
      <c r="AJ29" s="28">
        <v>0.6913385826771653</v>
      </c>
      <c r="AK29" s="28">
        <v>0.6913385826771653</v>
      </c>
    </row>
    <row r="37" spans="8:8" x14ac:dyDescent="0.3">
      <c r="H37" s="28">
        <v>0.27</v>
      </c>
    </row>
    <row r="38" spans="8:8" x14ac:dyDescent="0.3">
      <c r="H38" s="28">
        <v>0.28000000000000003</v>
      </c>
    </row>
    <row r="39" spans="8:8" x14ac:dyDescent="0.3">
      <c r="H39" s="28">
        <v>0.28999999999999998</v>
      </c>
    </row>
    <row r="40" spans="8:8" x14ac:dyDescent="0.3">
      <c r="H40" s="28">
        <v>0.3</v>
      </c>
    </row>
    <row r="41" spans="8:8" x14ac:dyDescent="0.3">
      <c r="H41" s="28">
        <v>0.31</v>
      </c>
    </row>
    <row r="42" spans="8:8" x14ac:dyDescent="0.3">
      <c r="H42" s="28">
        <v>0.32</v>
      </c>
    </row>
  </sheetData>
  <mergeCells count="10">
    <mergeCell ref="AM8:AR8"/>
    <mergeCell ref="C8:H8"/>
    <mergeCell ref="L8:Q8"/>
    <mergeCell ref="U8:Z8"/>
    <mergeCell ref="AD8:AI8"/>
    <mergeCell ref="A10:A15"/>
    <mergeCell ref="J10:J15"/>
    <mergeCell ref="S10:S15"/>
    <mergeCell ref="AB10:AB15"/>
    <mergeCell ref="AK10:AK15"/>
  </mergeCells>
  <conditionalFormatting sqref="C10:I1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0:AR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B40"/>
  <sheetViews>
    <sheetView zoomScale="76" zoomScaleNormal="70" workbookViewId="0">
      <selection activeCell="B12" sqref="B12"/>
    </sheetView>
  </sheetViews>
  <sheetFormatPr defaultRowHeight="14.5" x14ac:dyDescent="0.35"/>
  <cols>
    <col min="1" max="1" width="15.26953125" style="6" bestFit="1" customWidth="1"/>
    <col min="2" max="2" width="8.90625" bestFit="1" customWidth="1"/>
    <col min="3" max="3" width="9.1796875" style="6"/>
    <col min="4" max="4" width="9.1796875" customWidth="1"/>
    <col min="5" max="5" width="11.81640625" bestFit="1" customWidth="1"/>
    <col min="6" max="6" width="9.1796875" style="6"/>
    <col min="8" max="8" width="9.54296875" style="10" bestFit="1" customWidth="1"/>
    <col min="9" max="9" width="11.90625" bestFit="1" customWidth="1"/>
    <col min="10" max="10" width="9.1796875" style="6"/>
    <col min="12" max="12" width="9.1796875" style="11"/>
    <col min="13" max="15" width="8.90625" bestFit="1" customWidth="1"/>
    <col min="28" max="28" width="9.1796875" style="6"/>
  </cols>
  <sheetData>
    <row r="1" spans="1:28" x14ac:dyDescent="0.35">
      <c r="A1" s="53" t="s">
        <v>62</v>
      </c>
      <c r="B1" s="54"/>
      <c r="C1" s="54"/>
      <c r="D1" s="54"/>
      <c r="E1" s="54"/>
      <c r="F1" s="55"/>
      <c r="H1" s="53" t="s">
        <v>67</v>
      </c>
      <c r="I1" s="54"/>
      <c r="J1" s="55"/>
      <c r="L1" s="53" t="s">
        <v>63</v>
      </c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5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240</v>
      </c>
      <c r="H4" s="10" t="s">
        <v>68</v>
      </c>
      <c r="I4" s="13">
        <v>32610.57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27">
        <v>0.55469999999999997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9.1440000000000001</v>
      </c>
      <c r="O5">
        <f>B14</f>
        <v>5.9849552708787623</v>
      </c>
    </row>
    <row r="6" spans="1:28" x14ac:dyDescent="0.35">
      <c r="H6" s="10" t="s">
        <v>241</v>
      </c>
      <c r="I6" s="19">
        <v>1.42354425457476E-5</v>
      </c>
      <c r="J6" s="6" t="s">
        <v>89</v>
      </c>
      <c r="M6">
        <v>3</v>
      </c>
      <c r="N6">
        <f>N5</f>
        <v>9.1440000000000001</v>
      </c>
      <c r="O6">
        <f>O5+B13</f>
        <v>7.5558466498410075</v>
      </c>
    </row>
    <row r="7" spans="1:28" x14ac:dyDescent="0.35">
      <c r="A7" s="9" t="s">
        <v>61</v>
      </c>
      <c r="H7" s="10" t="s">
        <v>242</v>
      </c>
      <c r="I7" s="13">
        <v>248.035657436587</v>
      </c>
      <c r="J7" s="6" t="s">
        <v>74</v>
      </c>
      <c r="M7">
        <v>4</v>
      </c>
      <c r="N7">
        <v>0</v>
      </c>
      <c r="O7">
        <f>B12</f>
        <v>5.2363045965408164</v>
      </c>
    </row>
    <row r="8" spans="1:28" x14ac:dyDescent="0.35">
      <c r="A8" s="6" t="s">
        <v>54</v>
      </c>
      <c r="B8">
        <v>62.244999999999997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18.288</v>
      </c>
      <c r="C9" s="6" t="s">
        <v>58</v>
      </c>
      <c r="M9">
        <v>6</v>
      </c>
      <c r="N9">
        <f>-N5</f>
        <v>-9.1440000000000001</v>
      </c>
      <c r="O9">
        <f>O5</f>
        <v>5.9849552708787623</v>
      </c>
    </row>
    <row r="10" spans="1:28" x14ac:dyDescent="0.35">
      <c r="A10" s="6" t="s">
        <v>56</v>
      </c>
      <c r="B10" s="3">
        <v>0.3</v>
      </c>
      <c r="M10">
        <v>7</v>
      </c>
      <c r="N10">
        <f>N9</f>
        <v>-9.1440000000000001</v>
      </c>
      <c r="O10">
        <f>O6</f>
        <v>7.5558466498410075</v>
      </c>
    </row>
    <row r="11" spans="1:28" x14ac:dyDescent="0.35">
      <c r="A11" s="6" t="s">
        <v>236</v>
      </c>
      <c r="B11" s="3">
        <v>29</v>
      </c>
      <c r="C11" s="6" t="s">
        <v>88</v>
      </c>
      <c r="M11">
        <v>8</v>
      </c>
      <c r="N11">
        <f>0</f>
        <v>0</v>
      </c>
      <c r="O11">
        <f>O7</f>
        <v>5.2363045965408164</v>
      </c>
    </row>
    <row r="12" spans="1:28" x14ac:dyDescent="0.35">
      <c r="A12" s="6" t="s">
        <v>59</v>
      </c>
      <c r="B12">
        <f>(2*B8)/(B9*(1+B10))</f>
        <v>5.2363045965408164</v>
      </c>
      <c r="C12" s="6" t="s">
        <v>58</v>
      </c>
    </row>
    <row r="13" spans="1:28" x14ac:dyDescent="0.35">
      <c r="A13" s="6" t="s">
        <v>60</v>
      </c>
      <c r="B13">
        <f>B12*B10</f>
        <v>1.570891378962245</v>
      </c>
      <c r="C13" s="6" t="s">
        <v>58</v>
      </c>
      <c r="H13" s="12"/>
      <c r="I13" s="8"/>
      <c r="J13" s="7"/>
    </row>
    <row r="14" spans="1:28" x14ac:dyDescent="0.35">
      <c r="A14" s="6" t="s">
        <v>239</v>
      </c>
      <c r="B14">
        <f>0.25*(B12-B13)+(B9/2)*TAN(B11*PI()/180)</f>
        <v>5.9849552708787623</v>
      </c>
      <c r="C14" s="6" t="s">
        <v>58</v>
      </c>
      <c r="H14"/>
      <c r="J14"/>
    </row>
    <row r="15" spans="1:28" x14ac:dyDescent="0.35">
      <c r="A15" s="6" t="s">
        <v>263</v>
      </c>
      <c r="B15" s="3">
        <v>-2.7</v>
      </c>
      <c r="C15" s="6" t="s">
        <v>88</v>
      </c>
      <c r="H15"/>
      <c r="J15"/>
    </row>
    <row r="16" spans="1:28" x14ac:dyDescent="0.35">
      <c r="H16" s="56" t="s">
        <v>253</v>
      </c>
      <c r="I16" s="57"/>
      <c r="J16" s="58"/>
    </row>
    <row r="17" spans="1:10" x14ac:dyDescent="0.35">
      <c r="D17" s="2" t="s">
        <v>261</v>
      </c>
      <c r="H17" s="10" t="s">
        <v>48</v>
      </c>
      <c r="I17" t="s">
        <v>49</v>
      </c>
      <c r="J17" s="6" t="s">
        <v>50</v>
      </c>
    </row>
    <row r="18" spans="1:10" x14ac:dyDescent="0.35">
      <c r="D18" t="s">
        <v>236</v>
      </c>
      <c r="E18">
        <f>B11</f>
        <v>29</v>
      </c>
      <c r="H18" s="10" t="s">
        <v>139</v>
      </c>
      <c r="I18" s="4">
        <f>CruiseST!F27</f>
        <v>1.8429399999999999E-2</v>
      </c>
    </row>
    <row r="19" spans="1:10" x14ac:dyDescent="0.35">
      <c r="D19" t="s">
        <v>255</v>
      </c>
      <c r="E19">
        <v>0.95</v>
      </c>
      <c r="H19" s="10" t="s">
        <v>136</v>
      </c>
      <c r="I19" s="4">
        <f>CruiseST!C26</f>
        <v>1.201E-2</v>
      </c>
    </row>
    <row r="20" spans="1:10" x14ac:dyDescent="0.35">
      <c r="D20" t="s">
        <v>256</v>
      </c>
      <c r="E20">
        <v>5.7000000000000002E-2</v>
      </c>
      <c r="H20" s="11" t="s">
        <v>252</v>
      </c>
      <c r="I20" s="11">
        <v>0.01</v>
      </c>
    </row>
    <row r="21" spans="1:10" x14ac:dyDescent="0.35">
      <c r="D21" t="s">
        <v>254</v>
      </c>
      <c r="E21">
        <f>(E19/COS(E18*PI()/180))-(E20/(COS(E18*PI()/180)^2))-(B5/(10*COS(E18*PI()/180)^3))</f>
        <v>0.92876387433892305</v>
      </c>
      <c r="H21" s="11" t="s">
        <v>258</v>
      </c>
      <c r="I21" s="11">
        <f>20*(E23-E22)^4*E24</f>
        <v>2.5833738409599696E-6</v>
      </c>
    </row>
    <row r="22" spans="1:10" x14ac:dyDescent="0.35">
      <c r="D22" t="s">
        <v>257</v>
      </c>
      <c r="E22">
        <f>E21-(0.1/80)^(1/3)</f>
        <v>0.82104213983732888</v>
      </c>
      <c r="H22" s="11" t="s">
        <v>232</v>
      </c>
      <c r="I22" s="11">
        <f>I18+I19+I20+I21-E26</f>
        <v>3.9616588404231066E-2</v>
      </c>
    </row>
    <row r="23" spans="1:10" x14ac:dyDescent="0.35">
      <c r="D23" t="s">
        <v>259</v>
      </c>
      <c r="E23">
        <v>0.84</v>
      </c>
      <c r="H23" s="10" t="s">
        <v>251</v>
      </c>
      <c r="I23">
        <f>B5/I22</f>
        <v>14.001710453713823</v>
      </c>
    </row>
    <row r="24" spans="1:10" x14ac:dyDescent="0.35">
      <c r="D24" t="s">
        <v>260</v>
      </c>
      <c r="E24">
        <f>IF(E23&gt;E22, 1, 0)</f>
        <v>1</v>
      </c>
      <c r="H24" s="10" t="s">
        <v>143</v>
      </c>
      <c r="I24">
        <f>(B5^2)/(PI()*(B9^2/B8)*I18)</f>
        <v>0.98907063476914892</v>
      </c>
    </row>
    <row r="25" spans="1:10" x14ac:dyDescent="0.35">
      <c r="H25" s="10" t="s">
        <v>33</v>
      </c>
      <c r="I25">
        <f>MAX(CruiseFS!J23:J62)</f>
        <v>3.4036</v>
      </c>
    </row>
    <row r="26" spans="1:10" x14ac:dyDescent="0.35">
      <c r="A26" s="25"/>
      <c r="D26" t="s">
        <v>287</v>
      </c>
      <c r="E26">
        <v>8.2539496960989402E-4</v>
      </c>
      <c r="H26" s="10" t="s">
        <v>324</v>
      </c>
      <c r="I26">
        <f>INDEX(CruiseFS!C23:C42, MATCH(MAX(CruiseFS!J23:J42), CruiseFS!J23:J42, 0))</f>
        <v>6.3216000000000001</v>
      </c>
    </row>
    <row r="27" spans="1:10" x14ac:dyDescent="0.35">
      <c r="H27" s="10" t="s">
        <v>325</v>
      </c>
      <c r="I27">
        <f>I26/(B9/2)</f>
        <v>0.6913385826771653</v>
      </c>
    </row>
    <row r="28" spans="1:10" x14ac:dyDescent="0.35">
      <c r="D28" s="2" t="s">
        <v>281</v>
      </c>
      <c r="E28" s="2" t="s">
        <v>345</v>
      </c>
    </row>
    <row r="29" spans="1:10" x14ac:dyDescent="0.35">
      <c r="D29">
        <v>29119</v>
      </c>
      <c r="E29">
        <v>26550</v>
      </c>
    </row>
    <row r="30" spans="1:10" x14ac:dyDescent="0.35">
      <c r="D30">
        <v>0.301721413422322</v>
      </c>
      <c r="E30">
        <v>0.45832411966872899</v>
      </c>
    </row>
    <row r="31" spans="1:10" x14ac:dyDescent="0.35">
      <c r="D31">
        <v>1.42354425457476E-5</v>
      </c>
      <c r="E31">
        <v>1.48852218260474E-5</v>
      </c>
    </row>
    <row r="32" spans="1:10" x14ac:dyDescent="0.35">
      <c r="D32">
        <v>248.035657436587</v>
      </c>
      <c r="E32">
        <v>515.65003251067697</v>
      </c>
      <c r="J32" s="26"/>
    </row>
    <row r="34" spans="4:5" x14ac:dyDescent="0.35">
      <c r="D34" t="s">
        <v>352</v>
      </c>
      <c r="E34" s="2" t="s">
        <v>348</v>
      </c>
    </row>
    <row r="35" spans="4:5" x14ac:dyDescent="0.35">
      <c r="D35">
        <f>B9^2/B8</f>
        <v>5.3731375050204839</v>
      </c>
      <c r="E35">
        <v>0.26</v>
      </c>
    </row>
    <row r="36" spans="4:5" x14ac:dyDescent="0.35">
      <c r="E36">
        <v>29</v>
      </c>
    </row>
    <row r="37" spans="4:5" x14ac:dyDescent="0.35">
      <c r="E37">
        <v>-1</v>
      </c>
    </row>
    <row r="39" spans="4:5" x14ac:dyDescent="0.35">
      <c r="D39" s="2" t="s">
        <v>263</v>
      </c>
      <c r="E39" s="2" t="s">
        <v>251</v>
      </c>
    </row>
    <row r="40" spans="4:5" x14ac:dyDescent="0.35">
      <c r="D40">
        <f>B15</f>
        <v>-2.7</v>
      </c>
      <c r="E40">
        <f>I23</f>
        <v>14.001710453713823</v>
      </c>
    </row>
  </sheetData>
  <mergeCells count="4">
    <mergeCell ref="A1:F1"/>
    <mergeCell ref="L1:AB1"/>
    <mergeCell ref="H16:J16"/>
    <mergeCell ref="H1:J1"/>
  </mergeCells>
  <conditionalFormatting sqref="I37:I40 I29:I3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7:I47 I28:I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8:I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activeCell="B4" sqref="B4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54" t="s">
        <v>75</v>
      </c>
      <c r="B1" s="54"/>
      <c r="C1" s="55"/>
      <c r="D1" s="10"/>
      <c r="E1" s="53" t="s">
        <v>76</v>
      </c>
      <c r="F1" s="54"/>
      <c r="G1" s="54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62.244999999999997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3.7325453277906329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5.2363045965408164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5.9849552708787623</v>
      </c>
      <c r="G12" s="6" t="s">
        <v>58</v>
      </c>
    </row>
    <row r="13" spans="1:8" x14ac:dyDescent="0.35">
      <c r="E13" s="10" t="s">
        <v>83</v>
      </c>
      <c r="F13">
        <f>Variables!B9/2</f>
        <v>9.1440000000000001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1.570891378962245</v>
      </c>
      <c r="G15" s="6" t="s">
        <v>58</v>
      </c>
    </row>
    <row r="16" spans="1:8" x14ac:dyDescent="0.35">
      <c r="E16" s="10" t="s">
        <v>87</v>
      </c>
      <c r="F16">
        <f>Variables!B15</f>
        <v>-2.7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J9"/>
  <sheetViews>
    <sheetView tabSelected="1" workbookViewId="0">
      <selection activeCell="G5" sqref="G5"/>
    </sheetView>
  </sheetViews>
  <sheetFormatPr defaultRowHeight="14.5" x14ac:dyDescent="0.35"/>
  <cols>
    <col min="2" max="2" width="9.1796875" customWidth="1"/>
    <col min="8" max="8" width="9.1796875" style="6"/>
  </cols>
  <sheetData>
    <row r="1" spans="1:10" x14ac:dyDescent="0.35">
      <c r="A1" s="43" t="s">
        <v>76</v>
      </c>
      <c r="B1" s="40"/>
      <c r="C1" s="40"/>
      <c r="D1" s="40"/>
      <c r="E1" s="40"/>
      <c r="F1" s="40"/>
      <c r="G1" s="40"/>
      <c r="H1" s="40"/>
      <c r="I1" s="11"/>
    </row>
    <row r="3" spans="1:10" x14ac:dyDescent="0.35">
      <c r="A3" s="2" t="s">
        <v>77</v>
      </c>
    </row>
    <row r="4" spans="1:10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10" x14ac:dyDescent="0.35">
      <c r="A5" s="18">
        <f>Variables!I5*Variables!I7*Variables!B12/Variables!I6</f>
        <v>27527969.689566512</v>
      </c>
      <c r="B5" s="18">
        <f>'CDCL(Re)'!B19*LN(CruiseCDCL!A5)+'CDCL(Re)'!B20</f>
        <v>-0.26050658024709406</v>
      </c>
      <c r="C5" s="18">
        <f>'CDCL(Re)'!C19*LN(CruiseCDCL!A5)+'CDCL(Re)'!C20</f>
        <v>1.2369286874617639E-2</v>
      </c>
      <c r="D5" s="18">
        <f>'CDCL(Re)'!D20</f>
        <v>-1.3083465385194809E-2</v>
      </c>
      <c r="E5" s="18">
        <f>'CDCL(Re)'!E19*LN(CruiseCDCL!A5)+'CDCL(Re)'!E20</f>
        <v>6.4823581871558747E-3</v>
      </c>
      <c r="F5" s="18">
        <f>'CDCL(Re)'!F19*CruiseCDCL!A5+'CDCL(Re)'!F20</f>
        <v>0.644755939379133</v>
      </c>
      <c r="G5" s="18">
        <f>'CDCL(Re)'!G19*CruiseCDCL!A5+'CDCL(Re)'!G20</f>
        <v>1.3625839090686997E-2</v>
      </c>
      <c r="H5" s="26">
        <f>'CDCL(Re)'!I20</f>
        <v>2.0568995879698653</v>
      </c>
      <c r="J5" s="18"/>
    </row>
    <row r="7" spans="1:10" x14ac:dyDescent="0.35">
      <c r="A7" s="2" t="s">
        <v>78</v>
      </c>
    </row>
    <row r="8" spans="1:10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10" x14ac:dyDescent="0.35">
      <c r="A9" s="18">
        <f>Variables!I5*Variables!I7*Variables!B13/Variables!I6</f>
        <v>8258390.9068699544</v>
      </c>
      <c r="B9" s="18">
        <f>'CDCL(Re)'!B19*LN(CruiseCDCL!A9)+'CDCL(Re)'!B20</f>
        <v>-0.26965677355997114</v>
      </c>
      <c r="C9" s="18">
        <f>'CDCL(Re)'!C19*LN(CruiseCDCL!A9)+'CDCL(Re)'!C20</f>
        <v>1.3573259678943572E-2</v>
      </c>
      <c r="D9" s="18">
        <f>'CDCL(Re)'!D20</f>
        <v>-1.3083465385194809E-2</v>
      </c>
      <c r="E9" s="18">
        <f>'CDCL(Re)'!E19*LN(CruiseCDCL!A9)+'CDCL(Re)'!E20</f>
        <v>7.5659337110492164E-3</v>
      </c>
      <c r="F9" s="18">
        <f>'CDCL(Re)'!F19*CruiseCDCL!A9+'CDCL(Re)'!F20</f>
        <v>0.60621678181373995</v>
      </c>
      <c r="G9" s="18">
        <f>'CDCL(Re)'!G19*CruiseCDCL!A9+'CDCL(Re)'!G20</f>
        <v>1.3047751727206099E-2</v>
      </c>
      <c r="H9" s="26">
        <f>'CDCL(Re)'!I20</f>
        <v>2.0568995879698653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5"/>
  <sheetViews>
    <sheetView topLeftCell="A10" workbookViewId="0">
      <selection activeCell="I24" sqref="I24"/>
    </sheetView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243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40</v>
      </c>
    </row>
    <row r="7" spans="1:9" x14ac:dyDescent="0.35">
      <c r="A7" t="s">
        <v>101</v>
      </c>
      <c r="B7" t="s">
        <v>105</v>
      </c>
      <c r="C7" t="s">
        <v>103</v>
      </c>
      <c r="D7">
        <v>400</v>
      </c>
    </row>
    <row r="9" spans="1:9" x14ac:dyDescent="0.35">
      <c r="A9" t="s">
        <v>79</v>
      </c>
      <c r="B9" t="s">
        <v>103</v>
      </c>
      <c r="C9" s="18">
        <v>62.244999999999997</v>
      </c>
      <c r="D9" t="s">
        <v>80</v>
      </c>
      <c r="E9" t="s">
        <v>103</v>
      </c>
      <c r="F9" s="18">
        <v>3.7324999999999999</v>
      </c>
      <c r="G9" t="s">
        <v>81</v>
      </c>
      <c r="H9" t="s">
        <v>103</v>
      </c>
      <c r="I9">
        <v>18.288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7.4379099999999996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4.0099999999999997E-2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0</v>
      </c>
      <c r="D21" t="s">
        <v>130</v>
      </c>
      <c r="E21" t="s">
        <v>103</v>
      </c>
      <c r="F21">
        <v>-0.54534000000000005</v>
      </c>
    </row>
    <row r="22" spans="1:9" x14ac:dyDescent="0.35">
      <c r="A22" t="s">
        <v>131</v>
      </c>
      <c r="B22" t="s">
        <v>103</v>
      </c>
      <c r="C22">
        <v>-0.55417000000000005</v>
      </c>
      <c r="D22" t="s">
        <v>132</v>
      </c>
      <c r="E22" t="s">
        <v>103</v>
      </c>
      <c r="F22">
        <v>0</v>
      </c>
      <c r="G22" t="s">
        <v>133</v>
      </c>
      <c r="H22" t="s">
        <v>103</v>
      </c>
      <c r="I22">
        <v>0</v>
      </c>
    </row>
    <row r="24" spans="1:9" x14ac:dyDescent="0.35">
      <c r="A24" t="s">
        <v>134</v>
      </c>
      <c r="B24" t="s">
        <v>103</v>
      </c>
      <c r="C24">
        <v>0.55469999999999997</v>
      </c>
    </row>
    <row r="25" spans="1:9" x14ac:dyDescent="0.35">
      <c r="A25" t="s">
        <v>135</v>
      </c>
      <c r="B25" t="s">
        <v>103</v>
      </c>
      <c r="C25">
        <v>3.1969999999999998E-2</v>
      </c>
    </row>
    <row r="26" spans="1:9" x14ac:dyDescent="0.35">
      <c r="A26" t="s">
        <v>136</v>
      </c>
      <c r="B26" t="s">
        <v>103</v>
      </c>
      <c r="C26">
        <v>1.201E-2</v>
      </c>
      <c r="D26" t="s">
        <v>137</v>
      </c>
      <c r="E26" t="s">
        <v>103</v>
      </c>
      <c r="F26">
        <v>1.99592E-2</v>
      </c>
    </row>
    <row r="27" spans="1:9" x14ac:dyDescent="0.35">
      <c r="A27" t="s">
        <v>138</v>
      </c>
      <c r="B27" t="s">
        <v>103</v>
      </c>
      <c r="C27">
        <v>0.55730999999999997</v>
      </c>
      <c r="D27" t="s">
        <v>139</v>
      </c>
      <c r="E27" t="s">
        <v>103</v>
      </c>
      <c r="F27">
        <v>1.8429399999999999E-2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0.99839999999999995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3.8853409999999999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0</v>
      </c>
      <c r="H38" t="s">
        <v>156</v>
      </c>
      <c r="I38" t="s">
        <v>103</v>
      </c>
      <c r="J38">
        <v>-1.2265E-2</v>
      </c>
    </row>
    <row r="39" spans="1:13" x14ac:dyDescent="0.35">
      <c r="A39" t="s">
        <v>316</v>
      </c>
      <c r="B39" t="s">
        <v>150</v>
      </c>
      <c r="C39" t="s">
        <v>2</v>
      </c>
      <c r="D39" t="s">
        <v>140</v>
      </c>
      <c r="E39" t="s">
        <v>317</v>
      </c>
      <c r="F39" t="s">
        <v>103</v>
      </c>
      <c r="G39">
        <v>0.36536400000000002</v>
      </c>
      <c r="H39" t="s">
        <v>318</v>
      </c>
      <c r="I39" t="s">
        <v>103</v>
      </c>
      <c r="J39">
        <v>0</v>
      </c>
    </row>
    <row r="40" spans="1:13" x14ac:dyDescent="0.35">
      <c r="A40" t="s">
        <v>157</v>
      </c>
      <c r="B40" t="s">
        <v>158</v>
      </c>
      <c r="C40" t="s">
        <v>159</v>
      </c>
      <c r="D40" t="s">
        <v>160</v>
      </c>
      <c r="E40" t="s">
        <v>103</v>
      </c>
      <c r="F40">
        <v>0</v>
      </c>
      <c r="G40" t="s">
        <v>161</v>
      </c>
      <c r="H40" t="s">
        <v>103</v>
      </c>
      <c r="I40">
        <v>-6.1539000000000003E-2</v>
      </c>
    </row>
    <row r="41" spans="1:13" x14ac:dyDescent="0.35">
      <c r="A41" t="s">
        <v>153</v>
      </c>
      <c r="B41" t="s">
        <v>158</v>
      </c>
      <c r="C41" t="s">
        <v>4</v>
      </c>
      <c r="D41" t="s">
        <v>140</v>
      </c>
      <c r="E41" t="s">
        <v>162</v>
      </c>
      <c r="F41" t="s">
        <v>103</v>
      </c>
      <c r="G41">
        <v>-3.6309040000000001</v>
      </c>
      <c r="H41" t="s">
        <v>163</v>
      </c>
      <c r="I41" t="s">
        <v>103</v>
      </c>
      <c r="J41">
        <v>0</v>
      </c>
    </row>
    <row r="42" spans="1:13" x14ac:dyDescent="0.35">
      <c r="A42" t="s">
        <v>149</v>
      </c>
      <c r="B42" t="s">
        <v>158</v>
      </c>
      <c r="C42" t="s">
        <v>164</v>
      </c>
      <c r="D42" t="s">
        <v>165</v>
      </c>
      <c r="E42" t="s">
        <v>103</v>
      </c>
      <c r="F42">
        <v>0</v>
      </c>
      <c r="G42" t="s">
        <v>166</v>
      </c>
      <c r="H42" t="s">
        <v>103</v>
      </c>
      <c r="I42">
        <v>1.1868999999999999E-2</v>
      </c>
    </row>
    <row r="44" spans="1:13" x14ac:dyDescent="0.35">
      <c r="A44" t="s">
        <v>167</v>
      </c>
      <c r="B44" t="s">
        <v>168</v>
      </c>
      <c r="C44" t="s">
        <v>169</v>
      </c>
      <c r="D44" t="s">
        <v>170</v>
      </c>
      <c r="E44" t="s">
        <v>168</v>
      </c>
      <c r="F44" t="s">
        <v>171</v>
      </c>
      <c r="G44" t="s">
        <v>172</v>
      </c>
      <c r="H44" t="s">
        <v>168</v>
      </c>
      <c r="I44" t="s">
        <v>173</v>
      </c>
    </row>
    <row r="45" spans="1:13" x14ac:dyDescent="0.35">
      <c r="A45" t="s">
        <v>148</v>
      </c>
      <c r="B45" t="s">
        <v>148</v>
      </c>
      <c r="C45" t="s">
        <v>148</v>
      </c>
    </row>
    <row r="46" spans="1:13" x14ac:dyDescent="0.35">
      <c r="A46" t="s">
        <v>149</v>
      </c>
      <c r="B46" t="s">
        <v>150</v>
      </c>
      <c r="C46" t="s">
        <v>1</v>
      </c>
      <c r="D46" t="s">
        <v>140</v>
      </c>
      <c r="E46" t="s">
        <v>174</v>
      </c>
      <c r="F46" t="s">
        <v>103</v>
      </c>
      <c r="G46">
        <v>0</v>
      </c>
      <c r="H46" t="s">
        <v>175</v>
      </c>
      <c r="I46" t="s">
        <v>103</v>
      </c>
      <c r="J46">
        <v>11.372071999999999</v>
      </c>
      <c r="K46" t="s">
        <v>176</v>
      </c>
      <c r="L46" t="s">
        <v>103</v>
      </c>
      <c r="M46">
        <v>0</v>
      </c>
    </row>
    <row r="47" spans="1:13" x14ac:dyDescent="0.35">
      <c r="A47" t="s">
        <v>153</v>
      </c>
      <c r="B47" t="s">
        <v>150</v>
      </c>
      <c r="C47" t="s">
        <v>154</v>
      </c>
      <c r="D47" t="s">
        <v>140</v>
      </c>
      <c r="E47" t="s">
        <v>177</v>
      </c>
      <c r="F47" t="s">
        <v>103</v>
      </c>
      <c r="G47">
        <v>0.175288</v>
      </c>
      <c r="H47" t="s">
        <v>178</v>
      </c>
      <c r="I47" t="s">
        <v>103</v>
      </c>
      <c r="J47">
        <v>0</v>
      </c>
      <c r="K47" t="s">
        <v>179</v>
      </c>
      <c r="L47" t="s">
        <v>103</v>
      </c>
      <c r="M47">
        <v>-1.7951999999999999E-2</v>
      </c>
    </row>
    <row r="48" spans="1:13" x14ac:dyDescent="0.35">
      <c r="A48" t="s">
        <v>316</v>
      </c>
      <c r="B48" t="s">
        <v>150</v>
      </c>
      <c r="C48" t="s">
        <v>2</v>
      </c>
      <c r="D48" t="s">
        <v>140</v>
      </c>
      <c r="E48" t="s">
        <v>3</v>
      </c>
      <c r="F48" t="s">
        <v>103</v>
      </c>
      <c r="G48">
        <v>0</v>
      </c>
      <c r="H48" t="s">
        <v>319</v>
      </c>
      <c r="I48" t="s">
        <v>103</v>
      </c>
      <c r="J48">
        <v>-4.0509000000000003E-2</v>
      </c>
      <c r="K48" t="s">
        <v>320</v>
      </c>
      <c r="L48" t="s">
        <v>103</v>
      </c>
      <c r="M48">
        <v>0</v>
      </c>
    </row>
    <row r="49" spans="1:14" x14ac:dyDescent="0.35">
      <c r="A49" t="s">
        <v>157</v>
      </c>
      <c r="B49" t="s">
        <v>158</v>
      </c>
      <c r="C49" t="s">
        <v>159</v>
      </c>
      <c r="D49" t="s">
        <v>180</v>
      </c>
      <c r="E49" t="s">
        <v>103</v>
      </c>
      <c r="F49">
        <v>-0.36001499999999997</v>
      </c>
      <c r="G49" t="s">
        <v>181</v>
      </c>
      <c r="H49" t="s">
        <v>103</v>
      </c>
      <c r="I49">
        <v>0</v>
      </c>
      <c r="J49" t="s">
        <v>182</v>
      </c>
      <c r="K49" t="s">
        <v>103</v>
      </c>
      <c r="L49">
        <v>0.145039</v>
      </c>
    </row>
    <row r="50" spans="1:14" x14ac:dyDescent="0.35">
      <c r="A50" t="s">
        <v>153</v>
      </c>
      <c r="B50" t="s">
        <v>158</v>
      </c>
      <c r="C50" t="s">
        <v>4</v>
      </c>
      <c r="D50" t="s">
        <v>140</v>
      </c>
      <c r="E50" t="s">
        <v>183</v>
      </c>
      <c r="F50" t="s">
        <v>103</v>
      </c>
      <c r="G50">
        <v>0</v>
      </c>
      <c r="H50" t="s">
        <v>184</v>
      </c>
      <c r="I50" t="s">
        <v>103</v>
      </c>
      <c r="J50">
        <v>-11.765052000000001</v>
      </c>
      <c r="K50" t="s">
        <v>185</v>
      </c>
      <c r="L50" t="s">
        <v>103</v>
      </c>
      <c r="M50">
        <v>0</v>
      </c>
    </row>
    <row r="51" spans="1:14" x14ac:dyDescent="0.35">
      <c r="A51" t="s">
        <v>149</v>
      </c>
      <c r="B51" t="s">
        <v>158</v>
      </c>
      <c r="C51" t="s">
        <v>164</v>
      </c>
      <c r="D51" t="s">
        <v>186</v>
      </c>
      <c r="E51" t="s">
        <v>103</v>
      </c>
      <c r="F51">
        <v>-7.1076E-2</v>
      </c>
      <c r="G51" t="s">
        <v>187</v>
      </c>
      <c r="H51" t="s">
        <v>103</v>
      </c>
      <c r="I51">
        <v>0</v>
      </c>
      <c r="J51" t="s">
        <v>188</v>
      </c>
      <c r="K51" t="s">
        <v>103</v>
      </c>
      <c r="L51">
        <v>-1.0036E-2</v>
      </c>
    </row>
    <row r="53" spans="1:14" x14ac:dyDescent="0.35">
      <c r="A53" t="s">
        <v>189</v>
      </c>
      <c r="B53" t="s">
        <v>190</v>
      </c>
      <c r="C53" t="s">
        <v>191</v>
      </c>
      <c r="D53" t="s">
        <v>103</v>
      </c>
      <c r="E53">
        <v>3.4880719999999998</v>
      </c>
    </row>
    <row r="55" spans="1:14" x14ac:dyDescent="0.35">
      <c r="A55" t="s">
        <v>161</v>
      </c>
      <c r="B55" t="s">
        <v>188</v>
      </c>
      <c r="C55" t="s">
        <v>244</v>
      </c>
      <c r="D55" t="s">
        <v>182</v>
      </c>
      <c r="E55" t="s">
        <v>166</v>
      </c>
      <c r="F55" t="s">
        <v>103</v>
      </c>
      <c r="G55">
        <v>0.35875000000000001</v>
      </c>
      <c r="H55" t="s">
        <v>245</v>
      </c>
      <c r="I55" t="s">
        <v>246</v>
      </c>
      <c r="J55">
        <v>1</v>
      </c>
      <c r="K55" t="s">
        <v>247</v>
      </c>
      <c r="L55" t="s">
        <v>248</v>
      </c>
      <c r="M55" t="s">
        <v>249</v>
      </c>
      <c r="N55" t="s">
        <v>250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80"/>
  <sheetViews>
    <sheetView topLeftCell="A21" workbookViewId="0">
      <selection activeCell="J23" sqref="J23:J42"/>
    </sheetView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79</v>
      </c>
      <c r="B4" t="s">
        <v>103</v>
      </c>
      <c r="C4">
        <v>62.244999999999997</v>
      </c>
      <c r="D4" t="s">
        <v>80</v>
      </c>
      <c r="E4" t="s">
        <v>103</v>
      </c>
      <c r="F4">
        <v>3.7324999999999999</v>
      </c>
      <c r="G4" t="s">
        <v>81</v>
      </c>
      <c r="H4" t="s">
        <v>103</v>
      </c>
      <c r="I4">
        <v>18.288</v>
      </c>
    </row>
    <row r="5" spans="1:12" x14ac:dyDescent="0.35">
      <c r="A5" t="s">
        <v>106</v>
      </c>
      <c r="B5" t="s">
        <v>103</v>
      </c>
      <c r="C5">
        <v>0</v>
      </c>
      <c r="D5" t="s">
        <v>107</v>
      </c>
      <c r="E5" t="s">
        <v>103</v>
      </c>
      <c r="F5">
        <v>0</v>
      </c>
      <c r="G5" t="s">
        <v>108</v>
      </c>
      <c r="H5" t="s">
        <v>103</v>
      </c>
      <c r="I5">
        <v>0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10</v>
      </c>
      <c r="E8" t="s">
        <v>101</v>
      </c>
      <c r="F8" t="s">
        <v>205</v>
      </c>
      <c r="G8" t="s">
        <v>103</v>
      </c>
      <c r="H8">
        <v>20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321</v>
      </c>
      <c r="D9" t="s">
        <v>103</v>
      </c>
      <c r="E9">
        <v>31.122517999999999</v>
      </c>
      <c r="F9" t="s">
        <v>209</v>
      </c>
      <c r="G9" t="s">
        <v>85</v>
      </c>
      <c r="H9" t="s">
        <v>219</v>
      </c>
      <c r="I9" t="s">
        <v>103</v>
      </c>
      <c r="J9">
        <v>3.4036</v>
      </c>
    </row>
    <row r="11" spans="1:12" x14ac:dyDescent="0.35">
      <c r="A11" t="s">
        <v>99</v>
      </c>
      <c r="B11" t="s">
        <v>197</v>
      </c>
      <c r="C11" t="s">
        <v>198</v>
      </c>
      <c r="D11" t="s">
        <v>199</v>
      </c>
      <c r="E11" t="s">
        <v>200</v>
      </c>
      <c r="F11" t="s">
        <v>81</v>
      </c>
      <c r="G11" t="s">
        <v>201</v>
      </c>
      <c r="H11" t="s">
        <v>202</v>
      </c>
      <c r="I11" t="s">
        <v>203</v>
      </c>
      <c r="J11" t="s">
        <v>108</v>
      </c>
    </row>
    <row r="12" spans="1:12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3" spans="1:12" x14ac:dyDescent="0.35">
      <c r="A13" t="s">
        <v>210</v>
      </c>
      <c r="B13" t="s">
        <v>103</v>
      </c>
      <c r="C13">
        <v>0.27734999999999999</v>
      </c>
      <c r="D13" t="s">
        <v>211</v>
      </c>
      <c r="E13" t="s">
        <v>103</v>
      </c>
      <c r="F13">
        <v>-5.8180000000000003E-2</v>
      </c>
    </row>
    <row r="14" spans="1:12" x14ac:dyDescent="0.35">
      <c r="A14" t="s">
        <v>212</v>
      </c>
      <c r="B14" t="s">
        <v>103</v>
      </c>
      <c r="C14">
        <v>1.643E-2</v>
      </c>
      <c r="D14" t="s">
        <v>213</v>
      </c>
      <c r="E14" t="s">
        <v>103</v>
      </c>
      <c r="F14">
        <v>-0.27267000000000002</v>
      </c>
    </row>
    <row r="15" spans="1:12" x14ac:dyDescent="0.35">
      <c r="A15" t="s">
        <v>214</v>
      </c>
      <c r="B15" t="s">
        <v>103</v>
      </c>
      <c r="C15">
        <v>1.5990000000000001E-2</v>
      </c>
      <c r="D15" t="s">
        <v>215</v>
      </c>
      <c r="E15" t="s">
        <v>103</v>
      </c>
      <c r="F15">
        <v>-8.1399999999999997E-3</v>
      </c>
    </row>
    <row r="16" spans="1:12" x14ac:dyDescent="0.35">
      <c r="A16" t="s">
        <v>216</v>
      </c>
      <c r="B16" t="s">
        <v>103</v>
      </c>
      <c r="C16">
        <v>9.9799999999999993E-3</v>
      </c>
      <c r="D16" t="s">
        <v>217</v>
      </c>
      <c r="E16" t="s">
        <v>103</v>
      </c>
      <c r="F16">
        <v>6.0099999999999997E-3</v>
      </c>
    </row>
    <row r="18" spans="1:15" x14ac:dyDescent="0.35">
      <c r="A18" t="s">
        <v>99</v>
      </c>
      <c r="B18" t="s">
        <v>197</v>
      </c>
      <c r="C18" t="s">
        <v>198</v>
      </c>
      <c r="D18" t="s">
        <v>218</v>
      </c>
      <c r="E18" t="s">
        <v>219</v>
      </c>
    </row>
    <row r="19" spans="1:15" x14ac:dyDescent="0.35">
      <c r="A19" t="s">
        <v>210</v>
      </c>
      <c r="B19" t="s">
        <v>103</v>
      </c>
      <c r="C19">
        <v>0.55469999999999997</v>
      </c>
      <c r="D19" t="s">
        <v>214</v>
      </c>
      <c r="E19" t="s">
        <v>103</v>
      </c>
      <c r="F19">
        <v>3.1969999999999998E-2</v>
      </c>
    </row>
    <row r="21" spans="1:15" x14ac:dyDescent="0.35">
      <c r="A21" t="s">
        <v>194</v>
      </c>
      <c r="B21" t="s">
        <v>99</v>
      </c>
      <c r="C21" t="s">
        <v>197</v>
      </c>
      <c r="D21" t="s">
        <v>198</v>
      </c>
      <c r="E21" t="s">
        <v>194</v>
      </c>
      <c r="F21" t="s">
        <v>220</v>
      </c>
      <c r="G21" t="s">
        <v>86</v>
      </c>
    </row>
    <row r="22" spans="1:15" x14ac:dyDescent="0.35">
      <c r="A22" t="s">
        <v>221</v>
      </c>
      <c r="B22" t="s">
        <v>82</v>
      </c>
      <c r="C22" t="s">
        <v>83</v>
      </c>
      <c r="D22" t="s">
        <v>84</v>
      </c>
      <c r="E22" t="s">
        <v>86</v>
      </c>
      <c r="F22" t="s">
        <v>222</v>
      </c>
      <c r="G22" t="s">
        <v>322</v>
      </c>
      <c r="H22" t="s">
        <v>224</v>
      </c>
      <c r="I22" t="s">
        <v>225</v>
      </c>
      <c r="J22" t="s">
        <v>223</v>
      </c>
      <c r="K22" t="s">
        <v>226</v>
      </c>
      <c r="L22" t="s">
        <v>227</v>
      </c>
      <c r="M22" t="s">
        <v>228</v>
      </c>
      <c r="N22" t="s">
        <v>229</v>
      </c>
      <c r="O22" t="s">
        <v>230</v>
      </c>
    </row>
    <row r="23" spans="1:15" x14ac:dyDescent="0.35">
      <c r="A23">
        <v>1</v>
      </c>
      <c r="B23">
        <v>9.1999999999999998E-3</v>
      </c>
      <c r="C23">
        <v>1.41E-2</v>
      </c>
      <c r="D23">
        <v>0</v>
      </c>
      <c r="E23">
        <v>5.2306999999999997</v>
      </c>
      <c r="F23">
        <v>0.2944</v>
      </c>
      <c r="G23">
        <v>2.4234</v>
      </c>
      <c r="H23">
        <v>4.8599999999999997E-2</v>
      </c>
      <c r="I23">
        <v>0.57540000000000002</v>
      </c>
      <c r="J23">
        <v>0.44219999999999998</v>
      </c>
      <c r="K23">
        <v>0.2016</v>
      </c>
      <c r="L23">
        <v>9.9000000000000008E-3</v>
      </c>
      <c r="M23">
        <v>-5.11E-2</v>
      </c>
      <c r="N23">
        <v>-0.1399</v>
      </c>
      <c r="O23">
        <v>0.36599999999999999</v>
      </c>
    </row>
    <row r="24" spans="1:15" x14ac:dyDescent="0.35">
      <c r="A24">
        <v>2</v>
      </c>
      <c r="B24">
        <v>8.2699999999999996E-2</v>
      </c>
      <c r="C24">
        <v>0.1263</v>
      </c>
      <c r="D24">
        <v>0</v>
      </c>
      <c r="E24">
        <v>5.1856999999999998</v>
      </c>
      <c r="F24">
        <v>0.86850000000000005</v>
      </c>
      <c r="G24">
        <v>2.4272999999999998</v>
      </c>
      <c r="H24">
        <v>6.1199999999999997E-2</v>
      </c>
      <c r="I24">
        <v>0.60589999999999999</v>
      </c>
      <c r="J24">
        <v>0.46560000000000001</v>
      </c>
      <c r="K24">
        <v>5.9299999999999999E-2</v>
      </c>
      <c r="L24">
        <v>1.03E-2</v>
      </c>
      <c r="M24">
        <v>-5.0200000000000002E-2</v>
      </c>
      <c r="N24">
        <v>-0.14019999999999999</v>
      </c>
      <c r="O24">
        <v>0.35799999999999998</v>
      </c>
    </row>
    <row r="25" spans="1:15" x14ac:dyDescent="0.35">
      <c r="A25">
        <v>3</v>
      </c>
      <c r="B25">
        <v>0.2278</v>
      </c>
      <c r="C25">
        <v>0.34799999999999998</v>
      </c>
      <c r="D25">
        <v>0</v>
      </c>
      <c r="E25">
        <v>5.0968</v>
      </c>
      <c r="F25">
        <v>1.3993</v>
      </c>
      <c r="G25">
        <v>2.4331999999999998</v>
      </c>
      <c r="H25">
        <v>6.7900000000000002E-2</v>
      </c>
      <c r="I25">
        <v>0.61960000000000004</v>
      </c>
      <c r="J25">
        <v>0.47620000000000001</v>
      </c>
      <c r="K25">
        <v>5.0799999999999998E-2</v>
      </c>
      <c r="L25">
        <v>1.0500000000000001E-2</v>
      </c>
      <c r="M25">
        <v>-4.7199999999999999E-2</v>
      </c>
      <c r="N25">
        <v>-0.1396</v>
      </c>
      <c r="O25">
        <v>0.34899999999999998</v>
      </c>
    </row>
    <row r="26" spans="1:15" x14ac:dyDescent="0.35">
      <c r="A26">
        <v>4</v>
      </c>
      <c r="B26">
        <v>0.441</v>
      </c>
      <c r="C26">
        <v>0.67369999999999997</v>
      </c>
      <c r="D26">
        <v>0</v>
      </c>
      <c r="E26">
        <v>4.9661999999999997</v>
      </c>
      <c r="F26">
        <v>1.8615999999999999</v>
      </c>
      <c r="G26">
        <v>2.4361999999999999</v>
      </c>
      <c r="H26">
        <v>7.1400000000000005E-2</v>
      </c>
      <c r="I26">
        <v>0.63770000000000004</v>
      </c>
      <c r="J26">
        <v>0.49009999999999998</v>
      </c>
      <c r="K26">
        <v>4.6300000000000001E-2</v>
      </c>
      <c r="L26">
        <v>1.0699999999999999E-2</v>
      </c>
      <c r="M26">
        <v>-4.3400000000000001E-2</v>
      </c>
      <c r="N26">
        <v>-0.13919999999999999</v>
      </c>
      <c r="O26">
        <v>0.33900000000000002</v>
      </c>
    </row>
    <row r="27" spans="1:15" x14ac:dyDescent="0.35">
      <c r="A27">
        <v>5</v>
      </c>
      <c r="B27">
        <v>0.71699999999999997</v>
      </c>
      <c r="C27">
        <v>1.0953999999999999</v>
      </c>
      <c r="D27">
        <v>0</v>
      </c>
      <c r="E27">
        <v>4.7972000000000001</v>
      </c>
      <c r="F27">
        <v>2.2351999999999999</v>
      </c>
      <c r="G27">
        <v>2.4304999999999999</v>
      </c>
      <c r="H27">
        <v>7.2900000000000006E-2</v>
      </c>
      <c r="I27">
        <v>0.65949999999999998</v>
      </c>
      <c r="J27">
        <v>0.50680000000000003</v>
      </c>
      <c r="K27">
        <v>4.2500000000000003E-2</v>
      </c>
      <c r="L27">
        <v>1.0999999999999999E-2</v>
      </c>
      <c r="M27">
        <v>-3.9899999999999998E-2</v>
      </c>
      <c r="N27">
        <v>-0.13969999999999999</v>
      </c>
      <c r="O27">
        <v>0.32900000000000001</v>
      </c>
    </row>
    <row r="28" spans="1:15" x14ac:dyDescent="0.35">
      <c r="A28">
        <v>6</v>
      </c>
      <c r="B28">
        <v>1.0489999999999999</v>
      </c>
      <c r="C28">
        <v>1.6027</v>
      </c>
      <c r="D28">
        <v>0</v>
      </c>
      <c r="E28">
        <v>4.5937999999999999</v>
      </c>
      <c r="F28">
        <v>2.5061</v>
      </c>
      <c r="G28">
        <v>2.4106000000000001</v>
      </c>
      <c r="H28">
        <v>7.3099999999999998E-2</v>
      </c>
      <c r="I28">
        <v>0.68379999999999996</v>
      </c>
      <c r="J28">
        <v>0.52549999999999997</v>
      </c>
      <c r="K28">
        <v>3.9300000000000002E-2</v>
      </c>
      <c r="L28">
        <v>1.1299999999999999E-2</v>
      </c>
      <c r="M28">
        <v>-3.6999999999999998E-2</v>
      </c>
      <c r="N28">
        <v>-0.1411</v>
      </c>
      <c r="O28">
        <v>0.32</v>
      </c>
    </row>
    <row r="29" spans="1:15" x14ac:dyDescent="0.35">
      <c r="A29">
        <v>7</v>
      </c>
      <c r="B29">
        <v>1.4289000000000001</v>
      </c>
      <c r="C29">
        <v>2.1831</v>
      </c>
      <c r="D29">
        <v>0</v>
      </c>
      <c r="E29">
        <v>4.3612000000000002</v>
      </c>
      <c r="F29">
        <v>2.6678000000000002</v>
      </c>
      <c r="G29">
        <v>2.3717999999999999</v>
      </c>
      <c r="H29">
        <v>7.2099999999999997E-2</v>
      </c>
      <c r="I29">
        <v>0.70940000000000003</v>
      </c>
      <c r="J29">
        <v>0.54520000000000002</v>
      </c>
      <c r="K29">
        <v>3.6400000000000002E-2</v>
      </c>
      <c r="L29">
        <v>1.17E-2</v>
      </c>
      <c r="M29">
        <v>-3.49E-2</v>
      </c>
      <c r="N29">
        <v>-0.14330000000000001</v>
      </c>
      <c r="O29">
        <v>0.314</v>
      </c>
    </row>
    <row r="30" spans="1:15" x14ac:dyDescent="0.35">
      <c r="A30">
        <v>8</v>
      </c>
      <c r="B30">
        <v>1.8472999999999999</v>
      </c>
      <c r="C30">
        <v>2.8224</v>
      </c>
      <c r="D30">
        <v>0</v>
      </c>
      <c r="E30">
        <v>4.1048999999999998</v>
      </c>
      <c r="F30">
        <v>2.7208000000000001</v>
      </c>
      <c r="G30">
        <v>2.3109999999999999</v>
      </c>
      <c r="H30">
        <v>7.0199999999999999E-2</v>
      </c>
      <c r="I30">
        <v>0.73509999999999998</v>
      </c>
      <c r="J30">
        <v>0.56489999999999996</v>
      </c>
      <c r="K30">
        <v>3.3700000000000001E-2</v>
      </c>
      <c r="L30">
        <v>1.21E-2</v>
      </c>
      <c r="M30">
        <v>-3.3399999999999999E-2</v>
      </c>
      <c r="N30">
        <v>-0.14599999999999999</v>
      </c>
      <c r="O30">
        <v>0.309</v>
      </c>
    </row>
    <row r="31" spans="1:15" x14ac:dyDescent="0.35">
      <c r="A31">
        <v>9</v>
      </c>
      <c r="B31">
        <v>2.2938999999999998</v>
      </c>
      <c r="C31">
        <v>3.5047000000000001</v>
      </c>
      <c r="D31">
        <v>0</v>
      </c>
      <c r="E31">
        <v>3.8313999999999999</v>
      </c>
      <c r="F31">
        <v>2.6728000000000001</v>
      </c>
      <c r="G31">
        <v>2.2265000000000001</v>
      </c>
      <c r="H31">
        <v>6.7699999999999996E-2</v>
      </c>
      <c r="I31">
        <v>0.75939999999999996</v>
      </c>
      <c r="J31">
        <v>0.58360000000000001</v>
      </c>
      <c r="K31">
        <v>3.09E-2</v>
      </c>
      <c r="L31">
        <v>1.2500000000000001E-2</v>
      </c>
      <c r="M31">
        <v>-3.2300000000000002E-2</v>
      </c>
      <c r="N31">
        <v>-0.1489</v>
      </c>
      <c r="O31">
        <v>0.30499999999999999</v>
      </c>
    </row>
    <row r="32" spans="1:15" x14ac:dyDescent="0.35">
      <c r="A32">
        <v>10</v>
      </c>
      <c r="B32">
        <v>2.7576999999999998</v>
      </c>
      <c r="C32">
        <v>4.2133000000000003</v>
      </c>
      <c r="D32">
        <v>0</v>
      </c>
      <c r="E32">
        <v>3.5474000000000001</v>
      </c>
      <c r="F32">
        <v>2.5371999999999999</v>
      </c>
      <c r="G32">
        <v>2.1187</v>
      </c>
      <c r="H32">
        <v>6.4799999999999996E-2</v>
      </c>
      <c r="I32">
        <v>0.78110000000000002</v>
      </c>
      <c r="J32">
        <v>0.60029999999999994</v>
      </c>
      <c r="K32">
        <v>2.81E-2</v>
      </c>
      <c r="L32">
        <v>1.2800000000000001E-2</v>
      </c>
      <c r="M32">
        <v>-3.15E-2</v>
      </c>
      <c r="N32">
        <v>-0.15160000000000001</v>
      </c>
      <c r="O32">
        <v>0.30199999999999999</v>
      </c>
    </row>
    <row r="33" spans="1:15" x14ac:dyDescent="0.35">
      <c r="A33">
        <v>11</v>
      </c>
      <c r="B33">
        <v>3.2273000000000001</v>
      </c>
      <c r="C33">
        <v>4.9306999999999999</v>
      </c>
      <c r="D33">
        <v>0</v>
      </c>
      <c r="E33">
        <v>3.2597999999999998</v>
      </c>
      <c r="F33">
        <v>2.3315000000000001</v>
      </c>
      <c r="G33">
        <v>1.9893000000000001</v>
      </c>
      <c r="H33">
        <v>6.1800000000000001E-2</v>
      </c>
      <c r="I33">
        <v>0.79869999999999997</v>
      </c>
      <c r="J33">
        <v>0.6139</v>
      </c>
      <c r="K33">
        <v>2.5100000000000001E-2</v>
      </c>
      <c r="L33">
        <v>1.3100000000000001E-2</v>
      </c>
      <c r="M33">
        <v>-3.0800000000000001E-2</v>
      </c>
      <c r="N33">
        <v>-0.15379999999999999</v>
      </c>
      <c r="O33">
        <v>0.3</v>
      </c>
    </row>
    <row r="34" spans="1:15" x14ac:dyDescent="0.35">
      <c r="A34">
        <v>12</v>
      </c>
      <c r="B34">
        <v>3.6911</v>
      </c>
      <c r="C34">
        <v>5.6393000000000004</v>
      </c>
      <c r="D34">
        <v>0</v>
      </c>
      <c r="E34">
        <v>2.9758</v>
      </c>
      <c r="F34">
        <v>2.0758999999999999</v>
      </c>
      <c r="G34">
        <v>1.8411999999999999</v>
      </c>
      <c r="H34">
        <v>5.9200000000000003E-2</v>
      </c>
      <c r="I34">
        <v>0.81040000000000001</v>
      </c>
      <c r="J34">
        <v>0.62280000000000002</v>
      </c>
      <c r="K34">
        <v>2.1999999999999999E-2</v>
      </c>
      <c r="L34">
        <v>1.3299999999999999E-2</v>
      </c>
      <c r="M34">
        <v>-2.9899999999999999E-2</v>
      </c>
      <c r="N34">
        <v>-0.15479999999999999</v>
      </c>
      <c r="O34">
        <v>0.29799999999999999</v>
      </c>
    </row>
    <row r="35" spans="1:15" x14ac:dyDescent="0.35">
      <c r="A35">
        <v>13</v>
      </c>
      <c r="B35">
        <v>4.1376999999999997</v>
      </c>
      <c r="C35">
        <v>6.3216000000000001</v>
      </c>
      <c r="D35">
        <v>0</v>
      </c>
      <c r="E35">
        <v>2.7023000000000001</v>
      </c>
      <c r="F35">
        <v>1.7910999999999999</v>
      </c>
      <c r="G35">
        <v>1.6776</v>
      </c>
      <c r="H35">
        <v>5.74E-2</v>
      </c>
      <c r="I35">
        <v>0.81369999999999998</v>
      </c>
      <c r="J35">
        <v>0.62539999999999996</v>
      </c>
      <c r="K35">
        <v>1.89E-2</v>
      </c>
      <c r="L35">
        <v>1.35E-2</v>
      </c>
      <c r="M35">
        <v>-2.87E-2</v>
      </c>
      <c r="N35">
        <v>-0.1542</v>
      </c>
      <c r="O35">
        <v>0.29599999999999999</v>
      </c>
    </row>
    <row r="36" spans="1:15" x14ac:dyDescent="0.35">
      <c r="A36">
        <v>14</v>
      </c>
      <c r="B36">
        <v>4.5560999999999998</v>
      </c>
      <c r="C36">
        <v>6.9608999999999996</v>
      </c>
      <c r="D36">
        <v>0</v>
      </c>
      <c r="E36">
        <v>2.4460000000000002</v>
      </c>
      <c r="F36">
        <v>1.4963</v>
      </c>
      <c r="G36">
        <v>1.5016</v>
      </c>
      <c r="H36">
        <v>5.7000000000000002E-2</v>
      </c>
      <c r="I36">
        <v>0.80520000000000003</v>
      </c>
      <c r="J36">
        <v>0.61880000000000002</v>
      </c>
      <c r="K36">
        <v>1.55E-2</v>
      </c>
      <c r="L36">
        <v>1.3299999999999999E-2</v>
      </c>
      <c r="M36">
        <v>-2.6700000000000002E-2</v>
      </c>
      <c r="N36">
        <v>-0.15110000000000001</v>
      </c>
      <c r="O36">
        <v>0.29299999999999998</v>
      </c>
    </row>
    <row r="37" spans="1:15" x14ac:dyDescent="0.35">
      <c r="A37">
        <v>15</v>
      </c>
      <c r="B37">
        <v>4.9359999999999999</v>
      </c>
      <c r="C37">
        <v>7.5412999999999997</v>
      </c>
      <c r="D37">
        <v>0</v>
      </c>
      <c r="E37">
        <v>2.2134</v>
      </c>
      <c r="F37">
        <v>1.2075</v>
      </c>
      <c r="G37">
        <v>1.3146</v>
      </c>
      <c r="H37">
        <v>5.8700000000000002E-2</v>
      </c>
      <c r="I37">
        <v>0.77949999999999997</v>
      </c>
      <c r="J37">
        <v>0.59909999999999997</v>
      </c>
      <c r="K37">
        <v>1.21E-2</v>
      </c>
      <c r="L37">
        <v>1.29E-2</v>
      </c>
      <c r="M37">
        <v>-2.3400000000000001E-2</v>
      </c>
      <c r="N37">
        <v>-0.14419999999999999</v>
      </c>
      <c r="O37">
        <v>0.28899999999999998</v>
      </c>
    </row>
    <row r="38" spans="1:15" x14ac:dyDescent="0.35">
      <c r="A38">
        <v>16</v>
      </c>
      <c r="B38">
        <v>5.2679999999999998</v>
      </c>
      <c r="C38">
        <v>8.0486000000000004</v>
      </c>
      <c r="D38">
        <v>0</v>
      </c>
      <c r="E38">
        <v>2.0099999999999998</v>
      </c>
      <c r="F38">
        <v>0.9365</v>
      </c>
      <c r="G38">
        <v>1.1156999999999999</v>
      </c>
      <c r="H38">
        <v>6.3E-2</v>
      </c>
      <c r="I38">
        <v>0.72899999999999998</v>
      </c>
      <c r="J38">
        <v>0.56020000000000003</v>
      </c>
      <c r="K38">
        <v>8.8000000000000005E-3</v>
      </c>
      <c r="L38">
        <v>1.2200000000000001E-2</v>
      </c>
      <c r="M38">
        <v>-1.83E-2</v>
      </c>
      <c r="N38">
        <v>-0.13170000000000001</v>
      </c>
      <c r="O38">
        <v>0.28299999999999997</v>
      </c>
    </row>
    <row r="39" spans="1:15" x14ac:dyDescent="0.35">
      <c r="A39">
        <v>17</v>
      </c>
      <c r="B39">
        <v>5.5439999999999996</v>
      </c>
      <c r="C39">
        <v>8.4702999999999999</v>
      </c>
      <c r="D39">
        <v>0</v>
      </c>
      <c r="E39">
        <v>1.841</v>
      </c>
      <c r="F39">
        <v>0.69010000000000005</v>
      </c>
      <c r="G39">
        <v>0.90210000000000001</v>
      </c>
      <c r="H39">
        <v>6.9800000000000001E-2</v>
      </c>
      <c r="I39">
        <v>0.64390000000000003</v>
      </c>
      <c r="J39">
        <v>0.49490000000000001</v>
      </c>
      <c r="K39">
        <v>5.7999999999999996E-3</v>
      </c>
      <c r="L39">
        <v>1.12E-2</v>
      </c>
      <c r="M39">
        <v>-1.14E-2</v>
      </c>
      <c r="N39">
        <v>-0.1124</v>
      </c>
      <c r="O39">
        <v>0.27300000000000002</v>
      </c>
    </row>
    <row r="40" spans="1:15" x14ac:dyDescent="0.35">
      <c r="A40">
        <v>18</v>
      </c>
      <c r="B40">
        <v>5.7572000000000001</v>
      </c>
      <c r="C40">
        <v>8.7959999999999994</v>
      </c>
      <c r="D40">
        <v>0</v>
      </c>
      <c r="E40">
        <v>1.7103999999999999</v>
      </c>
      <c r="F40">
        <v>0.46960000000000002</v>
      </c>
      <c r="G40">
        <v>0.67110000000000003</v>
      </c>
      <c r="H40">
        <v>8.0199999999999994E-2</v>
      </c>
      <c r="I40">
        <v>0.51600000000000001</v>
      </c>
      <c r="J40">
        <v>0.39660000000000001</v>
      </c>
      <c r="K40">
        <v>3.3999999999999998E-3</v>
      </c>
      <c r="L40">
        <v>9.9000000000000008E-3</v>
      </c>
      <c r="M40">
        <v>-4.7999999999999996E-3</v>
      </c>
      <c r="N40">
        <v>-8.6300000000000002E-2</v>
      </c>
      <c r="O40">
        <v>0.26200000000000001</v>
      </c>
    </row>
    <row r="41" spans="1:15" x14ac:dyDescent="0.35">
      <c r="A41">
        <v>19</v>
      </c>
      <c r="B41">
        <v>5.9023000000000003</v>
      </c>
      <c r="C41">
        <v>9.0176999999999996</v>
      </c>
      <c r="D41">
        <v>0</v>
      </c>
      <c r="E41">
        <v>1.6214999999999999</v>
      </c>
      <c r="F41">
        <v>0.27160000000000001</v>
      </c>
      <c r="G41">
        <v>0.42059999999999997</v>
      </c>
      <c r="H41">
        <v>9.8699999999999996E-2</v>
      </c>
      <c r="I41">
        <v>0.34139999999999998</v>
      </c>
      <c r="J41">
        <v>0.26240000000000002</v>
      </c>
      <c r="K41">
        <v>2.5000000000000001E-3</v>
      </c>
      <c r="L41">
        <v>8.6999999999999994E-3</v>
      </c>
      <c r="M41">
        <v>-1.6000000000000001E-3</v>
      </c>
      <c r="N41">
        <v>-5.5800000000000002E-2</v>
      </c>
      <c r="O41">
        <v>0.25600000000000001</v>
      </c>
    </row>
    <row r="42" spans="1:15" x14ac:dyDescent="0.35">
      <c r="A42">
        <v>20</v>
      </c>
      <c r="B42">
        <v>5.9757999999999996</v>
      </c>
      <c r="C42">
        <v>9.1298999999999992</v>
      </c>
      <c r="D42">
        <v>0</v>
      </c>
      <c r="E42">
        <v>1.5765</v>
      </c>
      <c r="F42">
        <v>8.8700000000000001E-2</v>
      </c>
      <c r="G42">
        <v>0.1464</v>
      </c>
      <c r="H42">
        <v>0.1308</v>
      </c>
      <c r="I42">
        <v>0.1226</v>
      </c>
      <c r="J42">
        <v>9.4200000000000006E-2</v>
      </c>
      <c r="K42">
        <v>3.3999999999999998E-3</v>
      </c>
      <c r="L42">
        <v>7.7999999999999996E-3</v>
      </c>
      <c r="M42">
        <v>-1.1999999999999999E-3</v>
      </c>
      <c r="N42">
        <v>-2.06E-2</v>
      </c>
      <c r="O42">
        <v>0.26300000000000001</v>
      </c>
    </row>
    <row r="44" spans="1:15" x14ac:dyDescent="0.35">
      <c r="A44" t="s">
        <v>192</v>
      </c>
      <c r="B44" t="s">
        <v>101</v>
      </c>
      <c r="C44">
        <v>2</v>
      </c>
      <c r="D44" t="s">
        <v>76</v>
      </c>
      <c r="E44" t="s">
        <v>231</v>
      </c>
    </row>
    <row r="45" spans="1:15" x14ac:dyDescent="0.35">
      <c r="A45" t="s">
        <v>101</v>
      </c>
      <c r="B45" t="s">
        <v>204</v>
      </c>
      <c r="C45" t="s">
        <v>103</v>
      </c>
      <c r="D45">
        <v>10</v>
      </c>
      <c r="E45" t="s">
        <v>101</v>
      </c>
      <c r="F45" t="s">
        <v>205</v>
      </c>
      <c r="G45" t="s">
        <v>103</v>
      </c>
      <c r="H45">
        <v>20</v>
      </c>
      <c r="I45" t="s">
        <v>206</v>
      </c>
      <c r="J45" t="s">
        <v>207</v>
      </c>
      <c r="K45" t="s">
        <v>103</v>
      </c>
      <c r="L45">
        <v>21</v>
      </c>
    </row>
    <row r="46" spans="1:15" x14ac:dyDescent="0.35">
      <c r="A46" t="s">
        <v>192</v>
      </c>
      <c r="B46" t="s">
        <v>208</v>
      </c>
      <c r="C46" t="s">
        <v>321</v>
      </c>
      <c r="D46" t="s">
        <v>103</v>
      </c>
      <c r="E46">
        <v>31.122517999999999</v>
      </c>
      <c r="F46" t="s">
        <v>209</v>
      </c>
      <c r="G46" t="s">
        <v>85</v>
      </c>
      <c r="H46" t="s">
        <v>219</v>
      </c>
      <c r="I46" t="s">
        <v>103</v>
      </c>
      <c r="J46">
        <v>3.4036</v>
      </c>
    </row>
    <row r="48" spans="1:15" x14ac:dyDescent="0.35">
      <c r="A48" t="s">
        <v>99</v>
      </c>
      <c r="B48" t="s">
        <v>197</v>
      </c>
      <c r="C48" t="s">
        <v>198</v>
      </c>
      <c r="D48" t="s">
        <v>199</v>
      </c>
      <c r="E48" t="s">
        <v>200</v>
      </c>
      <c r="F48" t="s">
        <v>81</v>
      </c>
      <c r="G48" t="s">
        <v>201</v>
      </c>
      <c r="H48" t="s">
        <v>202</v>
      </c>
      <c r="I48" t="s">
        <v>203</v>
      </c>
      <c r="J48" t="s">
        <v>108</v>
      </c>
    </row>
    <row r="49" spans="1:15" x14ac:dyDescent="0.35">
      <c r="A49" t="s">
        <v>109</v>
      </c>
      <c r="B49" t="s">
        <v>110</v>
      </c>
      <c r="C49" t="s">
        <v>111</v>
      </c>
      <c r="D49" t="s">
        <v>65</v>
      </c>
      <c r="E49" t="s">
        <v>112</v>
      </c>
      <c r="F49" t="s">
        <v>113</v>
      </c>
      <c r="G49" t="s">
        <v>114</v>
      </c>
    </row>
    <row r="50" spans="1:15" x14ac:dyDescent="0.35">
      <c r="A50" t="s">
        <v>210</v>
      </c>
      <c r="B50" t="s">
        <v>103</v>
      </c>
      <c r="C50">
        <v>0.27734999999999999</v>
      </c>
      <c r="D50" t="s">
        <v>211</v>
      </c>
      <c r="E50" t="s">
        <v>103</v>
      </c>
      <c r="F50">
        <v>5.8180000000000003E-2</v>
      </c>
    </row>
    <row r="51" spans="1:15" x14ac:dyDescent="0.35">
      <c r="A51" t="s">
        <v>212</v>
      </c>
      <c r="B51" t="s">
        <v>103</v>
      </c>
      <c r="C51">
        <v>-1.643E-2</v>
      </c>
      <c r="D51" t="s">
        <v>213</v>
      </c>
      <c r="E51" t="s">
        <v>103</v>
      </c>
      <c r="F51">
        <v>-0.27267000000000002</v>
      </c>
    </row>
    <row r="52" spans="1:15" x14ac:dyDescent="0.35">
      <c r="A52" t="s">
        <v>214</v>
      </c>
      <c r="B52" t="s">
        <v>103</v>
      </c>
      <c r="C52">
        <v>1.5990000000000001E-2</v>
      </c>
      <c r="D52" t="s">
        <v>215</v>
      </c>
      <c r="E52" t="s">
        <v>103</v>
      </c>
      <c r="F52">
        <v>8.1399999999999997E-3</v>
      </c>
    </row>
    <row r="53" spans="1:15" x14ac:dyDescent="0.35">
      <c r="A53" t="s">
        <v>216</v>
      </c>
      <c r="B53" t="s">
        <v>103</v>
      </c>
      <c r="C53">
        <v>9.9799999999999993E-3</v>
      </c>
      <c r="D53" t="s">
        <v>217</v>
      </c>
      <c r="E53" t="s">
        <v>103</v>
      </c>
      <c r="F53">
        <v>6.0099999999999997E-3</v>
      </c>
    </row>
    <row r="55" spans="1:15" x14ac:dyDescent="0.35">
      <c r="A55" t="s">
        <v>99</v>
      </c>
      <c r="B55" t="s">
        <v>197</v>
      </c>
      <c r="C55" t="s">
        <v>198</v>
      </c>
      <c r="D55" t="s">
        <v>218</v>
      </c>
      <c r="E55" t="s">
        <v>219</v>
      </c>
    </row>
    <row r="56" spans="1:15" x14ac:dyDescent="0.35">
      <c r="A56" t="s">
        <v>210</v>
      </c>
      <c r="B56" t="s">
        <v>103</v>
      </c>
      <c r="C56">
        <v>0.55469999999999997</v>
      </c>
      <c r="D56" t="s">
        <v>214</v>
      </c>
      <c r="E56" t="s">
        <v>103</v>
      </c>
      <c r="F56">
        <v>3.1969999999999998E-2</v>
      </c>
    </row>
    <row r="58" spans="1:15" x14ac:dyDescent="0.35">
      <c r="A58" t="s">
        <v>194</v>
      </c>
      <c r="B58" t="s">
        <v>99</v>
      </c>
      <c r="C58" t="s">
        <v>197</v>
      </c>
      <c r="D58" t="s">
        <v>198</v>
      </c>
      <c r="E58" t="s">
        <v>194</v>
      </c>
      <c r="F58" t="s">
        <v>220</v>
      </c>
      <c r="G58" t="s">
        <v>86</v>
      </c>
    </row>
    <row r="59" spans="1:15" x14ac:dyDescent="0.35">
      <c r="A59" t="s">
        <v>221</v>
      </c>
      <c r="B59" t="s">
        <v>82</v>
      </c>
      <c r="C59" t="s">
        <v>83</v>
      </c>
      <c r="D59" t="s">
        <v>84</v>
      </c>
      <c r="E59" t="s">
        <v>86</v>
      </c>
      <c r="F59" t="s">
        <v>222</v>
      </c>
      <c r="G59" t="s">
        <v>322</v>
      </c>
      <c r="H59" t="s">
        <v>224</v>
      </c>
      <c r="I59" t="s">
        <v>225</v>
      </c>
      <c r="J59" t="s">
        <v>223</v>
      </c>
      <c r="K59" t="s">
        <v>226</v>
      </c>
      <c r="L59" t="s">
        <v>227</v>
      </c>
      <c r="M59" t="s">
        <v>228</v>
      </c>
      <c r="N59" t="s">
        <v>229</v>
      </c>
      <c r="O59" t="s">
        <v>230</v>
      </c>
    </row>
    <row r="60" spans="1:15" x14ac:dyDescent="0.35">
      <c r="A60">
        <v>21</v>
      </c>
      <c r="B60">
        <v>9.1999999999999998E-3</v>
      </c>
      <c r="C60">
        <v>-1.41E-2</v>
      </c>
      <c r="D60">
        <v>0</v>
      </c>
      <c r="E60">
        <v>5.2306999999999997</v>
      </c>
      <c r="F60">
        <v>0.2944</v>
      </c>
      <c r="G60">
        <v>2.4234</v>
      </c>
      <c r="H60">
        <v>4.8599999999999997E-2</v>
      </c>
      <c r="I60">
        <v>0.57540000000000002</v>
      </c>
      <c r="J60">
        <v>0.44219999999999998</v>
      </c>
      <c r="K60">
        <v>0.2016</v>
      </c>
      <c r="L60">
        <v>9.9000000000000008E-3</v>
      </c>
      <c r="M60">
        <v>-5.11E-2</v>
      </c>
      <c r="N60">
        <v>0.1399</v>
      </c>
      <c r="O60">
        <v>0.36599999999999999</v>
      </c>
    </row>
    <row r="61" spans="1:15" x14ac:dyDescent="0.35">
      <c r="A61">
        <v>22</v>
      </c>
      <c r="B61">
        <v>8.2699999999999996E-2</v>
      </c>
      <c r="C61">
        <v>-0.1263</v>
      </c>
      <c r="D61">
        <v>0</v>
      </c>
      <c r="E61">
        <v>5.1856999999999998</v>
      </c>
      <c r="F61">
        <v>0.86850000000000005</v>
      </c>
      <c r="G61">
        <v>2.4272999999999998</v>
      </c>
      <c r="H61">
        <v>6.1199999999999997E-2</v>
      </c>
      <c r="I61">
        <v>0.60589999999999999</v>
      </c>
      <c r="J61">
        <v>0.46560000000000001</v>
      </c>
      <c r="K61">
        <v>5.9299999999999999E-2</v>
      </c>
      <c r="L61">
        <v>1.03E-2</v>
      </c>
      <c r="M61">
        <v>-5.0200000000000002E-2</v>
      </c>
      <c r="N61">
        <v>0.14019999999999999</v>
      </c>
      <c r="O61">
        <v>0.35799999999999998</v>
      </c>
    </row>
    <row r="62" spans="1:15" x14ac:dyDescent="0.35">
      <c r="A62">
        <v>23</v>
      </c>
      <c r="B62">
        <v>0.2278</v>
      </c>
      <c r="C62">
        <v>-0.34799999999999998</v>
      </c>
      <c r="D62">
        <v>0</v>
      </c>
      <c r="E62">
        <v>5.0968</v>
      </c>
      <c r="F62">
        <v>1.3993</v>
      </c>
      <c r="G62">
        <v>2.4331999999999998</v>
      </c>
      <c r="H62">
        <v>6.7900000000000002E-2</v>
      </c>
      <c r="I62">
        <v>0.61960000000000004</v>
      </c>
      <c r="J62">
        <v>0.47620000000000001</v>
      </c>
      <c r="K62">
        <v>5.0799999999999998E-2</v>
      </c>
      <c r="L62">
        <v>1.0500000000000001E-2</v>
      </c>
      <c r="M62">
        <v>-4.7199999999999999E-2</v>
      </c>
      <c r="N62">
        <v>0.1396</v>
      </c>
      <c r="O62">
        <v>0.34899999999999998</v>
      </c>
    </row>
    <row r="63" spans="1:15" x14ac:dyDescent="0.35">
      <c r="A63">
        <v>24</v>
      </c>
      <c r="B63">
        <v>0.441</v>
      </c>
      <c r="C63">
        <v>-0.67369999999999997</v>
      </c>
      <c r="D63">
        <v>0</v>
      </c>
      <c r="E63">
        <v>4.9661999999999997</v>
      </c>
      <c r="F63">
        <v>1.8615999999999999</v>
      </c>
      <c r="G63">
        <v>2.4361999999999999</v>
      </c>
      <c r="H63">
        <v>7.1400000000000005E-2</v>
      </c>
      <c r="I63">
        <v>0.63770000000000004</v>
      </c>
      <c r="J63">
        <v>0.49009999999999998</v>
      </c>
      <c r="K63">
        <v>4.6300000000000001E-2</v>
      </c>
      <c r="L63">
        <v>1.0699999999999999E-2</v>
      </c>
      <c r="M63">
        <v>-4.3400000000000001E-2</v>
      </c>
      <c r="N63">
        <v>0.13919999999999999</v>
      </c>
      <c r="O63">
        <v>0.33900000000000002</v>
      </c>
    </row>
    <row r="64" spans="1:15" x14ac:dyDescent="0.35">
      <c r="A64">
        <v>25</v>
      </c>
      <c r="B64">
        <v>0.71699999999999997</v>
      </c>
      <c r="C64">
        <v>-1.0953999999999999</v>
      </c>
      <c r="D64">
        <v>0</v>
      </c>
      <c r="E64">
        <v>4.7972000000000001</v>
      </c>
      <c r="F64">
        <v>2.2351999999999999</v>
      </c>
      <c r="G64">
        <v>2.4304999999999999</v>
      </c>
      <c r="H64">
        <v>7.2900000000000006E-2</v>
      </c>
      <c r="I64">
        <v>0.65949999999999998</v>
      </c>
      <c r="J64">
        <v>0.50680000000000003</v>
      </c>
      <c r="K64">
        <v>4.2500000000000003E-2</v>
      </c>
      <c r="L64">
        <v>1.0999999999999999E-2</v>
      </c>
      <c r="M64">
        <v>-3.9899999999999998E-2</v>
      </c>
      <c r="N64">
        <v>0.13969999999999999</v>
      </c>
      <c r="O64">
        <v>0.32900000000000001</v>
      </c>
    </row>
    <row r="65" spans="1:15" x14ac:dyDescent="0.35">
      <c r="A65">
        <v>26</v>
      </c>
      <c r="B65">
        <v>1.0489999999999999</v>
      </c>
      <c r="C65">
        <v>-1.6027</v>
      </c>
      <c r="D65">
        <v>0</v>
      </c>
      <c r="E65">
        <v>4.5937999999999999</v>
      </c>
      <c r="F65">
        <v>2.5061</v>
      </c>
      <c r="G65">
        <v>2.4106000000000001</v>
      </c>
      <c r="H65">
        <v>7.3099999999999998E-2</v>
      </c>
      <c r="I65">
        <v>0.68379999999999996</v>
      </c>
      <c r="J65">
        <v>0.52549999999999997</v>
      </c>
      <c r="K65">
        <v>3.9300000000000002E-2</v>
      </c>
      <c r="L65">
        <v>1.1299999999999999E-2</v>
      </c>
      <c r="M65">
        <v>-3.6999999999999998E-2</v>
      </c>
      <c r="N65">
        <v>0.1411</v>
      </c>
      <c r="O65">
        <v>0.32</v>
      </c>
    </row>
    <row r="66" spans="1:15" x14ac:dyDescent="0.35">
      <c r="A66">
        <v>27</v>
      </c>
      <c r="B66">
        <v>1.4289000000000001</v>
      </c>
      <c r="C66">
        <v>-2.1831</v>
      </c>
      <c r="D66">
        <v>0</v>
      </c>
      <c r="E66">
        <v>4.3612000000000002</v>
      </c>
      <c r="F66">
        <v>2.6678000000000002</v>
      </c>
      <c r="G66">
        <v>2.3717999999999999</v>
      </c>
      <c r="H66">
        <v>7.2099999999999997E-2</v>
      </c>
      <c r="I66">
        <v>0.70940000000000003</v>
      </c>
      <c r="J66">
        <v>0.54520000000000002</v>
      </c>
      <c r="K66">
        <v>3.6400000000000002E-2</v>
      </c>
      <c r="L66">
        <v>1.17E-2</v>
      </c>
      <c r="M66">
        <v>-3.49E-2</v>
      </c>
      <c r="N66">
        <v>0.14330000000000001</v>
      </c>
      <c r="O66">
        <v>0.314</v>
      </c>
    </row>
    <row r="67" spans="1:15" x14ac:dyDescent="0.35">
      <c r="A67">
        <v>28</v>
      </c>
      <c r="B67">
        <v>1.8472999999999999</v>
      </c>
      <c r="C67">
        <v>-2.8224</v>
      </c>
      <c r="D67">
        <v>0</v>
      </c>
      <c r="E67">
        <v>4.1048999999999998</v>
      </c>
      <c r="F67">
        <v>2.7208000000000001</v>
      </c>
      <c r="G67">
        <v>2.3109999999999999</v>
      </c>
      <c r="H67">
        <v>7.0199999999999999E-2</v>
      </c>
      <c r="I67">
        <v>0.73509999999999998</v>
      </c>
      <c r="J67">
        <v>0.56489999999999996</v>
      </c>
      <c r="K67">
        <v>3.3700000000000001E-2</v>
      </c>
      <c r="L67">
        <v>1.21E-2</v>
      </c>
      <c r="M67">
        <v>-3.3399999999999999E-2</v>
      </c>
      <c r="N67">
        <v>0.14599999999999999</v>
      </c>
      <c r="O67">
        <v>0.309</v>
      </c>
    </row>
    <row r="68" spans="1:15" x14ac:dyDescent="0.35">
      <c r="A68">
        <v>29</v>
      </c>
      <c r="B68">
        <v>2.2938999999999998</v>
      </c>
      <c r="C68">
        <v>-3.5047000000000001</v>
      </c>
      <c r="D68">
        <v>0</v>
      </c>
      <c r="E68">
        <v>3.8313999999999999</v>
      </c>
      <c r="F68">
        <v>2.6728000000000001</v>
      </c>
      <c r="G68">
        <v>2.2265000000000001</v>
      </c>
      <c r="H68">
        <v>6.7699999999999996E-2</v>
      </c>
      <c r="I68">
        <v>0.75939999999999996</v>
      </c>
      <c r="J68">
        <v>0.58360000000000001</v>
      </c>
      <c r="K68">
        <v>3.09E-2</v>
      </c>
      <c r="L68">
        <v>1.2500000000000001E-2</v>
      </c>
      <c r="M68">
        <v>-3.2300000000000002E-2</v>
      </c>
      <c r="N68">
        <v>0.1489</v>
      </c>
      <c r="O68">
        <v>0.30499999999999999</v>
      </c>
    </row>
    <row r="69" spans="1:15" x14ac:dyDescent="0.35">
      <c r="A69">
        <v>30</v>
      </c>
      <c r="B69">
        <v>2.7576999999999998</v>
      </c>
      <c r="C69">
        <v>-4.2133000000000003</v>
      </c>
      <c r="D69">
        <v>0</v>
      </c>
      <c r="E69">
        <v>3.5474000000000001</v>
      </c>
      <c r="F69">
        <v>2.5371999999999999</v>
      </c>
      <c r="G69">
        <v>2.1187</v>
      </c>
      <c r="H69">
        <v>6.4799999999999996E-2</v>
      </c>
      <c r="I69">
        <v>0.78110000000000002</v>
      </c>
      <c r="J69">
        <v>0.60029999999999994</v>
      </c>
      <c r="K69">
        <v>2.81E-2</v>
      </c>
      <c r="L69">
        <v>1.2800000000000001E-2</v>
      </c>
      <c r="M69">
        <v>-3.15E-2</v>
      </c>
      <c r="N69">
        <v>0.15160000000000001</v>
      </c>
      <c r="O69">
        <v>0.30199999999999999</v>
      </c>
    </row>
    <row r="70" spans="1:15" x14ac:dyDescent="0.35">
      <c r="A70">
        <v>31</v>
      </c>
      <c r="B70">
        <v>3.2273000000000001</v>
      </c>
      <c r="C70">
        <v>-4.9306999999999999</v>
      </c>
      <c r="D70">
        <v>0</v>
      </c>
      <c r="E70">
        <v>3.2597999999999998</v>
      </c>
      <c r="F70">
        <v>2.3315000000000001</v>
      </c>
      <c r="G70">
        <v>1.9893000000000001</v>
      </c>
      <c r="H70">
        <v>6.1800000000000001E-2</v>
      </c>
      <c r="I70">
        <v>0.79869999999999997</v>
      </c>
      <c r="J70">
        <v>0.6139</v>
      </c>
      <c r="K70">
        <v>2.5100000000000001E-2</v>
      </c>
      <c r="L70">
        <v>1.3100000000000001E-2</v>
      </c>
      <c r="M70">
        <v>-3.0800000000000001E-2</v>
      </c>
      <c r="N70">
        <v>0.15379999999999999</v>
      </c>
      <c r="O70">
        <v>0.3</v>
      </c>
    </row>
    <row r="71" spans="1:15" x14ac:dyDescent="0.35">
      <c r="A71">
        <v>32</v>
      </c>
      <c r="B71">
        <v>3.6911</v>
      </c>
      <c r="C71">
        <v>-5.6393000000000004</v>
      </c>
      <c r="D71">
        <v>0</v>
      </c>
      <c r="E71">
        <v>2.9758</v>
      </c>
      <c r="F71">
        <v>2.0758999999999999</v>
      </c>
      <c r="G71">
        <v>1.8411999999999999</v>
      </c>
      <c r="H71">
        <v>5.9200000000000003E-2</v>
      </c>
      <c r="I71">
        <v>0.81040000000000001</v>
      </c>
      <c r="J71">
        <v>0.62280000000000002</v>
      </c>
      <c r="K71">
        <v>2.1999999999999999E-2</v>
      </c>
      <c r="L71">
        <v>1.3299999999999999E-2</v>
      </c>
      <c r="M71">
        <v>-2.9899999999999999E-2</v>
      </c>
      <c r="N71">
        <v>0.15479999999999999</v>
      </c>
      <c r="O71">
        <v>0.29799999999999999</v>
      </c>
    </row>
    <row r="72" spans="1:15" x14ac:dyDescent="0.35">
      <c r="A72">
        <v>33</v>
      </c>
      <c r="B72">
        <v>4.1376999999999997</v>
      </c>
      <c r="C72">
        <v>-6.3216000000000001</v>
      </c>
      <c r="D72">
        <v>0</v>
      </c>
      <c r="E72">
        <v>2.7023000000000001</v>
      </c>
      <c r="F72">
        <v>1.7910999999999999</v>
      </c>
      <c r="G72">
        <v>1.6776</v>
      </c>
      <c r="H72">
        <v>5.74E-2</v>
      </c>
      <c r="I72">
        <v>0.81369999999999998</v>
      </c>
      <c r="J72">
        <v>0.62539999999999996</v>
      </c>
      <c r="K72">
        <v>1.89E-2</v>
      </c>
      <c r="L72">
        <v>1.35E-2</v>
      </c>
      <c r="M72">
        <v>-2.87E-2</v>
      </c>
      <c r="N72">
        <v>0.1542</v>
      </c>
      <c r="O72">
        <v>0.29599999999999999</v>
      </c>
    </row>
    <row r="73" spans="1:15" x14ac:dyDescent="0.35">
      <c r="A73">
        <v>34</v>
      </c>
      <c r="B73">
        <v>4.5560999999999998</v>
      </c>
      <c r="C73">
        <v>-6.9608999999999996</v>
      </c>
      <c r="D73">
        <v>0</v>
      </c>
      <c r="E73">
        <v>2.4460000000000002</v>
      </c>
      <c r="F73">
        <v>1.4963</v>
      </c>
      <c r="G73">
        <v>1.5016</v>
      </c>
      <c r="H73">
        <v>5.7000000000000002E-2</v>
      </c>
      <c r="I73">
        <v>0.80520000000000003</v>
      </c>
      <c r="J73">
        <v>0.61880000000000002</v>
      </c>
      <c r="K73">
        <v>1.55E-2</v>
      </c>
      <c r="L73">
        <v>1.3299999999999999E-2</v>
      </c>
      <c r="M73">
        <v>-2.6700000000000002E-2</v>
      </c>
      <c r="N73">
        <v>0.15110000000000001</v>
      </c>
      <c r="O73">
        <v>0.29299999999999998</v>
      </c>
    </row>
    <row r="74" spans="1:15" x14ac:dyDescent="0.35">
      <c r="A74">
        <v>35</v>
      </c>
      <c r="B74">
        <v>4.9359999999999999</v>
      </c>
      <c r="C74">
        <v>-7.5412999999999997</v>
      </c>
      <c r="D74">
        <v>0</v>
      </c>
      <c r="E74">
        <v>2.2134</v>
      </c>
      <c r="F74">
        <v>1.2075</v>
      </c>
      <c r="G74">
        <v>1.3146</v>
      </c>
      <c r="H74">
        <v>5.8700000000000002E-2</v>
      </c>
      <c r="I74">
        <v>0.77949999999999997</v>
      </c>
      <c r="J74">
        <v>0.59909999999999997</v>
      </c>
      <c r="K74">
        <v>1.21E-2</v>
      </c>
      <c r="L74">
        <v>1.29E-2</v>
      </c>
      <c r="M74">
        <v>-2.3400000000000001E-2</v>
      </c>
      <c r="N74">
        <v>0.14419999999999999</v>
      </c>
      <c r="O74">
        <v>0.28899999999999998</v>
      </c>
    </row>
    <row r="75" spans="1:15" x14ac:dyDescent="0.35">
      <c r="A75">
        <v>36</v>
      </c>
      <c r="B75">
        <v>5.2679999999999998</v>
      </c>
      <c r="C75">
        <v>-8.0486000000000004</v>
      </c>
      <c r="D75">
        <v>0</v>
      </c>
      <c r="E75">
        <v>2.0099999999999998</v>
      </c>
      <c r="F75">
        <v>0.9365</v>
      </c>
      <c r="G75">
        <v>1.1156999999999999</v>
      </c>
      <c r="H75">
        <v>6.3E-2</v>
      </c>
      <c r="I75">
        <v>0.72899999999999998</v>
      </c>
      <c r="J75">
        <v>0.56020000000000003</v>
      </c>
      <c r="K75">
        <v>8.8000000000000005E-3</v>
      </c>
      <c r="L75">
        <v>1.2200000000000001E-2</v>
      </c>
      <c r="M75">
        <v>-1.83E-2</v>
      </c>
      <c r="N75">
        <v>0.13170000000000001</v>
      </c>
      <c r="O75">
        <v>0.28299999999999997</v>
      </c>
    </row>
    <row r="76" spans="1:15" x14ac:dyDescent="0.35">
      <c r="A76">
        <v>37</v>
      </c>
      <c r="B76">
        <v>5.5439999999999996</v>
      </c>
      <c r="C76">
        <v>-8.4702999999999999</v>
      </c>
      <c r="D76">
        <v>0</v>
      </c>
      <c r="E76">
        <v>1.841</v>
      </c>
      <c r="F76">
        <v>0.69010000000000005</v>
      </c>
      <c r="G76">
        <v>0.90210000000000001</v>
      </c>
      <c r="H76">
        <v>6.9800000000000001E-2</v>
      </c>
      <c r="I76">
        <v>0.64390000000000003</v>
      </c>
      <c r="J76">
        <v>0.49490000000000001</v>
      </c>
      <c r="K76">
        <v>5.7999999999999996E-3</v>
      </c>
      <c r="L76">
        <v>1.12E-2</v>
      </c>
      <c r="M76">
        <v>-1.14E-2</v>
      </c>
      <c r="N76">
        <v>0.1124</v>
      </c>
      <c r="O76">
        <v>0.27300000000000002</v>
      </c>
    </row>
    <row r="77" spans="1:15" x14ac:dyDescent="0.35">
      <c r="A77">
        <v>38</v>
      </c>
      <c r="B77">
        <v>5.7572000000000001</v>
      </c>
      <c r="C77">
        <v>-8.7959999999999994</v>
      </c>
      <c r="D77">
        <v>0</v>
      </c>
      <c r="E77">
        <v>1.7103999999999999</v>
      </c>
      <c r="F77">
        <v>0.46960000000000002</v>
      </c>
      <c r="G77">
        <v>0.67110000000000003</v>
      </c>
      <c r="H77">
        <v>8.0199999999999994E-2</v>
      </c>
      <c r="I77">
        <v>0.51600000000000001</v>
      </c>
      <c r="J77">
        <v>0.39660000000000001</v>
      </c>
      <c r="K77">
        <v>3.3999999999999998E-3</v>
      </c>
      <c r="L77">
        <v>9.9000000000000008E-3</v>
      </c>
      <c r="M77">
        <v>-4.7999999999999996E-3</v>
      </c>
      <c r="N77">
        <v>8.6300000000000002E-2</v>
      </c>
      <c r="O77">
        <v>0.26200000000000001</v>
      </c>
    </row>
    <row r="78" spans="1:15" x14ac:dyDescent="0.35">
      <c r="A78">
        <v>39</v>
      </c>
      <c r="B78">
        <v>5.9023000000000003</v>
      </c>
      <c r="C78">
        <v>-9.0176999999999996</v>
      </c>
      <c r="D78">
        <v>0</v>
      </c>
      <c r="E78">
        <v>1.6214999999999999</v>
      </c>
      <c r="F78">
        <v>0.27160000000000001</v>
      </c>
      <c r="G78">
        <v>0.42059999999999997</v>
      </c>
      <c r="H78">
        <v>9.8699999999999996E-2</v>
      </c>
      <c r="I78">
        <v>0.34139999999999998</v>
      </c>
      <c r="J78">
        <v>0.26240000000000002</v>
      </c>
      <c r="K78">
        <v>2.5000000000000001E-3</v>
      </c>
      <c r="L78">
        <v>8.6999999999999994E-3</v>
      </c>
      <c r="M78">
        <v>-1.6000000000000001E-3</v>
      </c>
      <c r="N78">
        <v>5.5800000000000002E-2</v>
      </c>
      <c r="O78">
        <v>0.25600000000000001</v>
      </c>
    </row>
    <row r="79" spans="1:15" x14ac:dyDescent="0.35">
      <c r="A79">
        <v>40</v>
      </c>
      <c r="B79">
        <v>5.9757999999999996</v>
      </c>
      <c r="C79">
        <v>-9.1298999999999992</v>
      </c>
      <c r="D79">
        <v>0</v>
      </c>
      <c r="E79">
        <v>1.5765</v>
      </c>
      <c r="F79">
        <v>8.8700000000000001E-2</v>
      </c>
      <c r="G79">
        <v>0.1464</v>
      </c>
      <c r="H79">
        <v>0.1308</v>
      </c>
      <c r="I79">
        <v>0.1226</v>
      </c>
      <c r="J79">
        <v>9.4200000000000006E-2</v>
      </c>
      <c r="K79">
        <v>3.3999999999999998E-3</v>
      </c>
      <c r="L79">
        <v>7.7999999999999996E-3</v>
      </c>
      <c r="M79">
        <v>-1.1999999999999999E-3</v>
      </c>
      <c r="N79">
        <v>2.06E-2</v>
      </c>
      <c r="O79">
        <v>0.26300000000000001</v>
      </c>
    </row>
    <row r="80" spans="1:15" x14ac:dyDescent="0.35">
      <c r="A80" t="s">
        <v>93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:W68"/>
  <sheetViews>
    <sheetView zoomScaleNormal="100" workbookViewId="0">
      <selection activeCell="B22" sqref="B22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23" x14ac:dyDescent="0.35">
      <c r="A1" t="s">
        <v>295</v>
      </c>
      <c r="B1">
        <f>BuildAVL!B3</f>
        <v>62.244999999999997</v>
      </c>
      <c r="C1" t="s">
        <v>55</v>
      </c>
      <c r="E1" t="s">
        <v>297</v>
      </c>
      <c r="F1">
        <v>15.24</v>
      </c>
      <c r="G1" t="s">
        <v>58</v>
      </c>
    </row>
    <row r="2" spans="1:23" x14ac:dyDescent="0.35">
      <c r="A2" t="s">
        <v>293</v>
      </c>
      <c r="B2">
        <f>BuildAVL!B4</f>
        <v>3.7325453277906329</v>
      </c>
      <c r="C2" t="s">
        <v>58</v>
      </c>
      <c r="E2" t="s">
        <v>330</v>
      </c>
      <c r="F2">
        <f>(Variables!B9/6)*((1+2*Variables!B10)/(1+Variables!B10))</f>
        <v>3.7513846153846155</v>
      </c>
      <c r="G2" t="s">
        <v>58</v>
      </c>
    </row>
    <row r="3" spans="1:23" x14ac:dyDescent="0.35">
      <c r="A3" t="s">
        <v>294</v>
      </c>
      <c r="B3">
        <f>BuildAVL!B5</f>
        <v>18.288</v>
      </c>
      <c r="C3" t="s">
        <v>58</v>
      </c>
      <c r="E3" t="s">
        <v>331</v>
      </c>
      <c r="F3">
        <f>0.25*Variables!B12+'Tail Sizing'!F2*TAN(Variables!B11*PI()/180)</f>
        <v>3.3885025969235611</v>
      </c>
      <c r="G3" t="s">
        <v>58</v>
      </c>
    </row>
    <row r="5" spans="1:23" x14ac:dyDescent="0.35">
      <c r="A5" t="s">
        <v>289</v>
      </c>
      <c r="B5">
        <v>7.0000000000000007E-2</v>
      </c>
      <c r="E5" t="s">
        <v>288</v>
      </c>
      <c r="F5">
        <v>0.36</v>
      </c>
      <c r="I5" t="s">
        <v>288</v>
      </c>
      <c r="J5">
        <v>0.36000000000000004</v>
      </c>
      <c r="M5" t="s">
        <v>349</v>
      </c>
      <c r="O5">
        <f>ATAN(C36/B36)*180/PI()</f>
        <v>33.205656290575874</v>
      </c>
      <c r="V5" t="s">
        <v>358</v>
      </c>
      <c r="W5">
        <f>F3+0.25*B2</f>
        <v>4.3216389288712191</v>
      </c>
    </row>
    <row r="6" spans="1:23" x14ac:dyDescent="0.35">
      <c r="A6" t="s">
        <v>298</v>
      </c>
      <c r="B6">
        <v>0.25</v>
      </c>
      <c r="E6" t="s">
        <v>299</v>
      </c>
      <c r="F6">
        <v>0.3</v>
      </c>
      <c r="I6" t="s">
        <v>298</v>
      </c>
      <c r="J6">
        <v>0.36099999999999999</v>
      </c>
      <c r="M6" t="s">
        <v>350</v>
      </c>
      <c r="O6">
        <f>ATAN((C45-C44)/(B45-B44))*180/PI()</f>
        <v>38.220315694678028</v>
      </c>
    </row>
    <row r="7" spans="1:23" x14ac:dyDescent="0.35">
      <c r="A7" t="s">
        <v>291</v>
      </c>
      <c r="B7">
        <f>B6*F1</f>
        <v>3.81</v>
      </c>
      <c r="C7" t="s">
        <v>58</v>
      </c>
      <c r="E7" t="s">
        <v>290</v>
      </c>
      <c r="F7">
        <f>F1*F6</f>
        <v>4.5720000000000001</v>
      </c>
      <c r="G7" t="s">
        <v>58</v>
      </c>
      <c r="I7" t="s">
        <v>299</v>
      </c>
      <c r="J7">
        <v>0.44600000000000001</v>
      </c>
      <c r="M7" t="s">
        <v>351</v>
      </c>
      <c r="O7">
        <f>ATAN(B24/B16)*180/PI()</f>
        <v>38.362883495162279</v>
      </c>
    </row>
    <row r="8" spans="1:23" x14ac:dyDescent="0.35">
      <c r="A8" t="s">
        <v>296</v>
      </c>
      <c r="B8">
        <f>B5*B3*B1/B7</f>
        <v>20.91432</v>
      </c>
      <c r="C8" t="s">
        <v>55</v>
      </c>
      <c r="E8" t="s">
        <v>292</v>
      </c>
      <c r="F8">
        <f>F5*B2*B1/F7</f>
        <v>18.29388062427779</v>
      </c>
      <c r="G8" t="s">
        <v>55</v>
      </c>
    </row>
    <row r="10" spans="1:23" x14ac:dyDescent="0.35">
      <c r="A10" t="s">
        <v>300</v>
      </c>
      <c r="B10">
        <v>70</v>
      </c>
      <c r="C10" t="s">
        <v>88</v>
      </c>
      <c r="E10" t="s">
        <v>302</v>
      </c>
      <c r="F10">
        <f>F8/2</f>
        <v>9.146940312138895</v>
      </c>
    </row>
    <row r="11" spans="1:23" x14ac:dyDescent="0.35">
      <c r="A11" t="s">
        <v>301</v>
      </c>
      <c r="B11">
        <f>(B8/SIN(B10*PI()/180)/2)</f>
        <v>11.128277235224211</v>
      </c>
      <c r="C11" t="s">
        <v>55</v>
      </c>
    </row>
    <row r="13" spans="1:23" x14ac:dyDescent="0.35">
      <c r="A13" t="s">
        <v>305</v>
      </c>
      <c r="B13">
        <v>1</v>
      </c>
      <c r="E13" t="s">
        <v>306</v>
      </c>
      <c r="F13">
        <v>3</v>
      </c>
    </row>
    <row r="14" spans="1:23" x14ac:dyDescent="0.35">
      <c r="A14" t="s">
        <v>303</v>
      </c>
      <c r="B14">
        <v>0.5</v>
      </c>
      <c r="E14" t="s">
        <v>304</v>
      </c>
      <c r="F14">
        <v>0.3</v>
      </c>
    </row>
    <row r="16" spans="1:23" x14ac:dyDescent="0.35">
      <c r="A16" t="s">
        <v>307</v>
      </c>
      <c r="B16">
        <f>SQRT(B13*B11)</f>
        <v>3.3359072581869254</v>
      </c>
      <c r="C16" t="s">
        <v>58</v>
      </c>
      <c r="E16" t="s">
        <v>308</v>
      </c>
      <c r="F16">
        <f>SQRT(F13*F8)</f>
        <v>7.4082144861520698</v>
      </c>
      <c r="G16" t="s">
        <v>58</v>
      </c>
    </row>
    <row r="17" spans="1:19" x14ac:dyDescent="0.35">
      <c r="E17" t="s">
        <v>309</v>
      </c>
      <c r="F17">
        <f>F16/2</f>
        <v>3.7041072430760349</v>
      </c>
      <c r="G17" t="s">
        <v>58</v>
      </c>
    </row>
    <row r="19" spans="1:19" x14ac:dyDescent="0.35">
      <c r="A19" t="s">
        <v>312</v>
      </c>
      <c r="B19">
        <f>(2*B11)/(B16*(1+B14))</f>
        <v>4.4478763442492335</v>
      </c>
      <c r="C19" t="s">
        <v>58</v>
      </c>
      <c r="E19" t="s">
        <v>310</v>
      </c>
      <c r="F19">
        <f>(2*F10)/(F17*(1+F14))</f>
        <v>3.7990843518728554</v>
      </c>
      <c r="G19" t="s">
        <v>58</v>
      </c>
      <c r="S19">
        <f>0.5*(B19+B20)</f>
        <v>3.3359072581869249</v>
      </c>
    </row>
    <row r="20" spans="1:19" x14ac:dyDescent="0.35">
      <c r="A20" t="s">
        <v>313</v>
      </c>
      <c r="B20">
        <f>B19*B14</f>
        <v>2.2239381721246168</v>
      </c>
      <c r="C20" t="s">
        <v>58</v>
      </c>
      <c r="E20" t="s">
        <v>311</v>
      </c>
      <c r="F20">
        <f>F19*F14</f>
        <v>1.1397253055618566</v>
      </c>
      <c r="G20" t="s">
        <v>58</v>
      </c>
    </row>
    <row r="21" spans="1:19" x14ac:dyDescent="0.35">
      <c r="S21">
        <f>0.3*S19</f>
        <v>1.0007721774560774</v>
      </c>
    </row>
    <row r="22" spans="1:19" x14ac:dyDescent="0.35">
      <c r="A22" t="s">
        <v>314</v>
      </c>
      <c r="B22">
        <v>32</v>
      </c>
      <c r="C22" t="s">
        <v>88</v>
      </c>
      <c r="E22" t="s">
        <v>315</v>
      </c>
      <c r="F22">
        <v>31.3</v>
      </c>
      <c r="G22" t="s">
        <v>88</v>
      </c>
    </row>
    <row r="23" spans="1:19" x14ac:dyDescent="0.35">
      <c r="S23">
        <f>S21/B19</f>
        <v>0.22499999999999998</v>
      </c>
    </row>
    <row r="24" spans="1:19" x14ac:dyDescent="0.35">
      <c r="A24" t="s">
        <v>326</v>
      </c>
      <c r="B24">
        <f>0.25*(B19-B20)+B16*TAN(B22*PI()/180)</f>
        <v>2.6404907494840399</v>
      </c>
      <c r="C24" t="s">
        <v>58</v>
      </c>
      <c r="E24" t="s">
        <v>327</v>
      </c>
      <c r="F24">
        <f>0.25*(F19-F20)+(F17)*TAN(F22*PI()/180)</f>
        <v>2.9169722662301032</v>
      </c>
      <c r="G24" t="s">
        <v>58</v>
      </c>
    </row>
    <row r="25" spans="1:19" x14ac:dyDescent="0.35">
      <c r="S25">
        <f>S21/B20</f>
        <v>0.44999999999999996</v>
      </c>
    </row>
    <row r="26" spans="1:19" x14ac:dyDescent="0.35">
      <c r="A26" t="s">
        <v>334</v>
      </c>
      <c r="B26">
        <v>0.96519999999999995</v>
      </c>
      <c r="C26" t="s">
        <v>58</v>
      </c>
      <c r="E26" t="s">
        <v>329</v>
      </c>
      <c r="F26">
        <v>1.6306799999999999</v>
      </c>
      <c r="G26" t="s">
        <v>58</v>
      </c>
    </row>
    <row r="28" spans="1:19" x14ac:dyDescent="0.35">
      <c r="A28" t="s">
        <v>335</v>
      </c>
      <c r="B28">
        <f>(2/3)*((1+B14+B14^2)/(1+B14))*B19</f>
        <v>3.4594593788605148</v>
      </c>
      <c r="C28" t="s">
        <v>58</v>
      </c>
      <c r="E28" t="s">
        <v>332</v>
      </c>
      <c r="F28">
        <f>(2/3)*((1+F14+F14^2)/(1+F14))*F19</f>
        <v>2.7080652559503942</v>
      </c>
      <c r="G28" t="s">
        <v>58</v>
      </c>
    </row>
    <row r="29" spans="1:19" x14ac:dyDescent="0.35">
      <c r="A29" t="s">
        <v>336</v>
      </c>
      <c r="B29">
        <f>(B16/3)*((1+2*B14)/(1+B14))</f>
        <v>1.4826254480830778</v>
      </c>
      <c r="C29" t="s">
        <v>58</v>
      </c>
      <c r="E29" t="s">
        <v>333</v>
      </c>
      <c r="F29">
        <f>(F16/6)*((1+2*F14)/(1+F14))</f>
        <v>1.5196337407491425</v>
      </c>
      <c r="G29" t="s">
        <v>58</v>
      </c>
    </row>
    <row r="33" spans="1:7" x14ac:dyDescent="0.35">
      <c r="A33" s="54" t="s">
        <v>328</v>
      </c>
      <c r="B33" s="54"/>
      <c r="C33" s="54"/>
      <c r="D33" s="54"/>
      <c r="E33" s="54"/>
      <c r="F33" s="54"/>
      <c r="G33" s="54"/>
    </row>
    <row r="34" spans="1:7" x14ac:dyDescent="0.35">
      <c r="A34" t="s">
        <v>64</v>
      </c>
      <c r="B34" t="s">
        <v>65</v>
      </c>
      <c r="C34" t="s">
        <v>66</v>
      </c>
      <c r="F34" t="s">
        <v>65</v>
      </c>
      <c r="G34" t="s">
        <v>66</v>
      </c>
    </row>
    <row r="35" spans="1:7" x14ac:dyDescent="0.35">
      <c r="A35">
        <v>1</v>
      </c>
      <c r="B35">
        <f>Variables!N4</f>
        <v>0</v>
      </c>
      <c r="C35">
        <f>Variables!O4</f>
        <v>0</v>
      </c>
    </row>
    <row r="36" spans="1:7" x14ac:dyDescent="0.35">
      <c r="A36">
        <v>2</v>
      </c>
      <c r="B36">
        <f>Variables!N5</f>
        <v>9.1440000000000001</v>
      </c>
      <c r="C36">
        <f>Variables!O5</f>
        <v>5.9849552708787623</v>
      </c>
    </row>
    <row r="37" spans="1:7" x14ac:dyDescent="0.35">
      <c r="A37">
        <v>3</v>
      </c>
      <c r="B37">
        <f>Variables!N6</f>
        <v>9.1440000000000001</v>
      </c>
      <c r="C37">
        <f>Variables!O6</f>
        <v>7.5558466498410075</v>
      </c>
    </row>
    <row r="38" spans="1:7" x14ac:dyDescent="0.35">
      <c r="A38">
        <v>4</v>
      </c>
      <c r="B38">
        <f>Variables!N7</f>
        <v>0</v>
      </c>
      <c r="C38">
        <f>Variables!O7</f>
        <v>5.2363045965408164</v>
      </c>
    </row>
    <row r="39" spans="1:7" x14ac:dyDescent="0.35">
      <c r="A39">
        <v>5</v>
      </c>
      <c r="B39">
        <f>Variables!N8</f>
        <v>0</v>
      </c>
      <c r="C39">
        <f>Variables!O8</f>
        <v>0</v>
      </c>
    </row>
    <row r="40" spans="1:7" x14ac:dyDescent="0.35">
      <c r="A40">
        <v>6</v>
      </c>
      <c r="B40">
        <f>Variables!N9</f>
        <v>-9.1440000000000001</v>
      </c>
      <c r="C40">
        <f>Variables!O9</f>
        <v>5.9849552708787623</v>
      </c>
    </row>
    <row r="41" spans="1:7" x14ac:dyDescent="0.35">
      <c r="A41">
        <v>7</v>
      </c>
      <c r="B41">
        <f>Variables!N10</f>
        <v>-9.1440000000000001</v>
      </c>
      <c r="C41">
        <f>Variables!O10</f>
        <v>7.5558466498410075</v>
      </c>
    </row>
    <row r="42" spans="1:7" x14ac:dyDescent="0.35">
      <c r="A42">
        <v>8</v>
      </c>
      <c r="B42">
        <f>Variables!N11</f>
        <v>0</v>
      </c>
      <c r="C42">
        <f>Variables!O11</f>
        <v>5.2363045965408164</v>
      </c>
    </row>
    <row r="43" spans="1:7" x14ac:dyDescent="0.35">
      <c r="B43" t="e">
        <f>NA()</f>
        <v>#N/A</v>
      </c>
      <c r="C43" t="e">
        <f>NA()</f>
        <v>#N/A</v>
      </c>
      <c r="F43" t="s">
        <v>360</v>
      </c>
    </row>
    <row r="44" spans="1:7" x14ac:dyDescent="0.35">
      <c r="A44">
        <v>9</v>
      </c>
      <c r="B44">
        <f>F26</f>
        <v>1.6306799999999999</v>
      </c>
      <c r="C44">
        <f>F3+F7-F29*TAN(F22*PI()/180)-0.25*F19</f>
        <v>6.0867797121748941</v>
      </c>
      <c r="F44">
        <f>F3+F7+0.25*B2</f>
        <v>8.8936389288712192</v>
      </c>
    </row>
    <row r="45" spans="1:7" x14ac:dyDescent="0.35">
      <c r="A45">
        <v>10</v>
      </c>
      <c r="B45">
        <f>B44+F17</f>
        <v>5.3347872430760344</v>
      </c>
      <c r="C45">
        <f>C44+0.25*(F19-F20)+F17*TAN(F22*PI()/180)</f>
        <v>9.0037519784049973</v>
      </c>
    </row>
    <row r="46" spans="1:7" x14ac:dyDescent="0.35">
      <c r="A46">
        <v>11</v>
      </c>
      <c r="B46">
        <f>B45</f>
        <v>5.3347872430760344</v>
      </c>
      <c r="C46">
        <f>C45+F20</f>
        <v>10.143477283966854</v>
      </c>
    </row>
    <row r="47" spans="1:7" x14ac:dyDescent="0.35">
      <c r="A47">
        <v>12</v>
      </c>
      <c r="B47">
        <f>F26</f>
        <v>1.6306799999999999</v>
      </c>
      <c r="C47">
        <f>C44+F19</f>
        <v>9.88586406404775</v>
      </c>
    </row>
    <row r="48" spans="1:7" x14ac:dyDescent="0.35">
      <c r="A48">
        <v>13</v>
      </c>
      <c r="B48">
        <f>B44</f>
        <v>1.6306799999999999</v>
      </c>
      <c r="C48">
        <f>C44</f>
        <v>6.0867797121748941</v>
      </c>
    </row>
    <row r="49" spans="1:6" x14ac:dyDescent="0.35">
      <c r="B49" t="e">
        <f>NA()</f>
        <v>#N/A</v>
      </c>
      <c r="C49" t="e">
        <f>NA()</f>
        <v>#N/A</v>
      </c>
    </row>
    <row r="50" spans="1:6" x14ac:dyDescent="0.35">
      <c r="A50">
        <v>14</v>
      </c>
      <c r="B50">
        <f>-1*B44</f>
        <v>-1.6306799999999999</v>
      </c>
      <c r="C50">
        <f>C44</f>
        <v>6.0867797121748941</v>
      </c>
    </row>
    <row r="51" spans="1:6" x14ac:dyDescent="0.35">
      <c r="A51">
        <v>15</v>
      </c>
      <c r="B51">
        <f>-1*B45</f>
        <v>-5.3347872430760344</v>
      </c>
      <c r="C51">
        <f>C45</f>
        <v>9.0037519784049973</v>
      </c>
    </row>
    <row r="52" spans="1:6" x14ac:dyDescent="0.35">
      <c r="A52">
        <v>16</v>
      </c>
      <c r="B52">
        <f>-1*B46</f>
        <v>-5.3347872430760344</v>
      </c>
      <c r="C52">
        <f>C46</f>
        <v>10.143477283966854</v>
      </c>
    </row>
    <row r="53" spans="1:6" x14ac:dyDescent="0.35">
      <c r="A53">
        <v>17</v>
      </c>
      <c r="B53">
        <f>-1*B47</f>
        <v>-1.6306799999999999</v>
      </c>
      <c r="C53">
        <f>C47</f>
        <v>9.88586406404775</v>
      </c>
    </row>
    <row r="54" spans="1:6" x14ac:dyDescent="0.35">
      <c r="A54">
        <v>18</v>
      </c>
      <c r="B54">
        <f>-1*B48</f>
        <v>-1.6306799999999999</v>
      </c>
      <c r="C54">
        <f>C48</f>
        <v>6.0867797121748941</v>
      </c>
    </row>
    <row r="55" spans="1:6" x14ac:dyDescent="0.35">
      <c r="B55" t="e">
        <f>NA()</f>
        <v>#N/A</v>
      </c>
      <c r="C55" t="e">
        <f>NA()</f>
        <v>#N/A</v>
      </c>
      <c r="F55" t="s">
        <v>359</v>
      </c>
    </row>
    <row r="56" spans="1:6" x14ac:dyDescent="0.35">
      <c r="A56">
        <v>19</v>
      </c>
      <c r="B56">
        <f>B26</f>
        <v>0.96519999999999995</v>
      </c>
      <c r="C56">
        <f>F3+B7-B29*TAN(B22*PI()/180)-0.25*B19</f>
        <v>5.1600863079933026</v>
      </c>
      <c r="F56">
        <f>F3+B7+0.25*B2</f>
        <v>8.1316389288712188</v>
      </c>
    </row>
    <row r="57" spans="1:6" x14ac:dyDescent="0.35">
      <c r="A57">
        <v>20</v>
      </c>
      <c r="B57">
        <f>B56+B16*COS(B10*PI()/180)</f>
        <v>2.1061474785662311</v>
      </c>
      <c r="C57">
        <f>C56+0.25*(B19-B20)+B16*TAN(B22*PI()/180)</f>
        <v>7.8005770574773425</v>
      </c>
    </row>
    <row r="58" spans="1:6" x14ac:dyDescent="0.35">
      <c r="A58">
        <v>21</v>
      </c>
      <c r="B58">
        <f>B57</f>
        <v>2.1061474785662311</v>
      </c>
      <c r="C58">
        <f>C57+B20</f>
        <v>10.02451522960196</v>
      </c>
    </row>
    <row r="59" spans="1:6" x14ac:dyDescent="0.35">
      <c r="A59">
        <v>22</v>
      </c>
      <c r="B59">
        <f>B56</f>
        <v>0.96519999999999995</v>
      </c>
      <c r="C59">
        <f>C56+B19</f>
        <v>9.6079626522425361</v>
      </c>
    </row>
    <row r="60" spans="1:6" x14ac:dyDescent="0.35">
      <c r="A60">
        <v>23</v>
      </c>
      <c r="B60">
        <f>B56</f>
        <v>0.96519999999999995</v>
      </c>
      <c r="C60">
        <f>C56</f>
        <v>5.1600863079933026</v>
      </c>
    </row>
    <row r="61" spans="1:6" x14ac:dyDescent="0.35">
      <c r="B61" t="e">
        <f>NA()</f>
        <v>#N/A</v>
      </c>
      <c r="C61" t="e">
        <f>NA()</f>
        <v>#N/A</v>
      </c>
    </row>
    <row r="62" spans="1:6" x14ac:dyDescent="0.35">
      <c r="A62">
        <v>24</v>
      </c>
      <c r="B62">
        <f>-1*B56</f>
        <v>-0.96519999999999995</v>
      </c>
      <c r="C62">
        <f>C56</f>
        <v>5.1600863079933026</v>
      </c>
    </row>
    <row r="63" spans="1:6" x14ac:dyDescent="0.35">
      <c r="A63">
        <v>25</v>
      </c>
      <c r="B63">
        <f>-1*B57</f>
        <v>-2.1061474785662311</v>
      </c>
      <c r="C63">
        <f>C57</f>
        <v>7.8005770574773425</v>
      </c>
    </row>
    <row r="64" spans="1:6" x14ac:dyDescent="0.35">
      <c r="A64">
        <v>26</v>
      </c>
      <c r="B64">
        <f>-1*B58</f>
        <v>-2.1061474785662311</v>
      </c>
      <c r="C64">
        <f>C58</f>
        <v>10.02451522960196</v>
      </c>
    </row>
    <row r="65" spans="1:3" x14ac:dyDescent="0.35">
      <c r="A65">
        <v>27</v>
      </c>
      <c r="B65">
        <f>-1*B59</f>
        <v>-0.96519999999999995</v>
      </c>
      <c r="C65">
        <f>C59</f>
        <v>9.6079626522425361</v>
      </c>
    </row>
    <row r="66" spans="1:3" x14ac:dyDescent="0.35">
      <c r="A66">
        <v>28</v>
      </c>
      <c r="B66">
        <f>-1*B60</f>
        <v>-0.96519999999999995</v>
      </c>
      <c r="C66">
        <f>C60</f>
        <v>5.1600863079933026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9.1440000000000001</v>
      </c>
      <c r="C68">
        <f>C36</f>
        <v>5.9849552708787623</v>
      </c>
    </row>
  </sheetData>
  <mergeCells count="1">
    <mergeCell ref="A33:G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073A-3B0F-4358-8F92-424BD181FABA}">
  <sheetPr codeName="Sheet6"/>
  <dimension ref="A1:O16"/>
  <sheetViews>
    <sheetView topLeftCell="F1" zoomScale="107" workbookViewId="0">
      <selection activeCell="P14" sqref="P14"/>
    </sheetView>
  </sheetViews>
  <sheetFormatPr defaultRowHeight="14.5" x14ac:dyDescent="0.35"/>
  <cols>
    <col min="1" max="1" width="8.7265625" style="6"/>
    <col min="3" max="3" width="8.7265625" style="6"/>
    <col min="5" max="5" width="8.7265625" style="10"/>
    <col min="7" max="7" width="8.7265625" style="6"/>
    <col min="9" max="9" width="8.7265625" style="10"/>
    <col min="11" max="11" width="8.7265625" style="6"/>
    <col min="13" max="13" width="8.7265625" style="10"/>
    <col min="15" max="15" width="8.7265625" style="6"/>
  </cols>
  <sheetData>
    <row r="1" spans="1:15" x14ac:dyDescent="0.35">
      <c r="A1" s="54" t="s">
        <v>75</v>
      </c>
      <c r="B1" s="54"/>
      <c r="C1" s="55"/>
      <c r="D1" s="10"/>
      <c r="E1" s="53" t="s">
        <v>76</v>
      </c>
      <c r="F1" s="54"/>
      <c r="G1" s="54"/>
      <c r="H1" s="11"/>
      <c r="I1" s="53" t="s">
        <v>337</v>
      </c>
      <c r="J1" s="54"/>
      <c r="K1" s="55"/>
      <c r="M1" s="53" t="s">
        <v>340</v>
      </c>
      <c r="N1" s="54"/>
      <c r="O1" s="55"/>
    </row>
    <row r="2" spans="1:15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  <c r="I2" s="17" t="s">
        <v>48</v>
      </c>
      <c r="J2" s="15" t="s">
        <v>49</v>
      </c>
      <c r="K2" s="14" t="s">
        <v>50</v>
      </c>
      <c r="M2" s="17" t="s">
        <v>48</v>
      </c>
      <c r="N2" s="15" t="s">
        <v>49</v>
      </c>
      <c r="O2" s="14" t="s">
        <v>50</v>
      </c>
    </row>
    <row r="3" spans="1:15" x14ac:dyDescent="0.35">
      <c r="A3" s="6" t="s">
        <v>79</v>
      </c>
      <c r="B3">
        <f>Variables!B8</f>
        <v>62.244999999999997</v>
      </c>
      <c r="C3" s="6" t="s">
        <v>55</v>
      </c>
    </row>
    <row r="4" spans="1:15" x14ac:dyDescent="0.35">
      <c r="A4" s="6" t="s">
        <v>80</v>
      </c>
      <c r="B4">
        <f>(2/3)*Variables!B12*(1+Variables!B10+Variables!B10^2)/(1+Variables!B10)</f>
        <v>3.7325453277906329</v>
      </c>
      <c r="C4" s="6" t="s">
        <v>58</v>
      </c>
      <c r="E4" s="16" t="s">
        <v>77</v>
      </c>
      <c r="I4" s="16" t="s">
        <v>338</v>
      </c>
      <c r="M4" s="16" t="s">
        <v>338</v>
      </c>
    </row>
    <row r="5" spans="1:15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  <c r="I5" s="10" t="s">
        <v>82</v>
      </c>
      <c r="J5">
        <f>'Tail Sizing'!C44</f>
        <v>6.0867797121748941</v>
      </c>
      <c r="K5" s="6" t="s">
        <v>58</v>
      </c>
      <c r="M5" s="10" t="s">
        <v>82</v>
      </c>
      <c r="N5">
        <f>'Tail Sizing'!C56</f>
        <v>5.1600863079933026</v>
      </c>
      <c r="O5" s="6" t="s">
        <v>58</v>
      </c>
    </row>
    <row r="6" spans="1:15" x14ac:dyDescent="0.35">
      <c r="E6" s="10" t="s">
        <v>83</v>
      </c>
      <c r="F6">
        <v>0</v>
      </c>
      <c r="G6" s="6" t="s">
        <v>58</v>
      </c>
      <c r="I6" s="10" t="s">
        <v>83</v>
      </c>
      <c r="J6">
        <f>'Tail Sizing'!B44</f>
        <v>1.6306799999999999</v>
      </c>
      <c r="K6" s="6" t="s">
        <v>58</v>
      </c>
      <c r="M6" s="10" t="s">
        <v>83</v>
      </c>
      <c r="N6">
        <f>'Tail Sizing'!B56</f>
        <v>0.96519999999999995</v>
      </c>
      <c r="O6" s="6" t="s">
        <v>58</v>
      </c>
    </row>
    <row r="7" spans="1:15" x14ac:dyDescent="0.35">
      <c r="E7" s="10" t="s">
        <v>84</v>
      </c>
      <c r="F7">
        <v>0</v>
      </c>
      <c r="G7" s="6" t="s">
        <v>58</v>
      </c>
      <c r="I7" s="10" t="s">
        <v>84</v>
      </c>
      <c r="J7">
        <v>-0.05</v>
      </c>
      <c r="K7" s="6" t="s">
        <v>58</v>
      </c>
      <c r="M7" s="10" t="s">
        <v>84</v>
      </c>
      <c r="N7">
        <v>0</v>
      </c>
      <c r="O7" s="6" t="s">
        <v>58</v>
      </c>
    </row>
    <row r="8" spans="1:15" x14ac:dyDescent="0.35">
      <c r="E8" s="10" t="s">
        <v>86</v>
      </c>
      <c r="F8">
        <f>Variables!B12</f>
        <v>5.2363045965408164</v>
      </c>
      <c r="G8" s="6" t="s">
        <v>58</v>
      </c>
      <c r="I8" s="10" t="s">
        <v>86</v>
      </c>
      <c r="J8">
        <f>'Tail Sizing'!F19</f>
        <v>3.7990843518728554</v>
      </c>
      <c r="K8" s="6" t="s">
        <v>58</v>
      </c>
      <c r="M8" s="10" t="s">
        <v>86</v>
      </c>
      <c r="N8">
        <f>'Tail Sizing'!B19</f>
        <v>4.4478763442492335</v>
      </c>
      <c r="O8" s="6" t="s">
        <v>58</v>
      </c>
    </row>
    <row r="9" spans="1:15" x14ac:dyDescent="0.35">
      <c r="A9" s="9"/>
      <c r="E9" s="10" t="s">
        <v>87</v>
      </c>
      <c r="F9">
        <v>0</v>
      </c>
      <c r="G9" s="6" t="s">
        <v>88</v>
      </c>
      <c r="I9" s="10" t="s">
        <v>87</v>
      </c>
      <c r="J9">
        <v>0</v>
      </c>
      <c r="K9" s="6" t="s">
        <v>88</v>
      </c>
      <c r="M9" s="10" t="s">
        <v>87</v>
      </c>
      <c r="N9">
        <v>0</v>
      </c>
      <c r="O9" s="6" t="s">
        <v>88</v>
      </c>
    </row>
    <row r="11" spans="1:15" x14ac:dyDescent="0.35">
      <c r="E11" s="16" t="s">
        <v>78</v>
      </c>
      <c r="I11" s="16" t="s">
        <v>339</v>
      </c>
      <c r="M11" s="16" t="s">
        <v>339</v>
      </c>
    </row>
    <row r="12" spans="1:15" x14ac:dyDescent="0.35">
      <c r="E12" s="10" t="s">
        <v>82</v>
      </c>
      <c r="F12">
        <f>Variables!B14</f>
        <v>5.9849552708787623</v>
      </c>
      <c r="G12" s="6" t="s">
        <v>58</v>
      </c>
      <c r="I12" s="10" t="s">
        <v>82</v>
      </c>
      <c r="J12">
        <f>'Tail Sizing'!C45</f>
        <v>9.0037519784049973</v>
      </c>
      <c r="K12" s="6" t="s">
        <v>58</v>
      </c>
      <c r="M12" s="10" t="s">
        <v>82</v>
      </c>
      <c r="N12">
        <f>'Tail Sizing'!C57</f>
        <v>7.8005770574773425</v>
      </c>
      <c r="O12" s="6" t="s">
        <v>58</v>
      </c>
    </row>
    <row r="13" spans="1:15" x14ac:dyDescent="0.35">
      <c r="E13" s="10" t="s">
        <v>83</v>
      </c>
      <c r="F13">
        <f>Variables!B9/2</f>
        <v>9.1440000000000001</v>
      </c>
      <c r="G13" s="6" t="s">
        <v>58</v>
      </c>
      <c r="I13" s="10" t="s">
        <v>83</v>
      </c>
      <c r="J13">
        <f>'Tail Sizing'!B45</f>
        <v>5.3347872430760344</v>
      </c>
      <c r="K13" s="6" t="s">
        <v>58</v>
      </c>
      <c r="M13" s="10" t="s">
        <v>83</v>
      </c>
      <c r="N13">
        <f>'Tail Sizing'!B57</f>
        <v>2.1061474785662311</v>
      </c>
      <c r="O13" s="6" t="s">
        <v>58</v>
      </c>
    </row>
    <row r="14" spans="1:15" x14ac:dyDescent="0.35">
      <c r="E14" s="10" t="s">
        <v>84</v>
      </c>
      <c r="F14">
        <v>0</v>
      </c>
      <c r="G14" s="6" t="s">
        <v>58</v>
      </c>
      <c r="I14" s="10" t="s">
        <v>84</v>
      </c>
      <c r="J14">
        <v>-0.05</v>
      </c>
      <c r="K14" s="6" t="s">
        <v>58</v>
      </c>
      <c r="M14" s="10" t="s">
        <v>84</v>
      </c>
      <c r="N14">
        <f>'Tail Sizing'!B16*SIN('Tail Sizing'!B10*PI()/180)</f>
        <v>3.1347274341444056</v>
      </c>
      <c r="O14" s="6" t="s">
        <v>58</v>
      </c>
    </row>
    <row r="15" spans="1:15" x14ac:dyDescent="0.35">
      <c r="E15" s="10" t="s">
        <v>86</v>
      </c>
      <c r="F15">
        <f>Variables!B13</f>
        <v>1.570891378962245</v>
      </c>
      <c r="G15" s="6" t="s">
        <v>58</v>
      </c>
      <c r="I15" s="10" t="s">
        <v>86</v>
      </c>
      <c r="J15">
        <f>'Tail Sizing'!F20</f>
        <v>1.1397253055618566</v>
      </c>
      <c r="K15" s="6" t="s">
        <v>58</v>
      </c>
      <c r="M15" s="10" t="s">
        <v>86</v>
      </c>
      <c r="N15">
        <f>'Tail Sizing'!B20</f>
        <v>2.2239381721246168</v>
      </c>
      <c r="O15" s="6" t="s">
        <v>58</v>
      </c>
    </row>
    <row r="16" spans="1:15" x14ac:dyDescent="0.35">
      <c r="E16" s="10" t="s">
        <v>87</v>
      </c>
      <c r="F16">
        <f>Variables!B15</f>
        <v>-2.7</v>
      </c>
      <c r="G16" s="6" t="s">
        <v>88</v>
      </c>
      <c r="I16" s="10" t="s">
        <v>87</v>
      </c>
      <c r="J16">
        <v>0</v>
      </c>
      <c r="K16" s="6" t="s">
        <v>88</v>
      </c>
      <c r="M16" s="10" t="s">
        <v>87</v>
      </c>
      <c r="N16">
        <v>0</v>
      </c>
      <c r="O16" s="6" t="s">
        <v>88</v>
      </c>
    </row>
  </sheetData>
  <mergeCells count="4">
    <mergeCell ref="A1:C1"/>
    <mergeCell ref="E1:G1"/>
    <mergeCell ref="I1:K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F056F-62EE-46BC-9125-C1BA716D0DD8}">
  <dimension ref="A1:G17"/>
  <sheetViews>
    <sheetView workbookViewId="0">
      <selection activeCell="P10" sqref="P10"/>
    </sheetView>
  </sheetViews>
  <sheetFormatPr defaultRowHeight="14.5" x14ac:dyDescent="0.35"/>
  <sheetData>
    <row r="1" spans="1:7" x14ac:dyDescent="0.35">
      <c r="A1" s="40" t="s">
        <v>362</v>
      </c>
      <c r="B1" s="40"/>
      <c r="C1" s="40"/>
      <c r="D1" s="40"/>
      <c r="E1" s="40"/>
      <c r="F1" s="40"/>
      <c r="G1" s="40"/>
    </row>
    <row r="2" spans="1:7" x14ac:dyDescent="0.35">
      <c r="A2" t="s">
        <v>1</v>
      </c>
      <c r="B2" t="s">
        <v>118</v>
      </c>
      <c r="C2" t="s">
        <v>353</v>
      </c>
      <c r="D2" t="s">
        <v>354</v>
      </c>
      <c r="E2" t="s">
        <v>162</v>
      </c>
      <c r="F2" t="s">
        <v>151</v>
      </c>
      <c r="G2" t="s">
        <v>355</v>
      </c>
    </row>
    <row r="3" spans="1:7" x14ac:dyDescent="0.35">
      <c r="A3" s="38">
        <v>0</v>
      </c>
      <c r="B3" s="38">
        <v>0.33561999999999997</v>
      </c>
      <c r="C3" s="38">
        <v>-1.2501</v>
      </c>
      <c r="D3" s="38">
        <v>3.9590040000000002</v>
      </c>
      <c r="E3" s="38">
        <v>-5.0000000000000004E-6</v>
      </c>
      <c r="F3" s="38">
        <v>4.8821250000000003</v>
      </c>
      <c r="G3" s="39">
        <f>-E3/F3</f>
        <v>1.02414419950329E-6</v>
      </c>
    </row>
    <row r="4" spans="1:7" x14ac:dyDescent="0.35">
      <c r="A4" s="38">
        <v>0.2</v>
      </c>
      <c r="B4" s="38">
        <v>2.6840700000000002</v>
      </c>
      <c r="C4" s="38">
        <v>-1.2315</v>
      </c>
      <c r="D4" s="38">
        <v>3.9509479999999999</v>
      </c>
      <c r="E4" s="38">
        <v>1.0482E-2</v>
      </c>
      <c r="F4" s="38">
        <v>4.8586169999999997</v>
      </c>
      <c r="G4" s="39">
        <f t="shared" ref="G4:G5" si="0">-E4/F4</f>
        <v>-2.1574040513998118E-3</v>
      </c>
    </row>
    <row r="5" spans="1:7" x14ac:dyDescent="0.35">
      <c r="A5" s="38">
        <v>0.4</v>
      </c>
      <c r="B5" s="38">
        <v>5.0433199999999996</v>
      </c>
      <c r="C5" s="38">
        <v>-1.1740200000000001</v>
      </c>
      <c r="D5" s="38">
        <v>3.942545</v>
      </c>
      <c r="E5" s="38">
        <v>2.1203E-2</v>
      </c>
      <c r="F5" s="38">
        <v>4.8092360000000003</v>
      </c>
      <c r="G5" s="39">
        <f t="shared" si="0"/>
        <v>-4.408808384533427E-3</v>
      </c>
    </row>
    <row r="6" spans="1:7" x14ac:dyDescent="0.35">
      <c r="A6" s="38">
        <v>0.6</v>
      </c>
      <c r="B6" s="38">
        <v>7.4260999999999999</v>
      </c>
      <c r="C6" s="38">
        <v>-1.0739700000000001</v>
      </c>
      <c r="D6" s="38">
        <v>3.9335589999999998</v>
      </c>
      <c r="E6" s="38">
        <v>3.2265000000000002E-2</v>
      </c>
      <c r="F6" s="38">
        <v>4.7336270000000003</v>
      </c>
      <c r="G6" s="39">
        <f>-E6/F6</f>
        <v>-6.816126407932015E-3</v>
      </c>
    </row>
    <row r="7" spans="1:7" x14ac:dyDescent="0.35">
      <c r="A7" s="38">
        <v>0.8</v>
      </c>
      <c r="B7" s="38">
        <v>9.8460999999999999</v>
      </c>
      <c r="C7" s="38">
        <v>-0.92571999999999999</v>
      </c>
      <c r="D7" s="38">
        <v>3.9237039999999999</v>
      </c>
      <c r="E7" s="38">
        <v>4.3795000000000001E-2</v>
      </c>
      <c r="F7" s="38">
        <v>4.631176</v>
      </c>
      <c r="G7" s="39">
        <f>-E7/F7</f>
        <v>-9.4565613572017131E-3</v>
      </c>
    </row>
    <row r="9" spans="1:7" x14ac:dyDescent="0.35">
      <c r="A9" s="38"/>
      <c r="B9" s="38"/>
      <c r="C9" s="38"/>
      <c r="D9" s="38"/>
      <c r="E9" s="38"/>
      <c r="F9" s="38"/>
      <c r="G9" s="38"/>
    </row>
    <row r="10" spans="1:7" x14ac:dyDescent="0.35">
      <c r="A10" s="59" t="s">
        <v>361</v>
      </c>
      <c r="B10" s="59"/>
      <c r="C10" s="59"/>
      <c r="D10" s="59"/>
      <c r="E10" s="59"/>
      <c r="F10" s="59"/>
      <c r="G10" s="59"/>
    </row>
    <row r="11" spans="1:7" x14ac:dyDescent="0.35">
      <c r="A11" s="38" t="s">
        <v>1</v>
      </c>
      <c r="B11" s="38" t="s">
        <v>118</v>
      </c>
      <c r="C11" s="38" t="s">
        <v>353</v>
      </c>
      <c r="D11" s="38" t="s">
        <v>354</v>
      </c>
      <c r="E11" s="38" t="s">
        <v>162</v>
      </c>
      <c r="F11" s="38" t="s">
        <v>151</v>
      </c>
      <c r="G11" s="38" t="s">
        <v>355</v>
      </c>
    </row>
    <row r="12" spans="1:7" x14ac:dyDescent="0.35">
      <c r="A12" s="38">
        <v>0.4</v>
      </c>
      <c r="B12" s="38">
        <v>-1.75966</v>
      </c>
      <c r="C12" s="38">
        <v>-14.518940000000001</v>
      </c>
      <c r="D12" s="38">
        <v>4.0047860000000002</v>
      </c>
      <c r="E12" s="38">
        <v>-6.0006999999999998E-2</v>
      </c>
      <c r="F12" s="38">
        <v>4.891832</v>
      </c>
      <c r="G12" s="39">
        <f>-E12/F12</f>
        <v>1.2266774492664506E-2</v>
      </c>
    </row>
    <row r="13" spans="1:7" x14ac:dyDescent="0.35">
      <c r="A13" s="38">
        <v>0.8</v>
      </c>
      <c r="B13" s="38">
        <v>3.04725</v>
      </c>
      <c r="C13" s="38">
        <v>-14.88632</v>
      </c>
      <c r="D13" s="38">
        <v>3.990364</v>
      </c>
      <c r="E13" s="38">
        <v>-0.04</v>
      </c>
      <c r="F13" s="38">
        <v>4.7602510000000002</v>
      </c>
      <c r="G13" s="39">
        <f t="shared" ref="G13:G16" si="1">-E13/F13</f>
        <v>8.4029182494788617E-3</v>
      </c>
    </row>
    <row r="14" spans="1:7" x14ac:dyDescent="0.35">
      <c r="A14" s="38">
        <v>1.2</v>
      </c>
      <c r="B14" s="38">
        <v>8.0205000000000002</v>
      </c>
      <c r="C14" s="38">
        <v>-15.11734</v>
      </c>
      <c r="D14" s="38">
        <v>3.9743119999999998</v>
      </c>
      <c r="E14" s="38">
        <v>-1.8537000000000001E-2</v>
      </c>
      <c r="F14" s="38">
        <v>4.5187759999999999</v>
      </c>
      <c r="G14" s="39">
        <f t="shared" si="1"/>
        <v>4.1022170605491404E-3</v>
      </c>
    </row>
    <row r="15" spans="1:7" x14ac:dyDescent="0.35">
      <c r="A15" s="38">
        <v>1.6</v>
      </c>
      <c r="B15" s="38">
        <v>13.30476</v>
      </c>
      <c r="C15" s="38">
        <v>-15.17484</v>
      </c>
      <c r="D15" s="38">
        <v>3.9539849999999999</v>
      </c>
      <c r="E15" s="38">
        <v>5.5849999999999997E-3</v>
      </c>
      <c r="F15" s="38">
        <v>4.1567239999999996</v>
      </c>
      <c r="G15" s="39">
        <f t="shared" si="1"/>
        <v>-1.3436061667794158E-3</v>
      </c>
    </row>
    <row r="16" spans="1:7" x14ac:dyDescent="0.35">
      <c r="A16" s="38">
        <v>2</v>
      </c>
      <c r="B16" s="38">
        <v>19.119789999999998</v>
      </c>
      <c r="C16" s="38">
        <v>-14.96241</v>
      </c>
      <c r="D16" s="38">
        <v>3.923829</v>
      </c>
      <c r="E16" s="38">
        <v>3.4438999999999997E-2</v>
      </c>
      <c r="F16" s="38">
        <v>3.6547930000000002</v>
      </c>
      <c r="G16" s="39">
        <f t="shared" si="1"/>
        <v>-9.4229686879667325E-3</v>
      </c>
    </row>
    <row r="17" spans="2:7" x14ac:dyDescent="0.35">
      <c r="B17" s="38"/>
      <c r="C17" s="38"/>
      <c r="D17" s="38"/>
      <c r="E17" s="38"/>
      <c r="F17" s="38"/>
      <c r="G17" s="38"/>
    </row>
  </sheetData>
  <mergeCells count="2">
    <mergeCell ref="A1:G1"/>
    <mergeCell ref="A10:G10"/>
  </mergeCells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Study_9</vt:lpstr>
      <vt:lpstr>CDCL</vt:lpstr>
      <vt:lpstr>CDCL(Re)</vt:lpstr>
      <vt:lpstr>Study_1</vt:lpstr>
      <vt:lpstr>Study_2</vt:lpstr>
      <vt:lpstr>Study_3</vt:lpstr>
      <vt:lpstr>Study_4</vt:lpstr>
      <vt:lpstr>A_CDCL</vt:lpstr>
      <vt:lpstr>A_CDCL(Re)</vt:lpstr>
      <vt:lpstr>Study_5</vt:lpstr>
      <vt:lpstr>CDCL (2)</vt:lpstr>
      <vt:lpstr>CDCL(Re) XFOIL</vt:lpstr>
      <vt:lpstr>Study_6</vt:lpstr>
      <vt:lpstr>Study_7</vt:lpstr>
      <vt:lpstr>Study_8</vt:lpstr>
      <vt:lpstr>polar8</vt:lpstr>
      <vt:lpstr>polar7</vt:lpstr>
      <vt:lpstr>polar6</vt:lpstr>
      <vt:lpstr>polar5</vt:lpstr>
      <vt:lpstr>polar4</vt:lpstr>
      <vt:lpstr>polar3</vt:lpstr>
      <vt:lpstr>polar2</vt:lpstr>
      <vt:lpstr>polar1</vt:lpstr>
      <vt:lpstr>Study_10A</vt:lpstr>
      <vt:lpstr>Study_10B</vt:lpstr>
      <vt:lpstr>Variables</vt:lpstr>
      <vt:lpstr>BuildAVL</vt:lpstr>
      <vt:lpstr>CruiseCDCL</vt:lpstr>
      <vt:lpstr>CruiseST</vt:lpstr>
      <vt:lpstr>CruiseFS</vt:lpstr>
      <vt:lpstr>Tail Sizing</vt:lpstr>
      <vt:lpstr>BuildAVL2</vt:lpstr>
      <vt:lpstr>Trim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2025-11-15T23:25:04Z</dcterms:modified>
</cp:coreProperties>
</file>