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882F0EC3-F13A-4A6F-8DAB-71CF111FB8D9}" xr6:coauthVersionLast="47" xr6:coauthVersionMax="47" xr10:uidLastSave="{00000000-0000-0000-0000-000000000000}"/>
  <bookViews>
    <workbookView xWindow="-110" yWindow="-110" windowWidth="19420" windowHeight="11500" firstSheet="27" activeTab="27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polar1" sheetId="68" state="hidden" r:id="rId14"/>
    <sheet name="Study_4" sheetId="65" state="hidden" r:id="rId15"/>
    <sheet name="CDCL" sheetId="16" state="hidden" r:id="rId16"/>
    <sheet name="CDCL(Re)" sheetId="6" state="hidden" r:id="rId17"/>
    <sheet name="A_CDCL" sheetId="64" state="hidden" r:id="rId18"/>
    <sheet name="A_CDCL(Re)" sheetId="58" state="hidden" r:id="rId19"/>
    <sheet name="polar2" sheetId="69" state="hidden" r:id="rId20"/>
    <sheet name="polar4" sheetId="70" state="hidden" r:id="rId21"/>
    <sheet name="polar8" sheetId="71" state="hidden" r:id="rId22"/>
    <sheet name="Study_1" sheetId="39" state="hidden" r:id="rId23"/>
    <sheet name="Study_2" sheetId="57" state="hidden" r:id="rId24"/>
    <sheet name="Study_3" sheetId="56" state="hidden" r:id="rId25"/>
    <sheet name="Study_5" sheetId="66" state="hidden" r:id="rId26"/>
    <sheet name="CDCL(Re) XFOIL" sheetId="72" state="hidden" r:id="rId27"/>
    <sheet name="Study_6" sheetId="73" r:id="rId28"/>
    <sheet name="Variables" sheetId="1" r:id="rId29"/>
    <sheet name="BuildAVL" sheetId="3" r:id="rId30"/>
    <sheet name="CruiseCDCL" sheetId="27" r:id="rId31"/>
    <sheet name="CruiseST" sheetId="4" r:id="rId32"/>
    <sheet name="CruiseFS" sheetId="5" r:id="rId33"/>
    <sheet name="Tail Sizing" sheetId="67" r:id="rId34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13" hidden="1">polar1!$A$1:$D$41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19" hidden="1">polar2!$A$1:$D$41</definedName>
    <definedName name="ExternalData_4" localSheetId="6" hidden="1">'T1_Re40 000_M0 84_N5 0_XtrTop 5'!$A$1:$L$79</definedName>
    <definedName name="ExternalData_5" localSheetId="20" hidden="1">polar4!$A$1:$D$41</definedName>
    <definedName name="ExternalData_5" localSheetId="5" hidden="1">'T1_Re60 000_M0 84_N5 0_XtrTop 5'!$A$1:$L$69</definedName>
    <definedName name="ExternalData_6" localSheetId="21" hidden="1">polar8!$A$1:$D$41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7" hidden="1">A_CDCL!$G$8,A_CDCL!$G$12</definedName>
    <definedName name="solver_adj" localSheetId="15" hidden="1">CDCL!$G$8,CDCL!$G$12</definedName>
    <definedName name="solver_adj" localSheetId="28" hidden="1">Variables!#REF!</definedName>
    <definedName name="solver_cvg" localSheetId="17" hidden="1">0.0001</definedName>
    <definedName name="solver_cvg" localSheetId="15" hidden="1">0.0001</definedName>
    <definedName name="solver_cvg" localSheetId="28" hidden="1">0.00001</definedName>
    <definedName name="solver_drv" localSheetId="17" hidden="1">2</definedName>
    <definedName name="solver_drv" localSheetId="15" hidden="1">2</definedName>
    <definedName name="solver_drv" localSheetId="28" hidden="1">1</definedName>
    <definedName name="solver_eng" localSheetId="17" hidden="1">3</definedName>
    <definedName name="solver_eng" localSheetId="15" hidden="1">3</definedName>
    <definedName name="solver_eng" localSheetId="28" hidden="1">1</definedName>
    <definedName name="solver_est" localSheetId="17" hidden="1">1</definedName>
    <definedName name="solver_est" localSheetId="15" hidden="1">1</definedName>
    <definedName name="solver_est" localSheetId="28" hidden="1">1</definedName>
    <definedName name="solver_itr" localSheetId="17" hidden="1">2147483647</definedName>
    <definedName name="solver_itr" localSheetId="15" hidden="1">2147483647</definedName>
    <definedName name="solver_itr" localSheetId="28" hidden="1">2147483647</definedName>
    <definedName name="solver_lhs1" localSheetId="17" hidden="1">A_CDCL!$G$12</definedName>
    <definedName name="solver_lhs1" localSheetId="15" hidden="1">CDCL!$G$12</definedName>
    <definedName name="solver_lhs1" localSheetId="28" hidden="1">Variables!#REF!</definedName>
    <definedName name="solver_lhs2" localSheetId="17" hidden="1">A_CDCL!$G$12</definedName>
    <definedName name="solver_lhs2" localSheetId="15" hidden="1">CDCL!$G$12</definedName>
    <definedName name="solver_lhs2" localSheetId="28" hidden="1">Variables!#REF!</definedName>
    <definedName name="solver_lhs3" localSheetId="17" hidden="1">A_CDCL!$G$8</definedName>
    <definedName name="solver_lhs3" localSheetId="15" hidden="1">CDCL!$G$8</definedName>
    <definedName name="solver_lhs4" localSheetId="17" hidden="1">A_CDCL!$G$8</definedName>
    <definedName name="solver_lhs4" localSheetId="15" hidden="1">CDCL!$G$8</definedName>
    <definedName name="solver_lhs5" localSheetId="17" hidden="1">A_CDCL!$G$8</definedName>
    <definedName name="solver_lhs5" localSheetId="15" hidden="1">CDCL!$G$8</definedName>
    <definedName name="solver_lhs6" localSheetId="17" hidden="1">A_CDCL!$G$8</definedName>
    <definedName name="solver_lhs6" localSheetId="15" hidden="1">CDCL!$G$8</definedName>
    <definedName name="solver_lhs7" localSheetId="17" hidden="1">A_CDCL!$G$8</definedName>
    <definedName name="solver_lhs7" localSheetId="15" hidden="1">CDCL!$G$8</definedName>
    <definedName name="solver_lhs8" localSheetId="17" hidden="1">A_CDCL!$G$8</definedName>
    <definedName name="solver_lhs8" localSheetId="15" hidden="1">CDCL!$G$8</definedName>
    <definedName name="solver_lhs9" localSheetId="17" hidden="1">A_CDCL!$G$8</definedName>
    <definedName name="solver_lhs9" localSheetId="15" hidden="1">CDCL!$G$8</definedName>
    <definedName name="solver_mip" localSheetId="17" hidden="1">2147483647</definedName>
    <definedName name="solver_mip" localSheetId="15" hidden="1">2147483647</definedName>
    <definedName name="solver_mip" localSheetId="28" hidden="1">2147483647</definedName>
    <definedName name="solver_mni" localSheetId="17" hidden="1">30</definedName>
    <definedName name="solver_mni" localSheetId="15" hidden="1">30</definedName>
    <definedName name="solver_mni" localSheetId="28" hidden="1">30</definedName>
    <definedName name="solver_mrt" localSheetId="17" hidden="1">0.075</definedName>
    <definedName name="solver_mrt" localSheetId="15" hidden="1">0.075</definedName>
    <definedName name="solver_mrt" localSheetId="28" hidden="1">0.1</definedName>
    <definedName name="solver_msl" localSheetId="17" hidden="1">2</definedName>
    <definedName name="solver_msl" localSheetId="15" hidden="1">2</definedName>
    <definedName name="solver_msl" localSheetId="28" hidden="1">1</definedName>
    <definedName name="solver_neg" localSheetId="17" hidden="1">1</definedName>
    <definedName name="solver_neg" localSheetId="15" hidden="1">1</definedName>
    <definedName name="solver_neg" localSheetId="28" hidden="1">1</definedName>
    <definedName name="solver_nod" localSheetId="17" hidden="1">2147483647</definedName>
    <definedName name="solver_nod" localSheetId="15" hidden="1">2147483647</definedName>
    <definedName name="solver_nod" localSheetId="28" hidden="1">2147483647</definedName>
    <definedName name="solver_num" localSheetId="17" hidden="1">5</definedName>
    <definedName name="solver_num" localSheetId="15" hidden="1">5</definedName>
    <definedName name="solver_num" localSheetId="28" hidden="1">2</definedName>
    <definedName name="solver_nwt" localSheetId="17" hidden="1">1</definedName>
    <definedName name="solver_nwt" localSheetId="15" hidden="1">1</definedName>
    <definedName name="solver_nwt" localSheetId="28" hidden="1">1</definedName>
    <definedName name="solver_opt" localSheetId="17" hidden="1">A_CDCL!$G$12</definedName>
    <definedName name="solver_opt" localSheetId="15" hidden="1">CDCL!$G$12</definedName>
    <definedName name="solver_opt" localSheetId="28" hidden="1">Variables!#REF!</definedName>
    <definedName name="solver_pre" localSheetId="17" hidden="1">0.000001</definedName>
    <definedName name="solver_pre" localSheetId="15" hidden="1">0.000001</definedName>
    <definedName name="solver_pre" localSheetId="28" hidden="1">0.000001</definedName>
    <definedName name="solver_rbv" localSheetId="17" hidden="1">2</definedName>
    <definedName name="solver_rbv" localSheetId="15" hidden="1">2</definedName>
    <definedName name="solver_rbv" localSheetId="28" hidden="1">1</definedName>
    <definedName name="solver_rel1" localSheetId="17" hidden="1">1</definedName>
    <definedName name="solver_rel1" localSheetId="15" hidden="1">1</definedName>
    <definedName name="solver_rel1" localSheetId="28" hidden="1">1</definedName>
    <definedName name="solver_rel2" localSheetId="17" hidden="1">4</definedName>
    <definedName name="solver_rel2" localSheetId="15" hidden="1">4</definedName>
    <definedName name="solver_rel2" localSheetId="28" hidden="1">3</definedName>
    <definedName name="solver_rel3" localSheetId="17" hidden="1">1</definedName>
    <definedName name="solver_rel3" localSheetId="15" hidden="1">1</definedName>
    <definedName name="solver_rel4" localSheetId="17" hidden="1">4</definedName>
    <definedName name="solver_rel4" localSheetId="15" hidden="1">4</definedName>
    <definedName name="solver_rel5" localSheetId="17" hidden="1">3</definedName>
    <definedName name="solver_rel5" localSheetId="15" hidden="1">3</definedName>
    <definedName name="solver_rel6" localSheetId="17" hidden="1">3</definedName>
    <definedName name="solver_rel6" localSheetId="15" hidden="1">3</definedName>
    <definedName name="solver_rel7" localSheetId="17" hidden="1">3</definedName>
    <definedName name="solver_rel7" localSheetId="15" hidden="1">3</definedName>
    <definedName name="solver_rel8" localSheetId="17" hidden="1">3</definedName>
    <definedName name="solver_rel8" localSheetId="15" hidden="1">3</definedName>
    <definedName name="solver_rel9" localSheetId="17" hidden="1">3</definedName>
    <definedName name="solver_rel9" localSheetId="15" hidden="1">3</definedName>
    <definedName name="solver_rhs1" localSheetId="17" hidden="1">A_CDCL!$G$28</definedName>
    <definedName name="solver_rhs1" localSheetId="15" hidden="1">CDCL!$G$28</definedName>
    <definedName name="solver_rhs1" localSheetId="28" hidden="1">Variables!#REF!</definedName>
    <definedName name="solver_rhs2" localSheetId="17" hidden="1">"integer"</definedName>
    <definedName name="solver_rhs2" localSheetId="15" hidden="1">"integer"</definedName>
    <definedName name="solver_rhs2" localSheetId="28" hidden="1">Variables!#REF!</definedName>
    <definedName name="solver_rhs3" localSheetId="17" hidden="1">A_CDCL!$G$12-1</definedName>
    <definedName name="solver_rhs3" localSheetId="15" hidden="1">CDCL!$G$12-1</definedName>
    <definedName name="solver_rhs4" localSheetId="17" hidden="1">"integer"</definedName>
    <definedName name="solver_rhs4" localSheetId="15" hidden="1">"integer"</definedName>
    <definedName name="solver_rhs5" localSheetId="17" hidden="1">1</definedName>
    <definedName name="solver_rhs5" localSheetId="15" hidden="1">1</definedName>
    <definedName name="solver_rhs6" localSheetId="17" hidden="1">0</definedName>
    <definedName name="solver_rhs6" localSheetId="15" hidden="1">0</definedName>
    <definedName name="solver_rhs7" localSheetId="17" hidden="1">0</definedName>
    <definedName name="solver_rhs7" localSheetId="15" hidden="1">0</definedName>
    <definedName name="solver_rhs8" localSheetId="17" hidden="1">0</definedName>
    <definedName name="solver_rhs8" localSheetId="15" hidden="1">0</definedName>
    <definedName name="solver_rhs9" localSheetId="17" hidden="1">0</definedName>
    <definedName name="solver_rhs9" localSheetId="15" hidden="1">0</definedName>
    <definedName name="solver_rlx" localSheetId="17" hidden="1">2</definedName>
    <definedName name="solver_rlx" localSheetId="15" hidden="1">2</definedName>
    <definedName name="solver_rlx" localSheetId="28" hidden="1">2</definedName>
    <definedName name="solver_rsd" localSheetId="17" hidden="1">0</definedName>
    <definedName name="solver_rsd" localSheetId="15" hidden="1">0</definedName>
    <definedName name="solver_rsd" localSheetId="28" hidden="1">12</definedName>
    <definedName name="solver_scl" localSheetId="17" hidden="1">2</definedName>
    <definedName name="solver_scl" localSheetId="15" hidden="1">2</definedName>
    <definedName name="solver_scl" localSheetId="28" hidden="1">1</definedName>
    <definedName name="solver_sho" localSheetId="17" hidden="1">2</definedName>
    <definedName name="solver_sho" localSheetId="15" hidden="1">2</definedName>
    <definedName name="solver_sho" localSheetId="28" hidden="1">2</definedName>
    <definedName name="solver_ssz" localSheetId="17" hidden="1">100</definedName>
    <definedName name="solver_ssz" localSheetId="15" hidden="1">100</definedName>
    <definedName name="solver_ssz" localSheetId="28" hidden="1">200</definedName>
    <definedName name="solver_tim" localSheetId="17" hidden="1">2147483647</definedName>
    <definedName name="solver_tim" localSheetId="15" hidden="1">2147483647</definedName>
    <definedName name="solver_tim" localSheetId="28" hidden="1">300</definedName>
    <definedName name="solver_tol" localSheetId="17" hidden="1">0.01</definedName>
    <definedName name="solver_tol" localSheetId="15" hidden="1">0.01</definedName>
    <definedName name="solver_tol" localSheetId="28" hidden="1">0.01</definedName>
    <definedName name="solver_typ" localSheetId="17" hidden="1">1</definedName>
    <definedName name="solver_typ" localSheetId="15" hidden="1">1</definedName>
    <definedName name="solver_typ" localSheetId="28" hidden="1">2</definedName>
    <definedName name="solver_val" localSheetId="17" hidden="1">0</definedName>
    <definedName name="solver_val" localSheetId="15" hidden="1">0</definedName>
    <definedName name="solver_val" localSheetId="28" hidden="1">0</definedName>
    <definedName name="solver_ver" localSheetId="17" hidden="1">3</definedName>
    <definedName name="solver_ver" localSheetId="15" hidden="1">3</definedName>
    <definedName name="solver_ver" localSheetId="28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I25" i="1"/>
  <c r="F7" i="67"/>
  <c r="B7" i="67"/>
  <c r="B3" i="67"/>
  <c r="B2" i="67"/>
  <c r="B1" i="67"/>
  <c r="F5" i="67"/>
  <c r="E30" i="1"/>
  <c r="E18" i="1"/>
  <c r="AI16" i="73"/>
  <c r="AH16" i="73"/>
  <c r="AG16" i="73"/>
  <c r="AF16" i="73"/>
  <c r="AE16" i="73"/>
  <c r="AD16" i="73"/>
  <c r="Z16" i="73"/>
  <c r="Y16" i="73"/>
  <c r="X16" i="73"/>
  <c r="W16" i="73"/>
  <c r="V16" i="73"/>
  <c r="U16" i="73"/>
  <c r="Q16" i="73"/>
  <c r="P16" i="73"/>
  <c r="O16" i="73"/>
  <c r="N16" i="73"/>
  <c r="M16" i="73"/>
  <c r="L16" i="73"/>
  <c r="H16" i="73"/>
  <c r="G16" i="73"/>
  <c r="F16" i="73"/>
  <c r="E16" i="73"/>
  <c r="D16" i="73"/>
  <c r="C16" i="73"/>
  <c r="AI15" i="73"/>
  <c r="AH15" i="73"/>
  <c r="AG15" i="73"/>
  <c r="AF15" i="73"/>
  <c r="AE15" i="73"/>
  <c r="AD15" i="73"/>
  <c r="Z15" i="73"/>
  <c r="Y15" i="73"/>
  <c r="X15" i="73"/>
  <c r="W15" i="73"/>
  <c r="V15" i="73"/>
  <c r="U15" i="73"/>
  <c r="Q15" i="73"/>
  <c r="P15" i="73"/>
  <c r="O15" i="73"/>
  <c r="N15" i="73"/>
  <c r="M15" i="73"/>
  <c r="L15" i="73"/>
  <c r="H15" i="73"/>
  <c r="G15" i="73"/>
  <c r="F15" i="73"/>
  <c r="E15" i="73"/>
  <c r="D15" i="73"/>
  <c r="C15" i="73"/>
  <c r="AI14" i="73"/>
  <c r="AH14" i="73"/>
  <c r="AG14" i="73"/>
  <c r="AF14" i="73"/>
  <c r="AE14" i="73"/>
  <c r="AD14" i="73"/>
  <c r="Z14" i="73"/>
  <c r="Y14" i="73"/>
  <c r="X14" i="73"/>
  <c r="W14" i="73"/>
  <c r="V14" i="73"/>
  <c r="U14" i="73"/>
  <c r="Q14" i="73"/>
  <c r="P14" i="73"/>
  <c r="O14" i="73"/>
  <c r="N14" i="73"/>
  <c r="M14" i="73"/>
  <c r="L14" i="73"/>
  <c r="H14" i="73"/>
  <c r="G14" i="73"/>
  <c r="F14" i="73"/>
  <c r="E14" i="73"/>
  <c r="D14" i="73"/>
  <c r="C14" i="73"/>
  <c r="AI13" i="73"/>
  <c r="AH13" i="73"/>
  <c r="AG13" i="73"/>
  <c r="AF13" i="73"/>
  <c r="AE13" i="73"/>
  <c r="AD13" i="73"/>
  <c r="Z13" i="73"/>
  <c r="Y13" i="73"/>
  <c r="X13" i="73"/>
  <c r="W13" i="73"/>
  <c r="V13" i="73"/>
  <c r="U13" i="73"/>
  <c r="Q13" i="73"/>
  <c r="P13" i="73"/>
  <c r="O13" i="73"/>
  <c r="N13" i="73"/>
  <c r="M13" i="73"/>
  <c r="L13" i="73"/>
  <c r="H13" i="73"/>
  <c r="G13" i="73"/>
  <c r="F13" i="73"/>
  <c r="E13" i="73"/>
  <c r="D13" i="73"/>
  <c r="C13" i="73"/>
  <c r="AI12" i="73"/>
  <c r="AH12" i="73"/>
  <c r="AG12" i="73"/>
  <c r="AF12" i="73"/>
  <c r="AE12" i="73"/>
  <c r="AD12" i="73"/>
  <c r="Z12" i="73"/>
  <c r="Y12" i="73"/>
  <c r="X12" i="73"/>
  <c r="W12" i="73"/>
  <c r="V12" i="73"/>
  <c r="U12" i="73"/>
  <c r="Q12" i="73"/>
  <c r="P12" i="73"/>
  <c r="O12" i="73"/>
  <c r="N12" i="73"/>
  <c r="M12" i="73"/>
  <c r="L12" i="73"/>
  <c r="H12" i="73"/>
  <c r="G12" i="73"/>
  <c r="F12" i="73"/>
  <c r="E12" i="73"/>
  <c r="D12" i="73"/>
  <c r="C12" i="73"/>
  <c r="AI11" i="73"/>
  <c r="AH11" i="73"/>
  <c r="AG11" i="73"/>
  <c r="AF11" i="73"/>
  <c r="AE11" i="73"/>
  <c r="AD11" i="73"/>
  <c r="Z11" i="73"/>
  <c r="Y11" i="73"/>
  <c r="X11" i="73"/>
  <c r="W11" i="73"/>
  <c r="V11" i="73"/>
  <c r="U11" i="73"/>
  <c r="Q11" i="73"/>
  <c r="P11" i="73"/>
  <c r="O11" i="73"/>
  <c r="N11" i="73"/>
  <c r="M11" i="73"/>
  <c r="L11" i="73"/>
  <c r="H11" i="73"/>
  <c r="G11" i="73"/>
  <c r="F11" i="73"/>
  <c r="E11" i="73"/>
  <c r="D11" i="73"/>
  <c r="C11" i="73"/>
  <c r="AI10" i="73"/>
  <c r="AH10" i="73"/>
  <c r="AG10" i="73"/>
  <c r="AF10" i="73"/>
  <c r="AE10" i="73"/>
  <c r="AD10" i="73"/>
  <c r="Z10" i="73"/>
  <c r="Y10" i="73"/>
  <c r="X10" i="73"/>
  <c r="W10" i="73"/>
  <c r="V10" i="73"/>
  <c r="U10" i="73"/>
  <c r="Q10" i="73"/>
  <c r="P10" i="73"/>
  <c r="O10" i="73"/>
  <c r="N10" i="73"/>
  <c r="M10" i="73"/>
  <c r="L10" i="73"/>
  <c r="H10" i="73"/>
  <c r="G10" i="73"/>
  <c r="F10" i="73"/>
  <c r="E10" i="73"/>
  <c r="D10" i="73"/>
  <c r="C10" i="73"/>
  <c r="E3" i="73"/>
  <c r="E2" i="73"/>
  <c r="E4" i="73" s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D4" i="64" a="1"/>
  <c r="A4" i="64" a="1"/>
  <c r="B4" i="64" a="1"/>
  <c r="F8" i="67" l="1"/>
  <c r="F10" i="67" s="1"/>
  <c r="F16" i="67" s="1"/>
  <c r="F17" i="67" s="1"/>
  <c r="B8" i="67"/>
  <c r="B11" i="67" s="1"/>
  <c r="B16" i="67" s="1"/>
  <c r="B19" i="67" s="1"/>
  <c r="B20" i="67" s="1"/>
  <c r="E21" i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N5" i="1"/>
  <c r="N9" i="1" s="1"/>
  <c r="N10" i="1" s="1"/>
  <c r="H9" i="27"/>
  <c r="F13" i="3"/>
  <c r="B5" i="3"/>
  <c r="B12" i="1"/>
  <c r="F8" i="3" s="1"/>
  <c r="F19" i="67" l="1"/>
  <c r="F20" i="67" s="1"/>
  <c r="H5" i="27"/>
  <c r="G26" i="64"/>
  <c r="G25" i="64"/>
  <c r="G28" i="64"/>
  <c r="G5" i="64"/>
  <c r="N6" i="1"/>
  <c r="E22" i="1"/>
  <c r="E24" i="1" s="1"/>
  <c r="I21" i="1" s="1"/>
  <c r="I22" i="1" s="1"/>
  <c r="A5" i="27"/>
  <c r="B5" i="27" s="1"/>
  <c r="B4" i="3"/>
  <c r="O7" i="1"/>
  <c r="O11" i="1" s="1"/>
  <c r="B13" i="1"/>
  <c r="I24" i="1"/>
  <c r="B3" i="3"/>
  <c r="Z34" i="64" l="1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F12" i="3" s="1"/>
  <c r="A9" i="27"/>
  <c r="I23" i="1"/>
  <c r="C29" i="64" l="1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C19" i="64" l="1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O10" i="1" s="1"/>
  <c r="A4" i="16"/>
  <c r="B4" i="16"/>
  <c r="D4" i="16"/>
  <c r="U34" i="64" l="1"/>
  <c r="D9" i="27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4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5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6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7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8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9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0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1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12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13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14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15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16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17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8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9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0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1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22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<sst xmlns="http://schemas.openxmlformats.org/spreadsheetml/2006/main" count="1061" uniqueCount="333">
  <si>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</si>
  <si>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</si>
  <si>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</si>
  <si>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</si>
  <si>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</si>
  <si>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</si>
  <si>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</si>
  <si>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</si>
  <si>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</si>
  <si>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</si>
  <si>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</si>
  <si>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</si>
  <si>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</si>
  <si>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</si>
  <si>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</si>
  <si>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</si>
  <si>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</si>
  <si>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</si>
  <si>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</si>
  <si>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</si>
  <si>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</si>
  <si>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</si>
  <si>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</si>
  <si>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</si>
  <si>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</si>
  <si>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</si>
  <si>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</si>
  <si>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</si>
  <si>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</si>
  <si>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</si>
  <si>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</si>
  <si>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</si>
  <si>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</si>
  <si>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</si>
  <si>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</si>
  <si>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</si>
  <si>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</si>
  <si>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</si>
  <si>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</si>
  <si>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</si>
  <si>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</si>
  <si>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</si>
  <si>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</si>
  <si>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</si>
  <si>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</si>
  <si>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</si>
  <si>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</si>
  <si>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</si>
  <si>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</si>
  <si>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</si>
  <si>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</si>
  <si>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</si>
  <si>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</si>
  <si>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</si>
  <si>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</si>
  <si>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</si>
  <si>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</si>
  <si>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</si>
  <si>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</si>
  <si>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</si>
  <si>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</si>
  <si>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</si>
  <si>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</si>
  <si>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</si>
  <si>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</si>
  <si>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</si>
  <si>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</si>
  <si>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</si>
  <si>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</si>
  <si>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</si>
  <si>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</si>
  <si>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</si>
  <si>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</si>
  <si>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</si>
  <si>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</si>
  <si>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</si>
  <si>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</si>
  <si>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</si>
  <si>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</si>
  <si>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</si>
  <si>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</si>
  <si>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</si>
  <si>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</si>
  <si>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</si>
  <si>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</si>
  <si>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</si>
  <si>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</si>
  <si>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</si>
  <si>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</si>
  <si>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</si>
  <si>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</si>
  <si>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</si>
  <si>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</si>
  <si>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</si>
  <si>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</si>
  <si>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</si>
  <si>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</si>
  <si>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</si>
  <si>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</si>
  <si>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</si>
  <si>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</si>
  <si>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</si>
  <si>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</si>
  <si>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</si>
  <si>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</si>
  <si>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</si>
  <si>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</si>
  <si>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</si>
  <si>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</si>
  <si>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</si>
  <si>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</si>
  <si>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</si>
  <si>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</si>
  <si>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</si>
  <si>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</si>
  <si>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</si>
  <si>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</si>
  <si>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</si>
  <si>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</si>
  <si>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</si>
  <si>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</si>
  <si>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</si>
  <si>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</si>
  <si>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</si>
  <si>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</si>
  <si>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</si>
  <si>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</si>
  <si>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</si>
  <si>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</si>
  <si>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</si>
  <si>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</si>
  <si>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</si>
  <si>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</si>
  <si>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</si>
  <si>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</si>
  <si>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</si>
  <si>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</si>
  <si>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</si>
  <si>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</si>
  <si>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</si>
  <si>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</si>
  <si>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</si>
  <si>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</si>
  <si>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</si>
  <si>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</si>
  <si>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</si>
  <si>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</si>
  <si>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</si>
  <si>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</si>
  <si>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</si>
  <si>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</si>
  <si>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</si>
  <si>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</si>
  <si>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</si>
  <si>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</si>
  <si>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</si>
  <si>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</si>
  <si>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</si>
  <si>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</si>
  <si>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</si>
  <si>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</si>
  <si>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</si>
  <si>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</si>
  <si>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</si>
  <si>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</si>
  <si>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</si>
  <si>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</si>
  <si>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</si>
  <si>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</si>
  <si>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</si>
  <si>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</si>
  <si>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</si>
  <si>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</si>
  <si>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</si>
  <si>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</si>
  <si>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</si>
  <si>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</si>
  <si>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</si>
  <si>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</si>
  <si>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</si>
  <si>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</si>
  <si>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</si>
  <si>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</si>
  <si>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</si>
  <si>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</si>
  <si>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</si>
  <si>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</si>
  <si>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</si>
  <si>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</si>
  <si>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</si>
  <si>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</si>
  <si>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</si>
  <si>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</si>
  <si>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</si>
  <si>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</si>
  <si>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</si>
  <si>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</si>
  <si>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</si>
  <si>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</si>
  <si>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</si>
  <si>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</si>
  <si>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</si>
  <si>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</si>
  <si>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</si>
  <si>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</si>
  <si>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</si>
  <si>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</si>
  <si>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</si>
  <si>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</si>
  <si>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</si>
  <si>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</si>
  <si>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</si>
  <si>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</si>
  <si>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</si>
  <si>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</si>
  <si>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</si>
  <si>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</si>
  <si>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</si>
  <si>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</si>
  <si>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</si>
  <si>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</si>
  <si>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</si>
  <si>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</si>
  <si>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</si>
  <si>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</si>
  <si>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</si>
  <si>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</si>
  <si>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</si>
  <si>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</si>
  <si>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</si>
  <si>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</si>
  <si>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</si>
  <si>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</si>
  <si>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</si>
  <si>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</si>
  <si>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</si>
  <si>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</si>
  <si>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</si>
  <si>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</si>
  <si>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</si>
  <si>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</si>
  <si>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</si>
  <si>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</si>
  <si>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</si>
  <si>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</si>
  <si>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</si>
  <si>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</si>
  <si>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</si>
  <si>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</si>
  <si>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</si>
  <si>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</si>
  <si>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</si>
  <si>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</si>
  <si>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</si>
  <si>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</si>
  <si>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</si>
  <si>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</si>
  <si>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</si>
  <si>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</si>
  <si>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</si>
  <si>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</si>
  <si>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</si>
  <si>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</si>
  <si>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</si>
  <si>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</si>
  <si>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</si>
  <si>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</si>
  <si>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</si>
  <si>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</si>
  <si>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</si>
  <si>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CM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</si>
  <si>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</si>
  <si>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</si>
  <si>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</si>
  <si>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</si>
  <si>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</si>
  <si>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</si>
  <si>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</si>
  <si>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</si>
  <si>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</si>
  <si>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</si>
  <si>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</si>
  <si>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</si>
  <si>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</si>
  <si>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</si>
  <si>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</si>
  <si>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</si>
  <si>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</si>
  <si>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</si>
  <si>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ADflow parasitic polars</t>
  </si>
  <si>
    <t>Subtracted Korn CDwave</t>
  </si>
  <si>
    <t>CDw_0</t>
  </si>
  <si>
    <t>CL_cruise</t>
  </si>
  <si>
    <t>CL_stall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</si>
  <si>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</si>
  <si>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</si>
  <si>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</si>
  <si>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</si>
  <si>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</si>
  <si>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</si>
  <si>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</si>
  <si>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</si>
  <si>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</si>
  <si>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</si>
  <si>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</si>
  <si>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</si>
  <si>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</si>
  <si>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</si>
  <si>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</si>
  <si>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</si>
  <si>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</si>
  <si>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</si>
  <si>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</si>
  <si>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</si>
  <si>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</si>
  <si>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</si>
  <si>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</si>
  <si>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</si>
  <si>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</si>
  <si>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</si>
  <si>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</si>
  <si>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</si>
  <si>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</si>
  <si>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</si>
  <si>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</si>
  <si>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</si>
  <si>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</si>
  <si>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</si>
  <si>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</si>
  <si>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Twist to achieve ~1.465 Clmax</t>
  </si>
  <si>
    <t>Workflow for each taper/sweep combo</t>
  </si>
  <si>
    <t>Record values at CL=0.254 and sweep</t>
  </si>
  <si>
    <t>CL=1.2, iterate on sweep in 1 deg increments until Clmax ~1.465 based on Raymer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</si>
</sst>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NumberFormat="1"/>
    <xf numFmtId="0" fontId="0" fillId="0" borderId="0" xfId="0" applyFill="1"/>
    <xf numFmtId="11" fontId="0" fillId="0" borderId="7" xfId="0" applyNumberFormat="1" applyBorder="1"/>
    <xf numFmtId="0" fontId="0" fillId="0" borderId="1" xfId="0" applyFill="1" applyBorder="1"/>
    <xf numFmtId="0" fontId="0" fillId="0" borderId="0" xfId="0" applyBorder="1"/>
    <xf numFmtId="0" fontId="0" fillId="0" borderId="12" xfId="0" applyBorder="1"/>
    <xf numFmtId="0" fontId="0" fillId="0" borderId="12" xfId="0" applyBorder="1" applyAlignment="1">
      <alignment horizontal="right" vertical="center" textRotation="90"/>
    </xf>
    <xf numFmtId="0" fontId="0" fillId="0" borderId="0" xfId="0" applyBorder="1" applyAlignment="1">
      <alignment horizontal="right" vertical="center" textRotation="90"/>
    </xf>
    <xf numFmtId="0" fontId="0" fillId="0" borderId="13" xfId="0" applyBorder="1"/>
    <xf numFmtId="0" fontId="0" fillId="0" borderId="2" xfId="0" applyBorder="1" applyAlignment="1">
      <alignment horizontal="right" vertical="center" textRotation="90"/>
    </xf>
    <xf numFmtId="0" fontId="0" fillId="0" borderId="14" xfId="0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6.9851513155388383E-3</c:v>
                </c:pt>
                <c:pt idx="1">
                  <c:v>6.9640701247180477E-3</c:v>
                </c:pt>
                <c:pt idx="2">
                  <c:v>6.9432029561390931E-3</c:v>
                </c:pt>
                <c:pt idx="3">
                  <c:v>6.9225498098019738E-3</c:v>
                </c:pt>
                <c:pt idx="4">
                  <c:v>6.9021106857066897E-3</c:v>
                </c:pt>
                <c:pt idx="5">
                  <c:v>6.8818855838532417E-3</c:v>
                </c:pt>
                <c:pt idx="6">
                  <c:v>6.8618745042416289E-3</c:v>
                </c:pt>
                <c:pt idx="7">
                  <c:v>6.8420774468718505E-3</c:v>
                </c:pt>
                <c:pt idx="8">
                  <c:v>6.8224944117439082E-3</c:v>
                </c:pt>
                <c:pt idx="9">
                  <c:v>6.803125398857802E-3</c:v>
                </c:pt>
                <c:pt idx="10">
                  <c:v>6.7839704082135301E-3</c:v>
                </c:pt>
                <c:pt idx="11">
                  <c:v>6.7650294398110943E-3</c:v>
                </c:pt>
                <c:pt idx="12">
                  <c:v>6.7463024936504938E-3</c:v>
                </c:pt>
                <c:pt idx="13">
                  <c:v>6.7277895697317293E-3</c:v>
                </c:pt>
                <c:pt idx="14">
                  <c:v>6.7094906680547992E-3</c:v>
                </c:pt>
                <c:pt idx="15">
                  <c:v>6.6914057886197052E-3</c:v>
                </c:pt>
                <c:pt idx="16">
                  <c:v>6.6735349314264465E-3</c:v>
                </c:pt>
                <c:pt idx="17">
                  <c:v>6.6558780964750229E-3</c:v>
                </c:pt>
                <c:pt idx="18">
                  <c:v>6.6384352837654355E-3</c:v>
                </c:pt>
                <c:pt idx="19">
                  <c:v>6.6212064932976832E-3</c:v>
                </c:pt>
                <c:pt idx="20">
                  <c:v>6.6041917250717662E-3</c:v>
                </c:pt>
                <c:pt idx="21">
                  <c:v>6.5873909790876845E-3</c:v>
                </c:pt>
                <c:pt idx="22">
                  <c:v>6.5708042553454388E-3</c:v>
                </c:pt>
                <c:pt idx="23">
                  <c:v>6.5544315538450275E-3</c:v>
                </c:pt>
                <c:pt idx="24">
                  <c:v>6.5382728745864522E-3</c:v>
                </c:pt>
                <c:pt idx="25">
                  <c:v>6.5223282175697131E-3</c:v>
                </c:pt>
                <c:pt idx="26">
                  <c:v>6.5065975827948083E-3</c:v>
                </c:pt>
                <c:pt idx="27">
                  <c:v>6.4910809702617388E-3</c:v>
                </c:pt>
                <c:pt idx="28">
                  <c:v>6.4757783799705053E-3</c:v>
                </c:pt>
                <c:pt idx="29">
                  <c:v>6.4606898119211071E-3</c:v>
                </c:pt>
                <c:pt idx="30">
                  <c:v>6.445815266113545E-3</c:v>
                </c:pt>
                <c:pt idx="31">
                  <c:v>6.4311547425478181E-3</c:v>
                </c:pt>
                <c:pt idx="32">
                  <c:v>6.4167082412239255E-3</c:v>
                </c:pt>
                <c:pt idx="33">
                  <c:v>6.4024757621418699E-3</c:v>
                </c:pt>
                <c:pt idx="34">
                  <c:v>6.3884573053016487E-3</c:v>
                </c:pt>
                <c:pt idx="35">
                  <c:v>6.3746528707032627E-3</c:v>
                </c:pt>
                <c:pt idx="36">
                  <c:v>6.3610624583467128E-3</c:v>
                </c:pt>
                <c:pt idx="37">
                  <c:v>6.3476860682319981E-3</c:v>
                </c:pt>
                <c:pt idx="38">
                  <c:v>6.3345237003591195E-3</c:v>
                </c:pt>
                <c:pt idx="39">
                  <c:v>6.3215753547280753E-3</c:v>
                </c:pt>
                <c:pt idx="40">
                  <c:v>6.3088410313388672E-3</c:v>
                </c:pt>
                <c:pt idx="41">
                  <c:v>6.2963207301914943E-3</c:v>
                </c:pt>
                <c:pt idx="42">
                  <c:v>6.2840144512859566E-3</c:v>
                </c:pt>
                <c:pt idx="43">
                  <c:v>6.271922194622255E-3</c:v>
                </c:pt>
                <c:pt idx="44">
                  <c:v>6.2600439602003878E-3</c:v>
                </c:pt>
                <c:pt idx="45">
                  <c:v>6.2483797480203567E-3</c:v>
                </c:pt>
                <c:pt idx="46">
                  <c:v>6.2369295580821616E-3</c:v>
                </c:pt>
                <c:pt idx="47">
                  <c:v>6.225693390385801E-3</c:v>
                </c:pt>
                <c:pt idx="48">
                  <c:v>6.2146712449312764E-3</c:v>
                </c:pt>
                <c:pt idx="49">
                  <c:v>6.203863121718587E-3</c:v>
                </c:pt>
                <c:pt idx="50">
                  <c:v>6.1932690207477329E-3</c:v>
                </c:pt>
                <c:pt idx="51">
                  <c:v>6.182888942018714E-3</c:v>
                </c:pt>
                <c:pt idx="52">
                  <c:v>6.1727228855315312E-3</c:v>
                </c:pt>
                <c:pt idx="53">
                  <c:v>6.1627708512861836E-3</c:v>
                </c:pt>
                <c:pt idx="54">
                  <c:v>6.1530328392826713E-3</c:v>
                </c:pt>
                <c:pt idx="55">
                  <c:v>6.1435088495209941E-3</c:v>
                </c:pt>
                <c:pt idx="56">
                  <c:v>6.1341988820011531E-3</c:v>
                </c:pt>
                <c:pt idx="57">
                  <c:v>6.1251029367231473E-3</c:v>
                </c:pt>
                <c:pt idx="58">
                  <c:v>6.1162210136869767E-3</c:v>
                </c:pt>
                <c:pt idx="59">
                  <c:v>6.1075531128926414E-3</c:v>
                </c:pt>
                <c:pt idx="60">
                  <c:v>6.0990992343401421E-3</c:v>
                </c:pt>
                <c:pt idx="61">
                  <c:v>6.0908593780294781E-3</c:v>
                </c:pt>
                <c:pt idx="62">
                  <c:v>6.0828335439606493E-3</c:v>
                </c:pt>
                <c:pt idx="63">
                  <c:v>6.0750217321336557E-3</c:v>
                </c:pt>
                <c:pt idx="64">
                  <c:v>6.0674239425484973E-3</c:v>
                </c:pt>
                <c:pt idx="65">
                  <c:v>6.0600401752051751E-3</c:v>
                </c:pt>
                <c:pt idx="66">
                  <c:v>6.052870430103688E-3</c:v>
                </c:pt>
                <c:pt idx="67">
                  <c:v>6.0459147072440362E-3</c:v>
                </c:pt>
                <c:pt idx="68">
                  <c:v>6.0391730066262205E-3</c:v>
                </c:pt>
                <c:pt idx="69">
                  <c:v>6.03264532825024E-3</c:v>
                </c:pt>
                <c:pt idx="70">
                  <c:v>6.0263316721160948E-3</c:v>
                </c:pt>
                <c:pt idx="71">
                  <c:v>6.0202320382237847E-3</c:v>
                </c:pt>
                <c:pt idx="72">
                  <c:v>6.0143464265733099E-3</c:v>
                </c:pt>
                <c:pt idx="73">
                  <c:v>6.0086748371646712E-3</c:v>
                </c:pt>
                <c:pt idx="74">
                  <c:v>6.0032172699978677E-3</c:v>
                </c:pt>
                <c:pt idx="75">
                  <c:v>5.9979737250728995E-3</c:v>
                </c:pt>
                <c:pt idx="76">
                  <c:v>5.9929442023897665E-3</c:v>
                </c:pt>
                <c:pt idx="77">
                  <c:v>5.9881287019484695E-3</c:v>
                </c:pt>
                <c:pt idx="78">
                  <c:v>5.9835272237490078E-3</c:v>
                </c:pt>
                <c:pt idx="79">
                  <c:v>5.9791397677913813E-3</c:v>
                </c:pt>
                <c:pt idx="80">
                  <c:v>5.9749663340755901E-3</c:v>
                </c:pt>
                <c:pt idx="81">
                  <c:v>5.9710069226016349E-3</c:v>
                </c:pt>
                <c:pt idx="82">
                  <c:v>5.967261533369515E-3</c:v>
                </c:pt>
                <c:pt idx="83">
                  <c:v>5.9637301663792303E-3</c:v>
                </c:pt>
                <c:pt idx="84">
                  <c:v>5.9604128216307808E-3</c:v>
                </c:pt>
                <c:pt idx="85">
                  <c:v>5.9573094991241665E-3</c:v>
                </c:pt>
                <c:pt idx="86">
                  <c:v>5.9544201988593884E-3</c:v>
                </c:pt>
                <c:pt idx="87">
                  <c:v>5.9517449208364454E-3</c:v>
                </c:pt>
                <c:pt idx="88">
                  <c:v>5.9492836650553377E-3</c:v>
                </c:pt>
                <c:pt idx="89">
                  <c:v>5.9470364315160661E-3</c:v>
                </c:pt>
                <c:pt idx="90">
                  <c:v>5.9450032202186297E-3</c:v>
                </c:pt>
                <c:pt idx="91">
                  <c:v>5.9431840311630285E-3</c:v>
                </c:pt>
                <c:pt idx="92">
                  <c:v>5.9415788643492626E-3</c:v>
                </c:pt>
                <c:pt idx="93">
                  <c:v>5.9401877197773319E-3</c:v>
                </c:pt>
                <c:pt idx="94">
                  <c:v>5.9390105974472373E-3</c:v>
                </c:pt>
                <c:pt idx="95">
                  <c:v>5.9380474973589779E-3</c:v>
                </c:pt>
                <c:pt idx="96">
                  <c:v>5.9372984195125537E-3</c:v>
                </c:pt>
                <c:pt idx="97">
                  <c:v>5.9367633639079648E-3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-0.12865462454901341</c:v>
                </c:pt>
                <c:pt idx="1">
                  <c:v>-0.12627246490919261</c:v>
                </c:pt>
                <c:pt idx="2">
                  <c:v>-0.12389030526937182</c:v>
                </c:pt>
                <c:pt idx="3">
                  <c:v>-0.12150814562955102</c:v>
                </c:pt>
                <c:pt idx="4">
                  <c:v>-0.11912598598973023</c:v>
                </c:pt>
                <c:pt idx="5">
                  <c:v>-0.11674382634990943</c:v>
                </c:pt>
                <c:pt idx="6">
                  <c:v>-0.11436166671008864</c:v>
                </c:pt>
                <c:pt idx="7">
                  <c:v>-0.11197950707026784</c:v>
                </c:pt>
                <c:pt idx="8">
                  <c:v>-0.10959734743044705</c:v>
                </c:pt>
                <c:pt idx="9">
                  <c:v>-0.10721518779062625</c:v>
                </c:pt>
                <c:pt idx="10">
                  <c:v>-0.10483302815080545</c:v>
                </c:pt>
                <c:pt idx="11">
                  <c:v>-0.10245086851098466</c:v>
                </c:pt>
                <c:pt idx="12">
                  <c:v>-0.10006870887116386</c:v>
                </c:pt>
                <c:pt idx="13">
                  <c:v>-9.7686549231343067E-2</c:v>
                </c:pt>
                <c:pt idx="14">
                  <c:v>-9.5304389591522265E-2</c:v>
                </c:pt>
                <c:pt idx="15">
                  <c:v>-9.2922229951701477E-2</c:v>
                </c:pt>
                <c:pt idx="16">
                  <c:v>-9.0540070311880674E-2</c:v>
                </c:pt>
                <c:pt idx="17">
                  <c:v>-8.8157910672059886E-2</c:v>
                </c:pt>
                <c:pt idx="18">
                  <c:v>-8.5775751032239084E-2</c:v>
                </c:pt>
                <c:pt idx="19">
                  <c:v>-8.3393591392418281E-2</c:v>
                </c:pt>
                <c:pt idx="20">
                  <c:v>-8.1011431752597493E-2</c:v>
                </c:pt>
                <c:pt idx="21">
                  <c:v>-7.8629272112776705E-2</c:v>
                </c:pt>
                <c:pt idx="22">
                  <c:v>-7.6247112472955902E-2</c:v>
                </c:pt>
                <c:pt idx="23">
                  <c:v>-7.38649528331351E-2</c:v>
                </c:pt>
                <c:pt idx="24">
                  <c:v>-7.1482793193314298E-2</c:v>
                </c:pt>
                <c:pt idx="25">
                  <c:v>-6.9100633553493523E-2</c:v>
                </c:pt>
                <c:pt idx="26">
                  <c:v>-6.6718473913672721E-2</c:v>
                </c:pt>
                <c:pt idx="27">
                  <c:v>-6.4336314273851919E-2</c:v>
                </c:pt>
                <c:pt idx="28">
                  <c:v>-6.1954154634031117E-2</c:v>
                </c:pt>
                <c:pt idx="29">
                  <c:v>-5.9571994994210328E-2</c:v>
                </c:pt>
                <c:pt idx="30">
                  <c:v>-5.718983535438954E-2</c:v>
                </c:pt>
                <c:pt idx="31">
                  <c:v>-5.4807675714568738E-2</c:v>
                </c:pt>
                <c:pt idx="32">
                  <c:v>-5.2425516074747935E-2</c:v>
                </c:pt>
                <c:pt idx="33">
                  <c:v>-5.0043356434927147E-2</c:v>
                </c:pt>
                <c:pt idx="34">
                  <c:v>-4.7661196795106345E-2</c:v>
                </c:pt>
                <c:pt idx="35">
                  <c:v>-4.5279037155285556E-2</c:v>
                </c:pt>
                <c:pt idx="36">
                  <c:v>-4.2896877515464754E-2</c:v>
                </c:pt>
                <c:pt idx="37">
                  <c:v>-4.0514717875643952E-2</c:v>
                </c:pt>
                <c:pt idx="38">
                  <c:v>-3.8132558235823164E-2</c:v>
                </c:pt>
                <c:pt idx="39">
                  <c:v>-3.5750398596002361E-2</c:v>
                </c:pt>
                <c:pt idx="40">
                  <c:v>-3.3368238956181573E-2</c:v>
                </c:pt>
                <c:pt idx="41">
                  <c:v>-3.0986079316360771E-2</c:v>
                </c:pt>
                <c:pt idx="42">
                  <c:v>-2.8603919676539982E-2</c:v>
                </c:pt>
                <c:pt idx="43">
                  <c:v>-2.6221760036719194E-2</c:v>
                </c:pt>
                <c:pt idx="44">
                  <c:v>-2.3839600396898378E-2</c:v>
                </c:pt>
                <c:pt idx="45">
                  <c:v>-2.1457440757077589E-2</c:v>
                </c:pt>
                <c:pt idx="46">
                  <c:v>-1.9075281117256787E-2</c:v>
                </c:pt>
                <c:pt idx="47">
                  <c:v>-1.6693121477435999E-2</c:v>
                </c:pt>
                <c:pt idx="48">
                  <c:v>-1.4310961837615196E-2</c:v>
                </c:pt>
                <c:pt idx="49">
                  <c:v>-1.1928802197794408E-2</c:v>
                </c:pt>
                <c:pt idx="50">
                  <c:v>-9.5466425579736197E-3</c:v>
                </c:pt>
                <c:pt idx="51">
                  <c:v>-7.1644829181528036E-3</c:v>
                </c:pt>
                <c:pt idx="52">
                  <c:v>-4.7823232783320152E-3</c:v>
                </c:pt>
                <c:pt idx="53">
                  <c:v>-2.4001636385111991E-3</c:v>
                </c:pt>
                <c:pt idx="54">
                  <c:v>-1.8003998690424572E-5</c:v>
                </c:pt>
                <c:pt idx="55">
                  <c:v>2.3641556411303777E-3</c:v>
                </c:pt>
                <c:pt idx="56">
                  <c:v>4.7463152809511799E-3</c:v>
                </c:pt>
                <c:pt idx="57">
                  <c:v>7.1284749207719544E-3</c:v>
                </c:pt>
                <c:pt idx="58">
                  <c:v>9.5106345605927567E-3</c:v>
                </c:pt>
                <c:pt idx="59">
                  <c:v>1.1892794200413559E-2</c:v>
                </c:pt>
                <c:pt idx="60">
                  <c:v>1.4274953840234333E-2</c:v>
                </c:pt>
                <c:pt idx="61">
                  <c:v>1.6657113480055163E-2</c:v>
                </c:pt>
                <c:pt idx="62">
                  <c:v>1.9039273119875938E-2</c:v>
                </c:pt>
                <c:pt idx="63">
                  <c:v>2.142143275969674E-2</c:v>
                </c:pt>
                <c:pt idx="64">
                  <c:v>2.3803592399517542E-2</c:v>
                </c:pt>
                <c:pt idx="65">
                  <c:v>2.6185752039338317E-2</c:v>
                </c:pt>
                <c:pt idx="66">
                  <c:v>2.8567911679159119E-2</c:v>
                </c:pt>
                <c:pt idx="67">
                  <c:v>3.0950071318979921E-2</c:v>
                </c:pt>
                <c:pt idx="68">
                  <c:v>3.3332230958800724E-2</c:v>
                </c:pt>
                <c:pt idx="69">
                  <c:v>3.5714390598621526E-2</c:v>
                </c:pt>
                <c:pt idx="70">
                  <c:v>3.80965502384423E-2</c:v>
                </c:pt>
                <c:pt idx="71">
                  <c:v>4.0478709878263103E-2</c:v>
                </c:pt>
                <c:pt idx="72">
                  <c:v>4.2860869518083905E-2</c:v>
                </c:pt>
                <c:pt idx="73">
                  <c:v>4.5243029157904679E-2</c:v>
                </c:pt>
                <c:pt idx="74">
                  <c:v>4.762518879772551E-2</c:v>
                </c:pt>
                <c:pt idx="75">
                  <c:v>5.0007348437546312E-2</c:v>
                </c:pt>
                <c:pt idx="76">
                  <c:v>5.2389508077367086E-2</c:v>
                </c:pt>
                <c:pt idx="77">
                  <c:v>5.4771667717187889E-2</c:v>
                </c:pt>
                <c:pt idx="78">
                  <c:v>5.7153827357008691E-2</c:v>
                </c:pt>
                <c:pt idx="79">
                  <c:v>5.9535986996829493E-2</c:v>
                </c:pt>
                <c:pt idx="80">
                  <c:v>6.1918146636650268E-2</c:v>
                </c:pt>
                <c:pt idx="81">
                  <c:v>6.430030627647107E-2</c:v>
                </c:pt>
                <c:pt idx="82">
                  <c:v>6.6682465916291872E-2</c:v>
                </c:pt>
                <c:pt idx="83">
                  <c:v>6.9064625556112647E-2</c:v>
                </c:pt>
                <c:pt idx="84">
                  <c:v>7.1446785195933449E-2</c:v>
                </c:pt>
                <c:pt idx="85">
                  <c:v>7.3828944835754251E-2</c:v>
                </c:pt>
                <c:pt idx="86">
                  <c:v>7.6211104475575026E-2</c:v>
                </c:pt>
                <c:pt idx="87">
                  <c:v>7.8593264115395828E-2</c:v>
                </c:pt>
                <c:pt idx="88">
                  <c:v>8.0975423755216658E-2</c:v>
                </c:pt>
                <c:pt idx="89">
                  <c:v>8.335758339503746E-2</c:v>
                </c:pt>
                <c:pt idx="90">
                  <c:v>8.5739743034858235E-2</c:v>
                </c:pt>
                <c:pt idx="91">
                  <c:v>8.8121902674679037E-2</c:v>
                </c:pt>
                <c:pt idx="92">
                  <c:v>9.0504062314499839E-2</c:v>
                </c:pt>
                <c:pt idx="93">
                  <c:v>9.2886221954320614E-2</c:v>
                </c:pt>
                <c:pt idx="94">
                  <c:v>9.5268381594141416E-2</c:v>
                </c:pt>
                <c:pt idx="95">
                  <c:v>9.7650541233962218E-2</c:v>
                </c:pt>
                <c:pt idx="96">
                  <c:v>0.10003270087378302</c:v>
                </c:pt>
                <c:pt idx="97">
                  <c:v>0.10241486051360379</c:v>
                </c:pt>
                <c:pt idx="98">
                  <c:v>0.1047970201534246</c:v>
                </c:pt>
                <c:pt idx="99">
                  <c:v>0.10717917979324543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8.1565215258224272E-3</c:v>
                </c:pt>
                <c:pt idx="2">
                  <c:v>8.1114427763172587E-3</c:v>
                </c:pt>
                <c:pt idx="3">
                  <c:v>8.066826372960861E-3</c:v>
                </c:pt>
                <c:pt idx="4">
                  <c:v>8.0226723157532341E-3</c:v>
                </c:pt>
                <c:pt idx="5">
                  <c:v>7.9789806046943797E-3</c:v>
                </c:pt>
                <c:pt idx="6">
                  <c:v>7.9357512397842962E-3</c:v>
                </c:pt>
                <c:pt idx="7">
                  <c:v>7.8929842210229816E-3</c:v>
                </c:pt>
                <c:pt idx="8">
                  <c:v>7.8506795484104396E-3</c:v>
                </c:pt>
                <c:pt idx="9">
                  <c:v>7.8088372219466684E-3</c:v>
                </c:pt>
                <c:pt idx="10">
                  <c:v>7.7674572416316671E-3</c:v>
                </c:pt>
                <c:pt idx="11">
                  <c:v>7.7265396074654366E-3</c:v>
                </c:pt>
                <c:pt idx="12">
                  <c:v>7.6860843194479778E-3</c:v>
                </c:pt>
                <c:pt idx="13">
                  <c:v>7.6460913775792897E-3</c:v>
                </c:pt>
                <c:pt idx="14">
                  <c:v>7.6065607818593733E-3</c:v>
                </c:pt>
                <c:pt idx="15">
                  <c:v>7.5674925322882277E-3</c:v>
                </c:pt>
                <c:pt idx="16">
                  <c:v>7.5288866288658529E-3</c:v>
                </c:pt>
                <c:pt idx="17">
                  <c:v>7.4907430715922489E-3</c:v>
                </c:pt>
                <c:pt idx="18">
                  <c:v>7.4530618604674165E-3</c:v>
                </c:pt>
                <c:pt idx="19">
                  <c:v>7.415842995491354E-3</c:v>
                </c:pt>
                <c:pt idx="20">
                  <c:v>7.3790864766640632E-3</c:v>
                </c:pt>
                <c:pt idx="21">
                  <c:v>7.3427923039855432E-3</c:v>
                </c:pt>
                <c:pt idx="22">
                  <c:v>7.306960477455794E-3</c:v>
                </c:pt>
                <c:pt idx="23">
                  <c:v>7.2715909970748165E-3</c:v>
                </c:pt>
                <c:pt idx="24">
                  <c:v>7.2366838628426088E-3</c:v>
                </c:pt>
                <c:pt idx="25">
                  <c:v>7.2022390747591728E-3</c:v>
                </c:pt>
                <c:pt idx="26">
                  <c:v>7.1682566328245077E-3</c:v>
                </c:pt>
                <c:pt idx="27">
                  <c:v>7.1347365370386133E-3</c:v>
                </c:pt>
                <c:pt idx="28">
                  <c:v>7.1016787874014897E-3</c:v>
                </c:pt>
                <c:pt idx="29">
                  <c:v>7.0690833839131377E-3</c:v>
                </c:pt>
                <c:pt idx="30">
                  <c:v>7.0369503265735557E-3</c:v>
                </c:pt>
                <c:pt idx="31">
                  <c:v>7.0052796153827453E-3</c:v>
                </c:pt>
                <c:pt idx="32">
                  <c:v>6.9740712503407057E-3</c:v>
                </c:pt>
                <c:pt idx="33">
                  <c:v>6.9433252314474378E-3</c:v>
                </c:pt>
                <c:pt idx="34">
                  <c:v>6.9130415587029398E-3</c:v>
                </c:pt>
                <c:pt idx="35">
                  <c:v>6.8832202321072126E-3</c:v>
                </c:pt>
                <c:pt idx="36">
                  <c:v>6.853861251660257E-3</c:v>
                </c:pt>
                <c:pt idx="37">
                  <c:v>6.8249646173620723E-3</c:v>
                </c:pt>
                <c:pt idx="38">
                  <c:v>6.7965303292126591E-3</c:v>
                </c:pt>
                <c:pt idx="39">
                  <c:v>6.768558387212016E-3</c:v>
                </c:pt>
                <c:pt idx="40">
                  <c:v>6.7410487913601436E-3</c:v>
                </c:pt>
                <c:pt idx="41">
                  <c:v>6.7140015416570428E-3</c:v>
                </c:pt>
                <c:pt idx="42">
                  <c:v>6.6874166381027129E-3</c:v>
                </c:pt>
                <c:pt idx="43">
                  <c:v>6.6612940806971537E-3</c:v>
                </c:pt>
                <c:pt idx="44">
                  <c:v>6.6356338694403653E-3</c:v>
                </c:pt>
                <c:pt idx="45">
                  <c:v>6.6104360043323486E-3</c:v>
                </c:pt>
                <c:pt idx="46">
                  <c:v>6.5857004853731027E-3</c:v>
                </c:pt>
                <c:pt idx="47">
                  <c:v>6.5614273125626267E-3</c:v>
                </c:pt>
                <c:pt idx="48">
                  <c:v>6.5376164859009232E-3</c:v>
                </c:pt>
                <c:pt idx="49">
                  <c:v>6.5142680053879897E-3</c:v>
                </c:pt>
                <c:pt idx="50">
                  <c:v>6.4913818710238269E-3</c:v>
                </c:pt>
                <c:pt idx="51">
                  <c:v>6.4689580828084358E-3</c:v>
                </c:pt>
                <c:pt idx="52">
                  <c:v>6.4469966407418155E-3</c:v>
                </c:pt>
                <c:pt idx="53">
                  <c:v>6.425497544823966E-3</c:v>
                </c:pt>
                <c:pt idx="54">
                  <c:v>6.4044607950548872E-3</c:v>
                </c:pt>
                <c:pt idx="55">
                  <c:v>6.3838863914345801E-3</c:v>
                </c:pt>
                <c:pt idx="56">
                  <c:v>6.363774333963043E-3</c:v>
                </c:pt>
                <c:pt idx="57">
                  <c:v>6.3441246226402775E-3</c:v>
                </c:pt>
                <c:pt idx="58">
                  <c:v>6.3249372574662828E-3</c:v>
                </c:pt>
                <c:pt idx="59">
                  <c:v>6.3062122384410588E-3</c:v>
                </c:pt>
                <c:pt idx="60">
                  <c:v>6.2879495655646066E-3</c:v>
                </c:pt>
                <c:pt idx="61">
                  <c:v>6.2701492388369251E-3</c:v>
                </c:pt>
                <c:pt idx="62">
                  <c:v>6.2528112582580135E-3</c:v>
                </c:pt>
                <c:pt idx="63">
                  <c:v>6.2359356238278736E-3</c:v>
                </c:pt>
                <c:pt idx="64">
                  <c:v>6.2195223355465054E-3</c:v>
                </c:pt>
                <c:pt idx="65">
                  <c:v>6.2035713934139071E-3</c:v>
                </c:pt>
                <c:pt idx="66">
                  <c:v>6.1880827974300796E-3</c:v>
                </c:pt>
                <c:pt idx="67">
                  <c:v>6.1730565475950237E-3</c:v>
                </c:pt>
                <c:pt idx="68">
                  <c:v>6.1584926439087386E-3</c:v>
                </c:pt>
                <c:pt idx="69">
                  <c:v>6.1443910863712243E-3</c:v>
                </c:pt>
                <c:pt idx="70">
                  <c:v>6.1307518749824817E-3</c:v>
                </c:pt>
                <c:pt idx="71">
                  <c:v>6.117575009742509E-3</c:v>
                </c:pt>
                <c:pt idx="72">
                  <c:v>6.1048604906513079E-3</c:v>
                </c:pt>
                <c:pt idx="73">
                  <c:v>6.0926083177088777E-3</c:v>
                </c:pt>
                <c:pt idx="74">
                  <c:v>6.0808184909152182E-3</c:v>
                </c:pt>
                <c:pt idx="75">
                  <c:v>6.0694910102703295E-3</c:v>
                </c:pt>
                <c:pt idx="76">
                  <c:v>6.0586258757742125E-3</c:v>
                </c:pt>
                <c:pt idx="77">
                  <c:v>6.0482230874268654E-3</c:v>
                </c:pt>
                <c:pt idx="78">
                  <c:v>6.0382826452282899E-3</c:v>
                </c:pt>
                <c:pt idx="79">
                  <c:v>6.0288045491784853E-3</c:v>
                </c:pt>
                <c:pt idx="80">
                  <c:v>6.0197887992774523E-3</c:v>
                </c:pt>
                <c:pt idx="81">
                  <c:v>6.0112353955251892E-3</c:v>
                </c:pt>
                <c:pt idx="82">
                  <c:v>6.0031443379216978E-3</c:v>
                </c:pt>
                <c:pt idx="83">
                  <c:v>5.9955156264669763E-3</c:v>
                </c:pt>
                <c:pt idx="84">
                  <c:v>5.9883492611610264E-3</c:v>
                </c:pt>
                <c:pt idx="85">
                  <c:v>5.9816452420038482E-3</c:v>
                </c:pt>
                <c:pt idx="86">
                  <c:v>5.97540356899544E-3</c:v>
                </c:pt>
                <c:pt idx="87">
                  <c:v>5.9696242421358034E-3</c:v>
                </c:pt>
                <c:pt idx="88">
                  <c:v>5.9643072614249375E-3</c:v>
                </c:pt>
                <c:pt idx="89">
                  <c:v>5.9594526268628425E-3</c:v>
                </c:pt>
                <c:pt idx="90">
                  <c:v>5.9550603384495183E-3</c:v>
                </c:pt>
                <c:pt idx="91">
                  <c:v>5.9511303961849648E-3</c:v>
                </c:pt>
                <c:pt idx="92">
                  <c:v>5.947662800069183E-3</c:v>
                </c:pt>
                <c:pt idx="93">
                  <c:v>5.9446575501021712E-3</c:v>
                </c:pt>
                <c:pt idx="94">
                  <c:v>5.942114646283931E-3</c:v>
                </c:pt>
                <c:pt idx="95">
                  <c:v>5.9400340886144624E-3</c:v>
                </c:pt>
                <c:pt idx="96">
                  <c:v>5.9384158770937638E-3</c:v>
                </c:pt>
                <c:pt idx="97">
                  <c:v>5.9372600117218359E-3</c:v>
                </c:pt>
                <c:pt idx="98">
                  <c:v>5.9365664924986798E-3</c:v>
                </c:pt>
                <c:pt idx="99">
                  <c:v>5.9363353194242944E-3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0.41372485710345802</c:v>
                </c:pt>
                <c:pt idx="2">
                  <c:v>0.41059683998804769</c:v>
                </c:pt>
                <c:pt idx="3">
                  <c:v>0.40746882287263736</c:v>
                </c:pt>
                <c:pt idx="4">
                  <c:v>0.40434080575722703</c:v>
                </c:pt>
                <c:pt idx="5">
                  <c:v>0.4012127886418167</c:v>
                </c:pt>
                <c:pt idx="6">
                  <c:v>0.39808477152640637</c:v>
                </c:pt>
                <c:pt idx="7">
                  <c:v>0.39495675441099604</c:v>
                </c:pt>
                <c:pt idx="8">
                  <c:v>0.39182873729558571</c:v>
                </c:pt>
                <c:pt idx="9">
                  <c:v>0.38870072018017537</c:v>
                </c:pt>
                <c:pt idx="10">
                  <c:v>0.38557270306476504</c:v>
                </c:pt>
                <c:pt idx="11">
                  <c:v>0.38244468594935466</c:v>
                </c:pt>
                <c:pt idx="12">
                  <c:v>0.37931666883394433</c:v>
                </c:pt>
                <c:pt idx="13">
                  <c:v>0.376188651718534</c:v>
                </c:pt>
                <c:pt idx="14">
                  <c:v>0.37306063460312366</c:v>
                </c:pt>
                <c:pt idx="15">
                  <c:v>0.36993261748771333</c:v>
                </c:pt>
                <c:pt idx="16">
                  <c:v>0.366804600372303</c:v>
                </c:pt>
                <c:pt idx="17">
                  <c:v>0.36367658325689267</c:v>
                </c:pt>
                <c:pt idx="18">
                  <c:v>0.36054856614148234</c:v>
                </c:pt>
                <c:pt idx="19">
                  <c:v>0.35742054902607201</c:v>
                </c:pt>
                <c:pt idx="20">
                  <c:v>0.35429253191066168</c:v>
                </c:pt>
                <c:pt idx="21">
                  <c:v>0.35116451479525135</c:v>
                </c:pt>
                <c:pt idx="22">
                  <c:v>0.34803649767984102</c:v>
                </c:pt>
                <c:pt idx="23">
                  <c:v>0.34490848056443069</c:v>
                </c:pt>
                <c:pt idx="24">
                  <c:v>0.34178046344902036</c:v>
                </c:pt>
                <c:pt idx="25">
                  <c:v>0.33865244633361002</c:v>
                </c:pt>
                <c:pt idx="26">
                  <c:v>0.33552442921819969</c:v>
                </c:pt>
                <c:pt idx="27">
                  <c:v>0.33239641210278936</c:v>
                </c:pt>
                <c:pt idx="28">
                  <c:v>0.32926839498737903</c:v>
                </c:pt>
                <c:pt idx="29">
                  <c:v>0.3261403778719687</c:v>
                </c:pt>
                <c:pt idx="30">
                  <c:v>0.32301236075655837</c:v>
                </c:pt>
                <c:pt idx="31">
                  <c:v>0.31988434364114804</c:v>
                </c:pt>
                <c:pt idx="32">
                  <c:v>0.31675632652573771</c:v>
                </c:pt>
                <c:pt idx="33">
                  <c:v>0.31362830941032738</c:v>
                </c:pt>
                <c:pt idx="34">
                  <c:v>0.31050029229491705</c:v>
                </c:pt>
                <c:pt idx="35">
                  <c:v>0.30737227517950672</c:v>
                </c:pt>
                <c:pt idx="36">
                  <c:v>0.30424425806409638</c:v>
                </c:pt>
                <c:pt idx="37">
                  <c:v>0.30111624094868605</c:v>
                </c:pt>
                <c:pt idx="38">
                  <c:v>0.29798822383327572</c:v>
                </c:pt>
                <c:pt idx="39">
                  <c:v>0.29486020671786539</c:v>
                </c:pt>
                <c:pt idx="40">
                  <c:v>0.29173218960245506</c:v>
                </c:pt>
                <c:pt idx="41">
                  <c:v>0.28860417248704467</c:v>
                </c:pt>
                <c:pt idx="42">
                  <c:v>0.28547615537163434</c:v>
                </c:pt>
                <c:pt idx="43">
                  <c:v>0.28234813825622401</c:v>
                </c:pt>
                <c:pt idx="44">
                  <c:v>0.27922012114081368</c:v>
                </c:pt>
                <c:pt idx="45">
                  <c:v>0.27609210402540335</c:v>
                </c:pt>
                <c:pt idx="46">
                  <c:v>0.27296408690999302</c:v>
                </c:pt>
                <c:pt idx="47">
                  <c:v>0.26983606979458269</c:v>
                </c:pt>
                <c:pt idx="48">
                  <c:v>0.26670805267917236</c:v>
                </c:pt>
                <c:pt idx="49">
                  <c:v>0.26358003556376203</c:v>
                </c:pt>
                <c:pt idx="50">
                  <c:v>0.2604520184483517</c:v>
                </c:pt>
                <c:pt idx="51">
                  <c:v>0.25732400133294137</c:v>
                </c:pt>
                <c:pt idx="52">
                  <c:v>0.25419598421753098</c:v>
                </c:pt>
                <c:pt idx="53">
                  <c:v>0.25106796710212065</c:v>
                </c:pt>
                <c:pt idx="54">
                  <c:v>0.24793994998671035</c:v>
                </c:pt>
                <c:pt idx="55">
                  <c:v>0.24481193287130001</c:v>
                </c:pt>
                <c:pt idx="56">
                  <c:v>0.24168391575588968</c:v>
                </c:pt>
                <c:pt idx="57">
                  <c:v>0.23855589864047935</c:v>
                </c:pt>
                <c:pt idx="58">
                  <c:v>0.23542788152506902</c:v>
                </c:pt>
                <c:pt idx="59">
                  <c:v>0.23229986440965869</c:v>
                </c:pt>
                <c:pt idx="60">
                  <c:v>0.22917184729424836</c:v>
                </c:pt>
                <c:pt idx="61">
                  <c:v>0.22604383017883803</c:v>
                </c:pt>
                <c:pt idx="62">
                  <c:v>0.2229158130634277</c:v>
                </c:pt>
                <c:pt idx="63">
                  <c:v>0.21978779594801737</c:v>
                </c:pt>
                <c:pt idx="64">
                  <c:v>0.21665977883260704</c:v>
                </c:pt>
                <c:pt idx="65">
                  <c:v>0.21353176171719671</c:v>
                </c:pt>
                <c:pt idx="66">
                  <c:v>0.21040374460178637</c:v>
                </c:pt>
                <c:pt idx="67">
                  <c:v>0.20727572748637604</c:v>
                </c:pt>
                <c:pt idx="68">
                  <c:v>0.20414771037096571</c:v>
                </c:pt>
                <c:pt idx="69">
                  <c:v>0.20101969325555538</c:v>
                </c:pt>
                <c:pt idx="70">
                  <c:v>0.19789167614014505</c:v>
                </c:pt>
                <c:pt idx="71">
                  <c:v>0.19476365902473472</c:v>
                </c:pt>
                <c:pt idx="72">
                  <c:v>0.19163564190932439</c:v>
                </c:pt>
                <c:pt idx="73">
                  <c:v>0.18850762479391403</c:v>
                </c:pt>
                <c:pt idx="74">
                  <c:v>0.1853796076785037</c:v>
                </c:pt>
                <c:pt idx="75">
                  <c:v>0.18225159056309337</c:v>
                </c:pt>
                <c:pt idx="76">
                  <c:v>0.17912357344768304</c:v>
                </c:pt>
                <c:pt idx="77">
                  <c:v>0.17599555633227271</c:v>
                </c:pt>
                <c:pt idx="78">
                  <c:v>0.17286753921686238</c:v>
                </c:pt>
                <c:pt idx="79">
                  <c:v>0.16973952210145204</c:v>
                </c:pt>
                <c:pt idx="80">
                  <c:v>0.16661150498604171</c:v>
                </c:pt>
                <c:pt idx="81">
                  <c:v>0.16348348787063133</c:v>
                </c:pt>
                <c:pt idx="82">
                  <c:v>0.160355470755221</c:v>
                </c:pt>
                <c:pt idx="83">
                  <c:v>0.15722745363981067</c:v>
                </c:pt>
                <c:pt idx="84">
                  <c:v>0.15409943652440034</c:v>
                </c:pt>
                <c:pt idx="85">
                  <c:v>0.15097141940899</c:v>
                </c:pt>
                <c:pt idx="86">
                  <c:v>0.14784340229357967</c:v>
                </c:pt>
                <c:pt idx="87">
                  <c:v>0.14471538517816934</c:v>
                </c:pt>
                <c:pt idx="88">
                  <c:v>0.14158736806275901</c:v>
                </c:pt>
                <c:pt idx="89">
                  <c:v>0.13845935094734868</c:v>
                </c:pt>
                <c:pt idx="90">
                  <c:v>0.13533133383193835</c:v>
                </c:pt>
                <c:pt idx="91">
                  <c:v>0.13220331671652802</c:v>
                </c:pt>
                <c:pt idx="92">
                  <c:v>0.12907529960111769</c:v>
                </c:pt>
                <c:pt idx="93">
                  <c:v>0.12594728248570736</c:v>
                </c:pt>
                <c:pt idx="94">
                  <c:v>0.12281926537029703</c:v>
                </c:pt>
                <c:pt idx="95">
                  <c:v>0.1196912482548867</c:v>
                </c:pt>
                <c:pt idx="96">
                  <c:v>0.11656323113947636</c:v>
                </c:pt>
                <c:pt idx="97">
                  <c:v>0.11343521402406603</c:v>
                </c:pt>
                <c:pt idx="98">
                  <c:v>0.1103071969086557</c:v>
                </c:pt>
                <c:pt idx="99">
                  <c:v>0.10717917979324537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0.33160656161053953</c:v>
                </c:pt>
                <c:pt idx="1">
                  <c:v>0.32526824881041938</c:v>
                </c:pt>
                <c:pt idx="2">
                  <c:v>0.31899237088082416</c:v>
                </c:pt>
                <c:pt idx="3">
                  <c:v>0.3127789278217542</c:v>
                </c:pt>
                <c:pt idx="4">
                  <c:v>0.30662791963320918</c:v>
                </c:pt>
                <c:pt idx="5">
                  <c:v>0.30053934631518903</c:v>
                </c:pt>
                <c:pt idx="6">
                  <c:v>0.29451320786769403</c:v>
                </c:pt>
                <c:pt idx="7">
                  <c:v>0.28854950429072407</c:v>
                </c:pt>
                <c:pt idx="8">
                  <c:v>0.28264823558427904</c:v>
                </c:pt>
                <c:pt idx="9">
                  <c:v>0.276809401748359</c:v>
                </c:pt>
                <c:pt idx="10">
                  <c:v>0.27103300278296422</c:v>
                </c:pt>
                <c:pt idx="11">
                  <c:v>0.26531903868809431</c:v>
                </c:pt>
                <c:pt idx="12">
                  <c:v>0.25966750946374939</c:v>
                </c:pt>
                <c:pt idx="13">
                  <c:v>0.25407841510992951</c:v>
                </c:pt>
                <c:pt idx="14">
                  <c:v>0.24855175562663478</c:v>
                </c:pt>
                <c:pt idx="15">
                  <c:v>0.24308753101386488</c:v>
                </c:pt>
                <c:pt idx="16">
                  <c:v>0.23768574127162018</c:v>
                </c:pt>
                <c:pt idx="17">
                  <c:v>0.23234638639990041</c:v>
                </c:pt>
                <c:pt idx="18">
                  <c:v>0.22706946639870557</c:v>
                </c:pt>
                <c:pt idx="19">
                  <c:v>0.22185498126803593</c:v>
                </c:pt>
                <c:pt idx="20">
                  <c:v>0.21670293100789129</c:v>
                </c:pt>
                <c:pt idx="21">
                  <c:v>0.21161331561827151</c:v>
                </c:pt>
                <c:pt idx="22">
                  <c:v>0.20658613509917698</c:v>
                </c:pt>
                <c:pt idx="23">
                  <c:v>0.20162138945060737</c:v>
                </c:pt>
                <c:pt idx="24">
                  <c:v>0.19671907867256275</c:v>
                </c:pt>
                <c:pt idx="25">
                  <c:v>0.19187920276504317</c:v>
                </c:pt>
                <c:pt idx="26">
                  <c:v>0.18710176172804868</c:v>
                </c:pt>
                <c:pt idx="27">
                  <c:v>0.18238675556157924</c:v>
                </c:pt>
                <c:pt idx="28">
                  <c:v>0.1777341842656347</c:v>
                </c:pt>
                <c:pt idx="29">
                  <c:v>0.17314404784021525</c:v>
                </c:pt>
                <c:pt idx="30">
                  <c:v>0.1686163462853208</c:v>
                </c:pt>
                <c:pt idx="31">
                  <c:v>0.16415107960095132</c:v>
                </c:pt>
                <c:pt idx="32">
                  <c:v>0.159748247787107</c:v>
                </c:pt>
                <c:pt idx="33">
                  <c:v>0.15540785084378766</c:v>
                </c:pt>
                <c:pt idx="34">
                  <c:v>0.15112988877099334</c:v>
                </c:pt>
                <c:pt idx="35">
                  <c:v>0.14691436156872398</c:v>
                </c:pt>
                <c:pt idx="36">
                  <c:v>0.14276126923697968</c:v>
                </c:pt>
                <c:pt idx="37">
                  <c:v>0.13867061177576034</c:v>
                </c:pt>
                <c:pt idx="38">
                  <c:v>0.13464238918506616</c:v>
                </c:pt>
                <c:pt idx="39">
                  <c:v>0.13067660146489699</c:v>
                </c:pt>
                <c:pt idx="40">
                  <c:v>0.12677324861525283</c:v>
                </c:pt>
                <c:pt idx="41">
                  <c:v>0.1229323306361336</c:v>
                </c:pt>
                <c:pt idx="42">
                  <c:v>0.11915384752753945</c:v>
                </c:pt>
                <c:pt idx="43">
                  <c:v>0.11543779928947039</c:v>
                </c:pt>
                <c:pt idx="44">
                  <c:v>0.11178418592192624</c:v>
                </c:pt>
                <c:pt idx="45">
                  <c:v>0.1081930074249072</c:v>
                </c:pt>
                <c:pt idx="46">
                  <c:v>0.10466426379841318</c:v>
                </c:pt>
                <c:pt idx="47">
                  <c:v>0.10119795504244411</c:v>
                </c:pt>
                <c:pt idx="48">
                  <c:v>9.7794081157000098E-2</c:v>
                </c:pt>
                <c:pt idx="49">
                  <c:v>9.4452642142081197E-2</c:v>
                </c:pt>
                <c:pt idx="50">
                  <c:v>9.117363799768724E-2</c:v>
                </c:pt>
                <c:pt idx="51">
                  <c:v>8.7957068723818296E-2</c:v>
                </c:pt>
                <c:pt idx="52">
                  <c:v>8.4802934320474435E-2</c:v>
                </c:pt>
                <c:pt idx="53">
                  <c:v>8.1711234787655532E-2</c:v>
                </c:pt>
                <c:pt idx="54">
                  <c:v>7.8681970125361669E-2</c:v>
                </c:pt>
                <c:pt idx="55">
                  <c:v>7.5715140333592834E-2</c:v>
                </c:pt>
                <c:pt idx="56">
                  <c:v>7.2810745412349054E-2</c:v>
                </c:pt>
                <c:pt idx="57">
                  <c:v>6.9968785361630259E-2</c:v>
                </c:pt>
                <c:pt idx="58">
                  <c:v>6.7189260181436547E-2</c:v>
                </c:pt>
                <c:pt idx="59">
                  <c:v>6.4472169871767807E-2</c:v>
                </c:pt>
                <c:pt idx="60">
                  <c:v>6.1817514432624086E-2</c:v>
                </c:pt>
                <c:pt idx="61">
                  <c:v>5.9225293864005428E-2</c:v>
                </c:pt>
                <c:pt idx="62">
                  <c:v>5.6695508165911769E-2</c:v>
                </c:pt>
                <c:pt idx="63">
                  <c:v>5.422815733834313E-2</c:v>
                </c:pt>
                <c:pt idx="64">
                  <c:v>5.182324138129954E-2</c:v>
                </c:pt>
                <c:pt idx="65">
                  <c:v>4.9480760294780955E-2</c:v>
                </c:pt>
                <c:pt idx="66">
                  <c:v>4.7200714078787412E-2</c:v>
                </c:pt>
                <c:pt idx="67">
                  <c:v>4.4983102733318875E-2</c:v>
                </c:pt>
                <c:pt idx="68">
                  <c:v>4.2827926258375379E-2</c:v>
                </c:pt>
                <c:pt idx="69">
                  <c:v>4.0735184653956896E-2</c:v>
                </c:pt>
                <c:pt idx="70">
                  <c:v>3.8704877920063448E-2</c:v>
                </c:pt>
                <c:pt idx="71">
                  <c:v>3.6737006056694985E-2</c:v>
                </c:pt>
                <c:pt idx="72">
                  <c:v>3.4831569063851618E-2</c:v>
                </c:pt>
                <c:pt idx="73">
                  <c:v>3.2988566941533203E-2</c:v>
                </c:pt>
                <c:pt idx="74">
                  <c:v>3.1207999689739835E-2</c:v>
                </c:pt>
                <c:pt idx="75">
                  <c:v>2.9489867308471512E-2</c:v>
                </c:pt>
                <c:pt idx="76">
                  <c:v>2.7834169797728198E-2</c:v>
                </c:pt>
                <c:pt idx="77">
                  <c:v>2.6240907157509923E-2</c:v>
                </c:pt>
                <c:pt idx="78">
                  <c:v>2.4710079387816657E-2</c:v>
                </c:pt>
                <c:pt idx="79">
                  <c:v>2.3241686488648432E-2</c:v>
                </c:pt>
                <c:pt idx="80">
                  <c:v>2.183572846000521E-2</c:v>
                </c:pt>
                <c:pt idx="81">
                  <c:v>2.0492205301887018E-2</c:v>
                </c:pt>
                <c:pt idx="82">
                  <c:v>1.9211117014293864E-2</c:v>
                </c:pt>
                <c:pt idx="83">
                  <c:v>1.799246359722572E-2</c:v>
                </c:pt>
                <c:pt idx="84">
                  <c:v>1.6836245050682614E-2</c:v>
                </c:pt>
                <c:pt idx="85">
                  <c:v>1.5742461374664521E-2</c:v>
                </c:pt>
                <c:pt idx="86">
                  <c:v>1.4711112569171462E-2</c:v>
                </c:pt>
                <c:pt idx="87">
                  <c:v>1.3742198634203407E-2</c:v>
                </c:pt>
                <c:pt idx="88">
                  <c:v>1.2835719569760391E-2</c:v>
                </c:pt>
                <c:pt idx="89">
                  <c:v>1.1991675375842404E-2</c:v>
                </c:pt>
                <c:pt idx="90">
                  <c:v>1.1210066052449433E-2</c:v>
                </c:pt>
                <c:pt idx="91">
                  <c:v>1.0490891599581494E-2</c:v>
                </c:pt>
                <c:pt idx="92">
                  <c:v>9.8341520172385774E-3</c:v>
                </c:pt>
                <c:pt idx="93">
                  <c:v>9.2398473054206877E-3</c:v>
                </c:pt>
                <c:pt idx="94">
                  <c:v>8.7079774641278147E-3</c:v>
                </c:pt>
                <c:pt idx="95">
                  <c:v>8.2385424933599741E-3</c:v>
                </c:pt>
                <c:pt idx="96">
                  <c:v>7.8315423931171538E-3</c:v>
                </c:pt>
                <c:pt idx="97">
                  <c:v>7.4869771633993554E-3</c:v>
                </c:pt>
                <c:pt idx="98">
                  <c:v>7.2048468042065859E-3</c:v>
                </c:pt>
                <c:pt idx="99">
                  <c:v>6.9851513155388401E-3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-0.61839925046024702</c:v>
                </c:pt>
                <c:pt idx="2">
                  <c:v>-0.61340185631829558</c:v>
                </c:pt>
                <c:pt idx="3">
                  <c:v>-0.60840446217634425</c:v>
                </c:pt>
                <c:pt idx="4">
                  <c:v>-0.60340706803439292</c:v>
                </c:pt>
                <c:pt idx="5">
                  <c:v>-0.59840967389244148</c:v>
                </c:pt>
                <c:pt idx="6">
                  <c:v>-0.59341227975049016</c:v>
                </c:pt>
                <c:pt idx="7">
                  <c:v>-0.58841488560853883</c:v>
                </c:pt>
                <c:pt idx="8">
                  <c:v>-0.5834174914665875</c:v>
                </c:pt>
                <c:pt idx="9">
                  <c:v>-0.57842009732463606</c:v>
                </c:pt>
                <c:pt idx="10">
                  <c:v>-0.57342270318268473</c:v>
                </c:pt>
                <c:pt idx="11">
                  <c:v>-0.56842530904073341</c:v>
                </c:pt>
                <c:pt idx="12">
                  <c:v>-0.56342791489878197</c:v>
                </c:pt>
                <c:pt idx="13">
                  <c:v>-0.55843052075683064</c:v>
                </c:pt>
                <c:pt idx="14">
                  <c:v>-0.55343312661487931</c:v>
                </c:pt>
                <c:pt idx="15">
                  <c:v>-0.54843573247292787</c:v>
                </c:pt>
                <c:pt idx="16">
                  <c:v>-0.54343833833097654</c:v>
                </c:pt>
                <c:pt idx="17">
                  <c:v>-0.53844094418902522</c:v>
                </c:pt>
                <c:pt idx="18">
                  <c:v>-0.53344355004707378</c:v>
                </c:pt>
                <c:pt idx="19">
                  <c:v>-0.52844615590512245</c:v>
                </c:pt>
                <c:pt idx="20">
                  <c:v>-0.52344876176317112</c:v>
                </c:pt>
                <c:pt idx="21">
                  <c:v>-0.51845136762121968</c:v>
                </c:pt>
                <c:pt idx="22">
                  <c:v>-0.51345397347926836</c:v>
                </c:pt>
                <c:pt idx="23">
                  <c:v>-0.50845657933731703</c:v>
                </c:pt>
                <c:pt idx="24">
                  <c:v>-0.50345918519536559</c:v>
                </c:pt>
                <c:pt idx="25">
                  <c:v>-0.49846179105341426</c:v>
                </c:pt>
                <c:pt idx="26">
                  <c:v>-0.49346439691146293</c:v>
                </c:pt>
                <c:pt idx="27">
                  <c:v>-0.48846700276951155</c:v>
                </c:pt>
                <c:pt idx="28">
                  <c:v>-0.48346960862756017</c:v>
                </c:pt>
                <c:pt idx="29">
                  <c:v>-0.47847221448560884</c:v>
                </c:pt>
                <c:pt idx="30">
                  <c:v>-0.47347482034365745</c:v>
                </c:pt>
                <c:pt idx="31">
                  <c:v>-0.46847742620170607</c:v>
                </c:pt>
                <c:pt idx="32">
                  <c:v>-0.46348003205975474</c:v>
                </c:pt>
                <c:pt idx="33">
                  <c:v>-0.45848263791780342</c:v>
                </c:pt>
                <c:pt idx="34">
                  <c:v>-0.45348524377585203</c:v>
                </c:pt>
                <c:pt idx="35">
                  <c:v>-0.44848784963390065</c:v>
                </c:pt>
                <c:pt idx="36">
                  <c:v>-0.44349045549194932</c:v>
                </c:pt>
                <c:pt idx="37">
                  <c:v>-0.43849306134999788</c:v>
                </c:pt>
                <c:pt idx="38">
                  <c:v>-0.43349566720804655</c:v>
                </c:pt>
                <c:pt idx="39">
                  <c:v>-0.42849827306609523</c:v>
                </c:pt>
                <c:pt idx="40">
                  <c:v>-0.42350087892414384</c:v>
                </c:pt>
                <c:pt idx="41">
                  <c:v>-0.41850348478219246</c:v>
                </c:pt>
                <c:pt idx="42">
                  <c:v>-0.41350609064024113</c:v>
                </c:pt>
                <c:pt idx="43">
                  <c:v>-0.4085086964982898</c:v>
                </c:pt>
                <c:pt idx="44">
                  <c:v>-0.40351130235633836</c:v>
                </c:pt>
                <c:pt idx="45">
                  <c:v>-0.39851390821438704</c:v>
                </c:pt>
                <c:pt idx="46">
                  <c:v>-0.39351651407243565</c:v>
                </c:pt>
                <c:pt idx="47">
                  <c:v>-0.38851911993048427</c:v>
                </c:pt>
                <c:pt idx="48">
                  <c:v>-0.38352172578853294</c:v>
                </c:pt>
                <c:pt idx="49">
                  <c:v>-0.37852433164658161</c:v>
                </c:pt>
                <c:pt idx="50">
                  <c:v>-0.37352693750463023</c:v>
                </c:pt>
                <c:pt idx="51">
                  <c:v>-0.36852954336267885</c:v>
                </c:pt>
                <c:pt idx="52">
                  <c:v>-0.36353214922072752</c:v>
                </c:pt>
                <c:pt idx="53">
                  <c:v>-0.35853475507877614</c:v>
                </c:pt>
                <c:pt idx="54">
                  <c:v>-0.35353736093682475</c:v>
                </c:pt>
                <c:pt idx="55">
                  <c:v>-0.34853996679487337</c:v>
                </c:pt>
                <c:pt idx="56">
                  <c:v>-0.34354257265292204</c:v>
                </c:pt>
                <c:pt idx="57">
                  <c:v>-0.33854517851097066</c:v>
                </c:pt>
                <c:pt idx="58">
                  <c:v>-0.33354778436901933</c:v>
                </c:pt>
                <c:pt idx="59">
                  <c:v>-0.32855039022706795</c:v>
                </c:pt>
                <c:pt idx="60">
                  <c:v>-0.32355299608511656</c:v>
                </c:pt>
                <c:pt idx="61">
                  <c:v>-0.31855560194316523</c:v>
                </c:pt>
                <c:pt idx="62">
                  <c:v>-0.31355820780121385</c:v>
                </c:pt>
                <c:pt idx="63">
                  <c:v>-0.30856081365926247</c:v>
                </c:pt>
                <c:pt idx="64">
                  <c:v>-0.30356341951731114</c:v>
                </c:pt>
                <c:pt idx="65">
                  <c:v>-0.29856602537535976</c:v>
                </c:pt>
                <c:pt idx="66">
                  <c:v>-0.29356863123340843</c:v>
                </c:pt>
                <c:pt idx="67">
                  <c:v>-0.28857123709145704</c:v>
                </c:pt>
                <c:pt idx="68">
                  <c:v>-0.28357384294950572</c:v>
                </c:pt>
                <c:pt idx="69">
                  <c:v>-0.27857644880755433</c:v>
                </c:pt>
                <c:pt idx="70">
                  <c:v>-0.27357905466560301</c:v>
                </c:pt>
                <c:pt idx="71">
                  <c:v>-0.26858166052365157</c:v>
                </c:pt>
                <c:pt idx="72">
                  <c:v>-0.26358426638170029</c:v>
                </c:pt>
                <c:pt idx="73">
                  <c:v>-0.25858687223974886</c:v>
                </c:pt>
                <c:pt idx="74">
                  <c:v>-0.25358947809779747</c:v>
                </c:pt>
                <c:pt idx="75">
                  <c:v>-0.24859208395584614</c:v>
                </c:pt>
                <c:pt idx="76">
                  <c:v>-0.24359468981389476</c:v>
                </c:pt>
                <c:pt idx="77">
                  <c:v>-0.23859729567194343</c:v>
                </c:pt>
                <c:pt idx="78">
                  <c:v>-0.23359990152999205</c:v>
                </c:pt>
                <c:pt idx="79">
                  <c:v>-0.22860250738804072</c:v>
                </c:pt>
                <c:pt idx="80">
                  <c:v>-0.22360511324608934</c:v>
                </c:pt>
                <c:pt idx="81">
                  <c:v>-0.21860771910413795</c:v>
                </c:pt>
                <c:pt idx="82">
                  <c:v>-0.21361032496218663</c:v>
                </c:pt>
                <c:pt idx="83">
                  <c:v>-0.20861293082023524</c:v>
                </c:pt>
                <c:pt idx="84">
                  <c:v>-0.20361553667828391</c:v>
                </c:pt>
                <c:pt idx="85">
                  <c:v>-0.19861814253633253</c:v>
                </c:pt>
                <c:pt idx="86">
                  <c:v>-0.1936207483943812</c:v>
                </c:pt>
                <c:pt idx="87">
                  <c:v>-0.18862335425242976</c:v>
                </c:pt>
                <c:pt idx="88">
                  <c:v>-0.18362596011047838</c:v>
                </c:pt>
                <c:pt idx="89">
                  <c:v>-0.17862856596852705</c:v>
                </c:pt>
                <c:pt idx="90">
                  <c:v>-0.17363117182657567</c:v>
                </c:pt>
                <c:pt idx="91">
                  <c:v>-0.16863377768462434</c:v>
                </c:pt>
                <c:pt idx="92">
                  <c:v>-0.16363638354267296</c:v>
                </c:pt>
                <c:pt idx="93">
                  <c:v>-0.15863898940072163</c:v>
                </c:pt>
                <c:pt idx="94">
                  <c:v>-0.15364159525877025</c:v>
                </c:pt>
                <c:pt idx="95">
                  <c:v>-0.14864420111681892</c:v>
                </c:pt>
                <c:pt idx="96">
                  <c:v>-0.14364680697486754</c:v>
                </c:pt>
                <c:pt idx="97">
                  <c:v>-0.13864941283291615</c:v>
                </c:pt>
                <c:pt idx="98">
                  <c:v>-0.13365201869096482</c:v>
                </c:pt>
                <c:pt idx="99">
                  <c:v>-0.12865462454901344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8.4026928742379752E-3</c:v>
                </c:pt>
                <c:pt idx="2">
                  <c:v>8.6404397210595712E-3</c:v>
                </c:pt>
                <c:pt idx="3">
                  <c:v>8.9153031619411526E-3</c:v>
                </c:pt>
                <c:pt idx="4">
                  <c:v>9.2272831968827247E-3</c:v>
                </c:pt>
                <c:pt idx="5">
                  <c:v>9.576379825884291E-3</c:v>
                </c:pt>
                <c:pt idx="6">
                  <c:v>9.9625930489458444E-3</c:v>
                </c:pt>
                <c:pt idx="7">
                  <c:v>1.0385922866067382E-2</c:v>
                </c:pt>
                <c:pt idx="8">
                  <c:v>1.0846369277248911E-2</c:v>
                </c:pt>
                <c:pt idx="9">
                  <c:v>1.134393228249043E-2</c:v>
                </c:pt>
                <c:pt idx="10">
                  <c:v>1.1878611881791939E-2</c:v>
                </c:pt>
                <c:pt idx="11">
                  <c:v>1.2450408075153425E-2</c:v>
                </c:pt>
                <c:pt idx="12">
                  <c:v>1.3059320862574912E-2</c:v>
                </c:pt>
                <c:pt idx="13">
                  <c:v>1.3705350244056383E-2</c:v>
                </c:pt>
                <c:pt idx="14">
                  <c:v>1.4388496219597847E-2</c:v>
                </c:pt>
                <c:pt idx="15">
                  <c:v>1.5108758789199301E-2</c:v>
                </c:pt>
                <c:pt idx="16">
                  <c:v>1.5866137952860737E-2</c:v>
                </c:pt>
                <c:pt idx="17">
                  <c:v>1.6660633710582164E-2</c:v>
                </c:pt>
                <c:pt idx="18">
                  <c:v>1.7492246062363583E-2</c:v>
                </c:pt>
                <c:pt idx="19">
                  <c:v>1.8360975008204973E-2</c:v>
                </c:pt>
                <c:pt idx="20">
                  <c:v>1.926682054810637E-2</c:v>
                </c:pt>
                <c:pt idx="21">
                  <c:v>2.0209782682067755E-2</c:v>
                </c:pt>
                <c:pt idx="22">
                  <c:v>2.1189861410089134E-2</c:v>
                </c:pt>
                <c:pt idx="23">
                  <c:v>2.2207056732170494E-2</c:v>
                </c:pt>
                <c:pt idx="24">
                  <c:v>2.326136864831185E-2</c:v>
                </c:pt>
                <c:pt idx="25">
                  <c:v>2.4352797158513191E-2</c:v>
                </c:pt>
                <c:pt idx="26">
                  <c:v>2.5481342262774483E-2</c:v>
                </c:pt>
                <c:pt idx="27">
                  <c:v>2.6647003961095803E-2</c:v>
                </c:pt>
                <c:pt idx="28">
                  <c:v>2.7849782253477104E-2</c:v>
                </c:pt>
                <c:pt idx="29">
                  <c:v>2.9089677139918405E-2</c:v>
                </c:pt>
                <c:pt idx="30">
                  <c:v>3.0366688620419691E-2</c:v>
                </c:pt>
                <c:pt idx="31">
                  <c:v>3.1680816694980962E-2</c:v>
                </c:pt>
                <c:pt idx="32">
                  <c:v>3.3032061363602226E-2</c:v>
                </c:pt>
                <c:pt idx="33">
                  <c:v>3.4420422626283476E-2</c:v>
                </c:pt>
                <c:pt idx="34">
                  <c:v>3.5845900483024717E-2</c:v>
                </c:pt>
                <c:pt idx="35">
                  <c:v>3.7308494933825952E-2</c:v>
                </c:pt>
                <c:pt idx="36">
                  <c:v>3.8808205978687164E-2</c:v>
                </c:pt>
                <c:pt idx="37">
                  <c:v>4.0345033617608328E-2</c:v>
                </c:pt>
                <c:pt idx="38">
                  <c:v>4.1918977850589532E-2</c:v>
                </c:pt>
                <c:pt idx="39">
                  <c:v>4.3530038677630722E-2</c:v>
                </c:pt>
                <c:pt idx="40">
                  <c:v>4.5178216098731891E-2</c:v>
                </c:pt>
                <c:pt idx="41">
                  <c:v>4.6863510113893045E-2</c:v>
                </c:pt>
                <c:pt idx="42">
                  <c:v>4.8585920723114205E-2</c:v>
                </c:pt>
                <c:pt idx="43">
                  <c:v>5.0345447926395281E-2</c:v>
                </c:pt>
                <c:pt idx="44">
                  <c:v>5.2142091723736413E-2</c:v>
                </c:pt>
                <c:pt idx="45">
                  <c:v>5.3975852115137536E-2</c:v>
                </c:pt>
                <c:pt idx="46">
                  <c:v>5.5846729100598638E-2</c:v>
                </c:pt>
                <c:pt idx="47">
                  <c:v>5.7754722680119733E-2</c:v>
                </c:pt>
                <c:pt idx="48">
                  <c:v>5.969983285370082E-2</c:v>
                </c:pt>
                <c:pt idx="49">
                  <c:v>6.1682059621341892E-2</c:v>
                </c:pt>
                <c:pt idx="50">
                  <c:v>6.3701402983042957E-2</c:v>
                </c:pt>
                <c:pt idx="51">
                  <c:v>6.5757862938804007E-2</c:v>
                </c:pt>
                <c:pt idx="52">
                  <c:v>6.7851439488625043E-2</c:v>
                </c:pt>
                <c:pt idx="53">
                  <c:v>6.9982132632506022E-2</c:v>
                </c:pt>
                <c:pt idx="54">
                  <c:v>7.2149942370447029E-2</c:v>
                </c:pt>
                <c:pt idx="55">
                  <c:v>7.4354868702448063E-2</c:v>
                </c:pt>
                <c:pt idx="56">
                  <c:v>7.659691162850904E-2</c:v>
                </c:pt>
                <c:pt idx="57">
                  <c:v>7.8876071148630031E-2</c:v>
                </c:pt>
                <c:pt idx="58">
                  <c:v>8.1192347262810993E-2</c:v>
                </c:pt>
                <c:pt idx="59">
                  <c:v>8.3545739971051872E-2</c:v>
                </c:pt>
                <c:pt idx="60">
                  <c:v>8.5936249273352819E-2</c:v>
                </c:pt>
                <c:pt idx="61">
                  <c:v>8.8363875169713779E-2</c:v>
                </c:pt>
                <c:pt idx="62">
                  <c:v>9.0828617660134697E-2</c:v>
                </c:pt>
                <c:pt idx="63">
                  <c:v>9.3330476744615615E-2</c:v>
                </c:pt>
                <c:pt idx="64">
                  <c:v>9.5869452423156518E-2</c:v>
                </c:pt>
                <c:pt idx="65">
                  <c:v>9.844554469575742E-2</c:v>
                </c:pt>
                <c:pt idx="66">
                  <c:v>0.10105875356241831</c:v>
                </c:pt>
                <c:pt idx="67">
                  <c:v>0.10370907902313918</c:v>
                </c:pt>
                <c:pt idx="68">
                  <c:v>0.10639652107792004</c:v>
                </c:pt>
                <c:pt idx="69">
                  <c:v>0.10912107972676088</c:v>
                </c:pt>
                <c:pt idx="70">
                  <c:v>0.11188275496966171</c:v>
                </c:pt>
                <c:pt idx="71">
                  <c:v>0.11468154680662256</c:v>
                </c:pt>
                <c:pt idx="72">
                  <c:v>0.11751745523764337</c:v>
                </c:pt>
                <c:pt idx="73">
                  <c:v>0.12039048026272411</c:v>
                </c:pt>
                <c:pt idx="74">
                  <c:v>0.1233006218818649</c:v>
                </c:pt>
                <c:pt idx="75">
                  <c:v>0.12624788009506568</c:v>
                </c:pt>
                <c:pt idx="76">
                  <c:v>0.12923225490232637</c:v>
                </c:pt>
                <c:pt idx="77">
                  <c:v>0.13225374630364711</c:v>
                </c:pt>
                <c:pt idx="78">
                  <c:v>0.13531235429902785</c:v>
                </c:pt>
                <c:pt idx="79">
                  <c:v>0.13840807888846859</c:v>
                </c:pt>
                <c:pt idx="80">
                  <c:v>0.14154092007196933</c:v>
                </c:pt>
                <c:pt idx="81">
                  <c:v>0.14471087784953005</c:v>
                </c:pt>
                <c:pt idx="82">
                  <c:v>0.14791795222115076</c:v>
                </c:pt>
                <c:pt idx="83">
                  <c:v>0.15116214318683144</c:v>
                </c:pt>
                <c:pt idx="84">
                  <c:v>0.15444345074657209</c:v>
                </c:pt>
                <c:pt idx="85">
                  <c:v>0.1577618749003728</c:v>
                </c:pt>
                <c:pt idx="86">
                  <c:v>0.16111741564823345</c:v>
                </c:pt>
                <c:pt idx="87">
                  <c:v>0.16451007299015413</c:v>
                </c:pt>
                <c:pt idx="88">
                  <c:v>0.16793984692613478</c:v>
                </c:pt>
                <c:pt idx="89">
                  <c:v>0.1714067374561753</c:v>
                </c:pt>
                <c:pt idx="90">
                  <c:v>0.174910744580276</c:v>
                </c:pt>
                <c:pt idx="91">
                  <c:v>0.17845186829843651</c:v>
                </c:pt>
                <c:pt idx="92">
                  <c:v>0.18203010861065699</c:v>
                </c:pt>
                <c:pt idx="93">
                  <c:v>0.18564546551693772</c:v>
                </c:pt>
                <c:pt idx="94">
                  <c:v>0.18929793901727815</c:v>
                </c:pt>
                <c:pt idx="95">
                  <c:v>0.19298752911167871</c:v>
                </c:pt>
                <c:pt idx="96">
                  <c:v>0.19671423580013925</c:v>
                </c:pt>
                <c:pt idx="97">
                  <c:v>0.20047805908265984</c:v>
                </c:pt>
                <c:pt idx="98">
                  <c:v>0.20427899895924032</c:v>
                </c:pt>
                <c:pt idx="99">
                  <c:v>0.20811705542988082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0.42070600770007499</c:v>
                </c:pt>
                <c:pt idx="2">
                  <c:v>0.42455914118128163</c:v>
                </c:pt>
                <c:pt idx="3">
                  <c:v>0.42841227466248821</c:v>
                </c:pt>
                <c:pt idx="4">
                  <c:v>0.43226540814369485</c:v>
                </c:pt>
                <c:pt idx="5">
                  <c:v>0.43611854162490149</c:v>
                </c:pt>
                <c:pt idx="6">
                  <c:v>0.43997167510610813</c:v>
                </c:pt>
                <c:pt idx="7">
                  <c:v>0.44382480858731471</c:v>
                </c:pt>
                <c:pt idx="8">
                  <c:v>0.44767794206852135</c:v>
                </c:pt>
                <c:pt idx="9">
                  <c:v>0.45153107554972799</c:v>
                </c:pt>
                <c:pt idx="10">
                  <c:v>0.45538420903093463</c:v>
                </c:pt>
                <c:pt idx="11">
                  <c:v>0.45923734251214121</c:v>
                </c:pt>
                <c:pt idx="12">
                  <c:v>0.46309047599334785</c:v>
                </c:pt>
                <c:pt idx="13">
                  <c:v>0.46694360947455449</c:v>
                </c:pt>
                <c:pt idx="14">
                  <c:v>0.47079674295576113</c:v>
                </c:pt>
                <c:pt idx="15">
                  <c:v>0.47464987643696777</c:v>
                </c:pt>
                <c:pt idx="16">
                  <c:v>0.47850300991817435</c:v>
                </c:pt>
                <c:pt idx="17">
                  <c:v>0.48235614339938099</c:v>
                </c:pt>
                <c:pt idx="18">
                  <c:v>0.48620927688058763</c:v>
                </c:pt>
                <c:pt idx="19">
                  <c:v>0.49006241036179421</c:v>
                </c:pt>
                <c:pt idx="20">
                  <c:v>0.49391554384300085</c:v>
                </c:pt>
                <c:pt idx="21">
                  <c:v>0.49776867732420749</c:v>
                </c:pt>
                <c:pt idx="22">
                  <c:v>0.50162181080541413</c:v>
                </c:pt>
                <c:pt idx="23">
                  <c:v>0.50547494428662076</c:v>
                </c:pt>
                <c:pt idx="24">
                  <c:v>0.5093280777678274</c:v>
                </c:pt>
                <c:pt idx="25">
                  <c:v>0.51318121124903404</c:v>
                </c:pt>
                <c:pt idx="26">
                  <c:v>0.51703434473024057</c:v>
                </c:pt>
                <c:pt idx="27">
                  <c:v>0.52088747821144721</c:v>
                </c:pt>
                <c:pt idx="28">
                  <c:v>0.52474061169265385</c:v>
                </c:pt>
                <c:pt idx="29">
                  <c:v>0.52859374517386049</c:v>
                </c:pt>
                <c:pt idx="30">
                  <c:v>0.53244687865506712</c:v>
                </c:pt>
                <c:pt idx="31">
                  <c:v>0.53630001213627376</c:v>
                </c:pt>
                <c:pt idx="32">
                  <c:v>0.5401531456174804</c:v>
                </c:pt>
                <c:pt idx="33">
                  <c:v>0.54400627909868704</c:v>
                </c:pt>
                <c:pt idx="34">
                  <c:v>0.54785941257989368</c:v>
                </c:pt>
                <c:pt idx="35">
                  <c:v>0.55171254606110032</c:v>
                </c:pt>
                <c:pt idx="36">
                  <c:v>0.55556567954230696</c:v>
                </c:pt>
                <c:pt idx="37">
                  <c:v>0.55941881302351348</c:v>
                </c:pt>
                <c:pt idx="38">
                  <c:v>0.56327194650472012</c:v>
                </c:pt>
                <c:pt idx="39">
                  <c:v>0.56712507998592676</c:v>
                </c:pt>
                <c:pt idx="40">
                  <c:v>0.5709782134671334</c:v>
                </c:pt>
                <c:pt idx="41">
                  <c:v>0.57483134694834004</c:v>
                </c:pt>
                <c:pt idx="42">
                  <c:v>0.57868448042954668</c:v>
                </c:pt>
                <c:pt idx="43">
                  <c:v>0.5825376139107532</c:v>
                </c:pt>
                <c:pt idx="44">
                  <c:v>0.58639074739195984</c:v>
                </c:pt>
                <c:pt idx="45">
                  <c:v>0.59024388087316648</c:v>
                </c:pt>
                <c:pt idx="46">
                  <c:v>0.59409701435437312</c:v>
                </c:pt>
                <c:pt idx="47">
                  <c:v>0.59795014783557976</c:v>
                </c:pt>
                <c:pt idx="48">
                  <c:v>0.6018032813167864</c:v>
                </c:pt>
                <c:pt idx="49">
                  <c:v>0.60565641479799304</c:v>
                </c:pt>
                <c:pt idx="50">
                  <c:v>0.60950954827919968</c:v>
                </c:pt>
                <c:pt idx="51">
                  <c:v>0.61336268176040631</c:v>
                </c:pt>
                <c:pt idx="52">
                  <c:v>0.61721581524161295</c:v>
                </c:pt>
                <c:pt idx="53">
                  <c:v>0.62106894872281948</c:v>
                </c:pt>
                <c:pt idx="54">
                  <c:v>0.62492208220402612</c:v>
                </c:pt>
                <c:pt idx="55">
                  <c:v>0.62877521568523276</c:v>
                </c:pt>
                <c:pt idx="56">
                  <c:v>0.6326283491664394</c:v>
                </c:pt>
                <c:pt idx="57">
                  <c:v>0.63648148264764604</c:v>
                </c:pt>
                <c:pt idx="58">
                  <c:v>0.64033461612885267</c:v>
                </c:pt>
                <c:pt idx="59">
                  <c:v>0.6441877496100592</c:v>
                </c:pt>
                <c:pt idx="60">
                  <c:v>0.64804088309126584</c:v>
                </c:pt>
                <c:pt idx="61">
                  <c:v>0.65189401657247248</c:v>
                </c:pt>
                <c:pt idx="62">
                  <c:v>0.65574715005367912</c:v>
                </c:pt>
                <c:pt idx="63">
                  <c:v>0.65960028353488576</c:v>
                </c:pt>
                <c:pt idx="64">
                  <c:v>0.66345341701609239</c:v>
                </c:pt>
                <c:pt idx="65">
                  <c:v>0.66730655049729903</c:v>
                </c:pt>
                <c:pt idx="66">
                  <c:v>0.67115968397850567</c:v>
                </c:pt>
                <c:pt idx="67">
                  <c:v>0.67501281745971231</c:v>
                </c:pt>
                <c:pt idx="68">
                  <c:v>0.67886595094091895</c:v>
                </c:pt>
                <c:pt idx="69">
                  <c:v>0.68271908442212559</c:v>
                </c:pt>
                <c:pt idx="70">
                  <c:v>0.68657221790333223</c:v>
                </c:pt>
                <c:pt idx="71">
                  <c:v>0.69042535138453887</c:v>
                </c:pt>
                <c:pt idx="72">
                  <c:v>0.6942784848657455</c:v>
                </c:pt>
                <c:pt idx="73">
                  <c:v>0.69813161834695203</c:v>
                </c:pt>
                <c:pt idx="74">
                  <c:v>0.70198475182815867</c:v>
                </c:pt>
                <c:pt idx="75">
                  <c:v>0.70583788530936531</c:v>
                </c:pt>
                <c:pt idx="76">
                  <c:v>0.70969101879057184</c:v>
                </c:pt>
                <c:pt idx="77">
                  <c:v>0.71354415227177848</c:v>
                </c:pt>
                <c:pt idx="78">
                  <c:v>0.71739728575298511</c:v>
                </c:pt>
                <c:pt idx="79">
                  <c:v>0.72125041923419175</c:v>
                </c:pt>
                <c:pt idx="80">
                  <c:v>0.72510355271539839</c:v>
                </c:pt>
                <c:pt idx="81">
                  <c:v>0.72895668619660503</c:v>
                </c:pt>
                <c:pt idx="82">
                  <c:v>0.73280981967781167</c:v>
                </c:pt>
                <c:pt idx="83">
                  <c:v>0.73666295315901831</c:v>
                </c:pt>
                <c:pt idx="84">
                  <c:v>0.74051608664022495</c:v>
                </c:pt>
                <c:pt idx="85">
                  <c:v>0.74436922012143159</c:v>
                </c:pt>
                <c:pt idx="86">
                  <c:v>0.74822235360263822</c:v>
                </c:pt>
                <c:pt idx="87">
                  <c:v>0.75207548708384486</c:v>
                </c:pt>
                <c:pt idx="88">
                  <c:v>0.7559286205650515</c:v>
                </c:pt>
                <c:pt idx="89">
                  <c:v>0.75978175404625803</c:v>
                </c:pt>
                <c:pt idx="90">
                  <c:v>0.76363488752746478</c:v>
                </c:pt>
                <c:pt idx="91">
                  <c:v>0.76748802100867131</c:v>
                </c:pt>
                <c:pt idx="92">
                  <c:v>0.77134115448987783</c:v>
                </c:pt>
                <c:pt idx="93">
                  <c:v>0.77519428797108458</c:v>
                </c:pt>
                <c:pt idx="94">
                  <c:v>0.77904742145229111</c:v>
                </c:pt>
                <c:pt idx="95">
                  <c:v>0.78290055493349775</c:v>
                </c:pt>
                <c:pt idx="96">
                  <c:v>0.78675368841470439</c:v>
                </c:pt>
                <c:pt idx="97">
                  <c:v>0.79060682189591103</c:v>
                </c:pt>
                <c:pt idx="98">
                  <c:v>0.79445995537711767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-0.13512773903249545</c:v>
                </c:pt>
                <c:pt idx="1">
                  <c:v>-0.13698971850773789</c:v>
                </c:pt>
                <c:pt idx="2">
                  <c:v>-0.13323206810398799</c:v>
                </c:pt>
                <c:pt idx="3">
                  <c:v>-0.12865462454901341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8.9518176782802713E-3</c:v>
                </c:pt>
                <c:pt idx="1">
                  <c:v>8.1608247315563803E-3</c:v>
                </c:pt>
                <c:pt idx="2">
                  <c:v>7.4885642013598711E-3</c:v>
                </c:pt>
                <c:pt idx="3">
                  <c:v>6.9851513155388383E-3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9.0014040593833514E-2</c:v>
                </c:pt>
                <c:pt idx="1">
                  <c:v>9.6845881390727778E-2</c:v>
                </c:pt>
                <c:pt idx="2">
                  <c:v>0.10245802793654664</c:v>
                </c:pt>
                <c:pt idx="3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7.9638680565660182E-3</c:v>
                </c:pt>
                <c:pt idx="1">
                  <c:v>7.1704111566752611E-3</c:v>
                </c:pt>
                <c:pt idx="2">
                  <c:v>6.486516862012898E-3</c:v>
                </c:pt>
                <c:pt idx="3">
                  <c:v>5.9363353194242944E-3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1512468386626782"/>
                  <c:y val="-0.435863464920406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9.6584499610897125E-3</c:v>
                </c:pt>
                <c:pt idx="1">
                  <c:v>9.1343447375708473E-3</c:v>
                </c:pt>
                <c:pt idx="2">
                  <c:v>8.7262267121529652E-3</c:v>
                </c:pt>
                <c:pt idx="3">
                  <c:v>8.2020626214763664E-3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0.39575012540050891</c:v>
                </c:pt>
                <c:pt idx="1">
                  <c:v>0.39727236092929374</c:v>
                </c:pt>
                <c:pt idx="2">
                  <c:v>0.40392795657177044</c:v>
                </c:pt>
                <c:pt idx="3">
                  <c:v>0.41685287421886835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'CDCL(Re)'!$I$2:$I$5</c:f>
              <c:numCache>
                <c:formatCode>General</c:formatCode>
                <c:ptCount val="4"/>
                <c:pt idx="0">
                  <c:v>2.300963201137662</c:v>
                </c:pt>
                <c:pt idx="1">
                  <c:v>2.2387672903343114</c:v>
                </c:pt>
                <c:pt idx="2">
                  <c:v>2.2356928721463163</c:v>
                </c:pt>
                <c:pt idx="3">
                  <c:v>2.3042761512119556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  <c:pt idx="98">
                  <c:v>5.9357296327270772E-3</c:v>
                </c:pt>
                <c:pt idx="99">
                  <c:v>5.9363353194242944E-3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-0.15852655157804757</c:v>
                </c:pt>
                <c:pt idx="1">
                  <c:v>-0.16178256984303896</c:v>
                </c:pt>
                <c:pt idx="2">
                  <c:v>-0.16493945960672907</c:v>
                </c:pt>
                <c:pt idx="3">
                  <c:v>-0.16799722086911806</c:v>
                </c:pt>
                <c:pt idx="4">
                  <c:v>-0.17095585363020577</c:v>
                </c:pt>
                <c:pt idx="5">
                  <c:v>-0.17381535788999219</c:v>
                </c:pt>
                <c:pt idx="6">
                  <c:v>-0.1765757336484774</c:v>
                </c:pt>
                <c:pt idx="7">
                  <c:v>-0.17923698090566154</c:v>
                </c:pt>
                <c:pt idx="8">
                  <c:v>-0.18179909966154428</c:v>
                </c:pt>
                <c:pt idx="9">
                  <c:v>-0.18426208991612592</c:v>
                </c:pt>
                <c:pt idx="10">
                  <c:v>-0.18662595166940632</c:v>
                </c:pt>
                <c:pt idx="11">
                  <c:v>-0.1888906849213855</c:v>
                </c:pt>
                <c:pt idx="12">
                  <c:v>-0.19105628967206351</c:v>
                </c:pt>
                <c:pt idx="13">
                  <c:v>-0.19312276592144029</c:v>
                </c:pt>
                <c:pt idx="14">
                  <c:v>-0.19509011366951567</c:v>
                </c:pt>
                <c:pt idx="15">
                  <c:v>-0.19695833291629017</c:v>
                </c:pt>
                <c:pt idx="16">
                  <c:v>-0.19872742366176332</c:v>
                </c:pt>
                <c:pt idx="17">
                  <c:v>-0.2003973859059352</c:v>
                </c:pt>
                <c:pt idx="18">
                  <c:v>-0.20196821964880596</c:v>
                </c:pt>
                <c:pt idx="19">
                  <c:v>-0.20343992489037532</c:v>
                </c:pt>
                <c:pt idx="20">
                  <c:v>-0.20481250163064357</c:v>
                </c:pt>
                <c:pt idx="21">
                  <c:v>-0.20608594986961065</c:v>
                </c:pt>
                <c:pt idx="22">
                  <c:v>-0.20726026960727639</c:v>
                </c:pt>
                <c:pt idx="23">
                  <c:v>-0.20833546084364107</c:v>
                </c:pt>
                <c:pt idx="24">
                  <c:v>-0.20931152357870447</c:v>
                </c:pt>
                <c:pt idx="25">
                  <c:v>-0.21018845781246681</c:v>
                </c:pt>
                <c:pt idx="26">
                  <c:v>-0.2109662635449277</c:v>
                </c:pt>
                <c:pt idx="27">
                  <c:v>-0.21164494077608742</c:v>
                </c:pt>
                <c:pt idx="28">
                  <c:v>-0.21222448950594597</c:v>
                </c:pt>
                <c:pt idx="29">
                  <c:v>-0.21270490973450329</c:v>
                </c:pt>
                <c:pt idx="30">
                  <c:v>-0.21308620146175955</c:v>
                </c:pt>
                <c:pt idx="31">
                  <c:v>-0.21336836468771439</c:v>
                </c:pt>
                <c:pt idx="32">
                  <c:v>-0.21355139941236795</c:v>
                </c:pt>
                <c:pt idx="33">
                  <c:v>-0.21363530563572061</c:v>
                </c:pt>
                <c:pt idx="34">
                  <c:v>-0.21362008335777183</c:v>
                </c:pt>
                <c:pt idx="35">
                  <c:v>-0.2135057325785219</c:v>
                </c:pt>
                <c:pt idx="36">
                  <c:v>-0.21329225329797075</c:v>
                </c:pt>
                <c:pt idx="37">
                  <c:v>-0.21297964551611828</c:v>
                </c:pt>
                <c:pt idx="38">
                  <c:v>-0.21256790923296481</c:v>
                </c:pt>
                <c:pt idx="39">
                  <c:v>-0.2120570444485099</c:v>
                </c:pt>
                <c:pt idx="40">
                  <c:v>-0.21144705116275392</c:v>
                </c:pt>
                <c:pt idx="41">
                  <c:v>-0.21073792937569666</c:v>
                </c:pt>
                <c:pt idx="42">
                  <c:v>-0.20992967908733817</c:v>
                </c:pt>
                <c:pt idx="43">
                  <c:v>-0.20902230029767865</c:v>
                </c:pt>
                <c:pt idx="44">
                  <c:v>-0.20801579300671763</c:v>
                </c:pt>
                <c:pt idx="45">
                  <c:v>-0.20691015721445563</c:v>
                </c:pt>
                <c:pt idx="46">
                  <c:v>-0.20570539292089238</c:v>
                </c:pt>
                <c:pt idx="47">
                  <c:v>-0.20440150012602776</c:v>
                </c:pt>
                <c:pt idx="48">
                  <c:v>-0.20299847882986205</c:v>
                </c:pt>
                <c:pt idx="49">
                  <c:v>-0.20149632903239512</c:v>
                </c:pt>
                <c:pt idx="50">
                  <c:v>-0.1998950507336269</c:v>
                </c:pt>
                <c:pt idx="51">
                  <c:v>-0.1981946439335576</c:v>
                </c:pt>
                <c:pt idx="52">
                  <c:v>-0.19639510863218695</c:v>
                </c:pt>
                <c:pt idx="53">
                  <c:v>-0.19449644482951525</c:v>
                </c:pt>
                <c:pt idx="54">
                  <c:v>-0.19249865252554219</c:v>
                </c:pt>
                <c:pt idx="55">
                  <c:v>-0.19040173172026789</c:v>
                </c:pt>
                <c:pt idx="56">
                  <c:v>-0.18820568241369251</c:v>
                </c:pt>
                <c:pt idx="57">
                  <c:v>-0.18591050460581585</c:v>
                </c:pt>
                <c:pt idx="58">
                  <c:v>-0.18351619829663801</c:v>
                </c:pt>
                <c:pt idx="59">
                  <c:v>-0.18102276348615889</c:v>
                </c:pt>
                <c:pt idx="60">
                  <c:v>-0.17843020017437866</c:v>
                </c:pt>
                <c:pt idx="61">
                  <c:v>-0.17573850836129712</c:v>
                </c:pt>
                <c:pt idx="62">
                  <c:v>-0.17294768804691435</c:v>
                </c:pt>
                <c:pt idx="63">
                  <c:v>-0.17005773923123035</c:v>
                </c:pt>
                <c:pt idx="64">
                  <c:v>-0.16706866191424527</c:v>
                </c:pt>
                <c:pt idx="65">
                  <c:v>-0.16398045609595896</c:v>
                </c:pt>
                <c:pt idx="66">
                  <c:v>-0.16079312177637137</c:v>
                </c:pt>
                <c:pt idx="67">
                  <c:v>-0.15750665895548249</c:v>
                </c:pt>
                <c:pt idx="68">
                  <c:v>-0.15412106763329245</c:v>
                </c:pt>
                <c:pt idx="69">
                  <c:v>-0.15063634780980126</c:v>
                </c:pt>
                <c:pt idx="70">
                  <c:v>-0.14705249948500881</c:v>
                </c:pt>
                <c:pt idx="71">
                  <c:v>-0.14336952265891523</c:v>
                </c:pt>
                <c:pt idx="72">
                  <c:v>-0.13958741733152036</c:v>
                </c:pt>
                <c:pt idx="73">
                  <c:v>-0.13570618350282418</c:v>
                </c:pt>
                <c:pt idx="74">
                  <c:v>-0.13172582117282694</c:v>
                </c:pt>
                <c:pt idx="75">
                  <c:v>-0.12764633034152842</c:v>
                </c:pt>
                <c:pt idx="76">
                  <c:v>-0.12346771100892878</c:v>
                </c:pt>
                <c:pt idx="77">
                  <c:v>-0.11918996317502775</c:v>
                </c:pt>
                <c:pt idx="78">
                  <c:v>-0.11481308683982565</c:v>
                </c:pt>
                <c:pt idx="79">
                  <c:v>-0.11033708200332223</c:v>
                </c:pt>
                <c:pt idx="80">
                  <c:v>-0.10576194866551769</c:v>
                </c:pt>
                <c:pt idx="81">
                  <c:v>-0.10108768682641189</c:v>
                </c:pt>
                <c:pt idx="82">
                  <c:v>-9.6314296486004841E-2</c:v>
                </c:pt>
                <c:pt idx="83">
                  <c:v>-9.1441777644296673E-2</c:v>
                </c:pt>
                <c:pt idx="84">
                  <c:v>-8.6470130301287224E-2</c:v>
                </c:pt>
                <c:pt idx="85">
                  <c:v>-8.139935445697663E-2</c:v>
                </c:pt>
                <c:pt idx="86">
                  <c:v>-7.6229450111364713E-2</c:v>
                </c:pt>
                <c:pt idx="87">
                  <c:v>-7.0960417264451611E-2</c:v>
                </c:pt>
                <c:pt idx="88">
                  <c:v>-6.5592255916237366E-2</c:v>
                </c:pt>
                <c:pt idx="89">
                  <c:v>-6.0124966066721817E-2</c:v>
                </c:pt>
                <c:pt idx="90">
                  <c:v>-5.455854771590516E-2</c:v>
                </c:pt>
                <c:pt idx="91">
                  <c:v>-4.8893000863787207E-2</c:v>
                </c:pt>
                <c:pt idx="92">
                  <c:v>-4.3128325510368007E-2</c:v>
                </c:pt>
                <c:pt idx="93">
                  <c:v>-3.7264521655647601E-2</c:v>
                </c:pt>
                <c:pt idx="94">
                  <c:v>-3.1301589299626086E-2</c:v>
                </c:pt>
                <c:pt idx="95">
                  <c:v>-2.5239528442303271E-2</c:v>
                </c:pt>
                <c:pt idx="96">
                  <c:v>-1.9078339083679306E-2</c:v>
                </c:pt>
                <c:pt idx="97">
                  <c:v>-1.2818021223754063E-2</c:v>
                </c:pt>
                <c:pt idx="98">
                  <c:v>-6.4585748625276976E-3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-0.61709970879813569</c:v>
                </c:pt>
                <c:pt idx="2">
                  <c:v>-0.61080277299407315</c:v>
                </c:pt>
                <c:pt idx="3">
                  <c:v>-0.6045058371900105</c:v>
                </c:pt>
                <c:pt idx="4">
                  <c:v>-0.59820890138594796</c:v>
                </c:pt>
                <c:pt idx="5">
                  <c:v>-0.5919119655818853</c:v>
                </c:pt>
                <c:pt idx="6">
                  <c:v>-0.58561502977782265</c:v>
                </c:pt>
                <c:pt idx="7">
                  <c:v>-0.57931809397376011</c:v>
                </c:pt>
                <c:pt idx="8">
                  <c:v>-0.57302115816969745</c:v>
                </c:pt>
                <c:pt idx="9">
                  <c:v>-0.5667242223656348</c:v>
                </c:pt>
                <c:pt idx="10">
                  <c:v>-0.56042728656157226</c:v>
                </c:pt>
                <c:pt idx="11">
                  <c:v>-0.5541303507575096</c:v>
                </c:pt>
                <c:pt idx="12">
                  <c:v>-0.54783341495344706</c:v>
                </c:pt>
                <c:pt idx="13">
                  <c:v>-0.54153647914938441</c:v>
                </c:pt>
                <c:pt idx="14">
                  <c:v>-0.53523954334532187</c:v>
                </c:pt>
                <c:pt idx="15">
                  <c:v>-0.52894260754125921</c:v>
                </c:pt>
                <c:pt idx="16">
                  <c:v>-0.52264567173719656</c:v>
                </c:pt>
                <c:pt idx="17">
                  <c:v>-0.51634873593313402</c:v>
                </c:pt>
                <c:pt idx="18">
                  <c:v>-0.51005180012907136</c:v>
                </c:pt>
                <c:pt idx="19">
                  <c:v>-0.50375486432500871</c:v>
                </c:pt>
                <c:pt idx="20">
                  <c:v>-0.49745792852094617</c:v>
                </c:pt>
                <c:pt idx="21">
                  <c:v>-0.49116099271688352</c:v>
                </c:pt>
                <c:pt idx="22">
                  <c:v>-0.48486405691282097</c:v>
                </c:pt>
                <c:pt idx="23">
                  <c:v>-0.47856712110875832</c:v>
                </c:pt>
                <c:pt idx="24">
                  <c:v>-0.47227018530469572</c:v>
                </c:pt>
                <c:pt idx="25">
                  <c:v>-0.46597324950063312</c:v>
                </c:pt>
                <c:pt idx="26">
                  <c:v>-0.45967631369657047</c:v>
                </c:pt>
                <c:pt idx="27">
                  <c:v>-0.45337937789250787</c:v>
                </c:pt>
                <c:pt idx="28">
                  <c:v>-0.44708244208844528</c:v>
                </c:pt>
                <c:pt idx="29">
                  <c:v>-0.44078550628438268</c:v>
                </c:pt>
                <c:pt idx="30">
                  <c:v>-0.43448857048032008</c:v>
                </c:pt>
                <c:pt idx="31">
                  <c:v>-0.42819163467625743</c:v>
                </c:pt>
                <c:pt idx="32">
                  <c:v>-0.42189469887219483</c:v>
                </c:pt>
                <c:pt idx="33">
                  <c:v>-0.41559776306813223</c:v>
                </c:pt>
                <c:pt idx="34">
                  <c:v>-0.40930082726406958</c:v>
                </c:pt>
                <c:pt idx="35">
                  <c:v>-0.40300389146000704</c:v>
                </c:pt>
                <c:pt idx="36">
                  <c:v>-0.39670695565594438</c:v>
                </c:pt>
                <c:pt idx="37">
                  <c:v>-0.39041001985188184</c:v>
                </c:pt>
                <c:pt idx="38">
                  <c:v>-0.38411308404781919</c:v>
                </c:pt>
                <c:pt idx="39">
                  <c:v>-0.37781614824375659</c:v>
                </c:pt>
                <c:pt idx="40">
                  <c:v>-0.37151921243969399</c:v>
                </c:pt>
                <c:pt idx="41">
                  <c:v>-0.36522227663563134</c:v>
                </c:pt>
                <c:pt idx="42">
                  <c:v>-0.35892534083156874</c:v>
                </c:pt>
                <c:pt idx="43">
                  <c:v>-0.35262840502750614</c:v>
                </c:pt>
                <c:pt idx="44">
                  <c:v>-0.34633146922344354</c:v>
                </c:pt>
                <c:pt idx="45">
                  <c:v>-0.34003453341938095</c:v>
                </c:pt>
                <c:pt idx="46">
                  <c:v>-0.33373759761531829</c:v>
                </c:pt>
                <c:pt idx="47">
                  <c:v>-0.3274406618112557</c:v>
                </c:pt>
                <c:pt idx="48">
                  <c:v>-0.3211437260071931</c:v>
                </c:pt>
                <c:pt idx="49">
                  <c:v>-0.3148467902031305</c:v>
                </c:pt>
                <c:pt idx="50">
                  <c:v>-0.30854985439906785</c:v>
                </c:pt>
                <c:pt idx="51">
                  <c:v>-0.30225291859500525</c:v>
                </c:pt>
                <c:pt idx="52">
                  <c:v>-0.29595598279094265</c:v>
                </c:pt>
                <c:pt idx="53">
                  <c:v>-0.28965904698688005</c:v>
                </c:pt>
                <c:pt idx="54">
                  <c:v>-0.2833621111828174</c:v>
                </c:pt>
                <c:pt idx="55">
                  <c:v>-0.2770651753787548</c:v>
                </c:pt>
                <c:pt idx="56">
                  <c:v>-0.27076823957469226</c:v>
                </c:pt>
                <c:pt idx="57">
                  <c:v>-0.26447130377062961</c:v>
                </c:pt>
                <c:pt idx="58">
                  <c:v>-0.25817436796656701</c:v>
                </c:pt>
                <c:pt idx="59">
                  <c:v>-0.25187743216250436</c:v>
                </c:pt>
                <c:pt idx="60">
                  <c:v>-0.24558049635844181</c:v>
                </c:pt>
                <c:pt idx="61">
                  <c:v>-0.23928356055437916</c:v>
                </c:pt>
                <c:pt idx="62">
                  <c:v>-0.23298662475031656</c:v>
                </c:pt>
                <c:pt idx="63">
                  <c:v>-0.22668968894625391</c:v>
                </c:pt>
                <c:pt idx="64">
                  <c:v>-0.22039275314219131</c:v>
                </c:pt>
                <c:pt idx="65">
                  <c:v>-0.21409581733812877</c:v>
                </c:pt>
                <c:pt idx="66">
                  <c:v>-0.20779888153406612</c:v>
                </c:pt>
                <c:pt idx="67">
                  <c:v>-0.20150194573000352</c:v>
                </c:pt>
                <c:pt idx="68">
                  <c:v>-0.19520500992594086</c:v>
                </c:pt>
                <c:pt idx="69">
                  <c:v>-0.18890807412187832</c:v>
                </c:pt>
                <c:pt idx="70">
                  <c:v>-0.18261113831781567</c:v>
                </c:pt>
                <c:pt idx="71">
                  <c:v>-0.17631420251375307</c:v>
                </c:pt>
                <c:pt idx="72">
                  <c:v>-0.17001726670969042</c:v>
                </c:pt>
                <c:pt idx="73">
                  <c:v>-0.16372033090562782</c:v>
                </c:pt>
                <c:pt idx="74">
                  <c:v>-0.15742339510156528</c:v>
                </c:pt>
                <c:pt idx="75">
                  <c:v>-0.15112645929750262</c:v>
                </c:pt>
                <c:pt idx="76">
                  <c:v>-0.14482952349344003</c:v>
                </c:pt>
                <c:pt idx="77">
                  <c:v>-0.13853258768937737</c:v>
                </c:pt>
                <c:pt idx="78">
                  <c:v>-0.13223565188531483</c:v>
                </c:pt>
                <c:pt idx="79">
                  <c:v>-0.12593871608125218</c:v>
                </c:pt>
                <c:pt idx="80">
                  <c:v>-0.11964178027718964</c:v>
                </c:pt>
                <c:pt idx="81">
                  <c:v>-0.11334484447312698</c:v>
                </c:pt>
                <c:pt idx="82">
                  <c:v>-0.10704790866906433</c:v>
                </c:pt>
                <c:pt idx="83">
                  <c:v>-0.10075097286500179</c:v>
                </c:pt>
                <c:pt idx="84">
                  <c:v>-9.4454037060939133E-2</c:v>
                </c:pt>
                <c:pt idx="85">
                  <c:v>-8.8157101256876591E-2</c:v>
                </c:pt>
                <c:pt idx="86">
                  <c:v>-8.1860165452813938E-2</c:v>
                </c:pt>
                <c:pt idx="87">
                  <c:v>-7.5563229648751284E-2</c:v>
                </c:pt>
                <c:pt idx="88">
                  <c:v>-6.9266293844688742E-2</c:v>
                </c:pt>
                <c:pt idx="89">
                  <c:v>-6.2969358040626089E-2</c:v>
                </c:pt>
                <c:pt idx="90">
                  <c:v>-5.6672422236563547E-2</c:v>
                </c:pt>
                <c:pt idx="91">
                  <c:v>-5.0375486432500893E-2</c:v>
                </c:pt>
                <c:pt idx="92">
                  <c:v>-4.407855062843824E-2</c:v>
                </c:pt>
                <c:pt idx="93">
                  <c:v>-3.7781614824375587E-2</c:v>
                </c:pt>
                <c:pt idx="94">
                  <c:v>-3.1484679020313044E-2</c:v>
                </c:pt>
                <c:pt idx="95">
                  <c:v>-2.5187743216250391E-2</c:v>
                </c:pt>
                <c:pt idx="96">
                  <c:v>-1.8890807412187849E-2</c:v>
                </c:pt>
                <c:pt idx="97">
                  <c:v>-1.2593871608125196E-2</c:v>
                </c:pt>
                <c:pt idx="98">
                  <c:v>-6.2969358040626533E-3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-8.2529521454533725E-3</c:v>
                </c:pt>
                <c:pt idx="2">
                  <c:v>-1.6343343381856019E-2</c:v>
                </c:pt>
                <c:pt idx="3">
                  <c:v>-2.4271173709207911E-2</c:v>
                </c:pt>
                <c:pt idx="4">
                  <c:v>-3.2036443127509084E-2</c:v>
                </c:pt>
                <c:pt idx="5">
                  <c:v>-3.963915163675949E-2</c:v>
                </c:pt>
                <c:pt idx="6">
                  <c:v>-4.7079299236959186E-2</c:v>
                </c:pt>
                <c:pt idx="7">
                  <c:v>-5.4356885928108119E-2</c:v>
                </c:pt>
                <c:pt idx="8">
                  <c:v>-6.1471911710206335E-2</c:v>
                </c:pt>
                <c:pt idx="9">
                  <c:v>-6.8424376583253774E-2</c:v>
                </c:pt>
                <c:pt idx="10">
                  <c:v>-7.5214280547250531E-2</c:v>
                </c:pt>
                <c:pt idx="11">
                  <c:v>-8.1841623602196489E-2</c:v>
                </c:pt>
                <c:pt idx="12">
                  <c:v>-8.8306405748091732E-2</c:v>
                </c:pt>
                <c:pt idx="13">
                  <c:v>-9.4608626984936245E-2</c:v>
                </c:pt>
                <c:pt idx="14">
                  <c:v>-0.10074828731273001</c:v>
                </c:pt>
                <c:pt idx="15">
                  <c:v>-0.10672538673147304</c:v>
                </c:pt>
                <c:pt idx="16">
                  <c:v>-0.11253992524116534</c:v>
                </c:pt>
                <c:pt idx="17">
                  <c:v>-0.11819190284180688</c:v>
                </c:pt>
                <c:pt idx="18">
                  <c:v>-0.12368131953339767</c:v>
                </c:pt>
                <c:pt idx="19">
                  <c:v>-0.12900817531593775</c:v>
                </c:pt>
                <c:pt idx="20">
                  <c:v>-0.1341724701894271</c:v>
                </c:pt>
                <c:pt idx="21">
                  <c:v>-0.13917420415386567</c:v>
                </c:pt>
                <c:pt idx="22">
                  <c:v>-0.14401337720925356</c:v>
                </c:pt>
                <c:pt idx="23">
                  <c:v>-0.14868998935559061</c:v>
                </c:pt>
                <c:pt idx="24">
                  <c:v>-0.15320404059287701</c:v>
                </c:pt>
                <c:pt idx="25">
                  <c:v>-0.1575555309211126</c:v>
                </c:pt>
                <c:pt idx="26">
                  <c:v>-0.16174446034029755</c:v>
                </c:pt>
                <c:pt idx="27">
                  <c:v>-0.16577082885043168</c:v>
                </c:pt>
                <c:pt idx="28">
                  <c:v>-0.16963463645151511</c:v>
                </c:pt>
                <c:pt idx="29">
                  <c:v>-0.17333588314354784</c:v>
                </c:pt>
                <c:pt idx="30">
                  <c:v>-0.1768745689265297</c:v>
                </c:pt>
                <c:pt idx="31">
                  <c:v>-0.18025069380046094</c:v>
                </c:pt>
                <c:pt idx="32">
                  <c:v>-0.18346425776534137</c:v>
                </c:pt>
                <c:pt idx="33">
                  <c:v>-0.18651526082117109</c:v>
                </c:pt>
                <c:pt idx="34">
                  <c:v>-0.18940370296795012</c:v>
                </c:pt>
                <c:pt idx="35">
                  <c:v>-0.19212958420567833</c:v>
                </c:pt>
                <c:pt idx="36">
                  <c:v>-0.19469290453435575</c:v>
                </c:pt>
                <c:pt idx="37">
                  <c:v>-0.19709366395398256</c:v>
                </c:pt>
                <c:pt idx="38">
                  <c:v>-0.19933186246455861</c:v>
                </c:pt>
                <c:pt idx="39">
                  <c:v>-0.20140750006608382</c:v>
                </c:pt>
                <c:pt idx="40">
                  <c:v>-0.20332057675855839</c:v>
                </c:pt>
                <c:pt idx="41">
                  <c:v>-0.20507109254198222</c:v>
                </c:pt>
                <c:pt idx="42">
                  <c:v>-0.2066590474163553</c:v>
                </c:pt>
                <c:pt idx="43">
                  <c:v>-0.20808444138167753</c:v>
                </c:pt>
                <c:pt idx="44">
                  <c:v>-0.20934727443794915</c:v>
                </c:pt>
                <c:pt idx="45">
                  <c:v>-0.21044754658517001</c:v>
                </c:pt>
                <c:pt idx="46">
                  <c:v>-0.21138525782334011</c:v>
                </c:pt>
                <c:pt idx="47">
                  <c:v>-0.21216040815245946</c:v>
                </c:pt>
                <c:pt idx="48">
                  <c:v>-0.21277299757252816</c:v>
                </c:pt>
                <c:pt idx="49">
                  <c:v>-0.21322302608354604</c:v>
                </c:pt>
                <c:pt idx="50">
                  <c:v>-0.21351049368551314</c:v>
                </c:pt>
                <c:pt idx="51">
                  <c:v>-0.21363540037842962</c:v>
                </c:pt>
                <c:pt idx="52">
                  <c:v>-0.21359774616229524</c:v>
                </c:pt>
                <c:pt idx="53">
                  <c:v>-0.21339753103711018</c:v>
                </c:pt>
                <c:pt idx="54">
                  <c:v>-0.21303475500287425</c:v>
                </c:pt>
                <c:pt idx="55">
                  <c:v>-0.21250941805958787</c:v>
                </c:pt>
                <c:pt idx="56">
                  <c:v>-0.21182152020725048</c:v>
                </c:pt>
                <c:pt idx="57">
                  <c:v>-0.21097106144586242</c:v>
                </c:pt>
                <c:pt idx="58">
                  <c:v>-0.20995804177542382</c:v>
                </c:pt>
                <c:pt idx="59">
                  <c:v>-0.20878246119593424</c:v>
                </c:pt>
                <c:pt idx="60">
                  <c:v>-0.20744431970739391</c:v>
                </c:pt>
                <c:pt idx="61">
                  <c:v>-0.20594361730980282</c:v>
                </c:pt>
                <c:pt idx="62">
                  <c:v>-0.2042803540031613</c:v>
                </c:pt>
                <c:pt idx="63">
                  <c:v>-0.2024545297874687</c:v>
                </c:pt>
                <c:pt idx="64">
                  <c:v>-0.20046614466272555</c:v>
                </c:pt>
                <c:pt idx="65">
                  <c:v>-0.19831519862893154</c:v>
                </c:pt>
                <c:pt idx="66">
                  <c:v>-0.19600169168608689</c:v>
                </c:pt>
                <c:pt idx="67">
                  <c:v>-0.19352562383419147</c:v>
                </c:pt>
                <c:pt idx="68">
                  <c:v>-0.19088699507324536</c:v>
                </c:pt>
                <c:pt idx="69">
                  <c:v>-0.18808580540324837</c:v>
                </c:pt>
                <c:pt idx="70">
                  <c:v>-0.18512205482420085</c:v>
                </c:pt>
                <c:pt idx="71">
                  <c:v>-0.18199574333610258</c:v>
                </c:pt>
                <c:pt idx="72">
                  <c:v>-0.17870687093895321</c:v>
                </c:pt>
                <c:pt idx="73">
                  <c:v>-0.17525543763275342</c:v>
                </c:pt>
                <c:pt idx="74">
                  <c:v>-0.17164144341750276</c:v>
                </c:pt>
                <c:pt idx="75">
                  <c:v>-0.16786488829320151</c:v>
                </c:pt>
                <c:pt idx="76">
                  <c:v>-0.16392577225984939</c:v>
                </c:pt>
                <c:pt idx="77">
                  <c:v>-0.15982409531744657</c:v>
                </c:pt>
                <c:pt idx="78">
                  <c:v>-0.15555985746599305</c:v>
                </c:pt>
                <c:pt idx="79">
                  <c:v>-0.15113305870548865</c:v>
                </c:pt>
                <c:pt idx="80">
                  <c:v>-0.14654369903593367</c:v>
                </c:pt>
                <c:pt idx="81">
                  <c:v>-0.14179177845732793</c:v>
                </c:pt>
                <c:pt idx="82">
                  <c:v>-0.13687729696967144</c:v>
                </c:pt>
                <c:pt idx="83">
                  <c:v>-0.13180025457296429</c:v>
                </c:pt>
                <c:pt idx="84">
                  <c:v>-0.12656065126720639</c:v>
                </c:pt>
                <c:pt idx="85">
                  <c:v>-0.12115848705239729</c:v>
                </c:pt>
                <c:pt idx="86">
                  <c:v>-0.11559376192853776</c:v>
                </c:pt>
                <c:pt idx="87">
                  <c:v>-0.1098664758956277</c:v>
                </c:pt>
                <c:pt idx="88">
                  <c:v>-0.10397662895366677</c:v>
                </c:pt>
                <c:pt idx="89">
                  <c:v>-9.7924221102654974E-2</c:v>
                </c:pt>
                <c:pt idx="90">
                  <c:v>-9.170925234259264E-2</c:v>
                </c:pt>
                <c:pt idx="91">
                  <c:v>-8.533172267347966E-2</c:v>
                </c:pt>
                <c:pt idx="92">
                  <c:v>-7.8791632095315478E-2</c:v>
                </c:pt>
                <c:pt idx="93">
                  <c:v>-7.2088980608100872E-2</c:v>
                </c:pt>
                <c:pt idx="94">
                  <c:v>-6.5223768211835731E-2</c:v>
                </c:pt>
                <c:pt idx="95">
                  <c:v>-5.8195994906519388E-2</c:v>
                </c:pt>
                <c:pt idx="96">
                  <c:v>-5.1005660692152621E-2</c:v>
                </c:pt>
                <c:pt idx="97">
                  <c:v>-4.3652765568734875E-2</c:v>
                </c:pt>
                <c:pt idx="98">
                  <c:v>-3.6137309536266593E-2</c:v>
                </c:pt>
                <c:pt idx="99">
                  <c:v>-2.8459292594747332E-2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8.0637685743265089E-3</c:v>
                </c:pt>
                <c:pt idx="2">
                  <c:v>1.6127537148653018E-2</c:v>
                </c:pt>
                <c:pt idx="3">
                  <c:v>2.4191305722979523E-2</c:v>
                </c:pt>
                <c:pt idx="4">
                  <c:v>3.2255074297306036E-2</c:v>
                </c:pt>
                <c:pt idx="5">
                  <c:v>4.0318842871632544E-2</c:v>
                </c:pt>
                <c:pt idx="6">
                  <c:v>4.8382611445959046E-2</c:v>
                </c:pt>
                <c:pt idx="7">
                  <c:v>5.6446380020285555E-2</c:v>
                </c:pt>
                <c:pt idx="8">
                  <c:v>6.4510148594612071E-2</c:v>
                </c:pt>
                <c:pt idx="9">
                  <c:v>7.2573917168938573E-2</c:v>
                </c:pt>
                <c:pt idx="10">
                  <c:v>8.0637685743265089E-2</c:v>
                </c:pt>
                <c:pt idx="11">
                  <c:v>8.8701454317591591E-2</c:v>
                </c:pt>
                <c:pt idx="12">
                  <c:v>9.6765222891918093E-2</c:v>
                </c:pt>
                <c:pt idx="13">
                  <c:v>0.10482899146624461</c:v>
                </c:pt>
                <c:pt idx="14">
                  <c:v>0.11289276004057111</c:v>
                </c:pt>
                <c:pt idx="15">
                  <c:v>0.12095652861489763</c:v>
                </c:pt>
                <c:pt idx="16">
                  <c:v>0.12902029718922414</c:v>
                </c:pt>
                <c:pt idx="17">
                  <c:v>0.13708406576355064</c:v>
                </c:pt>
                <c:pt idx="18">
                  <c:v>0.14514783433787715</c:v>
                </c:pt>
                <c:pt idx="19">
                  <c:v>0.15321160291220365</c:v>
                </c:pt>
                <c:pt idx="20">
                  <c:v>0.16127537148653018</c:v>
                </c:pt>
                <c:pt idx="21">
                  <c:v>0.16933914006085665</c:v>
                </c:pt>
                <c:pt idx="22">
                  <c:v>0.17740290863518318</c:v>
                </c:pt>
                <c:pt idx="23">
                  <c:v>0.18546667720950968</c:v>
                </c:pt>
                <c:pt idx="24">
                  <c:v>0.19353044578383619</c:v>
                </c:pt>
                <c:pt idx="25">
                  <c:v>0.20159421435816269</c:v>
                </c:pt>
                <c:pt idx="26">
                  <c:v>0.20965798293248922</c:v>
                </c:pt>
                <c:pt idx="27">
                  <c:v>0.21772175150681575</c:v>
                </c:pt>
                <c:pt idx="28">
                  <c:v>0.22578552008114222</c:v>
                </c:pt>
                <c:pt idx="29">
                  <c:v>0.23384928865546875</c:v>
                </c:pt>
                <c:pt idx="30">
                  <c:v>0.24191305722979525</c:v>
                </c:pt>
                <c:pt idx="31">
                  <c:v>0.24997682580412173</c:v>
                </c:pt>
                <c:pt idx="32">
                  <c:v>0.25804059437844828</c:v>
                </c:pt>
                <c:pt idx="33">
                  <c:v>0.26610436295277479</c:v>
                </c:pt>
                <c:pt idx="34">
                  <c:v>0.27416813152710129</c:v>
                </c:pt>
                <c:pt idx="35">
                  <c:v>0.28223190010142779</c:v>
                </c:pt>
                <c:pt idx="36">
                  <c:v>0.29029566867575429</c:v>
                </c:pt>
                <c:pt idx="37">
                  <c:v>0.29835943725008079</c:v>
                </c:pt>
                <c:pt idx="38">
                  <c:v>0.3064232058244073</c:v>
                </c:pt>
                <c:pt idx="39">
                  <c:v>0.3144869743987338</c:v>
                </c:pt>
                <c:pt idx="40">
                  <c:v>0.32255074297306036</c:v>
                </c:pt>
                <c:pt idx="41">
                  <c:v>0.3306145115473868</c:v>
                </c:pt>
                <c:pt idx="42">
                  <c:v>0.3386782801217133</c:v>
                </c:pt>
                <c:pt idx="43">
                  <c:v>0.34674204869603986</c:v>
                </c:pt>
                <c:pt idx="44">
                  <c:v>0.35480581727036636</c:v>
                </c:pt>
                <c:pt idx="45">
                  <c:v>0.36286958584469281</c:v>
                </c:pt>
                <c:pt idx="46">
                  <c:v>0.37093335441901937</c:v>
                </c:pt>
                <c:pt idx="47">
                  <c:v>0.37899712299334587</c:v>
                </c:pt>
                <c:pt idx="48">
                  <c:v>0.38706089156767237</c:v>
                </c:pt>
                <c:pt idx="49">
                  <c:v>0.39512466014199893</c:v>
                </c:pt>
                <c:pt idx="50">
                  <c:v>0.40318842871632538</c:v>
                </c:pt>
                <c:pt idx="51">
                  <c:v>0.41125219729065193</c:v>
                </c:pt>
                <c:pt idx="52">
                  <c:v>0.41931596586497843</c:v>
                </c:pt>
                <c:pt idx="53">
                  <c:v>0.42737973443930494</c:v>
                </c:pt>
                <c:pt idx="54">
                  <c:v>0.43544350301363149</c:v>
                </c:pt>
                <c:pt idx="55">
                  <c:v>0.44350727158795794</c:v>
                </c:pt>
                <c:pt idx="56">
                  <c:v>0.45157104016228444</c:v>
                </c:pt>
                <c:pt idx="57">
                  <c:v>0.459634808736611</c:v>
                </c:pt>
                <c:pt idx="58">
                  <c:v>0.4676985773109375</c:v>
                </c:pt>
                <c:pt idx="59">
                  <c:v>0.47576234588526395</c:v>
                </c:pt>
                <c:pt idx="60">
                  <c:v>0.48382611445959051</c:v>
                </c:pt>
                <c:pt idx="61">
                  <c:v>0.49188988303391701</c:v>
                </c:pt>
                <c:pt idx="62">
                  <c:v>0.49995365160824345</c:v>
                </c:pt>
                <c:pt idx="63">
                  <c:v>0.50801742018257001</c:v>
                </c:pt>
                <c:pt idx="64">
                  <c:v>0.51608118875689657</c:v>
                </c:pt>
                <c:pt idx="65">
                  <c:v>0.52414495733122302</c:v>
                </c:pt>
                <c:pt idx="66">
                  <c:v>0.53220872590554957</c:v>
                </c:pt>
                <c:pt idx="67">
                  <c:v>0.54027249447987602</c:v>
                </c:pt>
                <c:pt idx="68">
                  <c:v>0.54833626305420258</c:v>
                </c:pt>
                <c:pt idx="69">
                  <c:v>0.55640003162852913</c:v>
                </c:pt>
                <c:pt idx="70">
                  <c:v>0.56446380020285558</c:v>
                </c:pt>
                <c:pt idx="71">
                  <c:v>0.57252756877718203</c:v>
                </c:pt>
                <c:pt idx="72">
                  <c:v>0.58059133735150859</c:v>
                </c:pt>
                <c:pt idx="73">
                  <c:v>0.58865510592583503</c:v>
                </c:pt>
                <c:pt idx="74">
                  <c:v>0.59671887450016159</c:v>
                </c:pt>
                <c:pt idx="75">
                  <c:v>0.60478264307448815</c:v>
                </c:pt>
                <c:pt idx="76">
                  <c:v>0.61284641164881459</c:v>
                </c:pt>
                <c:pt idx="77">
                  <c:v>0.62091018022314104</c:v>
                </c:pt>
                <c:pt idx="78">
                  <c:v>0.6289739487974676</c:v>
                </c:pt>
                <c:pt idx="79">
                  <c:v>0.63703771737179415</c:v>
                </c:pt>
                <c:pt idx="80">
                  <c:v>0.64510148594612071</c:v>
                </c:pt>
                <c:pt idx="81">
                  <c:v>0.65316525452044716</c:v>
                </c:pt>
                <c:pt idx="82">
                  <c:v>0.6612290230947736</c:v>
                </c:pt>
                <c:pt idx="83">
                  <c:v>0.66929279166910016</c:v>
                </c:pt>
                <c:pt idx="84">
                  <c:v>0.67735656024342661</c:v>
                </c:pt>
                <c:pt idx="85">
                  <c:v>0.68542032881775328</c:v>
                </c:pt>
                <c:pt idx="86">
                  <c:v>0.69348409739207972</c:v>
                </c:pt>
                <c:pt idx="87">
                  <c:v>0.70154786596640617</c:v>
                </c:pt>
                <c:pt idx="88">
                  <c:v>0.70961163454073273</c:v>
                </c:pt>
                <c:pt idx="89">
                  <c:v>0.71767540311505917</c:v>
                </c:pt>
                <c:pt idx="90">
                  <c:v>0.72573917168938562</c:v>
                </c:pt>
                <c:pt idx="91">
                  <c:v>0.73380294026371229</c:v>
                </c:pt>
                <c:pt idx="92">
                  <c:v>0.74186670883803874</c:v>
                </c:pt>
                <c:pt idx="93">
                  <c:v>0.74993047741236529</c:v>
                </c:pt>
                <c:pt idx="94">
                  <c:v>0.75799424598669174</c:v>
                </c:pt>
                <c:pt idx="95">
                  <c:v>0.76605801456101819</c:v>
                </c:pt>
                <c:pt idx="96">
                  <c:v>0.77412178313534474</c:v>
                </c:pt>
                <c:pt idx="97">
                  <c:v>0.7821855517096713</c:v>
                </c:pt>
                <c:pt idx="98">
                  <c:v>0.79024932028399786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5.7133631937457006</c:v>
                </c:pt>
                <c:pt idx="2">
                  <c:v>7.3008902062376499</c:v>
                </c:pt>
                <c:pt idx="3">
                  <c:v>6.6146958853831244</c:v>
                </c:pt>
                <c:pt idx="4">
                  <c:v>0</c:v>
                </c:pt>
                <c:pt idx="5">
                  <c:v>5.7133631937457006</c:v>
                </c:pt>
                <c:pt idx="6">
                  <c:v>7.3008902062376499</c:v>
                </c:pt>
                <c:pt idx="7">
                  <c:v>6.6146958853831244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6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2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8B9EAFC7-E2E0-4A91-9BE8-328EBC6AA8F4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AB12A8EB-39C5-492A-9255-61C4A7DF499C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0D60DE86-4144-4FE9-AD71-C2DC8F0EB7E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4AA0EDE2-A4CC-425F-954D-5A0E9652057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9B9E262-E3AF-4874-BF53-175D18508FA3}" name="polar1__2" displayName="polar1__2" ref="A1:D41" tableType="queryTable" totalsRowShown="0">
  <autoFilter ref="A1:D41" xr:uid="{49B9E262-E3AF-4874-BF53-175D18508FA3}"/>
  <tableColumns count="4">
    <tableColumn id="1" xr3:uid="{C689C175-9750-46C1-B2F0-B07CB49F3174}" uniqueName="1" name="alpha" queryTableFieldId="1"/>
    <tableColumn id="2" xr3:uid="{0D50F449-4D44-4304-B56D-86DB1B42EAAF}" uniqueName="2" name="CL" queryTableFieldId="2"/>
    <tableColumn id="3" xr3:uid="{61E8F33C-04E5-41EE-A89A-5248A769AFA5}" uniqueName="3" name="CD" queryTableFieldId="3"/>
    <tableColumn id="4" xr3:uid="{F6EC50ED-8EFC-48CC-9D99-B7BB68C6C3E0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E3ED3A8-5E24-4232-A145-8BB3B2B1479E}" name="polar2__2" displayName="polar2__2" ref="A1:D41" tableType="queryTable" totalsRowShown="0">
  <autoFilter ref="A1:D41" xr:uid="{FE3ED3A8-5E24-4232-A145-8BB3B2B1479E}"/>
  <tableColumns count="4">
    <tableColumn id="1" xr3:uid="{A05D7DDE-FB62-4C6C-90A5-EE5FF503359F}" uniqueName="1" name="alpha" queryTableFieldId="1"/>
    <tableColumn id="2" xr3:uid="{A3D0252F-8A71-4B8F-900A-E3B972AA7E42}" uniqueName="2" name="CL" queryTableFieldId="2"/>
    <tableColumn id="3" xr3:uid="{3D686FE2-C8FA-4F67-8492-77136672A7CF}" uniqueName="3" name="CD" queryTableFieldId="3"/>
    <tableColumn id="4" xr3:uid="{2A3AAB1A-A157-4C9E-97B0-F85C3F93F983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2BF9A3-DA2B-48BD-BC98-6625E68B8DED}" name="polar4__2" displayName="polar4__2" ref="A1:D41" tableType="queryTable" totalsRowShown="0">
  <autoFilter ref="A1:D41" xr:uid="{F92BF9A3-DA2B-48BD-BC98-6625E68B8DED}"/>
  <tableColumns count="4">
    <tableColumn id="1" xr3:uid="{A484889E-047F-4A98-8448-5C671FBBC1EA}" uniqueName="1" name="alpha" queryTableFieldId="1"/>
    <tableColumn id="2" xr3:uid="{9CB79FB6-6D3D-4301-AA8A-7AE0DCD5D73A}" uniqueName="2" name="CL" queryTableFieldId="2"/>
    <tableColumn id="3" xr3:uid="{61592590-B09D-4A0C-B73D-0EC546373194}" uniqueName="3" name="CD" queryTableFieldId="3"/>
    <tableColumn id="4" xr3:uid="{134CED41-C03E-4EFE-9972-6E23E884B8D3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A7285D2-723E-43DA-9030-4F79E481ADD1}" name="polar8__2" displayName="polar8__2" ref="A1:D41" tableType="queryTable" totalsRowShown="0">
  <autoFilter ref="A1:D41" xr:uid="{FA7285D2-723E-43DA-9030-4F79E481ADD1}"/>
  <tableColumns count="4">
    <tableColumn id="1" xr3:uid="{37DDA172-41D1-4D65-ABC9-5CD3AEAAF294}" uniqueName="1" name="alpha" queryTableFieldId="1"/>
    <tableColumn id="2" xr3:uid="{0766DECA-E3C6-4874-AFE1-6C2103B62AB3}" uniqueName="2" name="CL" queryTableFieldId="2"/>
    <tableColumn id="3" xr3:uid="{C1687BFF-688E-4DB9-BB9C-D7835EF75D56}" uniqueName="3" name="CD" queryTableFieldId="3"/>
    <tableColumn id="4" xr3:uid="{F895A439-3B9B-4E4F-A043-68ACB842D9A0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89C1-E1F0-4F65-828F-6A999B8896A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-0.58776153724487801</v>
      </c>
      <c r="C2">
        <v>2.9225065248045145E-2</v>
      </c>
      <c r="D2">
        <v>1.9053444254110607E-2</v>
      </c>
    </row>
    <row r="3" spans="1:4" x14ac:dyDescent="0.35">
      <c r="A3">
        <v>-2.8461538461538463</v>
      </c>
      <c r="B3">
        <v>-0.59414504446285499</v>
      </c>
      <c r="C3">
        <v>2.8553526880696338E-2</v>
      </c>
      <c r="D3">
        <v>2.2947980922833386E-2</v>
      </c>
    </row>
    <row r="4" spans="1:4" x14ac:dyDescent="0.35">
      <c r="A4">
        <v>-2.6923076923076925</v>
      </c>
      <c r="B4">
        <v>-0.57087994832088096</v>
      </c>
      <c r="C4">
        <v>2.5221234502576271E-2</v>
      </c>
      <c r="D4">
        <v>1.8384928740993813E-2</v>
      </c>
    </row>
    <row r="5" spans="1:4" x14ac:dyDescent="0.35">
      <c r="A5">
        <v>-2.5384615384615383</v>
      </c>
      <c r="B5">
        <v>-0.53792211525303413</v>
      </c>
      <c r="C5">
        <v>2.1486576323542519E-2</v>
      </c>
      <c r="D5">
        <v>1.0605953242920286E-2</v>
      </c>
    </row>
    <row r="6" spans="1:4" x14ac:dyDescent="0.35">
      <c r="A6">
        <v>-2.3846153846153846</v>
      </c>
      <c r="B6">
        <v>-0.49182353110038524</v>
      </c>
      <c r="C6">
        <v>1.7430262863636366E-2</v>
      </c>
      <c r="D6">
        <v>-8.3773379698926073E-4</v>
      </c>
    </row>
    <row r="7" spans="1:4" x14ac:dyDescent="0.35">
      <c r="A7">
        <v>-2.2307692307692308</v>
      </c>
      <c r="B7">
        <v>-0.43475848774584469</v>
      </c>
      <c r="C7">
        <v>1.3707910186533483E-2</v>
      </c>
      <c r="D7">
        <v>-1.3594645132743017E-2</v>
      </c>
    </row>
    <row r="8" spans="1:4" x14ac:dyDescent="0.35">
      <c r="A8">
        <v>-2.0769230769230766</v>
      </c>
      <c r="B8">
        <v>-0.39475708765200024</v>
      </c>
      <c r="C8">
        <v>1.1566968224219909E-2</v>
      </c>
      <c r="D8">
        <v>-2.0996510900266257E-2</v>
      </c>
    </row>
    <row r="9" spans="1:4" x14ac:dyDescent="0.35">
      <c r="A9">
        <v>-1.9230769230769229</v>
      </c>
      <c r="B9">
        <v>-0.33483501945416633</v>
      </c>
      <c r="C9">
        <v>1.0267038839929306E-2</v>
      </c>
      <c r="D9">
        <v>-2.5803606171418709E-2</v>
      </c>
    </row>
    <row r="10" spans="1:4" x14ac:dyDescent="0.35">
      <c r="A10">
        <v>-1.7692307692307692</v>
      </c>
      <c r="B10">
        <v>-0.30431080017423978</v>
      </c>
      <c r="C10">
        <v>1.0175046796625915E-2</v>
      </c>
      <c r="D10">
        <v>-2.3472135978659991E-2</v>
      </c>
    </row>
    <row r="11" spans="1:4" x14ac:dyDescent="0.35">
      <c r="A11">
        <v>-1.6153846153846154</v>
      </c>
      <c r="B11">
        <v>-0.24370326583717167</v>
      </c>
      <c r="C11">
        <v>1.1180416883232054E-2</v>
      </c>
      <c r="D11">
        <v>-1.7784923678908937E-2</v>
      </c>
    </row>
    <row r="12" spans="1:4" x14ac:dyDescent="0.35">
      <c r="A12">
        <v>-1.4615384615384615</v>
      </c>
      <c r="B12">
        <v>-0.19628173146835737</v>
      </c>
      <c r="C12">
        <v>1.0187640496704748E-2</v>
      </c>
      <c r="D12">
        <v>-2.0392132268102416E-2</v>
      </c>
    </row>
    <row r="13" spans="1:4" x14ac:dyDescent="0.35">
      <c r="A13">
        <v>-1.3076923076923075</v>
      </c>
      <c r="B13">
        <v>-0.16048298506323719</v>
      </c>
      <c r="C13">
        <v>9.5597447181702613E-3</v>
      </c>
      <c r="D13">
        <v>-2.2076599456147334E-2</v>
      </c>
    </row>
    <row r="14" spans="1:4" x14ac:dyDescent="0.35">
      <c r="A14">
        <v>-1.1538461538461537</v>
      </c>
      <c r="B14">
        <v>-0.13512773903249545</v>
      </c>
      <c r="C14">
        <v>8.9518176782802713E-3</v>
      </c>
      <c r="D14">
        <v>-2.4382709421293686E-2</v>
      </c>
    </row>
    <row r="15" spans="1:4" x14ac:dyDescent="0.35">
      <c r="A15">
        <v>-1</v>
      </c>
      <c r="B15">
        <v>-0.10912006061681616</v>
      </c>
      <c r="C15">
        <v>8.4629906436114333E-3</v>
      </c>
      <c r="D15">
        <v>-2.6669212986539372E-2</v>
      </c>
    </row>
    <row r="16" spans="1:4" x14ac:dyDescent="0.35">
      <c r="A16">
        <v>-0.84615384615384581</v>
      </c>
      <c r="B16">
        <v>-8.4665298070661588E-2</v>
      </c>
      <c r="C16">
        <v>8.2358687868351824E-3</v>
      </c>
      <c r="D16">
        <v>-2.8036322909791245E-2</v>
      </c>
    </row>
    <row r="17" spans="1:4" x14ac:dyDescent="0.35">
      <c r="A17">
        <v>-0.69230769230769207</v>
      </c>
      <c r="B17">
        <v>-1.8242078600212975E-2</v>
      </c>
      <c r="C17">
        <v>8.1948165973551659E-3</v>
      </c>
      <c r="D17">
        <v>-2.9208949703776379E-2</v>
      </c>
    </row>
    <row r="18" spans="1:4" x14ac:dyDescent="0.35">
      <c r="A18">
        <v>-0.53846153846153832</v>
      </c>
      <c r="B18">
        <v>1.7747215195047399E-2</v>
      </c>
      <c r="C18">
        <v>8.0715687249935508E-3</v>
      </c>
      <c r="D18">
        <v>-3.1208438871538118E-2</v>
      </c>
    </row>
    <row r="19" spans="1:4" x14ac:dyDescent="0.35">
      <c r="A19">
        <v>-0.38461538461538458</v>
      </c>
      <c r="B19">
        <v>5.3418841911606667E-2</v>
      </c>
      <c r="C19">
        <v>7.9949979004807024E-3</v>
      </c>
      <c r="D19">
        <v>-3.3289684156331593E-2</v>
      </c>
    </row>
    <row r="20" spans="1:4" x14ac:dyDescent="0.35">
      <c r="A20">
        <v>-0.23076923076923084</v>
      </c>
      <c r="B20">
        <v>9.0014040593833514E-2</v>
      </c>
      <c r="C20">
        <v>7.9638680565660182E-3</v>
      </c>
      <c r="D20">
        <v>-3.5429734488601011E-2</v>
      </c>
    </row>
    <row r="21" spans="1:4" x14ac:dyDescent="0.35">
      <c r="A21">
        <v>-7.692307692307665E-2</v>
      </c>
      <c r="B21">
        <v>0.12638535730781245</v>
      </c>
      <c r="C21">
        <v>7.9710175229911352E-3</v>
      </c>
      <c r="D21">
        <v>-3.7559186050709695E-2</v>
      </c>
    </row>
    <row r="22" spans="1:4" x14ac:dyDescent="0.35">
      <c r="A22">
        <v>7.6923076923077094E-2</v>
      </c>
      <c r="B22">
        <v>0.16283118656263282</v>
      </c>
      <c r="C22">
        <v>8.0160813476268869E-3</v>
      </c>
      <c r="D22">
        <v>-3.9623478657371258E-2</v>
      </c>
    </row>
    <row r="23" spans="1:4" x14ac:dyDescent="0.35">
      <c r="A23">
        <v>0.23076923076923084</v>
      </c>
      <c r="B23">
        <v>0.1993266200418258</v>
      </c>
      <c r="C23">
        <v>8.0999822477830202E-3</v>
      </c>
      <c r="D23">
        <v>-4.1556061873244773E-2</v>
      </c>
    </row>
    <row r="24" spans="1:4" x14ac:dyDescent="0.35">
      <c r="A24">
        <v>0.38461538461538503</v>
      </c>
      <c r="B24">
        <v>0.23227717648081389</v>
      </c>
      <c r="C24">
        <v>8.3224713144303998E-3</v>
      </c>
      <c r="D24">
        <v>-4.3477050836697125E-2</v>
      </c>
    </row>
    <row r="25" spans="1:4" x14ac:dyDescent="0.35">
      <c r="A25">
        <v>0.53846153846153877</v>
      </c>
      <c r="B25">
        <v>0.26506862697555339</v>
      </c>
      <c r="C25">
        <v>8.671054031613782E-3</v>
      </c>
      <c r="D25">
        <v>-4.5583434004191029E-2</v>
      </c>
    </row>
    <row r="26" spans="1:4" x14ac:dyDescent="0.35">
      <c r="A26">
        <v>0.69230769230769251</v>
      </c>
      <c r="B26">
        <v>0.30940570538466455</v>
      </c>
      <c r="C26">
        <v>8.6675729385841307E-3</v>
      </c>
      <c r="D26">
        <v>-4.5952404472724979E-2</v>
      </c>
    </row>
    <row r="27" spans="1:4" x14ac:dyDescent="0.35">
      <c r="A27">
        <v>0.84615384615384626</v>
      </c>
      <c r="B27">
        <v>0.35016452883737331</v>
      </c>
      <c r="C27">
        <v>8.9560314564259922E-3</v>
      </c>
      <c r="D27">
        <v>-4.7145937278081772E-2</v>
      </c>
    </row>
    <row r="28" spans="1:4" x14ac:dyDescent="0.35">
      <c r="A28">
        <v>1</v>
      </c>
      <c r="B28">
        <v>0.39575012540050891</v>
      </c>
      <c r="C28">
        <v>9.6584499610897125E-3</v>
      </c>
      <c r="D28">
        <v>-5.2030842538350205E-2</v>
      </c>
    </row>
    <row r="29" spans="1:4" x14ac:dyDescent="0.35">
      <c r="A29">
        <v>1.1538461538461542</v>
      </c>
      <c r="B29">
        <v>0.44393854281228101</v>
      </c>
      <c r="C29">
        <v>1.095961400583865E-2</v>
      </c>
      <c r="D29">
        <v>-5.9922427413635279E-2</v>
      </c>
    </row>
    <row r="30" spans="1:4" x14ac:dyDescent="0.35">
      <c r="A30">
        <v>1.3076923076923084</v>
      </c>
      <c r="B30">
        <v>0.48900557356480395</v>
      </c>
      <c r="C30">
        <v>1.2870616289256061E-2</v>
      </c>
      <c r="D30">
        <v>-6.8549036576974781E-2</v>
      </c>
    </row>
    <row r="31" spans="1:4" x14ac:dyDescent="0.35">
      <c r="A31">
        <v>1.4615384615384617</v>
      </c>
      <c r="B31">
        <v>0.52843929584309157</v>
      </c>
      <c r="C31">
        <v>1.5101270297802566E-2</v>
      </c>
      <c r="D31">
        <v>-7.6120896296847318E-2</v>
      </c>
    </row>
    <row r="32" spans="1:4" x14ac:dyDescent="0.35">
      <c r="A32">
        <v>1.6153846153846159</v>
      </c>
      <c r="B32">
        <v>0.56433602675071859</v>
      </c>
      <c r="C32">
        <v>1.7372352031202798E-2</v>
      </c>
      <c r="D32">
        <v>-8.2333624924641927E-2</v>
      </c>
    </row>
    <row r="33" spans="1:4" x14ac:dyDescent="0.35">
      <c r="A33">
        <v>1.7692307692307692</v>
      </c>
      <c r="B33">
        <v>0.59210909040496651</v>
      </c>
      <c r="C33">
        <v>1.922875491003526E-2</v>
      </c>
      <c r="D33">
        <v>-8.5460850862062204E-2</v>
      </c>
    </row>
    <row r="34" spans="1:4" x14ac:dyDescent="0.35">
      <c r="A34">
        <v>1.9230769230769234</v>
      </c>
      <c r="B34">
        <v>0.60468562932816095</v>
      </c>
      <c r="C34">
        <v>2.131311254365725E-2</v>
      </c>
      <c r="D34">
        <v>-8.8339609934211957E-2</v>
      </c>
    </row>
    <row r="35" spans="1:4" x14ac:dyDescent="0.35">
      <c r="A35">
        <v>2.0769230769230775</v>
      </c>
      <c r="B35">
        <v>0.66238754532217459</v>
      </c>
      <c r="C35">
        <v>2.3442867080682182E-2</v>
      </c>
      <c r="D35">
        <v>-8.9714826362275235E-2</v>
      </c>
    </row>
    <row r="36" spans="1:4" x14ac:dyDescent="0.35">
      <c r="A36">
        <v>2.2307692307692308</v>
      </c>
      <c r="B36">
        <v>0.68779113260424674</v>
      </c>
      <c r="C36">
        <v>2.6213262776445242E-2</v>
      </c>
      <c r="D36">
        <v>-9.2803640741488641E-2</v>
      </c>
    </row>
    <row r="37" spans="1:4" x14ac:dyDescent="0.35">
      <c r="A37">
        <v>2.384615384615385</v>
      </c>
      <c r="B37">
        <v>0.70580021349824462</v>
      </c>
      <c r="C37">
        <v>2.8895155825406513E-2</v>
      </c>
      <c r="D37">
        <v>-9.4129842534797892E-2</v>
      </c>
    </row>
    <row r="38" spans="1:4" x14ac:dyDescent="0.35">
      <c r="A38">
        <v>2.5384615384615383</v>
      </c>
      <c r="B38">
        <v>0.72135337341362804</v>
      </c>
      <c r="C38">
        <v>3.1632469662074364E-2</v>
      </c>
      <c r="D38">
        <v>-9.4994186757633672E-2</v>
      </c>
    </row>
    <row r="39" spans="1:4" x14ac:dyDescent="0.35">
      <c r="A39">
        <v>2.6923076923076925</v>
      </c>
      <c r="B39">
        <v>0.73533027330329381</v>
      </c>
      <c r="C39">
        <v>3.4400408485792469E-2</v>
      </c>
      <c r="D39">
        <v>-9.5527531114372968E-2</v>
      </c>
    </row>
    <row r="40" spans="1:4" x14ac:dyDescent="0.35">
      <c r="A40">
        <v>2.8461538461538467</v>
      </c>
      <c r="B40">
        <v>0.74843592942783443</v>
      </c>
      <c r="C40">
        <v>3.7215489051099872E-2</v>
      </c>
      <c r="D40">
        <v>-9.5902135270514138E-2</v>
      </c>
    </row>
    <row r="41" spans="1:4" x14ac:dyDescent="0.35">
      <c r="A41">
        <v>3</v>
      </c>
      <c r="B41">
        <v>0.76078697068154122</v>
      </c>
      <c r="C41">
        <v>4.0064883691390954E-2</v>
      </c>
      <c r="D41">
        <v>-9.6142343236661279E-2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zoomScale="64" workbookViewId="0">
      <selection activeCell="Z31" sqref="Z31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280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281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11.07588</v>
      </c>
      <c r="D10">
        <f t="shared" ref="D10:H10" si="0">IF(C25="","",C25)</f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22" t="s">
        <v>56</v>
      </c>
      <c r="K10" s="6">
        <v>0.05</v>
      </c>
      <c r="L10">
        <f>IF(B26="","",B26)</f>
        <v>0.97696400000000005</v>
      </c>
      <c r="M10">
        <f t="shared" ref="M10:Q10" si="1">IF(C26="","",C26)</f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22" t="s">
        <v>56</v>
      </c>
      <c r="T10" s="6">
        <v>0.05</v>
      </c>
      <c r="U10">
        <f>IF(B21="","",B21)</f>
        <v>7.7200000000000003E-3</v>
      </c>
      <c r="V10">
        <f t="shared" ref="V10:Z10" si="2">IF(C21="","",C21)</f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22" t="s">
        <v>56</v>
      </c>
      <c r="AC10" s="6">
        <v>0.05</v>
      </c>
      <c r="AD10">
        <f>IF(B23="","",B23)</f>
        <v>8.4599999999999996E-5</v>
      </c>
      <c r="AE10">
        <f t="shared" ref="AE10:AI10" si="3">IF(C23="","",C23)</f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11.078290000000001</v>
      </c>
      <c r="D11">
        <f t="shared" ref="D11:H11" si="4">IF(L25="","",L25)</f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23"/>
      <c r="K11" s="6">
        <v>0.1</v>
      </c>
      <c r="L11">
        <f>IF(K26="","",K26)</f>
        <v>0.98750099999999996</v>
      </c>
      <c r="M11">
        <f t="shared" ref="M11:Q11" si="5">IF(L26="","",L26)</f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23"/>
      <c r="T11" s="6">
        <v>0.1</v>
      </c>
      <c r="U11">
        <f>IF(K21="","",K21)</f>
        <v>7.77E-3</v>
      </c>
      <c r="V11">
        <f t="shared" ref="V11:Z11" si="6">IF(L21="","",L21)</f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23"/>
      <c r="AC11" s="6">
        <v>0.1</v>
      </c>
      <c r="AD11">
        <f>IF(K23="","",K23)</f>
        <v>8.4599999999999996E-5</v>
      </c>
      <c r="AE11">
        <f t="shared" ref="AE11:AI11" si="7">IF(L23="","",L23)</f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11.06711</v>
      </c>
      <c r="D12">
        <f t="shared" ref="D12:H12" si="8">IF(U25="","",U25)</f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23"/>
      <c r="K12" s="6">
        <v>0.15</v>
      </c>
      <c r="L12">
        <f>IF(T26="","",T26)</f>
        <v>0.99271799999999999</v>
      </c>
      <c r="M12">
        <f t="shared" ref="M12:Q12" si="9">IF(U26="","",U26)</f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23"/>
      <c r="T12" s="6">
        <v>0.15</v>
      </c>
      <c r="U12">
        <f>IF(T21="","",T21)</f>
        <v>7.8200000000000006E-3</v>
      </c>
      <c r="V12">
        <f t="shared" ref="V12:Z12" si="10">IF(U21="","",U21)</f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23"/>
      <c r="AC12" s="6">
        <v>0.15</v>
      </c>
      <c r="AD12">
        <f>IF(T23="","",T23)</f>
        <v>8.4599999999999996E-5</v>
      </c>
      <c r="AE12">
        <f t="shared" ref="AE12:AI12" si="11">IF(U23="","",U23)</f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11.053972949159292</v>
      </c>
      <c r="D13">
        <f t="shared" ref="D13:H13" si="12">IF(AD25="","",AD25)</f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23"/>
      <c r="K13" s="6">
        <v>0.2</v>
      </c>
      <c r="L13">
        <f>IF(AC26="","",AC26)</f>
        <v>0.99520992729366564</v>
      </c>
      <c r="M13">
        <f t="shared" ref="M13:Q13" si="13">IF(AD26="","",AD26)</f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23"/>
      <c r="T13" s="6">
        <v>0.2</v>
      </c>
      <c r="U13">
        <f>IF(AC21="","",AC21)</f>
        <v>7.8600000000000007E-3</v>
      </c>
      <c r="V13">
        <f t="shared" ref="V13:Z13" si="14">IF(AD21="","",AD21)</f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23"/>
      <c r="AC13" s="6">
        <v>0.2</v>
      </c>
      <c r="AD13">
        <f>IF(AC23="","",AC23)</f>
        <v>8.4573567284889573E-5</v>
      </c>
      <c r="AE13">
        <f t="shared" ref="AE13:AI13" si="15">IF(AD23="","",AD23)</f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11.02306644813352</v>
      </c>
      <c r="D14">
        <f>IF(AM25="","",AM25)</f>
        <v>11.063211915629093</v>
      </c>
      <c r="E14">
        <f>IF(AN25="","",AN25)</f>
        <v>11.063386332871454</v>
      </c>
      <c r="F14">
        <f t="shared" ref="F14:H14" si="16">IF(AO25="","",AO25)</f>
        <v>11.060980192276483</v>
      </c>
      <c r="G14">
        <f t="shared" si="16"/>
        <v>11.056603701135577</v>
      </c>
      <c r="H14">
        <f t="shared" si="16"/>
        <v>11.049685336474278</v>
      </c>
      <c r="J14" s="23"/>
      <c r="K14" s="6">
        <v>0.25</v>
      </c>
      <c r="L14">
        <f>IF(AL26="","",AL26)</f>
        <v>0.99629287573465086</v>
      </c>
      <c r="M14">
        <f>IF(AM26="","",AM26)</f>
        <v>0.99643087462912683</v>
      </c>
      <c r="N14">
        <f>IF(AN26="","",AN26)</f>
        <v>0.9961943284957604</v>
      </c>
      <c r="O14">
        <f t="shared" ref="O14:Q14" si="17">IF(AO26="","",AO26)</f>
        <v>0.99520992729366564</v>
      </c>
      <c r="P14">
        <f t="shared" si="17"/>
        <v>0.99342330067335161</v>
      </c>
      <c r="Q14">
        <f t="shared" si="17"/>
        <v>0.99060918108219287</v>
      </c>
      <c r="S14" s="23"/>
      <c r="T14" s="6">
        <v>0.25</v>
      </c>
      <c r="U14">
        <f>IF(AL21="","",AL21)</f>
        <v>7.9299999999999995E-3</v>
      </c>
      <c r="V14">
        <f>IF(AM21="","",AM21)</f>
        <v>7.9299999999999995E-3</v>
      </c>
      <c r="W14">
        <f>IF(AN21="","",AN21)</f>
        <v>7.9299999999999995E-3</v>
      </c>
      <c r="X14">
        <f t="shared" ref="X14:Z14" si="18">IF(AO21="","",AO21)</f>
        <v>7.9299999999999995E-3</v>
      </c>
      <c r="Y14">
        <f t="shared" si="18"/>
        <v>7.9299999999999995E-3</v>
      </c>
      <c r="Z14">
        <f t="shared" si="18"/>
        <v>7.9299999999999995E-3</v>
      </c>
      <c r="AB14" s="23"/>
      <c r="AC14" s="6">
        <v>0.25</v>
      </c>
      <c r="AD14">
        <f>IF(AL23="","",AL23)</f>
        <v>8.4573567284889573E-5</v>
      </c>
      <c r="AE14">
        <f>IF(AM23="","",AM23)</f>
        <v>1.5623688043353551E-6</v>
      </c>
      <c r="AF14">
        <f>IF(AN23="","",AN23)</f>
        <v>0</v>
      </c>
      <c r="AG14">
        <f t="shared" ref="AG14:AI14" si="19">IF(AO23="","",AO23)</f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11.033062168083539</v>
      </c>
      <c r="D15">
        <f t="shared" ref="D15:I15" si="20">IF(AV25="","",AV25)</f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23"/>
      <c r="K15" s="6">
        <v>0.3</v>
      </c>
      <c r="L15">
        <f>IF(AU26="","",AU26)</f>
        <v>0.99647030990664265</v>
      </c>
      <c r="M15">
        <f t="shared" ref="M15:Q15" si="21">IF(AV26="","",AV26)</f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23"/>
      <c r="T15" s="6">
        <v>0.3</v>
      </c>
      <c r="U15">
        <f>IF(AU21="","",AU21)</f>
        <v>7.9100000000000004E-3</v>
      </c>
      <c r="V15">
        <f t="shared" ref="V15:Z15" si="22">IF(AV21="","",AV21)</f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23"/>
      <c r="AC15" s="6">
        <v>0.3</v>
      </c>
      <c r="AD15">
        <f>IF(AU23="","",AU23)</f>
        <v>8.4573567284889573E-5</v>
      </c>
      <c r="AE15">
        <f t="shared" ref="AE15:AI15" si="23">IF(AV23="","",AV23)</f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:I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23"/>
      <c r="K16" s="6">
        <v>0.35</v>
      </c>
      <c r="L16">
        <f>IF(BD26="","",BD26)</f>
        <v>0.99635201343725266</v>
      </c>
      <c r="M16">
        <f t="shared" ref="M16:Q16" si="25">IF(BE26="","",BE26)</f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23"/>
      <c r="T16" s="6">
        <v>0.35</v>
      </c>
      <c r="U16">
        <f>IF(BD21="","",BD21)</f>
        <v>7.9399999999999991E-3</v>
      </c>
      <c r="V16">
        <f t="shared" ref="V16:Z16" si="26">IF(BE21="","",BE21)</f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23"/>
      <c r="AC16" s="6">
        <v>0.35</v>
      </c>
      <c r="AD16">
        <f>IF(BD23="","",BD23)</f>
        <v>8.4573567284889573E-5</v>
      </c>
      <c r="AE16">
        <f t="shared" ref="AE16:AI16" si="27">IF(BE23="","",BE23)</f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33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251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W34" sqref="W34:AC34"/>
    </sheetView>
  </sheetViews>
  <sheetFormatPr defaultRowHeight="14.5" x14ac:dyDescent="0.35"/>
  <sheetData>
    <row r="1" spans="1:19" x14ac:dyDescent="0.35">
      <c r="A1" t="s">
        <v>12</v>
      </c>
      <c r="B1" s="1" t="s">
        <v>271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0.33160656161053953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6.9851513155388383E-3</v>
      </c>
      <c r="J4">
        <f ca="1">$G$9 + ($G$6 - $G$9) * (ROW(A1)-1)/99</f>
        <v>-0.12865462454901341</v>
      </c>
      <c r="L4">
        <f ca="1">$G$17 * (M4 - $G$6)^2 + $G$5</f>
        <v>8.2020626214763664E-3</v>
      </c>
      <c r="M4">
        <f ca="1">$G$13 + ($G$6 - $G$13) * (ROW(F1)-1)/99</f>
        <v>0.41685287421886835</v>
      </c>
      <c r="O4">
        <f ca="1">$G$10 + $G$19 * ($G$23 * (P4 - $G$9))^2 + $G$21 * (1 - (P4 - $G$6)/($G$9 - $G$6))</f>
        <v>0.33160656161053953</v>
      </c>
      <c r="P4">
        <f ca="1">$G$26 + ($G$9 - $G$26) * (ROW(A1)-1)/99</f>
        <v>-0.62339664460219835</v>
      </c>
      <c r="R4">
        <f ca="1">$G$14 + $G$19 * ($G$23 * (S4 - $G$13))^2 - $G$22 * (1 - (S4 - $G$6)/($G$13 - $G$6))</f>
        <v>8.2020626214763664E-3</v>
      </c>
      <c r="S4">
        <f ca="1">$G$13 + ($G$25 - $G$13) * (ROW(A1)-1)/99</f>
        <v>0.41685287421886835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0.32736174142347574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6.9640701247180477E-3</v>
      </c>
      <c r="J5">
        <f t="shared" ref="J5:J36" ca="1" si="2">$G$9 + ($G$6 - $G$9) * (ROW(B2)-1)/99</f>
        <v>-0.12627246490919261</v>
      </c>
      <c r="L5">
        <f t="shared" ref="L5:L68" ca="1" si="3">$G$17 * (M5 - $G$6)^2 + $G$5</f>
        <v>8.1565215258224272E-3</v>
      </c>
      <c r="M5">
        <f t="shared" ref="M5:M68" ca="1" si="4">$G$13 + ($G$6 - $G$13) * (ROW(F2)-1)/99</f>
        <v>0.41372485710345802</v>
      </c>
      <c r="O5">
        <f t="shared" ref="O5:O68" ca="1" si="5">$G$10 + $G$19 * ($G$23 * (P5 - $G$9))^2 + $G$21 * (1 - (P5 - $G$6)/($G$9 - $G$6))</f>
        <v>0.32526824881041938</v>
      </c>
      <c r="P5">
        <f t="shared" ref="P5:P36" ca="1" si="6">$G$26 + ($G$9 - $G$26) * (ROW(B2)-1)/99</f>
        <v>-0.61839925046024702</v>
      </c>
      <c r="R5">
        <f t="shared" ref="R5:R68" ca="1" si="7">$G$14 + $G$19 * ($G$23 * (S5 - $G$13))^2 - $G$22 * (1 - (S5 - $G$6)/($G$13 - $G$6))</f>
        <v>8.4026928742379752E-3</v>
      </c>
      <c r="S5">
        <f t="shared" ref="S5:S36" ca="1" si="8">$G$13 + ($G$25 - $G$13) * (ROW(B2)-1)/99</f>
        <v>0.42070600770007499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0.29480447588628478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6.9432029561390931E-3</v>
      </c>
      <c r="J6">
        <f t="shared" ca="1" si="2"/>
        <v>-0.12389030526937182</v>
      </c>
      <c r="L6">
        <f t="shared" ca="1" si="3"/>
        <v>8.1114427763172587E-3</v>
      </c>
      <c r="M6">
        <f t="shared" ca="1" si="4"/>
        <v>0.41059683998804769</v>
      </c>
      <c r="O6">
        <f t="shared" ca="1" si="5"/>
        <v>0.31899237088082416</v>
      </c>
      <c r="P6">
        <f t="shared" ca="1" si="6"/>
        <v>-0.61340185631829558</v>
      </c>
      <c r="R6">
        <f t="shared" ca="1" si="7"/>
        <v>8.6404397210595712E-3</v>
      </c>
      <c r="S6">
        <f t="shared" ca="1" si="8"/>
        <v>0.42455914118128163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0.24865601465826825</v>
      </c>
      <c r="D7">
        <f ca="1"/>
        <v>-0.55352792651082472</v>
      </c>
      <c r="I7">
        <f t="shared" ca="1" si="1"/>
        <v>6.9225498098019738E-3</v>
      </c>
      <c r="J7">
        <f t="shared" ca="1" si="2"/>
        <v>-0.12150814562955102</v>
      </c>
      <c r="L7">
        <f t="shared" ca="1" si="3"/>
        <v>8.066826372960861E-3</v>
      </c>
      <c r="M7">
        <f t="shared" ca="1" si="4"/>
        <v>0.40746882287263736</v>
      </c>
      <c r="O7">
        <f t="shared" ca="1" si="5"/>
        <v>0.3127789278217542</v>
      </c>
      <c r="P7">
        <f t="shared" ca="1" si="6"/>
        <v>-0.60840446217634425</v>
      </c>
      <c r="R7">
        <f t="shared" ca="1" si="7"/>
        <v>8.9153031619411526E-3</v>
      </c>
      <c r="S7">
        <f t="shared" ca="1" si="8"/>
        <v>0.42841227466248821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0.19161500641701842</v>
      </c>
      <c r="D8">
        <f ca="1"/>
        <v>-0.49818712722665437</v>
      </c>
      <c r="F8" t="s">
        <v>15</v>
      </c>
      <c r="G8" s="5">
        <v>13</v>
      </c>
      <c r="I8">
        <f t="shared" ca="1" si="1"/>
        <v>6.9021106857066897E-3</v>
      </c>
      <c r="J8">
        <f t="shared" ca="1" si="2"/>
        <v>-0.11912598598973023</v>
      </c>
      <c r="L8">
        <f t="shared" ca="1" si="3"/>
        <v>8.0226723157532341E-3</v>
      </c>
      <c r="M8">
        <f t="shared" ca="1" si="4"/>
        <v>0.40434080575722703</v>
      </c>
      <c r="O8">
        <f t="shared" ca="1" si="5"/>
        <v>0.30662791963320918</v>
      </c>
      <c r="P8">
        <f t="shared" ca="1" si="6"/>
        <v>-0.60340706803439292</v>
      </c>
      <c r="R8">
        <f t="shared" ca="1" si="7"/>
        <v>9.2272831968827247E-3</v>
      </c>
      <c r="S8">
        <f t="shared" ca="1" si="8"/>
        <v>0.43226540814369485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0.14345513550777472</v>
      </c>
      <c r="D9">
        <f ca="1"/>
        <v>-0.44433063471650885</v>
      </c>
      <c r="F9" t="s">
        <v>17</v>
      </c>
      <c r="G9" cm="1">
        <f t="array" aca="1" ref="G9" ca="1">INDEX(D4:D1000, G8)</f>
        <v>-0.12865462454901341</v>
      </c>
      <c r="I9">
        <f t="shared" ca="1" si="1"/>
        <v>6.8818855838532417E-3</v>
      </c>
      <c r="J9">
        <f t="shared" ca="1" si="2"/>
        <v>-0.11674382634990943</v>
      </c>
      <c r="L9">
        <f t="shared" ca="1" si="3"/>
        <v>7.9789806046943797E-3</v>
      </c>
      <c r="M9">
        <f t="shared" ca="1" si="4"/>
        <v>0.4012127886418167</v>
      </c>
      <c r="O9">
        <f t="shared" ca="1" si="5"/>
        <v>0.30053934631518903</v>
      </c>
      <c r="P9">
        <f t="shared" ca="1" si="6"/>
        <v>-0.59840967389244148</v>
      </c>
      <c r="R9">
        <f t="shared" ca="1" si="7"/>
        <v>9.576379825884291E-3</v>
      </c>
      <c r="S9">
        <f t="shared" ca="1" si="8"/>
        <v>0.43611854162490149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0.11057669914178274</v>
      </c>
      <c r="D10">
        <f ca="1"/>
        <v>-0.40184066160179249</v>
      </c>
      <c r="F10" t="s">
        <v>18</v>
      </c>
      <c r="G10" cm="1">
        <f t="array" aca="1" ref="G10" ca="1">INDEX(B4:B1000, G8)</f>
        <v>6.9851513155388383E-3</v>
      </c>
      <c r="I10">
        <f t="shared" ca="1" si="1"/>
        <v>6.8618745042416289E-3</v>
      </c>
      <c r="J10">
        <f t="shared" ca="1" si="2"/>
        <v>-0.11436166671008864</v>
      </c>
      <c r="L10">
        <f t="shared" ca="1" si="3"/>
        <v>7.9357512397842962E-3</v>
      </c>
      <c r="M10">
        <f t="shared" ca="1" si="4"/>
        <v>0.39808477152640637</v>
      </c>
      <c r="O10">
        <f t="shared" ca="1" si="5"/>
        <v>0.29451320786769403</v>
      </c>
      <c r="P10">
        <f t="shared" ca="1" si="6"/>
        <v>-0.59341227975049016</v>
      </c>
      <c r="R10">
        <f t="shared" ca="1" si="7"/>
        <v>9.9625930489458444E-3</v>
      </c>
      <c r="S10">
        <f t="shared" ca="1" si="8"/>
        <v>0.43997167510610813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6.2241314216178199E-2</v>
      </c>
      <c r="D11">
        <f ca="1"/>
        <v>-0.32435874752509397</v>
      </c>
      <c r="I11">
        <f t="shared" ca="1" si="1"/>
        <v>6.8420774468718505E-3</v>
      </c>
      <c r="J11">
        <f t="shared" ca="1" si="2"/>
        <v>-0.11197950707026784</v>
      </c>
      <c r="L11">
        <f t="shared" ca="1" si="3"/>
        <v>7.8929842210229816E-3</v>
      </c>
      <c r="M11">
        <f t="shared" ca="1" si="4"/>
        <v>0.39495675441099604</v>
      </c>
      <c r="O11">
        <f t="shared" ca="1" si="5"/>
        <v>0.28854950429072407</v>
      </c>
      <c r="P11">
        <f t="shared" ca="1" si="6"/>
        <v>-0.58841488560853883</v>
      </c>
      <c r="R11">
        <f t="shared" ca="1" si="7"/>
        <v>1.0385922866067382E-2</v>
      </c>
      <c r="S11">
        <f t="shared" ca="1" si="8"/>
        <v>0.44382480858731471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4.9713211347064294E-2</v>
      </c>
      <c r="D12">
        <f ca="1"/>
        <v>-0.29906794812513099</v>
      </c>
      <c r="F12" t="s">
        <v>16</v>
      </c>
      <c r="G12" s="5">
        <v>27</v>
      </c>
      <c r="I12">
        <f t="shared" ca="1" si="1"/>
        <v>6.8224944117439082E-3</v>
      </c>
      <c r="J12">
        <f t="shared" ca="1" si="2"/>
        <v>-0.10959734743044705</v>
      </c>
      <c r="L12">
        <f t="shared" ca="1" si="3"/>
        <v>7.8506795484104396E-3</v>
      </c>
      <c r="M12">
        <f t="shared" ca="1" si="4"/>
        <v>0.39182873729558571</v>
      </c>
      <c r="O12">
        <f t="shared" ca="1" si="5"/>
        <v>0.28264823558427904</v>
      </c>
      <c r="P12">
        <f t="shared" ca="1" si="6"/>
        <v>-0.5834174914665875</v>
      </c>
      <c r="R12">
        <f t="shared" ca="1" si="7"/>
        <v>1.0846369277248911E-2</v>
      </c>
      <c r="S12">
        <f t="shared" ca="1" si="8"/>
        <v>0.44767794206852135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2.8178717240026518E-2</v>
      </c>
      <c r="D13">
        <f ca="1"/>
        <v>-0.24465033714380011</v>
      </c>
      <c r="F13" t="s">
        <v>19</v>
      </c>
      <c r="G13" cm="1">
        <f t="array" aca="1" ref="G13" ca="1">INDEX(D4:D1000, G12)</f>
        <v>0.41685287421886835</v>
      </c>
      <c r="I13">
        <f t="shared" ca="1" si="1"/>
        <v>6.803125398857802E-3</v>
      </c>
      <c r="J13">
        <f t="shared" ca="1" si="2"/>
        <v>-0.10721518779062625</v>
      </c>
      <c r="L13">
        <f t="shared" ca="1" si="3"/>
        <v>7.8088372219466684E-3</v>
      </c>
      <c r="M13">
        <f t="shared" ca="1" si="4"/>
        <v>0.38870072018017537</v>
      </c>
      <c r="O13">
        <f t="shared" ca="1" si="5"/>
        <v>0.276809401748359</v>
      </c>
      <c r="P13">
        <f t="shared" ca="1" si="6"/>
        <v>-0.57842009732463606</v>
      </c>
      <c r="R13">
        <f t="shared" ca="1" si="7"/>
        <v>1.134393228249043E-2</v>
      </c>
      <c r="S13">
        <f t="shared" ca="1" si="8"/>
        <v>0.45153107554972799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1.3658838519770802E-2</v>
      </c>
      <c r="D14">
        <f ca="1"/>
        <v>-0.18817776912536624</v>
      </c>
      <c r="F14" t="s">
        <v>20</v>
      </c>
      <c r="G14" cm="1">
        <f t="array" aca="1" ref="G14" ca="1">INDEX(B4:B1000, G12)</f>
        <v>8.2020626214763664E-3</v>
      </c>
      <c r="I14">
        <f t="shared" ca="1" si="1"/>
        <v>6.7839704082135301E-3</v>
      </c>
      <c r="J14">
        <f t="shared" ca="1" si="2"/>
        <v>-0.10483302815080545</v>
      </c>
      <c r="L14">
        <f t="shared" ca="1" si="3"/>
        <v>7.7674572416316671E-3</v>
      </c>
      <c r="M14">
        <f t="shared" ca="1" si="4"/>
        <v>0.38557270306476504</v>
      </c>
      <c r="O14">
        <f t="shared" ca="1" si="5"/>
        <v>0.27103300278296422</v>
      </c>
      <c r="P14">
        <f t="shared" ca="1" si="6"/>
        <v>-0.57342270318268473</v>
      </c>
      <c r="R14">
        <f t="shared" ca="1" si="7"/>
        <v>1.1878611881791939E-2</v>
      </c>
      <c r="S14">
        <f t="shared" ca="1" si="8"/>
        <v>0.45538420903093463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8.458750617558632E-3</v>
      </c>
      <c r="D15">
        <f ca="1"/>
        <v>-0.15107145181358417</v>
      </c>
      <c r="I15">
        <f t="shared" ca="1" si="1"/>
        <v>6.7650294398110943E-3</v>
      </c>
      <c r="J15">
        <f t="shared" ca="1" si="2"/>
        <v>-0.10245086851098466</v>
      </c>
      <c r="L15">
        <f t="shared" ca="1" si="3"/>
        <v>7.7265396074654366E-3</v>
      </c>
      <c r="M15">
        <f t="shared" ca="1" si="4"/>
        <v>0.38244468594935466</v>
      </c>
      <c r="O15">
        <f t="shared" ca="1" si="5"/>
        <v>0.26531903868809431</v>
      </c>
      <c r="P15">
        <f t="shared" ca="1" si="6"/>
        <v>-0.56842530904073341</v>
      </c>
      <c r="R15">
        <f t="shared" ca="1" si="7"/>
        <v>1.2450408075153425E-2</v>
      </c>
      <c r="S15">
        <f t="shared" ca="1" si="8"/>
        <v>0.45923734251214121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6.9851513155388383E-3</v>
      </c>
      <c r="D16">
        <f ca="1"/>
        <v>-0.12865462454901341</v>
      </c>
      <c r="F16" t="s">
        <v>21</v>
      </c>
      <c r="G16">
        <f ca="1">(G10 - G5) / (G9 - G6)^2</f>
        <v>1.8857633403680036E-2</v>
      </c>
      <c r="I16">
        <f t="shared" ca="1" si="1"/>
        <v>6.7463024936504938E-3</v>
      </c>
      <c r="J16">
        <f t="shared" ca="1" si="2"/>
        <v>-0.10006870887116386</v>
      </c>
      <c r="L16">
        <f t="shared" ca="1" si="3"/>
        <v>7.6860843194479778E-3</v>
      </c>
      <c r="M16">
        <f t="shared" ca="1" si="4"/>
        <v>0.37931666883394433</v>
      </c>
      <c r="O16">
        <f t="shared" ca="1" si="5"/>
        <v>0.25966750946374939</v>
      </c>
      <c r="P16">
        <f t="shared" ca="1" si="6"/>
        <v>-0.56342791489878197</v>
      </c>
      <c r="R16">
        <f t="shared" ca="1" si="7"/>
        <v>1.3059320862574912E-2</v>
      </c>
      <c r="S16">
        <f t="shared" ca="1" si="8"/>
        <v>0.46309047599334785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6.580368566330764E-3</v>
      </c>
      <c r="D17">
        <f ca="1"/>
        <v>-7.7624472255423821E-2</v>
      </c>
      <c r="F17" t="s">
        <v>22</v>
      </c>
      <c r="G17">
        <f ca="1">(G14 - G5) / (G13 - G6)^2</f>
        <v>2.3626479152572294E-2</v>
      </c>
      <c r="I17">
        <f t="shared" ca="1" si="1"/>
        <v>6.7277895697317293E-3</v>
      </c>
      <c r="J17">
        <f t="shared" ca="1" si="2"/>
        <v>-9.7686549231343067E-2</v>
      </c>
      <c r="L17">
        <f t="shared" ca="1" si="3"/>
        <v>7.6460913775792897E-3</v>
      </c>
      <c r="M17">
        <f t="shared" ca="1" si="4"/>
        <v>0.376188651718534</v>
      </c>
      <c r="O17">
        <f t="shared" ca="1" si="5"/>
        <v>0.25407841510992951</v>
      </c>
      <c r="P17">
        <f t="shared" ca="1" si="6"/>
        <v>-0.55843052075683064</v>
      </c>
      <c r="R17">
        <f t="shared" ca="1" si="7"/>
        <v>1.3705350244056383E-2</v>
      </c>
      <c r="S17">
        <f t="shared" ca="1" si="8"/>
        <v>0.46694360947455449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6.3647106647722954E-3</v>
      </c>
      <c r="D18">
        <f ca="1"/>
        <v>-4.3540040736006244E-2</v>
      </c>
      <c r="I18">
        <f t="shared" ca="1" si="1"/>
        <v>6.7094906680547992E-3</v>
      </c>
      <c r="J18">
        <f t="shared" ca="1" si="2"/>
        <v>-9.5304389591522265E-2</v>
      </c>
      <c r="L18">
        <f t="shared" ca="1" si="3"/>
        <v>7.6065607818593733E-3</v>
      </c>
      <c r="M18">
        <f t="shared" ca="1" si="4"/>
        <v>0.37306063460312366</v>
      </c>
      <c r="O18">
        <f t="shared" ca="1" si="5"/>
        <v>0.24855175562663478</v>
      </c>
      <c r="P18">
        <f t="shared" ca="1" si="6"/>
        <v>-0.55343312661487931</v>
      </c>
      <c r="R18">
        <f t="shared" ca="1" si="7"/>
        <v>1.4388496219597847E-2</v>
      </c>
      <c r="S18">
        <f t="shared" ca="1" si="8"/>
        <v>0.47079674295576113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6.2048411504433522E-3</v>
      </c>
      <c r="D19">
        <f ca="1"/>
        <v>-1.2146321188095959E-2</v>
      </c>
      <c r="F19" t="s">
        <v>26</v>
      </c>
      <c r="G19" s="3">
        <v>0.05</v>
      </c>
      <c r="I19">
        <f t="shared" ca="1" si="1"/>
        <v>6.6914057886197052E-3</v>
      </c>
      <c r="J19">
        <f t="shared" ca="1" si="2"/>
        <v>-9.2922229951701477E-2</v>
      </c>
      <c r="L19">
        <f t="shared" ca="1" si="3"/>
        <v>7.5674925322882277E-3</v>
      </c>
      <c r="M19">
        <f t="shared" ca="1" si="4"/>
        <v>0.36993261748771333</v>
      </c>
      <c r="O19">
        <f t="shared" ca="1" si="5"/>
        <v>0.24308753101386488</v>
      </c>
      <c r="P19">
        <f t="shared" ca="1" si="6"/>
        <v>-0.54843573247292787</v>
      </c>
      <c r="R19">
        <f t="shared" ca="1" si="7"/>
        <v>1.5108758789199301E-2</v>
      </c>
      <c r="S19">
        <f t="shared" ca="1" si="8"/>
        <v>0.47464987643696777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6.0421213250911642E-3</v>
      </c>
      <c r="D20">
        <f ca="1"/>
        <v>3.2281129040102309E-2</v>
      </c>
      <c r="F20" t="s">
        <v>27</v>
      </c>
      <c r="G20" s="3">
        <v>0.2</v>
      </c>
      <c r="I20">
        <f t="shared" ca="1" si="1"/>
        <v>6.6735349314264465E-3</v>
      </c>
      <c r="J20">
        <f t="shared" ca="1" si="2"/>
        <v>-9.0540070311880674E-2</v>
      </c>
      <c r="L20">
        <f t="shared" ca="1" si="3"/>
        <v>7.5288866288658529E-3</v>
      </c>
      <c r="M20">
        <f t="shared" ca="1" si="4"/>
        <v>0.366804600372303</v>
      </c>
      <c r="O20">
        <f t="shared" ca="1" si="5"/>
        <v>0.23768574127162018</v>
      </c>
      <c r="P20">
        <f t="shared" ca="1" si="6"/>
        <v>-0.54343833833097654</v>
      </c>
      <c r="R20">
        <f t="shared" ca="1" si="7"/>
        <v>1.5866137952860737E-2</v>
      </c>
      <c r="S20">
        <f t="shared" ca="1" si="8"/>
        <v>0.47850300991817435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5.9617945671783298E-3</v>
      </c>
      <c r="D21">
        <f ca="1"/>
        <v>7.0435792596942895E-2</v>
      </c>
      <c r="F21" t="s">
        <v>28</v>
      </c>
      <c r="G21">
        <f ca="1">2 * (G10 - G5) * (G9 - G6) / (G9 - G6)^2</f>
        <v>-8.8945348529630413E-3</v>
      </c>
      <c r="I21">
        <f t="shared" ca="1" si="1"/>
        <v>6.6558780964750229E-3</v>
      </c>
      <c r="J21">
        <f t="shared" ca="1" si="2"/>
        <v>-8.8157910672059886E-2</v>
      </c>
      <c r="L21">
        <f t="shared" ca="1" si="3"/>
        <v>7.4907430715922489E-3</v>
      </c>
      <c r="M21">
        <f t="shared" ca="1" si="4"/>
        <v>0.36367658325689267</v>
      </c>
      <c r="O21">
        <f t="shared" ca="1" si="5"/>
        <v>0.23234638639990041</v>
      </c>
      <c r="P21">
        <f t="shared" ca="1" si="6"/>
        <v>-0.53844094418902522</v>
      </c>
      <c r="R21">
        <f t="shared" ca="1" si="7"/>
        <v>1.6660633710582164E-2</v>
      </c>
      <c r="S21">
        <f t="shared" ca="1" si="8"/>
        <v>0.48235614339938099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9"/>
        <v>5.9363353194242944E-3</v>
      </c>
      <c r="D22">
        <f ca="1"/>
        <v>0.1071791797932454</v>
      </c>
      <c r="F22" t="s">
        <v>29</v>
      </c>
      <c r="G22">
        <f ca="1">2 * (G14 - G5) * (G13 - G6) / (G13 - G6)^2</f>
        <v>1.463299817089405E-2</v>
      </c>
      <c r="I22">
        <f t="shared" ca="1" si="1"/>
        <v>6.6384352837654355E-3</v>
      </c>
      <c r="J22">
        <f t="shared" ca="1" si="2"/>
        <v>-8.5775751032239084E-2</v>
      </c>
      <c r="L22">
        <f t="shared" ca="1" si="3"/>
        <v>7.4530618604674165E-3</v>
      </c>
      <c r="M22">
        <f t="shared" ca="1" si="4"/>
        <v>0.36054856614148234</v>
      </c>
      <c r="O22">
        <f t="shared" ca="1" si="5"/>
        <v>0.22706946639870557</v>
      </c>
      <c r="P22">
        <f t="shared" ca="1" si="6"/>
        <v>-0.53344355004707378</v>
      </c>
      <c r="R22">
        <f t="shared" ca="1" si="7"/>
        <v>1.7492246062363583E-2</v>
      </c>
      <c r="S22">
        <f t="shared" ca="1" si="8"/>
        <v>0.48620927688058763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9"/>
        <v>5.9699358572796995E-3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6.6212064932976832E-3</v>
      </c>
      <c r="J23">
        <f t="shared" ca="1" si="2"/>
        <v>-8.3393591392418281E-2</v>
      </c>
      <c r="L23">
        <f t="shared" ca="1" si="3"/>
        <v>7.415842995491354E-3</v>
      </c>
      <c r="M23">
        <f t="shared" ca="1" si="4"/>
        <v>0.35742054902607201</v>
      </c>
      <c r="O23">
        <f t="shared" ca="1" si="5"/>
        <v>0.22185498126803593</v>
      </c>
      <c r="P23">
        <f t="shared" ca="1" si="6"/>
        <v>-0.52844615590512245</v>
      </c>
      <c r="R23">
        <f t="shared" ca="1" si="7"/>
        <v>1.8360975008204973E-2</v>
      </c>
      <c r="S23">
        <f t="shared" ca="1" si="8"/>
        <v>0.49006241036179421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9"/>
        <v>6.0743121660405417E-3</v>
      </c>
      <c r="D24">
        <f ca="1"/>
        <v>0.18359857633859389</v>
      </c>
      <c r="I24">
        <f t="shared" ca="1" si="1"/>
        <v>6.6041917250717662E-3</v>
      </c>
      <c r="J24">
        <f t="shared" ca="1" si="2"/>
        <v>-8.1011431752597493E-2</v>
      </c>
      <c r="L24">
        <f t="shared" ca="1" si="3"/>
        <v>7.3790864766640632E-3</v>
      </c>
      <c r="M24">
        <f t="shared" ca="1" si="4"/>
        <v>0.35429253191066168</v>
      </c>
      <c r="O24">
        <f t="shared" ca="1" si="5"/>
        <v>0.21670293100789129</v>
      </c>
      <c r="P24">
        <f t="shared" ca="1" si="6"/>
        <v>-0.52344876176317112</v>
      </c>
      <c r="R24">
        <f t="shared" ca="1" si="7"/>
        <v>1.926682054810637E-2</v>
      </c>
      <c r="S24">
        <f t="shared" ca="1" si="8"/>
        <v>0.49391554384300085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9"/>
        <v>6.2421529216661695E-3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6.5873909790876845E-3</v>
      </c>
      <c r="J25">
        <f t="shared" ca="1" si="2"/>
        <v>-7.8629272112776705E-2</v>
      </c>
      <c r="L25">
        <f t="shared" ca="1" si="3"/>
        <v>7.3427923039855432E-3</v>
      </c>
      <c r="M25">
        <f t="shared" ca="1" si="4"/>
        <v>0.35116451479525135</v>
      </c>
      <c r="O25">
        <f t="shared" ca="1" si="5"/>
        <v>0.21161331561827151</v>
      </c>
      <c r="P25">
        <f t="shared" ca="1" si="6"/>
        <v>-0.51845136762121968</v>
      </c>
      <c r="R25">
        <f t="shared" ca="1" si="7"/>
        <v>2.0209782682067755E-2</v>
      </c>
      <c r="S25">
        <f t="shared" ca="1" si="8"/>
        <v>0.49776867732420749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9"/>
        <v>6.4791622902838925E-3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6.5708042553454388E-3</v>
      </c>
      <c r="J26">
        <f t="shared" ca="1" si="2"/>
        <v>-7.6247112472955902E-2</v>
      </c>
      <c r="L26">
        <f t="shared" ca="1" si="3"/>
        <v>7.306960477455794E-3</v>
      </c>
      <c r="M26">
        <f t="shared" ca="1" si="4"/>
        <v>0.34803649767984102</v>
      </c>
      <c r="O26">
        <f t="shared" ca="1" si="5"/>
        <v>0.20658613509917698</v>
      </c>
      <c r="P26">
        <f t="shared" ca="1" si="6"/>
        <v>-0.51345397347926836</v>
      </c>
      <c r="R26">
        <f t="shared" ca="1" si="7"/>
        <v>2.1189861410089134E-2</v>
      </c>
      <c r="S26">
        <f t="shared" ca="1" si="8"/>
        <v>0.50162181080541413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9"/>
        <v>6.6954691236598566E-3</v>
      </c>
      <c r="D27">
        <f ca="1"/>
        <v>0.2864293851236876</v>
      </c>
      <c r="I27">
        <f t="shared" ca="1" si="1"/>
        <v>6.5544315538450275E-3</v>
      </c>
      <c r="J27">
        <f t="shared" ca="1" si="2"/>
        <v>-7.38649528331351E-2</v>
      </c>
      <c r="L27">
        <f t="shared" ca="1" si="3"/>
        <v>7.2715909970748165E-3</v>
      </c>
      <c r="M27">
        <f t="shared" ca="1" si="4"/>
        <v>0.34490848056443069</v>
      </c>
      <c r="O27">
        <f t="shared" ca="1" si="5"/>
        <v>0.20162138945060737</v>
      </c>
      <c r="P27">
        <f t="shared" ca="1" si="6"/>
        <v>-0.50845657933731703</v>
      </c>
      <c r="R27">
        <f t="shared" ca="1" si="7"/>
        <v>2.2207056732170494E-2</v>
      </c>
      <c r="S27">
        <f t="shared" ca="1" si="8"/>
        <v>0.50547494428662076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9"/>
        <v>7.0421573478588878E-3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6.5382728745864522E-3</v>
      </c>
      <c r="J28">
        <f t="shared" ca="1" si="2"/>
        <v>-7.1482793193314298E-2</v>
      </c>
      <c r="L28">
        <f t="shared" ca="1" si="3"/>
        <v>7.2366838628426088E-3</v>
      </c>
      <c r="M28">
        <f t="shared" ca="1" si="4"/>
        <v>0.34178046344902036</v>
      </c>
      <c r="O28">
        <f t="shared" ca="1" si="5"/>
        <v>0.19671907867256275</v>
      </c>
      <c r="P28">
        <f t="shared" ca="1" si="6"/>
        <v>-0.50345918519536559</v>
      </c>
      <c r="R28">
        <f t="shared" ca="1" si="7"/>
        <v>2.326136864831185E-2</v>
      </c>
      <c r="S28">
        <f t="shared" ca="1" si="8"/>
        <v>0.5093280777678274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9"/>
        <v>7.6997077216508156E-3</v>
      </c>
      <c r="D29">
        <f ca="1"/>
        <v>0.3803740347681589</v>
      </c>
      <c r="I29">
        <f t="shared" ca="1" si="1"/>
        <v>6.5223282175697131E-3</v>
      </c>
      <c r="J29">
        <f t="shared" ca="1" si="2"/>
        <v>-6.9100633553493523E-2</v>
      </c>
      <c r="L29">
        <f t="shared" ca="1" si="3"/>
        <v>7.2022390747591728E-3</v>
      </c>
      <c r="M29">
        <f t="shared" ca="1" si="4"/>
        <v>0.33865244633361002</v>
      </c>
      <c r="O29">
        <f t="shared" ca="1" si="5"/>
        <v>0.19187920276504317</v>
      </c>
      <c r="P29">
        <f t="shared" ca="1" si="6"/>
        <v>-0.49846179105341426</v>
      </c>
      <c r="R29">
        <f t="shared" ca="1" si="7"/>
        <v>2.4352797158513191E-2</v>
      </c>
      <c r="S29">
        <f t="shared" ca="1" si="8"/>
        <v>0.51318121124903404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9"/>
        <v>8.2020626214763664E-3</v>
      </c>
      <c r="D30">
        <f ca="1"/>
        <v>0.41685287421886835</v>
      </c>
      <c r="F30" t="s">
        <v>234</v>
      </c>
      <c r="G30" s="3">
        <f ca="1">(D30-D24)/(A30-A24)</f>
        <v>0.25269215603696404</v>
      </c>
      <c r="I30">
        <f t="shared" ca="1" si="1"/>
        <v>6.5065975827948083E-3</v>
      </c>
      <c r="J30">
        <f t="shared" ca="1" si="2"/>
        <v>-6.6718473913672721E-2</v>
      </c>
      <c r="L30">
        <f t="shared" ca="1" si="3"/>
        <v>7.1682566328245077E-3</v>
      </c>
      <c r="M30">
        <f t="shared" ca="1" si="4"/>
        <v>0.33552442921819969</v>
      </c>
      <c r="O30">
        <f t="shared" ca="1" si="5"/>
        <v>0.18710176172804868</v>
      </c>
      <c r="P30">
        <f t="shared" ca="1" si="6"/>
        <v>-0.49346439691146293</v>
      </c>
      <c r="R30">
        <f t="shared" ca="1" si="7"/>
        <v>2.5481342262774483E-2</v>
      </c>
      <c r="S30">
        <f t="shared" ca="1" si="8"/>
        <v>0.51703434473024057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9"/>
        <v>1.3126909529044477E-2</v>
      </c>
      <c r="D31">
        <f ca="1"/>
        <v>0.46350420615769528</v>
      </c>
      <c r="F31" t="s">
        <v>235</v>
      </c>
      <c r="G31">
        <f ca="1">G30*180/PI()</f>
        <v>14.478194056979287</v>
      </c>
      <c r="I31">
        <f t="shared" ca="1" si="1"/>
        <v>6.4910809702617388E-3</v>
      </c>
      <c r="J31">
        <f t="shared" ca="1" si="2"/>
        <v>-6.4336314273851919E-2</v>
      </c>
      <c r="L31">
        <f t="shared" ca="1" si="3"/>
        <v>7.1347365370386133E-3</v>
      </c>
      <c r="M31">
        <f t="shared" ca="1" si="4"/>
        <v>0.33239641210278936</v>
      </c>
      <c r="O31">
        <f t="shared" ca="1" si="5"/>
        <v>0.18238675556157924</v>
      </c>
      <c r="P31">
        <f t="shared" ca="1" si="6"/>
        <v>-0.48846700276951155</v>
      </c>
      <c r="R31">
        <f t="shared" ca="1" si="7"/>
        <v>2.6647003961095803E-2</v>
      </c>
      <c r="S31">
        <f t="shared" ca="1" si="8"/>
        <v>0.52088747821144721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9"/>
        <v>3.0088663959102768E-2</v>
      </c>
      <c r="D32">
        <f ca="1"/>
        <v>0.53161745241065206</v>
      </c>
      <c r="F32" t="s">
        <v>46</v>
      </c>
      <c r="G32">
        <f ca="1">G31/(2*PI())</f>
        <v>2.3042761512119556</v>
      </c>
      <c r="I32">
        <f t="shared" ca="1" si="1"/>
        <v>6.4757783799705053E-3</v>
      </c>
      <c r="J32">
        <f t="shared" ca="1" si="2"/>
        <v>-6.1954154634031117E-2</v>
      </c>
      <c r="L32">
        <f t="shared" ca="1" si="3"/>
        <v>7.1016787874014897E-3</v>
      </c>
      <c r="M32">
        <f t="shared" ca="1" si="4"/>
        <v>0.32926839498737903</v>
      </c>
      <c r="O32">
        <f t="shared" ca="1" si="5"/>
        <v>0.1777341842656347</v>
      </c>
      <c r="P32">
        <f t="shared" ca="1" si="6"/>
        <v>-0.48346960862756017</v>
      </c>
      <c r="R32">
        <f t="shared" ca="1" si="7"/>
        <v>2.7849782253477104E-2</v>
      </c>
      <c r="S32">
        <f t="shared" ca="1" si="8"/>
        <v>0.52474061169265385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9"/>
        <v>4.5668189671703704E-2</v>
      </c>
      <c r="D33">
        <f ca="1"/>
        <v>0.57210724312284755</v>
      </c>
      <c r="I33">
        <f t="shared" ca="1" si="1"/>
        <v>6.4606898119211071E-3</v>
      </c>
      <c r="J33">
        <f t="shared" ca="1" si="2"/>
        <v>-5.9571994994210328E-2</v>
      </c>
      <c r="L33">
        <f t="shared" ca="1" si="3"/>
        <v>7.0690833839131377E-3</v>
      </c>
      <c r="M33">
        <f t="shared" ca="1" si="4"/>
        <v>0.3261403778719687</v>
      </c>
      <c r="O33">
        <f t="shared" ca="1" si="5"/>
        <v>0.17314404784021525</v>
      </c>
      <c r="P33">
        <f t="shared" ca="1" si="6"/>
        <v>-0.47847221448560884</v>
      </c>
      <c r="R33">
        <f t="shared" ca="1" si="7"/>
        <v>2.9089677139918405E-2</v>
      </c>
      <c r="S33">
        <f t="shared" ca="1" si="8"/>
        <v>0.52859374517386049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9"/>
        <v>6.3004852635018274E-2</v>
      </c>
      <c r="D34">
        <f ca="1"/>
        <v>0.60818843064942263</v>
      </c>
      <c r="I34">
        <f t="shared" ca="1" si="1"/>
        <v>6.445815266113545E-3</v>
      </c>
      <c r="J34">
        <f t="shared" ca="1" si="2"/>
        <v>-5.718983535438954E-2</v>
      </c>
      <c r="L34">
        <f t="shared" ca="1" si="3"/>
        <v>7.0369503265735557E-3</v>
      </c>
      <c r="M34">
        <f t="shared" ca="1" si="4"/>
        <v>0.32301236075655837</v>
      </c>
      <c r="O34">
        <f t="shared" ca="1" si="5"/>
        <v>0.1686163462853208</v>
      </c>
      <c r="P34">
        <f t="shared" ca="1" si="6"/>
        <v>-0.47347482034365745</v>
      </c>
      <c r="R34">
        <f t="shared" ca="1" si="7"/>
        <v>3.0366688620419691E-2</v>
      </c>
      <c r="S34">
        <f t="shared" ca="1" si="8"/>
        <v>0.53244687865506712</v>
      </c>
      <c r="U34" s="4">
        <f ca="1">1 - SUMXMY2(B4:B1000, C4:C1000) / DEVSQ(_xlfn.ANCHORARRAY(B4))</f>
        <v>-111.639455321282</v>
      </c>
      <c r="W34">
        <f ca="1">G9</f>
        <v>-0.12865462454901341</v>
      </c>
      <c r="X34">
        <f ca="1">G10</f>
        <v>6.9851513155388383E-3</v>
      </c>
      <c r="Y34">
        <f ca="1">G6</f>
        <v>0.1071791797932454</v>
      </c>
      <c r="Z34">
        <f ca="1">G5</f>
        <v>5.9363353194242944E-3</v>
      </c>
      <c r="AA34">
        <f ca="1">G13</f>
        <v>0.41685287421886835</v>
      </c>
      <c r="AB34">
        <f ca="1">G14</f>
        <v>8.2020626214763664E-3</v>
      </c>
      <c r="AC34">
        <f ca="1">G32</f>
        <v>2.3042761512119556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9"/>
        <v>7.0887144009822531E-2</v>
      </c>
      <c r="D35">
        <f ca="1"/>
        <v>0.62268557761986565</v>
      </c>
      <c r="I35">
        <f t="shared" ca="1" si="1"/>
        <v>6.4311547425478181E-3</v>
      </c>
      <c r="J35">
        <f t="shared" ca="1" si="2"/>
        <v>-5.4807675714568738E-2</v>
      </c>
      <c r="L35">
        <f t="shared" ca="1" si="3"/>
        <v>7.0052796153827453E-3</v>
      </c>
      <c r="M35">
        <f t="shared" ca="1" si="4"/>
        <v>0.31988434364114804</v>
      </c>
      <c r="O35">
        <f t="shared" ca="1" si="5"/>
        <v>0.16415107960095132</v>
      </c>
      <c r="P35">
        <f t="shared" ca="1" si="6"/>
        <v>-0.46847742620170607</v>
      </c>
      <c r="R35">
        <f t="shared" ca="1" si="7"/>
        <v>3.1680816694980962E-2</v>
      </c>
      <c r="S35">
        <f t="shared" ca="1" si="8"/>
        <v>0.53630001213627376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9"/>
        <v>8.0540762750789641E-2</v>
      </c>
      <c r="D36">
        <f ca="1"/>
        <v>0.63925692257325939</v>
      </c>
      <c r="I36">
        <f t="shared" ca="1" si="1"/>
        <v>6.4167082412239255E-3</v>
      </c>
      <c r="J36">
        <f t="shared" ca="1" si="2"/>
        <v>-5.2425516074747935E-2</v>
      </c>
      <c r="L36">
        <f t="shared" ca="1" si="3"/>
        <v>6.9740712503407057E-3</v>
      </c>
      <c r="M36">
        <f t="shared" ca="1" si="4"/>
        <v>0.31675632652573771</v>
      </c>
      <c r="O36">
        <f t="shared" ca="1" si="5"/>
        <v>0.159748247787107</v>
      </c>
      <c r="P36">
        <f t="shared" ca="1" si="6"/>
        <v>-0.46348003205975474</v>
      </c>
      <c r="R36">
        <f t="shared" ca="1" si="7"/>
        <v>3.3032061363602226E-2</v>
      </c>
      <c r="S36">
        <f t="shared" ca="1" si="8"/>
        <v>0.5401531456174804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9"/>
        <v>0.12694050398628096</v>
      </c>
      <c r="D37">
        <f ca="1"/>
        <v>0.70673641821151711</v>
      </c>
      <c r="I37">
        <f t="shared" ca="1" si="1"/>
        <v>6.4024757621418699E-3</v>
      </c>
      <c r="J37">
        <f t="shared" ref="J37:J68" ca="1" si="10">$G$9 + ($G$6 - $G$9) * (ROW(B34)-1)/99</f>
        <v>-5.0043356434927147E-2</v>
      </c>
      <c r="L37">
        <f t="shared" ca="1" si="3"/>
        <v>6.9433252314474378E-3</v>
      </c>
      <c r="M37">
        <f t="shared" ca="1" si="4"/>
        <v>0.31362830941032738</v>
      </c>
      <c r="O37">
        <f t="shared" ca="1" si="5"/>
        <v>0.15540785084378766</v>
      </c>
      <c r="P37">
        <f t="shared" ref="P37:P68" ca="1" si="11">$G$26 + ($G$9 - $G$26) * (ROW(B34)-1)/99</f>
        <v>-0.45848263791780342</v>
      </c>
      <c r="R37">
        <f t="shared" ca="1" si="7"/>
        <v>3.4420422626283476E-2</v>
      </c>
      <c r="S37">
        <f t="shared" ref="S37:S68" ca="1" si="12">$G$13 + ($G$25 - $G$13) * (ROW(B34)-1)/99</f>
        <v>0.54400627909868704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9"/>
        <v>0.1440614595612644</v>
      </c>
      <c r="D38">
        <f ca="1"/>
        <v>0.72817096998693942</v>
      </c>
      <c r="I38">
        <f t="shared" ca="1" si="1"/>
        <v>6.3884573053016487E-3</v>
      </c>
      <c r="J38">
        <f t="shared" ca="1" si="10"/>
        <v>-4.7661196795106345E-2</v>
      </c>
      <c r="L38">
        <f t="shared" ca="1" si="3"/>
        <v>6.9130415587029398E-3</v>
      </c>
      <c r="M38">
        <f t="shared" ca="1" si="4"/>
        <v>0.31050029229491705</v>
      </c>
      <c r="O38">
        <f t="shared" ca="1" si="5"/>
        <v>0.15112988877099334</v>
      </c>
      <c r="P38">
        <f t="shared" ca="1" si="11"/>
        <v>-0.45348524377585203</v>
      </c>
      <c r="R38">
        <f t="shared" ca="1" si="7"/>
        <v>3.5845900483024717E-2</v>
      </c>
      <c r="S38">
        <f t="shared" ca="1" si="12"/>
        <v>0.54785941257989368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9"/>
        <v>0.15794505398988487</v>
      </c>
      <c r="D39">
        <f ca="1"/>
        <v>0.74458066808380341</v>
      </c>
      <c r="I39">
        <f t="shared" ca="1" si="1"/>
        <v>6.3746528707032627E-3</v>
      </c>
      <c r="J39">
        <f t="shared" ca="1" si="10"/>
        <v>-4.5279037155285556E-2</v>
      </c>
      <c r="L39">
        <f t="shared" ca="1" si="3"/>
        <v>6.8832202321072126E-3</v>
      </c>
      <c r="M39">
        <f t="shared" ca="1" si="4"/>
        <v>0.30737227517950672</v>
      </c>
      <c r="O39">
        <f t="shared" ca="1" si="5"/>
        <v>0.14691436156872398</v>
      </c>
      <c r="P39">
        <f t="shared" ca="1" si="11"/>
        <v>-0.44848784963390065</v>
      </c>
      <c r="R39">
        <f t="shared" ca="1" si="7"/>
        <v>3.7308494933825952E-2</v>
      </c>
      <c r="S39">
        <f t="shared" ca="1" si="12"/>
        <v>0.55171254606110032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9"/>
        <v>0.17106087566798714</v>
      </c>
      <c r="D40">
        <f ca="1"/>
        <v>0.75939920460825194</v>
      </c>
      <c r="I40">
        <f t="shared" ca="1" si="1"/>
        <v>6.3610624583467128E-3</v>
      </c>
      <c r="J40">
        <f t="shared" ca="1" si="10"/>
        <v>-4.2896877515464754E-2</v>
      </c>
      <c r="L40">
        <f t="shared" ca="1" si="3"/>
        <v>6.853861251660257E-3</v>
      </c>
      <c r="M40">
        <f t="shared" ca="1" si="4"/>
        <v>0.30424425806409638</v>
      </c>
      <c r="O40">
        <f t="shared" ca="1" si="5"/>
        <v>0.14276126923697968</v>
      </c>
      <c r="P40">
        <f t="shared" ca="1" si="11"/>
        <v>-0.44349045549194932</v>
      </c>
      <c r="R40">
        <f t="shared" ca="1" si="7"/>
        <v>3.8808205978687164E-2</v>
      </c>
      <c r="S40">
        <f t="shared" ca="1" si="12"/>
        <v>0.55556567954230696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9"/>
        <v>0.18366155420508384</v>
      </c>
      <c r="D41">
        <f ca="1"/>
        <v>0.77308479793731155</v>
      </c>
      <c r="I41">
        <f t="shared" ca="1" si="1"/>
        <v>6.3476860682319981E-3</v>
      </c>
      <c r="J41">
        <f t="shared" ca="1" si="10"/>
        <v>-4.0514717875643952E-2</v>
      </c>
      <c r="L41">
        <f t="shared" ca="1" si="3"/>
        <v>6.8249646173620723E-3</v>
      </c>
      <c r="M41">
        <f t="shared" ca="1" si="4"/>
        <v>0.30111624094868605</v>
      </c>
      <c r="O41">
        <f t="shared" ca="1" si="5"/>
        <v>0.13867061177576034</v>
      </c>
      <c r="P41">
        <f t="shared" ca="1" si="11"/>
        <v>-0.43849306134999788</v>
      </c>
      <c r="R41">
        <f t="shared" ca="1" si="7"/>
        <v>4.0345033617608328E-2</v>
      </c>
      <c r="S41">
        <f t="shared" ca="1" si="12"/>
        <v>0.55941881302351348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9"/>
        <v>0.19640677684089825</v>
      </c>
      <c r="D42">
        <f ca="1"/>
        <v>0.7864372454628864</v>
      </c>
      <c r="I42">
        <f t="shared" ca="1" si="1"/>
        <v>6.3345237003591195E-3</v>
      </c>
      <c r="J42">
        <f t="shared" ca="1" si="10"/>
        <v>-3.8132558235823164E-2</v>
      </c>
      <c r="L42">
        <f t="shared" ca="1" si="3"/>
        <v>6.7965303292126591E-3</v>
      </c>
      <c r="M42">
        <f t="shared" ca="1" si="4"/>
        <v>0.29798822383327572</v>
      </c>
      <c r="O42">
        <f t="shared" ca="1" si="5"/>
        <v>0.13464238918506616</v>
      </c>
      <c r="P42">
        <f t="shared" ca="1" si="11"/>
        <v>-0.43349566720804655</v>
      </c>
      <c r="R42">
        <f t="shared" ca="1" si="7"/>
        <v>4.1918977850589532E-2</v>
      </c>
      <c r="S42">
        <f t="shared" ca="1" si="12"/>
        <v>0.56327194650472012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9"/>
        <v>0.20811705542988082</v>
      </c>
      <c r="D43">
        <f ca="1"/>
        <v>0.7983130888583243</v>
      </c>
      <c r="I43">
        <f t="shared" ca="1" si="1"/>
        <v>6.3215753547280753E-3</v>
      </c>
      <c r="J43">
        <f t="shared" ca="1" si="10"/>
        <v>-3.5750398596002361E-2</v>
      </c>
      <c r="L43">
        <f t="shared" ca="1" si="3"/>
        <v>6.768558387212016E-3</v>
      </c>
      <c r="M43">
        <f t="shared" ca="1" si="4"/>
        <v>0.29486020671786539</v>
      </c>
      <c r="O43">
        <f t="shared" ca="1" si="5"/>
        <v>0.13067660146489699</v>
      </c>
      <c r="P43">
        <f t="shared" ca="1" si="11"/>
        <v>-0.42849827306609523</v>
      </c>
      <c r="R43">
        <f t="shared" ca="1" si="7"/>
        <v>4.3530038677630722E-2</v>
      </c>
      <c r="S43">
        <f t="shared" ca="1" si="12"/>
        <v>0.56712507998592676</v>
      </c>
    </row>
    <row r="44" spans="1:29" x14ac:dyDescent="0.35">
      <c r="C44" t="str">
        <f t="shared" si="9"/>
        <v/>
      </c>
      <c r="I44">
        <f t="shared" ca="1" si="1"/>
        <v>6.3088410313388672E-3</v>
      </c>
      <c r="J44">
        <f t="shared" ca="1" si="10"/>
        <v>-3.3368238956181573E-2</v>
      </c>
      <c r="L44">
        <f t="shared" ca="1" si="3"/>
        <v>6.7410487913601436E-3</v>
      </c>
      <c r="M44">
        <f t="shared" ca="1" si="4"/>
        <v>0.29173218960245506</v>
      </c>
      <c r="O44">
        <f t="shared" ca="1" si="5"/>
        <v>0.12677324861525283</v>
      </c>
      <c r="P44">
        <f t="shared" ca="1" si="11"/>
        <v>-0.42350087892414384</v>
      </c>
      <c r="R44">
        <f t="shared" ca="1" si="7"/>
        <v>4.5178216098731891E-2</v>
      </c>
      <c r="S44">
        <f t="shared" ca="1" si="12"/>
        <v>0.5709782134671334</v>
      </c>
    </row>
    <row r="45" spans="1:29" x14ac:dyDescent="0.35">
      <c r="C45" t="str">
        <f t="shared" si="9"/>
        <v/>
      </c>
      <c r="I45">
        <f t="shared" ca="1" si="1"/>
        <v>6.2963207301914943E-3</v>
      </c>
      <c r="J45">
        <f t="shared" ca="1" si="10"/>
        <v>-3.0986079316360771E-2</v>
      </c>
      <c r="L45">
        <f t="shared" ca="1" si="3"/>
        <v>6.7140015416570428E-3</v>
      </c>
      <c r="M45">
        <f t="shared" ca="1" si="4"/>
        <v>0.28860417248704467</v>
      </c>
      <c r="O45">
        <f t="shared" ca="1" si="5"/>
        <v>0.1229323306361336</v>
      </c>
      <c r="P45">
        <f t="shared" ca="1" si="11"/>
        <v>-0.41850348478219246</v>
      </c>
      <c r="R45">
        <f t="shared" ca="1" si="7"/>
        <v>4.6863510113893045E-2</v>
      </c>
      <c r="S45">
        <f t="shared" ca="1" si="12"/>
        <v>0.57483134694834004</v>
      </c>
    </row>
    <row r="46" spans="1:29" x14ac:dyDescent="0.35">
      <c r="C46" t="str">
        <f t="shared" si="9"/>
        <v/>
      </c>
      <c r="I46">
        <f t="shared" ca="1" si="1"/>
        <v>6.2840144512859566E-3</v>
      </c>
      <c r="J46">
        <f t="shared" ca="1" si="10"/>
        <v>-2.8603919676539982E-2</v>
      </c>
      <c r="L46">
        <f t="shared" ca="1" si="3"/>
        <v>6.6874166381027129E-3</v>
      </c>
      <c r="M46">
        <f t="shared" ca="1" si="4"/>
        <v>0.28547615537163434</v>
      </c>
      <c r="O46">
        <f t="shared" ca="1" si="5"/>
        <v>0.11915384752753945</v>
      </c>
      <c r="P46">
        <f t="shared" ca="1" si="11"/>
        <v>-0.41350609064024113</v>
      </c>
      <c r="R46">
        <f t="shared" ca="1" si="7"/>
        <v>4.8585920723114205E-2</v>
      </c>
      <c r="S46">
        <f t="shared" ca="1" si="12"/>
        <v>0.57868448042954668</v>
      </c>
    </row>
    <row r="47" spans="1:29" x14ac:dyDescent="0.35">
      <c r="C47" t="str">
        <f t="shared" si="9"/>
        <v/>
      </c>
      <c r="I47">
        <f t="shared" ca="1" si="1"/>
        <v>6.271922194622255E-3</v>
      </c>
      <c r="J47">
        <f t="shared" ca="1" si="10"/>
        <v>-2.6221760036719194E-2</v>
      </c>
      <c r="L47">
        <f t="shared" ca="1" si="3"/>
        <v>6.6612940806971537E-3</v>
      </c>
      <c r="M47">
        <f t="shared" ca="1" si="4"/>
        <v>0.28234813825622401</v>
      </c>
      <c r="O47">
        <f t="shared" ca="1" si="5"/>
        <v>0.11543779928947039</v>
      </c>
      <c r="P47">
        <f t="shared" ca="1" si="11"/>
        <v>-0.4085086964982898</v>
      </c>
      <c r="R47">
        <f t="shared" ca="1" si="7"/>
        <v>5.0345447926395281E-2</v>
      </c>
      <c r="S47">
        <f t="shared" ca="1" si="12"/>
        <v>0.5825376139107532</v>
      </c>
    </row>
    <row r="48" spans="1:29" x14ac:dyDescent="0.35">
      <c r="C48" t="str">
        <f t="shared" si="9"/>
        <v/>
      </c>
      <c r="I48">
        <f t="shared" ca="1" si="1"/>
        <v>6.2600439602003878E-3</v>
      </c>
      <c r="J48">
        <f t="shared" ca="1" si="10"/>
        <v>-2.3839600396898378E-2</v>
      </c>
      <c r="L48">
        <f t="shared" ca="1" si="3"/>
        <v>6.6356338694403653E-3</v>
      </c>
      <c r="M48">
        <f t="shared" ca="1" si="4"/>
        <v>0.27922012114081368</v>
      </c>
      <c r="O48">
        <f t="shared" ca="1" si="5"/>
        <v>0.11178418592192624</v>
      </c>
      <c r="P48">
        <f t="shared" ca="1" si="11"/>
        <v>-0.40351130235633836</v>
      </c>
      <c r="R48">
        <f t="shared" ca="1" si="7"/>
        <v>5.2142091723736413E-2</v>
      </c>
      <c r="S48">
        <f t="shared" ca="1" si="12"/>
        <v>0.58639074739195984</v>
      </c>
    </row>
    <row r="49" spans="3:19" x14ac:dyDescent="0.35">
      <c r="C49" t="str">
        <f t="shared" si="9"/>
        <v/>
      </c>
      <c r="I49">
        <f t="shared" ca="1" si="1"/>
        <v>6.2483797480203567E-3</v>
      </c>
      <c r="J49">
        <f t="shared" ca="1" si="10"/>
        <v>-2.1457440757077589E-2</v>
      </c>
      <c r="L49">
        <f t="shared" ca="1" si="3"/>
        <v>6.6104360043323486E-3</v>
      </c>
      <c r="M49">
        <f t="shared" ca="1" si="4"/>
        <v>0.27609210402540335</v>
      </c>
      <c r="O49">
        <f t="shared" ca="1" si="5"/>
        <v>0.1081930074249072</v>
      </c>
      <c r="P49">
        <f t="shared" ca="1" si="11"/>
        <v>-0.39851390821438704</v>
      </c>
      <c r="R49">
        <f t="shared" ca="1" si="7"/>
        <v>5.3975852115137536E-2</v>
      </c>
      <c r="S49">
        <f t="shared" ca="1" si="12"/>
        <v>0.59024388087316648</v>
      </c>
    </row>
    <row r="50" spans="3:19" x14ac:dyDescent="0.35">
      <c r="C50" t="str">
        <f t="shared" si="9"/>
        <v/>
      </c>
      <c r="I50">
        <f t="shared" ca="1" si="1"/>
        <v>6.2369295580821616E-3</v>
      </c>
      <c r="J50">
        <f t="shared" ca="1" si="10"/>
        <v>-1.9075281117256787E-2</v>
      </c>
      <c r="L50">
        <f t="shared" ca="1" si="3"/>
        <v>6.5857004853731027E-3</v>
      </c>
      <c r="M50">
        <f t="shared" ca="1" si="4"/>
        <v>0.27296408690999302</v>
      </c>
      <c r="O50">
        <f t="shared" ca="1" si="5"/>
        <v>0.10466426379841318</v>
      </c>
      <c r="P50">
        <f t="shared" ca="1" si="11"/>
        <v>-0.39351651407243565</v>
      </c>
      <c r="R50">
        <f t="shared" ca="1" si="7"/>
        <v>5.5846729100598638E-2</v>
      </c>
      <c r="S50">
        <f t="shared" ca="1" si="12"/>
        <v>0.59409701435437312</v>
      </c>
    </row>
    <row r="51" spans="3:19" x14ac:dyDescent="0.35">
      <c r="C51" t="str">
        <f t="shared" si="9"/>
        <v/>
      </c>
      <c r="I51">
        <f t="shared" ca="1" si="1"/>
        <v>6.225693390385801E-3</v>
      </c>
      <c r="J51">
        <f t="shared" ca="1" si="10"/>
        <v>-1.6693121477435999E-2</v>
      </c>
      <c r="L51">
        <f t="shared" ca="1" si="3"/>
        <v>6.5614273125626267E-3</v>
      </c>
      <c r="M51">
        <f t="shared" ca="1" si="4"/>
        <v>0.26983606979458269</v>
      </c>
      <c r="O51">
        <f t="shared" ca="1" si="5"/>
        <v>0.10119795504244411</v>
      </c>
      <c r="P51">
        <f t="shared" ca="1" si="11"/>
        <v>-0.38851911993048427</v>
      </c>
      <c r="R51">
        <f t="shared" ca="1" si="7"/>
        <v>5.7754722680119733E-2</v>
      </c>
      <c r="S51">
        <f t="shared" ca="1" si="12"/>
        <v>0.59795014783557976</v>
      </c>
    </row>
    <row r="52" spans="3:19" x14ac:dyDescent="0.35">
      <c r="C52" t="str">
        <f t="shared" si="9"/>
        <v/>
      </c>
      <c r="I52">
        <f t="shared" ca="1" si="1"/>
        <v>6.2146712449312764E-3</v>
      </c>
      <c r="J52">
        <f t="shared" ca="1" si="10"/>
        <v>-1.4310961837615196E-2</v>
      </c>
      <c r="L52">
        <f t="shared" ca="1" si="3"/>
        <v>6.5376164859009232E-3</v>
      </c>
      <c r="M52">
        <f t="shared" ca="1" si="4"/>
        <v>0.26670805267917236</v>
      </c>
      <c r="O52">
        <f t="shared" ca="1" si="5"/>
        <v>9.7794081157000098E-2</v>
      </c>
      <c r="P52">
        <f t="shared" ca="1" si="11"/>
        <v>-0.38352172578853294</v>
      </c>
      <c r="R52">
        <f t="shared" ca="1" si="7"/>
        <v>5.969983285370082E-2</v>
      </c>
      <c r="S52">
        <f t="shared" ca="1" si="12"/>
        <v>0.6018032813167864</v>
      </c>
    </row>
    <row r="53" spans="3:19" x14ac:dyDescent="0.35">
      <c r="C53" t="str">
        <f t="shared" si="9"/>
        <v/>
      </c>
      <c r="I53">
        <f t="shared" ca="1" si="1"/>
        <v>6.203863121718587E-3</v>
      </c>
      <c r="J53">
        <f t="shared" ca="1" si="10"/>
        <v>-1.1928802197794408E-2</v>
      </c>
      <c r="L53">
        <f t="shared" ca="1" si="3"/>
        <v>6.5142680053879897E-3</v>
      </c>
      <c r="M53">
        <f t="shared" ca="1" si="4"/>
        <v>0.26358003556376203</v>
      </c>
      <c r="O53">
        <f t="shared" ca="1" si="5"/>
        <v>9.4452642142081197E-2</v>
      </c>
      <c r="P53">
        <f t="shared" ca="1" si="11"/>
        <v>-0.37852433164658161</v>
      </c>
      <c r="R53">
        <f t="shared" ca="1" si="7"/>
        <v>6.1682059621341892E-2</v>
      </c>
      <c r="S53">
        <f t="shared" ca="1" si="12"/>
        <v>0.60565641479799304</v>
      </c>
    </row>
    <row r="54" spans="3:19" x14ac:dyDescent="0.35">
      <c r="C54" t="str">
        <f t="shared" si="9"/>
        <v/>
      </c>
      <c r="I54">
        <f t="shared" ca="1" si="1"/>
        <v>6.1932690207477329E-3</v>
      </c>
      <c r="J54">
        <f t="shared" ca="1" si="10"/>
        <v>-9.5466425579736197E-3</v>
      </c>
      <c r="L54">
        <f t="shared" ca="1" si="3"/>
        <v>6.4913818710238269E-3</v>
      </c>
      <c r="M54">
        <f t="shared" ca="1" si="4"/>
        <v>0.2604520184483517</v>
      </c>
      <c r="O54">
        <f t="shared" ca="1" si="5"/>
        <v>9.117363799768724E-2</v>
      </c>
      <c r="P54">
        <f t="shared" ca="1" si="11"/>
        <v>-0.37352693750463023</v>
      </c>
      <c r="R54">
        <f t="shared" ca="1" si="7"/>
        <v>6.3701402983042957E-2</v>
      </c>
      <c r="S54">
        <f t="shared" ca="1" si="12"/>
        <v>0.60950954827919968</v>
      </c>
    </row>
    <row r="55" spans="3:19" x14ac:dyDescent="0.35">
      <c r="C55" t="str">
        <f t="shared" si="9"/>
        <v/>
      </c>
      <c r="I55">
        <f t="shared" ca="1" si="1"/>
        <v>6.182888942018714E-3</v>
      </c>
      <c r="J55">
        <f t="shared" ca="1" si="10"/>
        <v>-7.1644829181528036E-3</v>
      </c>
      <c r="L55">
        <f t="shared" ca="1" si="3"/>
        <v>6.4689580828084358E-3</v>
      </c>
      <c r="M55">
        <f t="shared" ca="1" si="4"/>
        <v>0.25732400133294137</v>
      </c>
      <c r="O55">
        <f t="shared" ca="1" si="5"/>
        <v>8.7957068723818296E-2</v>
      </c>
      <c r="P55">
        <f t="shared" ca="1" si="11"/>
        <v>-0.36852954336267885</v>
      </c>
      <c r="R55">
        <f t="shared" ca="1" si="7"/>
        <v>6.5757862938804007E-2</v>
      </c>
      <c r="S55">
        <f t="shared" ca="1" si="12"/>
        <v>0.61336268176040631</v>
      </c>
    </row>
    <row r="56" spans="3:19" x14ac:dyDescent="0.35">
      <c r="C56" t="str">
        <f t="shared" si="9"/>
        <v/>
      </c>
      <c r="I56">
        <f t="shared" ca="1" si="1"/>
        <v>6.1727228855315312E-3</v>
      </c>
      <c r="J56">
        <f t="shared" ca="1" si="10"/>
        <v>-4.7823232783320152E-3</v>
      </c>
      <c r="L56">
        <f t="shared" ca="1" si="3"/>
        <v>6.4469966407418155E-3</v>
      </c>
      <c r="M56">
        <f t="shared" ca="1" si="4"/>
        <v>0.25419598421753098</v>
      </c>
      <c r="O56">
        <f t="shared" ca="1" si="5"/>
        <v>8.4802934320474435E-2</v>
      </c>
      <c r="P56">
        <f t="shared" ca="1" si="11"/>
        <v>-0.36353214922072752</v>
      </c>
      <c r="R56">
        <f t="shared" ca="1" si="7"/>
        <v>6.7851439488625043E-2</v>
      </c>
      <c r="S56">
        <f t="shared" ca="1" si="12"/>
        <v>0.61721581524161295</v>
      </c>
    </row>
    <row r="57" spans="3:19" x14ac:dyDescent="0.35">
      <c r="C57" t="str">
        <f t="shared" si="9"/>
        <v/>
      </c>
      <c r="I57">
        <f t="shared" ca="1" si="1"/>
        <v>6.1627708512861836E-3</v>
      </c>
      <c r="J57">
        <f t="shared" ca="1" si="10"/>
        <v>-2.4001636385111991E-3</v>
      </c>
      <c r="L57">
        <f t="shared" ca="1" si="3"/>
        <v>6.425497544823966E-3</v>
      </c>
      <c r="M57">
        <f t="shared" ca="1" si="4"/>
        <v>0.25106796710212065</v>
      </c>
      <c r="O57">
        <f t="shared" ca="1" si="5"/>
        <v>8.1711234787655532E-2</v>
      </c>
      <c r="P57">
        <f t="shared" ca="1" si="11"/>
        <v>-0.35853475507877614</v>
      </c>
      <c r="R57">
        <f t="shared" ca="1" si="7"/>
        <v>6.9982132632506022E-2</v>
      </c>
      <c r="S57">
        <f t="shared" ca="1" si="12"/>
        <v>0.62106894872281948</v>
      </c>
    </row>
    <row r="58" spans="3:19" x14ac:dyDescent="0.35">
      <c r="C58" t="str">
        <f t="shared" si="9"/>
        <v/>
      </c>
      <c r="I58">
        <f t="shared" ca="1" si="1"/>
        <v>6.1530328392826713E-3</v>
      </c>
      <c r="J58">
        <f t="shared" ca="1" si="10"/>
        <v>-1.8003998690424572E-5</v>
      </c>
      <c r="L58">
        <f t="shared" ca="1" si="3"/>
        <v>6.4044607950548872E-3</v>
      </c>
      <c r="M58">
        <f t="shared" ca="1" si="4"/>
        <v>0.24793994998671035</v>
      </c>
      <c r="O58">
        <f t="shared" ca="1" si="5"/>
        <v>7.8681970125361669E-2</v>
      </c>
      <c r="P58">
        <f t="shared" ca="1" si="11"/>
        <v>-0.35353736093682475</v>
      </c>
      <c r="R58">
        <f t="shared" ca="1" si="7"/>
        <v>7.2149942370447029E-2</v>
      </c>
      <c r="S58">
        <f t="shared" ca="1" si="12"/>
        <v>0.62492208220402612</v>
      </c>
    </row>
    <row r="59" spans="3:19" x14ac:dyDescent="0.35">
      <c r="C59" t="str">
        <f t="shared" si="9"/>
        <v/>
      </c>
      <c r="I59">
        <f t="shared" ca="1" si="1"/>
        <v>6.1435088495209941E-3</v>
      </c>
      <c r="J59">
        <f t="shared" ca="1" si="10"/>
        <v>2.3641556411303777E-3</v>
      </c>
      <c r="L59">
        <f t="shared" ca="1" si="3"/>
        <v>6.3838863914345801E-3</v>
      </c>
      <c r="M59">
        <f t="shared" ca="1" si="4"/>
        <v>0.24481193287130001</v>
      </c>
      <c r="O59">
        <f t="shared" ca="1" si="5"/>
        <v>7.5715140333592834E-2</v>
      </c>
      <c r="P59">
        <f t="shared" ca="1" si="11"/>
        <v>-0.34853996679487337</v>
      </c>
      <c r="R59">
        <f t="shared" ca="1" si="7"/>
        <v>7.4354868702448063E-2</v>
      </c>
      <c r="S59">
        <f t="shared" ca="1" si="12"/>
        <v>0.62877521568523276</v>
      </c>
    </row>
    <row r="60" spans="3:19" x14ac:dyDescent="0.35">
      <c r="C60" t="str">
        <f t="shared" si="9"/>
        <v/>
      </c>
      <c r="I60">
        <f t="shared" ca="1" si="1"/>
        <v>6.1341988820011531E-3</v>
      </c>
      <c r="J60">
        <f t="shared" ca="1" si="10"/>
        <v>4.7463152809511799E-3</v>
      </c>
      <c r="L60">
        <f t="shared" ca="1" si="3"/>
        <v>6.363774333963043E-3</v>
      </c>
      <c r="M60">
        <f t="shared" ca="1" si="4"/>
        <v>0.24168391575588968</v>
      </c>
      <c r="O60">
        <f t="shared" ca="1" si="5"/>
        <v>7.2810745412349054E-2</v>
      </c>
      <c r="P60">
        <f t="shared" ca="1" si="11"/>
        <v>-0.34354257265292204</v>
      </c>
      <c r="R60">
        <f t="shared" ca="1" si="7"/>
        <v>7.659691162850904E-2</v>
      </c>
      <c r="S60">
        <f t="shared" ca="1" si="12"/>
        <v>0.6326283491664394</v>
      </c>
    </row>
    <row r="61" spans="3:19" x14ac:dyDescent="0.35">
      <c r="C61" t="str">
        <f t="shared" si="9"/>
        <v/>
      </c>
      <c r="I61">
        <f t="shared" ca="1" si="1"/>
        <v>6.1251029367231473E-3</v>
      </c>
      <c r="J61">
        <f t="shared" ca="1" si="10"/>
        <v>7.1284749207719544E-3</v>
      </c>
      <c r="L61">
        <f t="shared" ca="1" si="3"/>
        <v>6.3441246226402775E-3</v>
      </c>
      <c r="M61">
        <f t="shared" ca="1" si="4"/>
        <v>0.23855589864047935</v>
      </c>
      <c r="O61">
        <f t="shared" ca="1" si="5"/>
        <v>6.9968785361630259E-2</v>
      </c>
      <c r="P61">
        <f t="shared" ca="1" si="11"/>
        <v>-0.33854517851097066</v>
      </c>
      <c r="R61">
        <f t="shared" ca="1" si="7"/>
        <v>7.8876071148630031E-2</v>
      </c>
      <c r="S61">
        <f t="shared" ca="1" si="12"/>
        <v>0.63648148264764604</v>
      </c>
    </row>
    <row r="62" spans="3:19" x14ac:dyDescent="0.35">
      <c r="C62" t="str">
        <f t="shared" si="9"/>
        <v/>
      </c>
      <c r="I62">
        <f t="shared" ca="1" si="1"/>
        <v>6.1162210136869767E-3</v>
      </c>
      <c r="J62">
        <f t="shared" ca="1" si="10"/>
        <v>9.5106345605927567E-3</v>
      </c>
      <c r="L62">
        <f t="shared" ca="1" si="3"/>
        <v>6.3249372574662828E-3</v>
      </c>
      <c r="M62">
        <f t="shared" ca="1" si="4"/>
        <v>0.23542788152506902</v>
      </c>
      <c r="O62">
        <f t="shared" ca="1" si="5"/>
        <v>6.7189260181436547E-2</v>
      </c>
      <c r="P62">
        <f t="shared" ca="1" si="11"/>
        <v>-0.33354778436901933</v>
      </c>
      <c r="R62">
        <f t="shared" ca="1" si="7"/>
        <v>8.1192347262810993E-2</v>
      </c>
      <c r="S62">
        <f t="shared" ca="1" si="12"/>
        <v>0.64033461612885267</v>
      </c>
    </row>
    <row r="63" spans="3:19" x14ac:dyDescent="0.35">
      <c r="C63" t="str">
        <f t="shared" si="9"/>
        <v/>
      </c>
      <c r="I63">
        <f t="shared" ca="1" si="1"/>
        <v>6.1075531128926414E-3</v>
      </c>
      <c r="J63">
        <f t="shared" ca="1" si="10"/>
        <v>1.1892794200413559E-2</v>
      </c>
      <c r="L63">
        <f t="shared" ca="1" si="3"/>
        <v>6.3062122384410588E-3</v>
      </c>
      <c r="M63">
        <f t="shared" ca="1" si="4"/>
        <v>0.23229986440965869</v>
      </c>
      <c r="O63">
        <f t="shared" ca="1" si="5"/>
        <v>6.4472169871767807E-2</v>
      </c>
      <c r="P63">
        <f t="shared" ca="1" si="11"/>
        <v>-0.32855039022706795</v>
      </c>
      <c r="R63">
        <f t="shared" ca="1" si="7"/>
        <v>8.3545739971051872E-2</v>
      </c>
      <c r="S63">
        <f t="shared" ca="1" si="12"/>
        <v>0.6441877496100592</v>
      </c>
    </row>
    <row r="64" spans="3:19" x14ac:dyDescent="0.35">
      <c r="C64" t="str">
        <f t="shared" si="9"/>
        <v/>
      </c>
      <c r="I64">
        <f t="shared" ca="1" si="1"/>
        <v>6.0990992343401421E-3</v>
      </c>
      <c r="J64">
        <f t="shared" ca="1" si="10"/>
        <v>1.4274953840234333E-2</v>
      </c>
      <c r="L64">
        <f t="shared" ca="1" si="3"/>
        <v>6.2879495655646066E-3</v>
      </c>
      <c r="M64">
        <f t="shared" ca="1" si="4"/>
        <v>0.22917184729424836</v>
      </c>
      <c r="O64">
        <f t="shared" ca="1" si="5"/>
        <v>6.1817514432624086E-2</v>
      </c>
      <c r="P64">
        <f t="shared" ca="1" si="11"/>
        <v>-0.32355299608511656</v>
      </c>
      <c r="R64">
        <f t="shared" ca="1" si="7"/>
        <v>8.5936249273352819E-2</v>
      </c>
      <c r="S64">
        <f t="shared" ca="1" si="12"/>
        <v>0.64804088309126584</v>
      </c>
    </row>
    <row r="65" spans="3:19" x14ac:dyDescent="0.35">
      <c r="C65" t="str">
        <f t="shared" si="9"/>
        <v/>
      </c>
      <c r="I65">
        <f t="shared" ca="1" si="1"/>
        <v>6.0908593780294781E-3</v>
      </c>
      <c r="J65">
        <f t="shared" ca="1" si="10"/>
        <v>1.6657113480055163E-2</v>
      </c>
      <c r="L65">
        <f t="shared" ca="1" si="3"/>
        <v>6.2701492388369251E-3</v>
      </c>
      <c r="M65">
        <f t="shared" ca="1" si="4"/>
        <v>0.22604383017883803</v>
      </c>
      <c r="O65">
        <f t="shared" ca="1" si="5"/>
        <v>5.9225293864005428E-2</v>
      </c>
      <c r="P65">
        <f t="shared" ca="1" si="11"/>
        <v>-0.31855560194316523</v>
      </c>
      <c r="R65">
        <f t="shared" ca="1" si="7"/>
        <v>8.8363875169713779E-2</v>
      </c>
      <c r="S65">
        <f t="shared" ca="1" si="12"/>
        <v>0.65189401657247248</v>
      </c>
    </row>
    <row r="66" spans="3:19" x14ac:dyDescent="0.35">
      <c r="C66" t="str">
        <f t="shared" si="9"/>
        <v/>
      </c>
      <c r="I66">
        <f t="shared" ca="1" si="1"/>
        <v>6.0828335439606493E-3</v>
      </c>
      <c r="J66">
        <f t="shared" ca="1" si="10"/>
        <v>1.9039273119875938E-2</v>
      </c>
      <c r="L66">
        <f t="shared" ca="1" si="3"/>
        <v>6.2528112582580135E-3</v>
      </c>
      <c r="M66">
        <f t="shared" ca="1" si="4"/>
        <v>0.2229158130634277</v>
      </c>
      <c r="O66">
        <f t="shared" ca="1" si="5"/>
        <v>5.6695508165911769E-2</v>
      </c>
      <c r="P66">
        <f t="shared" ca="1" si="11"/>
        <v>-0.31355820780121385</v>
      </c>
      <c r="R66">
        <f t="shared" ca="1" si="7"/>
        <v>9.0828617660134697E-2</v>
      </c>
      <c r="S66">
        <f t="shared" ca="1" si="12"/>
        <v>0.65574715005367912</v>
      </c>
    </row>
    <row r="67" spans="3:19" x14ac:dyDescent="0.35">
      <c r="C67" t="str">
        <f t="shared" si="9"/>
        <v/>
      </c>
      <c r="I67">
        <f t="shared" ca="1" si="1"/>
        <v>6.0750217321336557E-3</v>
      </c>
      <c r="J67">
        <f t="shared" ca="1" si="10"/>
        <v>2.142143275969674E-2</v>
      </c>
      <c r="L67">
        <f t="shared" ca="1" si="3"/>
        <v>6.2359356238278736E-3</v>
      </c>
      <c r="M67">
        <f t="shared" ca="1" si="4"/>
        <v>0.21978779594801737</v>
      </c>
      <c r="O67">
        <f t="shared" ca="1" si="5"/>
        <v>5.422815733834313E-2</v>
      </c>
      <c r="P67">
        <f t="shared" ca="1" si="11"/>
        <v>-0.30856081365926247</v>
      </c>
      <c r="R67">
        <f t="shared" ca="1" si="7"/>
        <v>9.3330476744615615E-2</v>
      </c>
      <c r="S67">
        <f t="shared" ca="1" si="12"/>
        <v>0.65960028353488576</v>
      </c>
    </row>
    <row r="68" spans="3:19" x14ac:dyDescent="0.35">
      <c r="C68" t="str">
        <f t="shared" si="9"/>
        <v/>
      </c>
      <c r="I68">
        <f t="shared" ca="1" si="1"/>
        <v>6.0674239425484973E-3</v>
      </c>
      <c r="J68">
        <f t="shared" ca="1" si="10"/>
        <v>2.3803592399517542E-2</v>
      </c>
      <c r="L68">
        <f t="shared" ca="1" si="3"/>
        <v>6.2195223355465054E-3</v>
      </c>
      <c r="M68">
        <f t="shared" ca="1" si="4"/>
        <v>0.21665977883260704</v>
      </c>
      <c r="O68">
        <f t="shared" ca="1" si="5"/>
        <v>5.182324138129954E-2</v>
      </c>
      <c r="P68">
        <f t="shared" ca="1" si="11"/>
        <v>-0.30356341951731114</v>
      </c>
      <c r="R68">
        <f t="shared" ca="1" si="7"/>
        <v>9.5869452423156518E-2</v>
      </c>
      <c r="S68">
        <f t="shared" ca="1" si="12"/>
        <v>0.66345341701609239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6.0600401752051751E-3</v>
      </c>
      <c r="J69">
        <f t="shared" ref="J69:J100" ca="1" si="15">$G$9 + ($G$6 - $G$9) * (ROW(B66)-1)/99</f>
        <v>2.6185752039338317E-2</v>
      </c>
      <c r="L69">
        <f t="shared" ref="L69:L103" ca="1" si="16">$G$17 * (M69 - $G$6)^2 + $G$5</f>
        <v>6.2035713934139071E-3</v>
      </c>
      <c r="M69">
        <f t="shared" ref="M69:M103" ca="1" si="17">$G$13 + ($G$6 - $G$13) * (ROW(F66)-1)/99</f>
        <v>0.21353176171719671</v>
      </c>
      <c r="O69">
        <f t="shared" ref="O69:O103" ca="1" si="18">$G$10 + $G$19 * ($G$23 * (P69 - $G$9))^2 + $G$21 * (1 - (P69 - $G$6)/($G$9 - $G$6))</f>
        <v>4.9480760294780955E-2</v>
      </c>
      <c r="P69">
        <f t="shared" ref="P69:P100" ca="1" si="19">$G$26 + ($G$9 - $G$26) * (ROW(B66)-1)/99</f>
        <v>-0.29856602537535976</v>
      </c>
      <c r="R69">
        <f t="shared" ref="R69:R103" ca="1" si="20">$G$14 + $G$19 * ($G$23 * (S69 - $G$13))^2 - $G$22 * (1 - (S69 - $G$6)/($G$13 - $G$6))</f>
        <v>9.844554469575742E-2</v>
      </c>
      <c r="S69">
        <f t="shared" ref="S69:S100" ca="1" si="21">$G$13 + ($G$25 - $G$13) * (ROW(B66)-1)/99</f>
        <v>0.66730655049729903</v>
      </c>
    </row>
    <row r="70" spans="3:19" x14ac:dyDescent="0.35">
      <c r="C70" t="str">
        <f t="shared" si="13"/>
        <v/>
      </c>
      <c r="I70">
        <f t="shared" ca="1" si="14"/>
        <v>6.052870430103688E-3</v>
      </c>
      <c r="J70">
        <f t="shared" ca="1" si="15"/>
        <v>2.8567911679159119E-2</v>
      </c>
      <c r="L70">
        <f t="shared" ca="1" si="16"/>
        <v>6.1880827974300796E-3</v>
      </c>
      <c r="M70">
        <f t="shared" ca="1" si="17"/>
        <v>0.21040374460178637</v>
      </c>
      <c r="O70">
        <f t="shared" ca="1" si="18"/>
        <v>4.7200714078787412E-2</v>
      </c>
      <c r="P70">
        <f t="shared" ca="1" si="19"/>
        <v>-0.29356863123340843</v>
      </c>
      <c r="R70">
        <f t="shared" ca="1" si="20"/>
        <v>0.10105875356241831</v>
      </c>
      <c r="S70">
        <f t="shared" ca="1" si="21"/>
        <v>0.67115968397850567</v>
      </c>
    </row>
    <row r="71" spans="3:19" x14ac:dyDescent="0.35">
      <c r="C71" t="str">
        <f t="shared" si="13"/>
        <v/>
      </c>
      <c r="I71">
        <f t="shared" ca="1" si="14"/>
        <v>6.0459147072440362E-3</v>
      </c>
      <c r="J71">
        <f t="shared" ca="1" si="15"/>
        <v>3.0950071318979921E-2</v>
      </c>
      <c r="L71">
        <f t="shared" ca="1" si="16"/>
        <v>6.1730565475950237E-3</v>
      </c>
      <c r="M71">
        <f t="shared" ca="1" si="17"/>
        <v>0.20727572748637604</v>
      </c>
      <c r="O71">
        <f t="shared" ca="1" si="18"/>
        <v>4.4983102733318875E-2</v>
      </c>
      <c r="P71">
        <f t="shared" ca="1" si="19"/>
        <v>-0.28857123709145704</v>
      </c>
      <c r="R71">
        <f t="shared" ca="1" si="20"/>
        <v>0.10370907902313918</v>
      </c>
      <c r="S71">
        <f t="shared" ca="1" si="21"/>
        <v>0.67501281745971231</v>
      </c>
    </row>
    <row r="72" spans="3:19" x14ac:dyDescent="0.35">
      <c r="C72" t="str">
        <f t="shared" si="13"/>
        <v/>
      </c>
      <c r="I72">
        <f t="shared" ca="1" si="14"/>
        <v>6.0391730066262205E-3</v>
      </c>
      <c r="J72">
        <f t="shared" ca="1" si="15"/>
        <v>3.3332230958800724E-2</v>
      </c>
      <c r="L72">
        <f t="shared" ca="1" si="16"/>
        <v>6.1584926439087386E-3</v>
      </c>
      <c r="M72">
        <f t="shared" ca="1" si="17"/>
        <v>0.20414771037096571</v>
      </c>
      <c r="O72">
        <f t="shared" ca="1" si="18"/>
        <v>4.2827926258375379E-2</v>
      </c>
      <c r="P72">
        <f t="shared" ca="1" si="19"/>
        <v>-0.28357384294950572</v>
      </c>
      <c r="R72">
        <f t="shared" ca="1" si="20"/>
        <v>0.10639652107792004</v>
      </c>
      <c r="S72">
        <f t="shared" ca="1" si="21"/>
        <v>0.67886595094091895</v>
      </c>
    </row>
    <row r="73" spans="3:19" x14ac:dyDescent="0.35">
      <c r="C73" t="str">
        <f t="shared" si="13"/>
        <v/>
      </c>
      <c r="I73">
        <f t="shared" ca="1" si="14"/>
        <v>6.03264532825024E-3</v>
      </c>
      <c r="J73">
        <f t="shared" ca="1" si="15"/>
        <v>3.5714390598621526E-2</v>
      </c>
      <c r="L73">
        <f t="shared" ca="1" si="16"/>
        <v>6.1443910863712243E-3</v>
      </c>
      <c r="M73">
        <f t="shared" ca="1" si="17"/>
        <v>0.20101969325555538</v>
      </c>
      <c r="O73">
        <f t="shared" ca="1" si="18"/>
        <v>4.0735184653956896E-2</v>
      </c>
      <c r="P73">
        <f t="shared" ca="1" si="19"/>
        <v>-0.27857644880755433</v>
      </c>
      <c r="R73">
        <f t="shared" ca="1" si="20"/>
        <v>0.10912107972676088</v>
      </c>
      <c r="S73">
        <f t="shared" ca="1" si="21"/>
        <v>0.68271908442212559</v>
      </c>
    </row>
    <row r="74" spans="3:19" x14ac:dyDescent="0.35">
      <c r="C74" t="str">
        <f t="shared" si="13"/>
        <v/>
      </c>
      <c r="I74">
        <f t="shared" ca="1" si="14"/>
        <v>6.0263316721160948E-3</v>
      </c>
      <c r="J74">
        <f t="shared" ca="1" si="15"/>
        <v>3.80965502384423E-2</v>
      </c>
      <c r="L74">
        <f t="shared" ca="1" si="16"/>
        <v>6.1307518749824817E-3</v>
      </c>
      <c r="M74">
        <f t="shared" ca="1" si="17"/>
        <v>0.19789167614014505</v>
      </c>
      <c r="O74">
        <f t="shared" ca="1" si="18"/>
        <v>3.8704877920063448E-2</v>
      </c>
      <c r="P74">
        <f t="shared" ca="1" si="19"/>
        <v>-0.27357905466560301</v>
      </c>
      <c r="R74">
        <f t="shared" ca="1" si="20"/>
        <v>0.11188275496966171</v>
      </c>
      <c r="S74">
        <f t="shared" ca="1" si="21"/>
        <v>0.68657221790333223</v>
      </c>
    </row>
    <row r="75" spans="3:19" x14ac:dyDescent="0.35">
      <c r="C75" t="str">
        <f t="shared" si="13"/>
        <v/>
      </c>
      <c r="I75">
        <f t="shared" ca="1" si="14"/>
        <v>6.0202320382237847E-3</v>
      </c>
      <c r="J75">
        <f t="shared" ca="1" si="15"/>
        <v>4.0478709878263103E-2</v>
      </c>
      <c r="L75">
        <f t="shared" ca="1" si="16"/>
        <v>6.117575009742509E-3</v>
      </c>
      <c r="M75">
        <f t="shared" ca="1" si="17"/>
        <v>0.19476365902473472</v>
      </c>
      <c r="O75">
        <f t="shared" ca="1" si="18"/>
        <v>3.6737006056694985E-2</v>
      </c>
      <c r="P75">
        <f t="shared" ca="1" si="19"/>
        <v>-0.26858166052365157</v>
      </c>
      <c r="R75">
        <f t="shared" ca="1" si="20"/>
        <v>0.11468154680662256</v>
      </c>
      <c r="S75">
        <f t="shared" ca="1" si="21"/>
        <v>0.69042535138453887</v>
      </c>
    </row>
    <row r="76" spans="3:19" x14ac:dyDescent="0.35">
      <c r="C76" t="str">
        <f t="shared" si="13"/>
        <v/>
      </c>
      <c r="I76">
        <f t="shared" ca="1" si="14"/>
        <v>6.0143464265733099E-3</v>
      </c>
      <c r="J76">
        <f t="shared" ca="1" si="15"/>
        <v>4.2860869518083905E-2</v>
      </c>
      <c r="L76">
        <f t="shared" ca="1" si="16"/>
        <v>6.1048604906513079E-3</v>
      </c>
      <c r="M76">
        <f t="shared" ca="1" si="17"/>
        <v>0.19163564190932439</v>
      </c>
      <c r="O76">
        <f t="shared" ca="1" si="18"/>
        <v>3.4831569063851618E-2</v>
      </c>
      <c r="P76">
        <f t="shared" ca="1" si="19"/>
        <v>-0.26358426638170029</v>
      </c>
      <c r="R76">
        <f t="shared" ca="1" si="20"/>
        <v>0.11751745523764337</v>
      </c>
      <c r="S76">
        <f t="shared" ca="1" si="21"/>
        <v>0.6942784848657455</v>
      </c>
    </row>
    <row r="77" spans="3:19" x14ac:dyDescent="0.35">
      <c r="C77" t="str">
        <f t="shared" si="13"/>
        <v/>
      </c>
      <c r="I77">
        <f t="shared" ca="1" si="14"/>
        <v>6.0086748371646712E-3</v>
      </c>
      <c r="J77">
        <f t="shared" ca="1" si="15"/>
        <v>4.5243029157904679E-2</v>
      </c>
      <c r="L77">
        <f t="shared" ca="1" si="16"/>
        <v>6.0926083177088777E-3</v>
      </c>
      <c r="M77">
        <f t="shared" ca="1" si="17"/>
        <v>0.18850762479391403</v>
      </c>
      <c r="O77">
        <f t="shared" ca="1" si="18"/>
        <v>3.2988566941533203E-2</v>
      </c>
      <c r="P77">
        <f t="shared" ca="1" si="19"/>
        <v>-0.25858687223974886</v>
      </c>
      <c r="R77">
        <f t="shared" ca="1" si="20"/>
        <v>0.12039048026272411</v>
      </c>
      <c r="S77">
        <f t="shared" ca="1" si="21"/>
        <v>0.69813161834695203</v>
      </c>
    </row>
    <row r="78" spans="3:19" x14ac:dyDescent="0.35">
      <c r="C78" t="str">
        <f t="shared" si="13"/>
        <v/>
      </c>
      <c r="I78">
        <f t="shared" ca="1" si="14"/>
        <v>6.0032172699978677E-3</v>
      </c>
      <c r="J78">
        <f t="shared" ca="1" si="15"/>
        <v>4.762518879772551E-2</v>
      </c>
      <c r="L78">
        <f t="shared" ca="1" si="16"/>
        <v>6.0808184909152182E-3</v>
      </c>
      <c r="M78">
        <f t="shared" ca="1" si="17"/>
        <v>0.1853796076785037</v>
      </c>
      <c r="O78">
        <f t="shared" ca="1" si="18"/>
        <v>3.1207999689739835E-2</v>
      </c>
      <c r="P78">
        <f t="shared" ca="1" si="19"/>
        <v>-0.25358947809779747</v>
      </c>
      <c r="R78">
        <f t="shared" ca="1" si="20"/>
        <v>0.1233006218818649</v>
      </c>
      <c r="S78">
        <f t="shared" ca="1" si="21"/>
        <v>0.70198475182815867</v>
      </c>
    </row>
    <row r="79" spans="3:19" x14ac:dyDescent="0.35">
      <c r="C79" t="str">
        <f t="shared" si="13"/>
        <v/>
      </c>
      <c r="I79">
        <f t="shared" ca="1" si="14"/>
        <v>5.9979737250728995E-3</v>
      </c>
      <c r="J79">
        <f t="shared" ca="1" si="15"/>
        <v>5.0007348437546312E-2</v>
      </c>
      <c r="L79">
        <f t="shared" ca="1" si="16"/>
        <v>6.0694910102703295E-3</v>
      </c>
      <c r="M79">
        <f t="shared" ca="1" si="17"/>
        <v>0.18225159056309337</v>
      </c>
      <c r="O79">
        <f t="shared" ca="1" si="18"/>
        <v>2.9489867308471512E-2</v>
      </c>
      <c r="P79">
        <f t="shared" ca="1" si="19"/>
        <v>-0.24859208395584614</v>
      </c>
      <c r="R79">
        <f t="shared" ca="1" si="20"/>
        <v>0.12624788009506568</v>
      </c>
      <c r="S79">
        <f t="shared" ca="1" si="21"/>
        <v>0.70583788530936531</v>
      </c>
    </row>
    <row r="80" spans="3:19" x14ac:dyDescent="0.35">
      <c r="C80" t="str">
        <f t="shared" si="13"/>
        <v/>
      </c>
      <c r="I80">
        <f t="shared" ca="1" si="14"/>
        <v>5.9929442023897665E-3</v>
      </c>
      <c r="J80">
        <f t="shared" ca="1" si="15"/>
        <v>5.2389508077367086E-2</v>
      </c>
      <c r="L80">
        <f t="shared" ca="1" si="16"/>
        <v>6.0586258757742125E-3</v>
      </c>
      <c r="M80">
        <f t="shared" ca="1" si="17"/>
        <v>0.17912357344768304</v>
      </c>
      <c r="O80">
        <f t="shared" ca="1" si="18"/>
        <v>2.7834169797728198E-2</v>
      </c>
      <c r="P80">
        <f t="shared" ca="1" si="19"/>
        <v>-0.24359468981389476</v>
      </c>
      <c r="R80">
        <f t="shared" ca="1" si="20"/>
        <v>0.12923225490232637</v>
      </c>
      <c r="S80">
        <f t="shared" ca="1" si="21"/>
        <v>0.70969101879057184</v>
      </c>
    </row>
    <row r="81" spans="3:19" x14ac:dyDescent="0.35">
      <c r="C81" t="str">
        <f t="shared" si="13"/>
        <v/>
      </c>
      <c r="I81">
        <f t="shared" ca="1" si="14"/>
        <v>5.9881287019484695E-3</v>
      </c>
      <c r="J81">
        <f t="shared" ca="1" si="15"/>
        <v>5.4771667717187889E-2</v>
      </c>
      <c r="L81">
        <f t="shared" ca="1" si="16"/>
        <v>6.0482230874268654E-3</v>
      </c>
      <c r="M81">
        <f t="shared" ca="1" si="17"/>
        <v>0.17599555633227271</v>
      </c>
      <c r="O81">
        <f t="shared" ca="1" si="18"/>
        <v>2.6240907157509923E-2</v>
      </c>
      <c r="P81">
        <f t="shared" ca="1" si="19"/>
        <v>-0.23859729567194343</v>
      </c>
      <c r="R81">
        <f t="shared" ca="1" si="20"/>
        <v>0.13225374630364711</v>
      </c>
      <c r="S81">
        <f t="shared" ca="1" si="21"/>
        <v>0.71354415227177848</v>
      </c>
    </row>
    <row r="82" spans="3:19" x14ac:dyDescent="0.35">
      <c r="C82" t="str">
        <f t="shared" si="13"/>
        <v/>
      </c>
      <c r="I82">
        <f t="shared" ca="1" si="14"/>
        <v>5.9835272237490078E-3</v>
      </c>
      <c r="J82">
        <f t="shared" ca="1" si="15"/>
        <v>5.7153827357008691E-2</v>
      </c>
      <c r="L82">
        <f t="shared" ca="1" si="16"/>
        <v>6.0382826452282899E-3</v>
      </c>
      <c r="M82">
        <f t="shared" ca="1" si="17"/>
        <v>0.17286753921686238</v>
      </c>
      <c r="O82">
        <f t="shared" ca="1" si="18"/>
        <v>2.4710079387816657E-2</v>
      </c>
      <c r="P82">
        <f t="shared" ca="1" si="19"/>
        <v>-0.23359990152999205</v>
      </c>
      <c r="R82">
        <f t="shared" ca="1" si="20"/>
        <v>0.13531235429902785</v>
      </c>
      <c r="S82">
        <f t="shared" ca="1" si="21"/>
        <v>0.71739728575298511</v>
      </c>
    </row>
    <row r="83" spans="3:19" x14ac:dyDescent="0.35">
      <c r="C83" t="str">
        <f t="shared" si="13"/>
        <v/>
      </c>
      <c r="I83">
        <f t="shared" ca="1" si="14"/>
        <v>5.9791397677913813E-3</v>
      </c>
      <c r="J83">
        <f t="shared" ca="1" si="15"/>
        <v>5.9535986996829493E-2</v>
      </c>
      <c r="L83">
        <f t="shared" ca="1" si="16"/>
        <v>6.0288045491784853E-3</v>
      </c>
      <c r="M83">
        <f t="shared" ca="1" si="17"/>
        <v>0.16973952210145204</v>
      </c>
      <c r="O83">
        <f t="shared" ca="1" si="18"/>
        <v>2.3241686488648432E-2</v>
      </c>
      <c r="P83">
        <f t="shared" ca="1" si="19"/>
        <v>-0.22860250738804072</v>
      </c>
      <c r="R83">
        <f t="shared" ca="1" si="20"/>
        <v>0.13840807888846859</v>
      </c>
      <c r="S83">
        <f t="shared" ca="1" si="21"/>
        <v>0.72125041923419175</v>
      </c>
    </row>
    <row r="84" spans="3:19" x14ac:dyDescent="0.35">
      <c r="C84" t="str">
        <f t="shared" si="13"/>
        <v/>
      </c>
      <c r="I84">
        <f t="shared" ca="1" si="14"/>
        <v>5.9749663340755901E-3</v>
      </c>
      <c r="J84">
        <f t="shared" ca="1" si="15"/>
        <v>6.1918146636650268E-2</v>
      </c>
      <c r="L84">
        <f t="shared" ca="1" si="16"/>
        <v>6.0197887992774523E-3</v>
      </c>
      <c r="M84">
        <f t="shared" ca="1" si="17"/>
        <v>0.16661150498604171</v>
      </c>
      <c r="O84">
        <f t="shared" ca="1" si="18"/>
        <v>2.183572846000521E-2</v>
      </c>
      <c r="P84">
        <f t="shared" ca="1" si="19"/>
        <v>-0.22360511324608934</v>
      </c>
      <c r="R84">
        <f t="shared" ca="1" si="20"/>
        <v>0.14154092007196933</v>
      </c>
      <c r="S84">
        <f t="shared" ca="1" si="21"/>
        <v>0.72510355271539839</v>
      </c>
    </row>
    <row r="85" spans="3:19" x14ac:dyDescent="0.35">
      <c r="C85" t="str">
        <f t="shared" si="13"/>
        <v/>
      </c>
      <c r="I85">
        <f t="shared" ca="1" si="14"/>
        <v>5.9710069226016349E-3</v>
      </c>
      <c r="J85">
        <f t="shared" ca="1" si="15"/>
        <v>6.430030627647107E-2</v>
      </c>
      <c r="L85">
        <f t="shared" ca="1" si="16"/>
        <v>6.0112353955251892E-3</v>
      </c>
      <c r="M85">
        <f t="shared" ca="1" si="17"/>
        <v>0.16348348787063133</v>
      </c>
      <c r="O85">
        <f t="shared" ca="1" si="18"/>
        <v>2.0492205301887018E-2</v>
      </c>
      <c r="P85">
        <f t="shared" ca="1" si="19"/>
        <v>-0.21860771910413795</v>
      </c>
      <c r="R85">
        <f t="shared" ca="1" si="20"/>
        <v>0.14471087784953005</v>
      </c>
      <c r="S85">
        <f t="shared" ca="1" si="21"/>
        <v>0.72895668619660503</v>
      </c>
    </row>
    <row r="86" spans="3:19" x14ac:dyDescent="0.35">
      <c r="C86" t="str">
        <f t="shared" si="13"/>
        <v/>
      </c>
      <c r="I86">
        <f t="shared" ca="1" si="14"/>
        <v>5.967261533369515E-3</v>
      </c>
      <c r="J86">
        <f t="shared" ca="1" si="15"/>
        <v>6.6682465916291872E-2</v>
      </c>
      <c r="L86">
        <f t="shared" ca="1" si="16"/>
        <v>6.0031443379216978E-3</v>
      </c>
      <c r="M86">
        <f t="shared" ca="1" si="17"/>
        <v>0.160355470755221</v>
      </c>
      <c r="O86">
        <f t="shared" ca="1" si="18"/>
        <v>1.9211117014293864E-2</v>
      </c>
      <c r="P86">
        <f t="shared" ca="1" si="19"/>
        <v>-0.21361032496218663</v>
      </c>
      <c r="R86">
        <f t="shared" ca="1" si="20"/>
        <v>0.14791795222115076</v>
      </c>
      <c r="S86">
        <f t="shared" ca="1" si="21"/>
        <v>0.73280981967781167</v>
      </c>
    </row>
    <row r="87" spans="3:19" x14ac:dyDescent="0.35">
      <c r="C87" t="str">
        <f t="shared" si="13"/>
        <v/>
      </c>
      <c r="I87">
        <f t="shared" ca="1" si="14"/>
        <v>5.9637301663792303E-3</v>
      </c>
      <c r="J87">
        <f t="shared" ca="1" si="15"/>
        <v>6.9064625556112647E-2</v>
      </c>
      <c r="L87">
        <f t="shared" ca="1" si="16"/>
        <v>5.9955156264669763E-3</v>
      </c>
      <c r="M87">
        <f t="shared" ca="1" si="17"/>
        <v>0.15722745363981067</v>
      </c>
      <c r="O87">
        <f t="shared" ca="1" si="18"/>
        <v>1.799246359722572E-2</v>
      </c>
      <c r="P87">
        <f t="shared" ca="1" si="19"/>
        <v>-0.20861293082023524</v>
      </c>
      <c r="R87">
        <f t="shared" ca="1" si="20"/>
        <v>0.15116214318683144</v>
      </c>
      <c r="S87">
        <f t="shared" ca="1" si="21"/>
        <v>0.73666295315901831</v>
      </c>
    </row>
    <row r="88" spans="3:19" x14ac:dyDescent="0.35">
      <c r="C88" t="str">
        <f t="shared" si="13"/>
        <v/>
      </c>
      <c r="I88">
        <f t="shared" ca="1" si="14"/>
        <v>5.9604128216307808E-3</v>
      </c>
      <c r="J88">
        <f t="shared" ca="1" si="15"/>
        <v>7.1446785195933449E-2</v>
      </c>
      <c r="L88">
        <f t="shared" ca="1" si="16"/>
        <v>5.9883492611610264E-3</v>
      </c>
      <c r="M88">
        <f t="shared" ca="1" si="17"/>
        <v>0.15409943652440034</v>
      </c>
      <c r="O88">
        <f t="shared" ca="1" si="18"/>
        <v>1.6836245050682614E-2</v>
      </c>
      <c r="P88">
        <f t="shared" ca="1" si="19"/>
        <v>-0.20361553667828391</v>
      </c>
      <c r="R88">
        <f t="shared" ca="1" si="20"/>
        <v>0.15444345074657209</v>
      </c>
      <c r="S88">
        <f t="shared" ca="1" si="21"/>
        <v>0.74051608664022495</v>
      </c>
    </row>
    <row r="89" spans="3:19" x14ac:dyDescent="0.35">
      <c r="C89" t="str">
        <f t="shared" si="13"/>
        <v/>
      </c>
      <c r="I89">
        <f t="shared" ca="1" si="14"/>
        <v>5.9573094991241665E-3</v>
      </c>
      <c r="J89">
        <f t="shared" ca="1" si="15"/>
        <v>7.3828944835754251E-2</v>
      </c>
      <c r="L89">
        <f t="shared" ca="1" si="16"/>
        <v>5.9816452420038482E-3</v>
      </c>
      <c r="M89">
        <f t="shared" ca="1" si="17"/>
        <v>0.15097141940899</v>
      </c>
      <c r="O89">
        <f t="shared" ca="1" si="18"/>
        <v>1.5742461374664521E-2</v>
      </c>
      <c r="P89">
        <f t="shared" ca="1" si="19"/>
        <v>-0.19861814253633253</v>
      </c>
      <c r="R89">
        <f t="shared" ca="1" si="20"/>
        <v>0.1577618749003728</v>
      </c>
      <c r="S89">
        <f t="shared" ca="1" si="21"/>
        <v>0.74436922012143159</v>
      </c>
    </row>
    <row r="90" spans="3:19" x14ac:dyDescent="0.35">
      <c r="C90" t="str">
        <f t="shared" si="13"/>
        <v/>
      </c>
      <c r="I90">
        <f t="shared" ca="1" si="14"/>
        <v>5.9544201988593884E-3</v>
      </c>
      <c r="J90">
        <f t="shared" ca="1" si="15"/>
        <v>7.6211104475575026E-2</v>
      </c>
      <c r="L90">
        <f t="shared" ca="1" si="16"/>
        <v>5.97540356899544E-3</v>
      </c>
      <c r="M90">
        <f t="shared" ca="1" si="17"/>
        <v>0.14784340229357967</v>
      </c>
      <c r="O90">
        <f t="shared" ca="1" si="18"/>
        <v>1.4711112569171462E-2</v>
      </c>
      <c r="P90">
        <f t="shared" ca="1" si="19"/>
        <v>-0.1936207483943812</v>
      </c>
      <c r="R90">
        <f t="shared" ca="1" si="20"/>
        <v>0.16111741564823345</v>
      </c>
      <c r="S90">
        <f t="shared" ca="1" si="21"/>
        <v>0.74822235360263822</v>
      </c>
    </row>
    <row r="91" spans="3:19" x14ac:dyDescent="0.35">
      <c r="C91" t="str">
        <f t="shared" si="13"/>
        <v/>
      </c>
      <c r="I91">
        <f t="shared" ca="1" si="14"/>
        <v>5.9517449208364454E-3</v>
      </c>
      <c r="J91">
        <f t="shared" ca="1" si="15"/>
        <v>7.8593264115395828E-2</v>
      </c>
      <c r="L91">
        <f t="shared" ca="1" si="16"/>
        <v>5.9696242421358034E-3</v>
      </c>
      <c r="M91">
        <f t="shared" ca="1" si="17"/>
        <v>0.14471538517816934</v>
      </c>
      <c r="O91">
        <f t="shared" ca="1" si="18"/>
        <v>1.3742198634203407E-2</v>
      </c>
      <c r="P91">
        <f t="shared" ca="1" si="19"/>
        <v>-0.18862335425242976</v>
      </c>
      <c r="R91">
        <f t="shared" ca="1" si="20"/>
        <v>0.16451007299015413</v>
      </c>
      <c r="S91">
        <f t="shared" ca="1" si="21"/>
        <v>0.75207548708384486</v>
      </c>
    </row>
    <row r="92" spans="3:19" x14ac:dyDescent="0.35">
      <c r="C92" t="str">
        <f t="shared" si="13"/>
        <v/>
      </c>
      <c r="I92">
        <f t="shared" ca="1" si="14"/>
        <v>5.9492836650553377E-3</v>
      </c>
      <c r="J92">
        <f t="shared" ca="1" si="15"/>
        <v>8.0975423755216658E-2</v>
      </c>
      <c r="L92">
        <f t="shared" ca="1" si="16"/>
        <v>5.9643072614249375E-3</v>
      </c>
      <c r="M92">
        <f t="shared" ca="1" si="17"/>
        <v>0.14158736806275901</v>
      </c>
      <c r="O92">
        <f t="shared" ca="1" si="18"/>
        <v>1.2835719569760391E-2</v>
      </c>
      <c r="P92">
        <f t="shared" ca="1" si="19"/>
        <v>-0.18362596011047838</v>
      </c>
      <c r="R92">
        <f t="shared" ca="1" si="20"/>
        <v>0.16793984692613478</v>
      </c>
      <c r="S92">
        <f t="shared" ca="1" si="21"/>
        <v>0.7559286205650515</v>
      </c>
    </row>
    <row r="93" spans="3:19" x14ac:dyDescent="0.35">
      <c r="C93" t="str">
        <f t="shared" si="13"/>
        <v/>
      </c>
      <c r="I93">
        <f t="shared" ca="1" si="14"/>
        <v>5.9470364315160661E-3</v>
      </c>
      <c r="J93">
        <f t="shared" ca="1" si="15"/>
        <v>8.335758339503746E-2</v>
      </c>
      <c r="L93">
        <f t="shared" ca="1" si="16"/>
        <v>5.9594526268628425E-3</v>
      </c>
      <c r="M93">
        <f t="shared" ca="1" si="17"/>
        <v>0.13845935094734868</v>
      </c>
      <c r="O93">
        <f t="shared" ca="1" si="18"/>
        <v>1.1991675375842404E-2</v>
      </c>
      <c r="P93">
        <f t="shared" ca="1" si="19"/>
        <v>-0.17862856596852705</v>
      </c>
      <c r="R93">
        <f t="shared" ca="1" si="20"/>
        <v>0.1714067374561753</v>
      </c>
      <c r="S93">
        <f t="shared" ca="1" si="21"/>
        <v>0.75978175404625803</v>
      </c>
    </row>
    <row r="94" spans="3:19" x14ac:dyDescent="0.35">
      <c r="C94" t="str">
        <f t="shared" si="13"/>
        <v/>
      </c>
      <c r="I94">
        <f t="shared" ca="1" si="14"/>
        <v>5.9450032202186297E-3</v>
      </c>
      <c r="J94">
        <f t="shared" ca="1" si="15"/>
        <v>8.5739743034858235E-2</v>
      </c>
      <c r="L94">
        <f t="shared" ca="1" si="16"/>
        <v>5.9550603384495183E-3</v>
      </c>
      <c r="M94">
        <f t="shared" ca="1" si="17"/>
        <v>0.13533133383193835</v>
      </c>
      <c r="O94">
        <f t="shared" ca="1" si="18"/>
        <v>1.1210066052449433E-2</v>
      </c>
      <c r="P94">
        <f t="shared" ca="1" si="19"/>
        <v>-0.17363117182657567</v>
      </c>
      <c r="R94">
        <f t="shared" ca="1" si="20"/>
        <v>0.174910744580276</v>
      </c>
      <c r="S94">
        <f t="shared" ca="1" si="21"/>
        <v>0.76363488752746478</v>
      </c>
    </row>
    <row r="95" spans="3:19" x14ac:dyDescent="0.35">
      <c r="C95" t="str">
        <f t="shared" si="13"/>
        <v/>
      </c>
      <c r="I95">
        <f t="shared" ca="1" si="14"/>
        <v>5.9431840311630285E-3</v>
      </c>
      <c r="J95">
        <f t="shared" ca="1" si="15"/>
        <v>8.8121902674679037E-2</v>
      </c>
      <c r="L95">
        <f t="shared" ca="1" si="16"/>
        <v>5.9511303961849648E-3</v>
      </c>
      <c r="M95">
        <f t="shared" ca="1" si="17"/>
        <v>0.13220331671652802</v>
      </c>
      <c r="O95">
        <f t="shared" ca="1" si="18"/>
        <v>1.0490891599581494E-2</v>
      </c>
      <c r="P95">
        <f t="shared" ca="1" si="19"/>
        <v>-0.16863377768462434</v>
      </c>
      <c r="R95">
        <f t="shared" ca="1" si="20"/>
        <v>0.17845186829843651</v>
      </c>
      <c r="S95">
        <f t="shared" ca="1" si="21"/>
        <v>0.76748802100867131</v>
      </c>
    </row>
    <row r="96" spans="3:19" x14ac:dyDescent="0.35">
      <c r="C96" t="str">
        <f t="shared" si="13"/>
        <v/>
      </c>
      <c r="I96">
        <f t="shared" ca="1" si="14"/>
        <v>5.9415788643492626E-3</v>
      </c>
      <c r="J96">
        <f t="shared" ca="1" si="15"/>
        <v>9.0504062314499839E-2</v>
      </c>
      <c r="L96">
        <f t="shared" ca="1" si="16"/>
        <v>5.947662800069183E-3</v>
      </c>
      <c r="M96">
        <f t="shared" ca="1" si="17"/>
        <v>0.12907529960111769</v>
      </c>
      <c r="O96">
        <f t="shared" ca="1" si="18"/>
        <v>9.8341520172385774E-3</v>
      </c>
      <c r="P96">
        <f t="shared" ca="1" si="19"/>
        <v>-0.16363638354267296</v>
      </c>
      <c r="R96">
        <f t="shared" ca="1" si="20"/>
        <v>0.18203010861065699</v>
      </c>
      <c r="S96">
        <f t="shared" ca="1" si="21"/>
        <v>0.77134115448987783</v>
      </c>
    </row>
    <row r="97" spans="3:19" x14ac:dyDescent="0.35">
      <c r="C97" t="str">
        <f t="shared" si="13"/>
        <v/>
      </c>
      <c r="I97">
        <f t="shared" ca="1" si="14"/>
        <v>5.9401877197773319E-3</v>
      </c>
      <c r="J97">
        <f t="shared" ca="1" si="15"/>
        <v>9.2886221954320614E-2</v>
      </c>
      <c r="L97">
        <f t="shared" ca="1" si="16"/>
        <v>5.9446575501021712E-3</v>
      </c>
      <c r="M97">
        <f t="shared" ca="1" si="17"/>
        <v>0.12594728248570736</v>
      </c>
      <c r="O97">
        <f t="shared" ca="1" si="18"/>
        <v>9.2398473054206877E-3</v>
      </c>
      <c r="P97">
        <f t="shared" ca="1" si="19"/>
        <v>-0.15863898940072163</v>
      </c>
      <c r="R97">
        <f t="shared" ca="1" si="20"/>
        <v>0.18564546551693772</v>
      </c>
      <c r="S97">
        <f t="shared" ca="1" si="21"/>
        <v>0.77519428797108458</v>
      </c>
    </row>
    <row r="98" spans="3:19" x14ac:dyDescent="0.35">
      <c r="C98" t="str">
        <f t="shared" si="13"/>
        <v/>
      </c>
      <c r="I98">
        <f t="shared" ca="1" si="14"/>
        <v>5.9390105974472373E-3</v>
      </c>
      <c r="J98">
        <f t="shared" ca="1" si="15"/>
        <v>9.5268381594141416E-2</v>
      </c>
      <c r="L98">
        <f t="shared" ca="1" si="16"/>
        <v>5.942114646283931E-3</v>
      </c>
      <c r="M98">
        <f t="shared" ca="1" si="17"/>
        <v>0.12281926537029703</v>
      </c>
      <c r="O98">
        <f t="shared" ca="1" si="18"/>
        <v>8.7079774641278147E-3</v>
      </c>
      <c r="P98">
        <f t="shared" ca="1" si="19"/>
        <v>-0.15364159525877025</v>
      </c>
      <c r="R98">
        <f t="shared" ca="1" si="20"/>
        <v>0.18929793901727815</v>
      </c>
      <c r="S98">
        <f t="shared" ca="1" si="21"/>
        <v>0.77904742145229111</v>
      </c>
    </row>
    <row r="99" spans="3:19" x14ac:dyDescent="0.35">
      <c r="C99" t="str">
        <f t="shared" si="13"/>
        <v/>
      </c>
      <c r="I99">
        <f t="shared" ca="1" si="14"/>
        <v>5.9380474973589779E-3</v>
      </c>
      <c r="J99">
        <f t="shared" ca="1" si="15"/>
        <v>9.7650541233962218E-2</v>
      </c>
      <c r="L99">
        <f t="shared" ca="1" si="16"/>
        <v>5.9400340886144624E-3</v>
      </c>
      <c r="M99">
        <f t="shared" ca="1" si="17"/>
        <v>0.1196912482548867</v>
      </c>
      <c r="O99">
        <f t="shared" ca="1" si="18"/>
        <v>8.2385424933599741E-3</v>
      </c>
      <c r="P99">
        <f t="shared" ca="1" si="19"/>
        <v>-0.14864420111681892</v>
      </c>
      <c r="R99">
        <f t="shared" ca="1" si="20"/>
        <v>0.19298752911167871</v>
      </c>
      <c r="S99">
        <f t="shared" ca="1" si="21"/>
        <v>0.78290055493349775</v>
      </c>
    </row>
    <row r="100" spans="3:19" x14ac:dyDescent="0.35">
      <c r="C100" t="str">
        <f t="shared" si="13"/>
        <v/>
      </c>
      <c r="I100">
        <f t="shared" ca="1" si="14"/>
        <v>5.9372984195125537E-3</v>
      </c>
      <c r="J100">
        <f t="shared" ca="1" si="15"/>
        <v>0.10003270087378302</v>
      </c>
      <c r="L100">
        <f t="shared" ca="1" si="16"/>
        <v>5.9384158770937638E-3</v>
      </c>
      <c r="M100">
        <f t="shared" ca="1" si="17"/>
        <v>0.11656323113947636</v>
      </c>
      <c r="O100">
        <f t="shared" ca="1" si="18"/>
        <v>7.8315423931171538E-3</v>
      </c>
      <c r="P100">
        <f t="shared" ca="1" si="19"/>
        <v>-0.14364680697486754</v>
      </c>
      <c r="R100">
        <f t="shared" ca="1" si="20"/>
        <v>0.19671423580013925</v>
      </c>
      <c r="S100">
        <f t="shared" ca="1" si="21"/>
        <v>0.78675368841470439</v>
      </c>
    </row>
    <row r="101" spans="3:19" x14ac:dyDescent="0.35">
      <c r="C101" t="str">
        <f t="shared" si="13"/>
        <v/>
      </c>
      <c r="I101">
        <f t="shared" ca="1" si="14"/>
        <v>5.9367633639079648E-3</v>
      </c>
      <c r="J101">
        <f t="shared" ref="J101:J103" ca="1" si="22">$G$9 + ($G$6 - $G$9) * (ROW(B98)-1)/99</f>
        <v>0.10241486051360379</v>
      </c>
      <c r="L101">
        <f t="shared" ca="1" si="16"/>
        <v>5.9372600117218359E-3</v>
      </c>
      <c r="M101">
        <f t="shared" ca="1" si="17"/>
        <v>0.11343521402406603</v>
      </c>
      <c r="O101">
        <f t="shared" ca="1" si="18"/>
        <v>7.4869771633993554E-3</v>
      </c>
      <c r="P101">
        <f t="shared" ref="P101:P103" ca="1" si="23">$G$26 + ($G$9 - $G$26) * (ROW(B98)-1)/99</f>
        <v>-0.13864941283291615</v>
      </c>
      <c r="R101">
        <f t="shared" ca="1" si="20"/>
        <v>0.20047805908265984</v>
      </c>
      <c r="S101">
        <f t="shared" ref="S101:S103" ca="1" si="24">$G$13 + ($G$25 - $G$13) * (ROW(B98)-1)/99</f>
        <v>0.79060682189591103</v>
      </c>
    </row>
    <row r="102" spans="3:19" x14ac:dyDescent="0.35">
      <c r="C102" t="str">
        <f t="shared" si="13"/>
        <v/>
      </c>
      <c r="I102">
        <f t="shared" ca="1" si="14"/>
        <v>5.936442330545212E-3</v>
      </c>
      <c r="J102">
        <f t="shared" ca="1" si="22"/>
        <v>0.1047970201534246</v>
      </c>
      <c r="L102">
        <f t="shared" ca="1" si="16"/>
        <v>5.9365664924986798E-3</v>
      </c>
      <c r="M102">
        <f t="shared" ca="1" si="17"/>
        <v>0.1103071969086557</v>
      </c>
      <c r="O102">
        <f t="shared" ca="1" si="18"/>
        <v>7.2048468042065859E-3</v>
      </c>
      <c r="P102">
        <f t="shared" ca="1" si="23"/>
        <v>-0.13365201869096482</v>
      </c>
      <c r="R102">
        <f t="shared" ca="1" si="20"/>
        <v>0.20427899895924032</v>
      </c>
      <c r="S102">
        <f t="shared" ca="1" si="24"/>
        <v>0.79445995537711767</v>
      </c>
    </row>
    <row r="103" spans="3:19" x14ac:dyDescent="0.35">
      <c r="C103" t="str">
        <f t="shared" si="13"/>
        <v/>
      </c>
      <c r="I103">
        <f t="shared" ca="1" si="14"/>
        <v>5.9363353194242944E-3</v>
      </c>
      <c r="J103">
        <f t="shared" ca="1" si="22"/>
        <v>0.10717917979324543</v>
      </c>
      <c r="L103">
        <f t="shared" ca="1" si="16"/>
        <v>5.9363353194242944E-3</v>
      </c>
      <c r="M103">
        <f t="shared" ca="1" si="17"/>
        <v>0.10717917979324537</v>
      </c>
      <c r="O103">
        <f t="shared" ca="1" si="18"/>
        <v>6.9851513155388401E-3</v>
      </c>
      <c r="P103">
        <f t="shared" ca="1" si="23"/>
        <v>-0.12865462454901344</v>
      </c>
      <c r="R103">
        <f t="shared" ca="1" si="20"/>
        <v>0.20811705542988082</v>
      </c>
      <c r="S103">
        <f t="shared" ca="1" si="24"/>
        <v>0.7983130888583243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="70" workbookViewId="0">
      <selection activeCell="W28" sqref="W28:AB44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5218609.182</v>
      </c>
      <c r="B2">
        <v>-0.13512773903249545</v>
      </c>
      <c r="C2">
        <v>8.9518176782802713E-3</v>
      </c>
      <c r="D2">
        <v>9.0014040593833514E-2</v>
      </c>
      <c r="E2">
        <v>7.9638680565660182E-3</v>
      </c>
      <c r="F2">
        <v>0.39575012540050891</v>
      </c>
      <c r="G2">
        <v>9.6584499610897125E-3</v>
      </c>
      <c r="I2">
        <v>2.300963201137662</v>
      </c>
    </row>
    <row r="3" spans="1:9" x14ac:dyDescent="0.35">
      <c r="A3" s="18">
        <v>10437218.364</v>
      </c>
      <c r="B3">
        <v>-0.13698971850773789</v>
      </c>
      <c r="C3">
        <v>8.1608247315563803E-3</v>
      </c>
      <c r="D3">
        <v>9.6845881390727778E-2</v>
      </c>
      <c r="E3">
        <v>7.1704111566752611E-3</v>
      </c>
      <c r="F3">
        <v>0.39727236092929374</v>
      </c>
      <c r="G3">
        <v>9.1343447375708473E-3</v>
      </c>
      <c r="I3">
        <v>2.2387672903343114</v>
      </c>
    </row>
    <row r="4" spans="1:9" x14ac:dyDescent="0.35">
      <c r="A4" s="18">
        <v>20874436.728</v>
      </c>
      <c r="B4">
        <v>-0.13323206810398799</v>
      </c>
      <c r="C4">
        <v>7.4885642013598711E-3</v>
      </c>
      <c r="D4">
        <v>0.10245802793654664</v>
      </c>
      <c r="E4">
        <v>6.486516862012898E-3</v>
      </c>
      <c r="F4">
        <v>0.40392795657177044</v>
      </c>
      <c r="G4">
        <v>8.7262267121529652E-3</v>
      </c>
      <c r="I4">
        <v>2.2356928721463163</v>
      </c>
    </row>
    <row r="5" spans="1:9" x14ac:dyDescent="0.35">
      <c r="A5" s="18">
        <v>41748873.456</v>
      </c>
      <c r="B5">
        <v>-0.12865462454901341</v>
      </c>
      <c r="C5">
        <v>6.9851513155388383E-3</v>
      </c>
      <c r="D5">
        <v>0.1071791797932454</v>
      </c>
      <c r="E5">
        <v>5.9363353194242944E-3</v>
      </c>
      <c r="F5">
        <v>0.41685287421886835</v>
      </c>
      <c r="G5">
        <v>8.2020626214763664E-3</v>
      </c>
      <c r="I5">
        <v>2.3042761512119556</v>
      </c>
    </row>
    <row r="6" spans="1:9" x14ac:dyDescent="0.35">
      <c r="A6" s="18"/>
    </row>
    <row r="7" spans="1:9" x14ac:dyDescent="0.35">
      <c r="A7" s="18"/>
    </row>
    <row r="8" spans="1:9" x14ac:dyDescent="0.35">
      <c r="A8" s="18"/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4.0000000000000003E-18</v>
      </c>
      <c r="C18" s="18">
        <v>2.0000000000000001E-18</v>
      </c>
      <c r="D18" s="18">
        <v>-2.0000000000000001E-17</v>
      </c>
      <c r="E18" s="18">
        <v>2.0000000000000001E-18</v>
      </c>
      <c r="F18" s="18">
        <v>2.9999999999999998E-18</v>
      </c>
      <c r="G18" s="18">
        <v>1.0000000000000001E-18</v>
      </c>
      <c r="I18" s="18">
        <v>2E-16</v>
      </c>
    </row>
    <row r="19" spans="1:9" x14ac:dyDescent="0.35">
      <c r="A19" t="s">
        <v>91</v>
      </c>
      <c r="B19" s="18">
        <v>3E-11</v>
      </c>
      <c r="C19" s="18">
        <v>-1E-10</v>
      </c>
      <c r="D19" s="18">
        <v>1.0000000000000001E-9</v>
      </c>
      <c r="E19" s="18">
        <v>-1E-10</v>
      </c>
      <c r="F19" s="18">
        <v>4.0000000000000001E-10</v>
      </c>
      <c r="G19" s="18">
        <v>-8.9999999999999999E-11</v>
      </c>
      <c r="I19" s="18">
        <v>-1E-8</v>
      </c>
    </row>
    <row r="20" spans="1:9" x14ac:dyDescent="0.35">
      <c r="A20" t="s">
        <v>92</v>
      </c>
      <c r="B20">
        <v>-0.13619999999999999</v>
      </c>
      <c r="C20">
        <v>9.5999999999999992E-3</v>
      </c>
      <c r="D20">
        <v>8.48E-2</v>
      </c>
      <c r="E20">
        <v>8.6E-3</v>
      </c>
      <c r="F20">
        <v>0.39300000000000002</v>
      </c>
      <c r="G20">
        <v>0.01</v>
      </c>
      <c r="I20">
        <v>2.3351999999999999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271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-0.15852655157804757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-0.15852655157804757</v>
      </c>
      <c r="P4">
        <f ca="1">$G$26 + ($G$9 - $G$26) * (ROW(A1)-1)/99</f>
        <v>-0.62339664460219835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-0.16026663680114889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1.1932027935175789E-4</v>
      </c>
      <c r="J5">
        <f t="shared" ref="J5:J68" ca="1" si="2">$G$9 + ($G$6 - $G$9) * (ROW(B2)-1)/99</f>
        <v>1.0826179777095495E-3</v>
      </c>
      <c r="L5">
        <f t="shared" ref="L5:L68" ca="1" si="3">$G$17 * (M5 - $G$6)^2 + $G$5</f>
        <v>1.1932027935175789E-4</v>
      </c>
      <c r="M5">
        <f t="shared" ref="M5:M68" ca="1" si="4">$G$13 + ($G$6 - $G$13) * (ROW(F2)-1)/99</f>
        <v>1.0826179777095495E-3</v>
      </c>
      <c r="O5">
        <f t="shared" ref="O5:O68" ca="1" si="5">$G$10 + $G$19 * ($G$23 * (P5 - $G$9))^2 + $G$21 * (1 - (P5 - $G$6)/($G$9 - $G$6))</f>
        <v>-0.16178256984303896</v>
      </c>
      <c r="P5">
        <f t="shared" ref="P5:P68" ca="1" si="6">$G$26 + ($G$9 - $G$26) * (ROW(B2)-1)/99</f>
        <v>-0.61709970879813569</v>
      </c>
      <c r="R5">
        <f t="shared" ref="R5:R68" ca="1" si="7">$G$14 + $G$19 * ($G$23 * (S5 - $G$13))^2 - $G$22 * (1 - (S5 - $G$6)/($G$13 - $G$6))</f>
        <v>-8.2529521454533725E-3</v>
      </c>
      <c r="S5">
        <f t="shared" ref="S5:S68" ca="1" si="8">$G$13 + ($G$25 - $G$13) * (ROW(B2)-1)/99</f>
        <v>8.0637685743265089E-3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-0.17303374043812647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2.3742918530908225E-4</v>
      </c>
      <c r="J6">
        <f t="shared" ca="1" si="2"/>
        <v>2.165235955419099E-3</v>
      </c>
      <c r="L6">
        <f t="shared" ca="1" si="3"/>
        <v>2.3742918530908225E-4</v>
      </c>
      <c r="M6">
        <f t="shared" ca="1" si="4"/>
        <v>2.165235955419099E-3</v>
      </c>
      <c r="O6">
        <f t="shared" ca="1" si="5"/>
        <v>-0.16493945960672907</v>
      </c>
      <c r="P6">
        <f t="shared" ca="1" si="6"/>
        <v>-0.61080277299407315</v>
      </c>
      <c r="R6">
        <f t="shared" ca="1" si="7"/>
        <v>-1.6343343381856019E-2</v>
      </c>
      <c r="S6">
        <f t="shared" ca="1" si="8"/>
        <v>1.6127537148653018E-2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-0.18910215522900509</v>
      </c>
      <c r="D7">
        <f ca="1"/>
        <v>-0.55352792651082472</v>
      </c>
      <c r="I7">
        <f t="shared" ca="1" si="1"/>
        <v>3.543267178719731E-4</v>
      </c>
      <c r="J7">
        <f t="shared" ca="1" si="2"/>
        <v>3.2478539331286483E-3</v>
      </c>
      <c r="L7">
        <f t="shared" ca="1" si="3"/>
        <v>3.543267178719731E-4</v>
      </c>
      <c r="M7">
        <f t="shared" ca="1" si="4"/>
        <v>3.2478539331286483E-3</v>
      </c>
      <c r="O7">
        <f t="shared" ca="1" si="5"/>
        <v>-0.16799722086911806</v>
      </c>
      <c r="P7">
        <f t="shared" ca="1" si="6"/>
        <v>-0.6045058371900105</v>
      </c>
      <c r="R7">
        <f t="shared" ca="1" si="7"/>
        <v>-2.4271173709207911E-2</v>
      </c>
      <c r="S7">
        <f t="shared" ca="1" si="8"/>
        <v>2.4191305722979523E-2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-0.20465862927617934</v>
      </c>
      <c r="D8">
        <f ca="1"/>
        <v>-0.49818712722665437</v>
      </c>
      <c r="F8" t="s">
        <v>15</v>
      </c>
      <c r="G8" s="5">
        <v>70</v>
      </c>
      <c r="I8">
        <f t="shared" ca="1" si="1"/>
        <v>4.7001287704042955E-4</v>
      </c>
      <c r="J8">
        <f t="shared" ca="1" si="2"/>
        <v>4.3304719108381981E-3</v>
      </c>
      <c r="L8">
        <f t="shared" ca="1" si="3"/>
        <v>4.7001287704042955E-4</v>
      </c>
      <c r="M8">
        <f t="shared" ca="1" si="4"/>
        <v>4.3304719108381981E-3</v>
      </c>
      <c r="O8">
        <f t="shared" ca="1" si="5"/>
        <v>-0.17095585363020577</v>
      </c>
      <c r="P8">
        <f t="shared" ca="1" si="6"/>
        <v>-0.59820890138594796</v>
      </c>
      <c r="R8">
        <f t="shared" ca="1" si="7"/>
        <v>-3.2036443127509084E-2</v>
      </c>
      <c r="S8">
        <f t="shared" ca="1" si="8"/>
        <v>3.2255074297306036E-2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-0.21244663107602313</v>
      </c>
      <c r="D9">
        <f ca="1"/>
        <v>-0.44433063471650885</v>
      </c>
      <c r="F9" t="s">
        <v>17</v>
      </c>
      <c r="G9" cm="1">
        <f t="array" ref="G9">INDEX(D4:D1000, G8)</f>
        <v>0</v>
      </c>
      <c r="I9">
        <f t="shared" ca="1" si="1"/>
        <v>5.8448766281445162E-4</v>
      </c>
      <c r="J9">
        <f t="shared" ca="1" si="2"/>
        <v>5.4130898885477478E-3</v>
      </c>
      <c r="L9">
        <f t="shared" ca="1" si="3"/>
        <v>5.8448766281445162E-4</v>
      </c>
      <c r="M9">
        <f t="shared" ca="1" si="4"/>
        <v>5.4130898885477478E-3</v>
      </c>
      <c r="O9">
        <f t="shared" ca="1" si="5"/>
        <v>-0.17381535788999219</v>
      </c>
      <c r="P9">
        <f t="shared" ca="1" si="6"/>
        <v>-0.5919119655818853</v>
      </c>
      <c r="R9">
        <f t="shared" ca="1" si="7"/>
        <v>-3.963915163675949E-2</v>
      </c>
      <c r="S9">
        <f t="shared" ca="1" si="8"/>
        <v>4.0318842871632544E-2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-0.21347376125592971</v>
      </c>
      <c r="D10">
        <f ca="1"/>
        <v>-0.40184066160179249</v>
      </c>
      <c r="F10" t="s">
        <v>18</v>
      </c>
      <c r="G10" cm="1">
        <f t="array" ref="G10">INDEX(B4:B1000, G8)</f>
        <v>0</v>
      </c>
      <c r="I10">
        <f t="shared" ca="1" si="1"/>
        <v>6.9775107519403929E-4</v>
      </c>
      <c r="J10">
        <f t="shared" ca="1" si="2"/>
        <v>6.4957078662572967E-3</v>
      </c>
      <c r="L10">
        <f t="shared" ca="1" si="3"/>
        <v>6.9775107519403929E-4</v>
      </c>
      <c r="M10">
        <f t="shared" ca="1" si="4"/>
        <v>6.4957078662572967E-3</v>
      </c>
      <c r="O10">
        <f t="shared" ca="1" si="5"/>
        <v>-0.1765757336484774</v>
      </c>
      <c r="P10">
        <f t="shared" ca="1" si="6"/>
        <v>-0.58561502977782265</v>
      </c>
      <c r="R10">
        <f t="shared" ca="1" si="7"/>
        <v>-4.7079299236959186E-2</v>
      </c>
      <c r="S10">
        <f t="shared" ca="1" si="8"/>
        <v>4.8382611445959046E-2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-0.20372720382591245</v>
      </c>
      <c r="D11">
        <f ca="1"/>
        <v>-0.32435874752509397</v>
      </c>
      <c r="I11">
        <f t="shared" ca="1" si="1"/>
        <v>8.0980311417919431E-4</v>
      </c>
      <c r="J11">
        <f t="shared" ca="1" si="2"/>
        <v>7.5783258439668464E-3</v>
      </c>
      <c r="L11">
        <f t="shared" ca="1" si="3"/>
        <v>8.0980311417919431E-4</v>
      </c>
      <c r="M11">
        <f t="shared" ca="1" si="4"/>
        <v>7.5783258439668464E-3</v>
      </c>
      <c r="O11">
        <f t="shared" ca="1" si="5"/>
        <v>-0.17923698090566154</v>
      </c>
      <c r="P11">
        <f t="shared" ca="1" si="6"/>
        <v>-0.57931809397376011</v>
      </c>
      <c r="R11">
        <f t="shared" ca="1" si="7"/>
        <v>-5.4356885928108119E-2</v>
      </c>
      <c r="S11">
        <f t="shared" ca="1" si="8"/>
        <v>5.6446380020285555E-2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-0.19729683399361425</v>
      </c>
      <c r="D12">
        <f ca="1"/>
        <v>-0.29906794812513099</v>
      </c>
      <c r="F12" t="s">
        <v>16</v>
      </c>
      <c r="G12" s="5">
        <v>140</v>
      </c>
      <c r="I12">
        <f t="shared" ca="1" si="1"/>
        <v>9.2064377976991407E-4</v>
      </c>
      <c r="J12">
        <f t="shared" ca="1" si="2"/>
        <v>8.6609438216763961E-3</v>
      </c>
      <c r="L12">
        <f t="shared" ca="1" si="3"/>
        <v>9.2064377976991407E-4</v>
      </c>
      <c r="M12">
        <f t="shared" ca="1" si="4"/>
        <v>8.6609438216763961E-3</v>
      </c>
      <c r="O12">
        <f t="shared" ca="1" si="5"/>
        <v>-0.18179909966154428</v>
      </c>
      <c r="P12">
        <f t="shared" ca="1" si="6"/>
        <v>-0.57302115816969745</v>
      </c>
      <c r="R12">
        <f t="shared" ca="1" si="7"/>
        <v>-6.1471911710206335E-2</v>
      </c>
      <c r="S12">
        <f t="shared" ca="1" si="8"/>
        <v>6.4510148594612071E-2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-0.17803883372551838</v>
      </c>
      <c r="D13">
        <f ca="1"/>
        <v>-0.24465033714380011</v>
      </c>
      <c r="F13" t="s">
        <v>19</v>
      </c>
      <c r="G13" cm="1">
        <f t="array" ref="G13">INDEX(D4:D1000, G12)</f>
        <v>0</v>
      </c>
      <c r="I13">
        <f t="shared" ca="1" si="1"/>
        <v>1.0302730719661994E-3</v>
      </c>
      <c r="J13">
        <f t="shared" ca="1" si="2"/>
        <v>9.7435617993859459E-3</v>
      </c>
      <c r="L13">
        <f t="shared" ca="1" si="3"/>
        <v>1.0302730719661994E-3</v>
      </c>
      <c r="M13">
        <f t="shared" ca="1" si="4"/>
        <v>9.7435617993859459E-3</v>
      </c>
      <c r="O13">
        <f t="shared" ca="1" si="5"/>
        <v>-0.18426208991612592</v>
      </c>
      <c r="P13">
        <f t="shared" ca="1" si="6"/>
        <v>-0.5667242223656348</v>
      </c>
      <c r="R13">
        <f t="shared" ca="1" si="7"/>
        <v>-6.8424376583253774E-2</v>
      </c>
      <c r="S13">
        <f t="shared" ca="1" si="8"/>
        <v>7.2573917168938573E-2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-0.15022578250455279</v>
      </c>
      <c r="D14">
        <f ca="1"/>
        <v>-0.18817776912536624</v>
      </c>
      <c r="F14" t="s">
        <v>20</v>
      </c>
      <c r="G14" cm="1">
        <f t="array" ref="G14">INDEX(B4:B1000, G12)</f>
        <v>0</v>
      </c>
      <c r="I14">
        <f t="shared" ca="1" si="1"/>
        <v>1.1386909907680504E-3</v>
      </c>
      <c r="J14">
        <f t="shared" ca="1" si="2"/>
        <v>1.0826179777095496E-2</v>
      </c>
      <c r="L14">
        <f t="shared" ca="1" si="3"/>
        <v>1.1386909907680504E-3</v>
      </c>
      <c r="M14">
        <f t="shared" ca="1" si="4"/>
        <v>1.0826179777095496E-2</v>
      </c>
      <c r="O14">
        <f t="shared" ca="1" si="5"/>
        <v>-0.18662595166940632</v>
      </c>
      <c r="P14">
        <f t="shared" ca="1" si="6"/>
        <v>-0.56042728656157226</v>
      </c>
      <c r="R14">
        <f t="shared" ca="1" si="7"/>
        <v>-7.5214280547250531E-2</v>
      </c>
      <c r="S14">
        <f t="shared" ca="1" si="8"/>
        <v>8.0637685743265089E-2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-0.12761025680435809</v>
      </c>
      <c r="D15">
        <f ca="1"/>
        <v>-0.15107145181358417</v>
      </c>
      <c r="I15">
        <f t="shared" ca="1" si="1"/>
        <v>1.2458975361754696E-3</v>
      </c>
      <c r="J15">
        <f t="shared" ca="1" si="2"/>
        <v>1.1908797754805044E-2</v>
      </c>
      <c r="L15">
        <f t="shared" ca="1" si="3"/>
        <v>1.2458975361754696E-3</v>
      </c>
      <c r="M15">
        <f t="shared" ca="1" si="4"/>
        <v>1.1908797754805044E-2</v>
      </c>
      <c r="O15">
        <f t="shared" ca="1" si="5"/>
        <v>-0.1888906849213855</v>
      </c>
      <c r="P15">
        <f t="shared" ca="1" si="6"/>
        <v>-0.5541303507575096</v>
      </c>
      <c r="R15">
        <f t="shared" ca="1" si="7"/>
        <v>-8.1841623602196489E-2</v>
      </c>
      <c r="S15">
        <f t="shared" ca="1" si="8"/>
        <v>8.8701454317591591E-2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-0.11227976853972474</v>
      </c>
      <c r="D16">
        <f ca="1"/>
        <v>-0.12865462454901341</v>
      </c>
      <c r="F16" t="s">
        <v>21</v>
      </c>
      <c r="G16">
        <f ca="1">(G10 - G5) / (G9 - G6)^2</f>
        <v>-0.51677032414554569</v>
      </c>
      <c r="I16">
        <f t="shared" ca="1" si="1"/>
        <v>1.3518927081884527E-3</v>
      </c>
      <c r="J16">
        <f t="shared" ca="1" si="2"/>
        <v>1.2991415732514593E-2</v>
      </c>
      <c r="L16">
        <f t="shared" ca="1" si="3"/>
        <v>1.3518927081884527E-3</v>
      </c>
      <c r="M16">
        <f t="shared" ca="1" si="4"/>
        <v>1.2991415732514593E-2</v>
      </c>
      <c r="O16">
        <f t="shared" ca="1" si="5"/>
        <v>-0.19105628967206351</v>
      </c>
      <c r="P16">
        <f t="shared" ca="1" si="6"/>
        <v>-0.54783341495344706</v>
      </c>
      <c r="R16">
        <f t="shared" ca="1" si="7"/>
        <v>-8.8306405748091732E-2</v>
      </c>
      <c r="S16">
        <f t="shared" ca="1" si="8"/>
        <v>9.6765222891918093E-2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-7.2696099011958254E-2</v>
      </c>
      <c r="D17">
        <f ca="1"/>
        <v>-7.7624472255423821E-2</v>
      </c>
      <c r="F17" t="s">
        <v>22</v>
      </c>
      <c r="G17">
        <f ca="1">(G14 - G5) / (G13 - G6)^2</f>
        <v>-0.51677032414554569</v>
      </c>
      <c r="I17">
        <f t="shared" ca="1" si="1"/>
        <v>1.4566765068070022E-3</v>
      </c>
      <c r="J17">
        <f t="shared" ca="1" si="2"/>
        <v>1.4074033710224143E-2</v>
      </c>
      <c r="L17">
        <f t="shared" ca="1" si="3"/>
        <v>1.4566765068070022E-3</v>
      </c>
      <c r="M17">
        <f t="shared" ca="1" si="4"/>
        <v>1.4074033710224143E-2</v>
      </c>
      <c r="O17">
        <f t="shared" ca="1" si="5"/>
        <v>-0.19312276592144029</v>
      </c>
      <c r="P17">
        <f t="shared" ca="1" si="6"/>
        <v>-0.54153647914938441</v>
      </c>
      <c r="R17">
        <f t="shared" ca="1" si="7"/>
        <v>-9.4608626984936245E-2</v>
      </c>
      <c r="S17">
        <f t="shared" ca="1" si="8"/>
        <v>0.10482899146624461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-4.2630732994796049E-2</v>
      </c>
      <c r="D18">
        <f ca="1"/>
        <v>-4.3540040736006244E-2</v>
      </c>
      <c r="I18">
        <f t="shared" ca="1" si="1"/>
        <v>1.5602489320311174E-3</v>
      </c>
      <c r="J18">
        <f t="shared" ca="1" si="2"/>
        <v>1.5156651687933693E-2</v>
      </c>
      <c r="L18">
        <f t="shared" ca="1" si="3"/>
        <v>1.5602489320311174E-3</v>
      </c>
      <c r="M18">
        <f t="shared" ca="1" si="4"/>
        <v>1.5156651687933693E-2</v>
      </c>
      <c r="O18">
        <f t="shared" ca="1" si="5"/>
        <v>-0.19509011366951567</v>
      </c>
      <c r="P18">
        <f t="shared" ca="1" si="6"/>
        <v>-0.53523954334532187</v>
      </c>
      <c r="R18">
        <f t="shared" ca="1" si="7"/>
        <v>-0.10074828731273001</v>
      </c>
      <c r="S18">
        <f t="shared" ca="1" si="8"/>
        <v>0.11289276004057111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-1.2369300277091032E-2</v>
      </c>
      <c r="D19">
        <f ca="1"/>
        <v>-1.2146321188095959E-2</v>
      </c>
      <c r="F19" t="s">
        <v>26</v>
      </c>
      <c r="G19" s="3">
        <v>0.05</v>
      </c>
      <c r="I19">
        <f t="shared" ca="1" si="1"/>
        <v>1.6626099838607973E-3</v>
      </c>
      <c r="J19">
        <f t="shared" ca="1" si="2"/>
        <v>1.6239269665643243E-2</v>
      </c>
      <c r="L19">
        <f t="shared" ca="1" si="3"/>
        <v>1.6626099838607973E-3</v>
      </c>
      <c r="M19">
        <f t="shared" ca="1" si="4"/>
        <v>1.6239269665643243E-2</v>
      </c>
      <c r="O19">
        <f t="shared" ca="1" si="5"/>
        <v>-0.19695833291629017</v>
      </c>
      <c r="P19">
        <f t="shared" ca="1" si="6"/>
        <v>-0.52894260754125921</v>
      </c>
      <c r="R19">
        <f t="shared" ca="1" si="7"/>
        <v>-0.10672538673147304</v>
      </c>
      <c r="S19">
        <f t="shared" ca="1" si="8"/>
        <v>0.12095652861489763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-3.2061269920546039E-2</v>
      </c>
      <c r="D20">
        <f ca="1"/>
        <v>3.2281129040102309E-2</v>
      </c>
      <c r="F20" t="s">
        <v>27</v>
      </c>
      <c r="G20" s="3">
        <v>0.2</v>
      </c>
      <c r="I20">
        <f t="shared" ca="1" si="1"/>
        <v>1.7637596622960454E-3</v>
      </c>
      <c r="J20">
        <f t="shared" ca="1" si="2"/>
        <v>1.7321887643352792E-2</v>
      </c>
      <c r="L20">
        <f t="shared" ca="1" si="3"/>
        <v>1.7637596622960454E-3</v>
      </c>
      <c r="M20">
        <f t="shared" ca="1" si="4"/>
        <v>1.7321887643352792E-2</v>
      </c>
      <c r="O20">
        <f t="shared" ca="1" si="5"/>
        <v>-0.19872742366176332</v>
      </c>
      <c r="P20">
        <f t="shared" ca="1" si="6"/>
        <v>-0.52264567173719656</v>
      </c>
      <c r="R20">
        <f t="shared" ca="1" si="7"/>
        <v>-0.11253992524116534</v>
      </c>
      <c r="S20">
        <f t="shared" ca="1" si="8"/>
        <v>0.12902029718922414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ca="1" si="0"/>
        <v>-6.6596753645091766E-2</v>
      </c>
      <c r="D21">
        <f ca="1"/>
        <v>7.0435792596942895E-2</v>
      </c>
      <c r="F21" t="s">
        <v>28</v>
      </c>
      <c r="G21">
        <f ca="1">2 * (G10 - G5) * (G9 - G6) / (G9 - G6)^2</f>
        <v>0.11077403896681828</v>
      </c>
      <c r="I21">
        <f t="shared" ca="1" si="1"/>
        <v>1.8636979673368583E-3</v>
      </c>
      <c r="J21">
        <f t="shared" ca="1" si="2"/>
        <v>1.8404505621062342E-2</v>
      </c>
      <c r="L21">
        <f t="shared" ca="1" si="3"/>
        <v>1.8636979673368583E-3</v>
      </c>
      <c r="M21">
        <f t="shared" ca="1" si="4"/>
        <v>1.8404505621062342E-2</v>
      </c>
      <c r="O21">
        <f t="shared" ca="1" si="5"/>
        <v>-0.2003973859059352</v>
      </c>
      <c r="P21">
        <f t="shared" ca="1" si="6"/>
        <v>-0.51634873593313402</v>
      </c>
      <c r="R21">
        <f t="shared" ca="1" si="7"/>
        <v>-0.11819190284180688</v>
      </c>
      <c r="S21">
        <f t="shared" ca="1" si="8"/>
        <v>0.13708406576355064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0"/>
        <v>-9.6414818240377259E-2</v>
      </c>
      <c r="D22">
        <f ca="1"/>
        <v>0.1071791797932454</v>
      </c>
      <c r="F22" t="s">
        <v>29</v>
      </c>
      <c r="G22">
        <f ca="1">2 * (G14 - G5) * (G13 - G6) / (G13 - G6)^2</f>
        <v>0.11077403896681828</v>
      </c>
      <c r="I22">
        <f t="shared" ca="1" si="1"/>
        <v>1.9624248989832376E-3</v>
      </c>
      <c r="J22">
        <f t="shared" ca="1" si="2"/>
        <v>1.9487123598771892E-2</v>
      </c>
      <c r="L22">
        <f t="shared" ca="1" si="3"/>
        <v>1.9624248989832376E-3</v>
      </c>
      <c r="M22">
        <f t="shared" ca="1" si="4"/>
        <v>1.9487123598771892E-2</v>
      </c>
      <c r="O22">
        <f t="shared" ca="1" si="5"/>
        <v>-0.20196821964880596</v>
      </c>
      <c r="P22">
        <f t="shared" ca="1" si="6"/>
        <v>-0.51005180012907136</v>
      </c>
      <c r="R22">
        <f t="shared" ca="1" si="7"/>
        <v>-0.12368131953339767</v>
      </c>
      <c r="S22">
        <f t="shared" ca="1" si="8"/>
        <v>0.14514783433787715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0"/>
        <v>-0.12350875932984613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2.059940457235183E-3</v>
      </c>
      <c r="J23">
        <f t="shared" ca="1" si="2"/>
        <v>2.0569741576481441E-2</v>
      </c>
      <c r="L23">
        <f t="shared" ca="1" si="3"/>
        <v>2.059940457235183E-3</v>
      </c>
      <c r="M23">
        <f t="shared" ca="1" si="4"/>
        <v>2.0569741576481441E-2</v>
      </c>
      <c r="O23">
        <f t="shared" ca="1" si="5"/>
        <v>-0.20343992489037532</v>
      </c>
      <c r="P23">
        <f t="shared" ca="1" si="6"/>
        <v>-0.50375486432500871</v>
      </c>
      <c r="R23">
        <f t="shared" ca="1" si="7"/>
        <v>-0.12900817531593775</v>
      </c>
      <c r="S23">
        <f t="shared" ca="1" si="8"/>
        <v>0.15321160291220365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0"/>
        <v>-0.14762104507236362</v>
      </c>
      <c r="D24">
        <f ca="1"/>
        <v>0.18359857633859389</v>
      </c>
      <c r="I24">
        <f t="shared" ca="1" si="1"/>
        <v>2.1562446420926936E-3</v>
      </c>
      <c r="J24">
        <f t="shared" ca="1" si="2"/>
        <v>2.1652359554190991E-2</v>
      </c>
      <c r="L24">
        <f t="shared" ca="1" si="3"/>
        <v>2.1562446420926936E-3</v>
      </c>
      <c r="M24">
        <f t="shared" ca="1" si="4"/>
        <v>2.1652359554190991E-2</v>
      </c>
      <c r="O24">
        <f t="shared" ca="1" si="5"/>
        <v>-0.20481250163064357</v>
      </c>
      <c r="P24">
        <f t="shared" ca="1" si="6"/>
        <v>-0.49745792852094617</v>
      </c>
      <c r="R24">
        <f t="shared" ca="1" si="7"/>
        <v>-0.1341724701894271</v>
      </c>
      <c r="S24">
        <f t="shared" ca="1" si="8"/>
        <v>0.16127537148653018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0"/>
        <v>-0.16733728484449578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2.2513374535557697E-3</v>
      </c>
      <c r="J25">
        <f t="shared" ca="1" si="2"/>
        <v>2.2734977531900537E-2</v>
      </c>
      <c r="L25">
        <f t="shared" ca="1" si="3"/>
        <v>2.2513374535557697E-3</v>
      </c>
      <c r="M25">
        <f t="shared" ca="1" si="4"/>
        <v>2.2734977531900537E-2</v>
      </c>
      <c r="O25">
        <f t="shared" ca="1" si="5"/>
        <v>-0.20608594986961065</v>
      </c>
      <c r="P25">
        <f t="shared" ca="1" si="6"/>
        <v>-0.49116099271688352</v>
      </c>
      <c r="R25">
        <f t="shared" ca="1" si="7"/>
        <v>-0.13917420415386567</v>
      </c>
      <c r="S25">
        <f t="shared" ca="1" si="8"/>
        <v>0.16933914006085665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0"/>
        <v>-0.18374129541925358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2.3452188916244124E-3</v>
      </c>
      <c r="J26">
        <f t="shared" ca="1" si="2"/>
        <v>2.3817595509610087E-2</v>
      </c>
      <c r="L26">
        <f t="shared" ca="1" si="3"/>
        <v>2.3452188916244124E-3</v>
      </c>
      <c r="M26">
        <f t="shared" ca="1" si="4"/>
        <v>2.3817595509610087E-2</v>
      </c>
      <c r="O26">
        <f t="shared" ca="1" si="5"/>
        <v>-0.20726026960727639</v>
      </c>
      <c r="P26">
        <f t="shared" ca="1" si="6"/>
        <v>-0.48486405691282097</v>
      </c>
      <c r="R26">
        <f t="shared" ca="1" si="7"/>
        <v>-0.14401337720925356</v>
      </c>
      <c r="S26">
        <f t="shared" ca="1" si="8"/>
        <v>0.17740290863518318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0"/>
        <v>-0.19348417156243752</v>
      </c>
      <c r="D27">
        <f ca="1"/>
        <v>0.2864293851236876</v>
      </c>
      <c r="I27">
        <f t="shared" ca="1" si="1"/>
        <v>2.4378889562986206E-3</v>
      </c>
      <c r="J27">
        <f t="shared" ca="1" si="2"/>
        <v>2.490021348731964E-2</v>
      </c>
      <c r="L27">
        <f t="shared" ca="1" si="3"/>
        <v>2.4378889562986206E-3</v>
      </c>
      <c r="M27">
        <f t="shared" ca="1" si="4"/>
        <v>2.490021348731964E-2</v>
      </c>
      <c r="O27">
        <f t="shared" ca="1" si="5"/>
        <v>-0.20833546084364107</v>
      </c>
      <c r="P27">
        <f t="shared" ca="1" si="6"/>
        <v>-0.47856712110875832</v>
      </c>
      <c r="R27">
        <f t="shared" ca="1" si="7"/>
        <v>-0.14868998935559061</v>
      </c>
      <c r="S27">
        <f t="shared" ca="1" si="8"/>
        <v>0.18546667720950968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0"/>
        <v>-0.20354010232131522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2.5293476475783958E-3</v>
      </c>
      <c r="J28">
        <f t="shared" ca="1" si="2"/>
        <v>2.5982831465029187E-2</v>
      </c>
      <c r="L28">
        <f t="shared" ca="1" si="3"/>
        <v>2.5293476475783958E-3</v>
      </c>
      <c r="M28">
        <f t="shared" ca="1" si="4"/>
        <v>2.5982831465029187E-2</v>
      </c>
      <c r="O28">
        <f t="shared" ca="1" si="5"/>
        <v>-0.20931152357870447</v>
      </c>
      <c r="P28">
        <f t="shared" ca="1" si="6"/>
        <v>-0.47227018530469572</v>
      </c>
      <c r="R28">
        <f t="shared" ca="1" si="7"/>
        <v>-0.15320404059287701</v>
      </c>
      <c r="S28">
        <f t="shared" ca="1" si="8"/>
        <v>0.19353044578383619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0"/>
        <v>-0.21227651858012037</v>
      </c>
      <c r="D29">
        <f ca="1"/>
        <v>0.3803740347681589</v>
      </c>
      <c r="I29">
        <f t="shared" ca="1" si="1"/>
        <v>2.6195949654637357E-3</v>
      </c>
      <c r="J29">
        <f t="shared" ca="1" si="2"/>
        <v>2.7065449442738736E-2</v>
      </c>
      <c r="L29">
        <f t="shared" ca="1" si="3"/>
        <v>2.6195949654637357E-3</v>
      </c>
      <c r="M29">
        <f t="shared" ca="1" si="4"/>
        <v>2.7065449442738736E-2</v>
      </c>
      <c r="O29">
        <f t="shared" ca="1" si="5"/>
        <v>-0.21018845781246681</v>
      </c>
      <c r="P29">
        <f t="shared" ca="1" si="6"/>
        <v>-0.46597324950063312</v>
      </c>
      <c r="R29">
        <f t="shared" ca="1" si="7"/>
        <v>-0.1575555309211126</v>
      </c>
      <c r="S29">
        <f t="shared" ca="1" si="8"/>
        <v>0.20159421435816269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0"/>
        <v>-0.21362649143150941</v>
      </c>
      <c r="D30">
        <f ca="1"/>
        <v>0.41685287421886835</v>
      </c>
      <c r="F30" t="s">
        <v>234</v>
      </c>
      <c r="G30">
        <v>0.1019</v>
      </c>
      <c r="I30">
        <f t="shared" ca="1" si="1"/>
        <v>2.7086309099546417E-3</v>
      </c>
      <c r="J30">
        <f t="shared" ca="1" si="2"/>
        <v>2.8148067420448286E-2</v>
      </c>
      <c r="L30">
        <f t="shared" ca="1" si="3"/>
        <v>2.7086309099546417E-3</v>
      </c>
      <c r="M30">
        <f t="shared" ca="1" si="4"/>
        <v>2.8148067420448286E-2</v>
      </c>
      <c r="O30">
        <f t="shared" ca="1" si="5"/>
        <v>-0.2109662635449277</v>
      </c>
      <c r="P30">
        <f t="shared" ca="1" si="6"/>
        <v>-0.45967631369657047</v>
      </c>
      <c r="R30">
        <f t="shared" ca="1" si="7"/>
        <v>-0.16174446034029755</v>
      </c>
      <c r="S30">
        <f t="shared" ca="1" si="8"/>
        <v>0.20965798293248922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0"/>
        <v>-0.21050525131052794</v>
      </c>
      <c r="D31">
        <f ca="1"/>
        <v>0.46350420615769528</v>
      </c>
      <c r="F31" t="s">
        <v>235</v>
      </c>
      <c r="G31">
        <f>G30*180/PI()</f>
        <v>5.8384399323830891</v>
      </c>
      <c r="I31">
        <f t="shared" ca="1" si="1"/>
        <v>2.7964554810511145E-3</v>
      </c>
      <c r="J31">
        <f t="shared" ca="1" si="2"/>
        <v>2.9230685398157839E-2</v>
      </c>
      <c r="L31">
        <f t="shared" ca="1" si="3"/>
        <v>2.7964554810511145E-3</v>
      </c>
      <c r="M31">
        <f t="shared" ca="1" si="4"/>
        <v>2.9230685398157839E-2</v>
      </c>
      <c r="O31">
        <f t="shared" ca="1" si="5"/>
        <v>-0.21164494077608742</v>
      </c>
      <c r="P31">
        <f t="shared" ca="1" si="6"/>
        <v>-0.45337937789250787</v>
      </c>
      <c r="R31">
        <f t="shared" ca="1" si="7"/>
        <v>-0.16577082885043168</v>
      </c>
      <c r="S31">
        <f t="shared" ca="1" si="8"/>
        <v>0.21772175150681575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0"/>
        <v>-0.19617685177287381</v>
      </c>
      <c r="D32">
        <f ca="1"/>
        <v>0.53161745241065206</v>
      </c>
      <c r="F32" t="s">
        <v>46</v>
      </c>
      <c r="G32">
        <f>G31/(2*PI())</f>
        <v>0.92921657518387979</v>
      </c>
      <c r="I32">
        <f t="shared" ca="1" si="1"/>
        <v>2.8830686787531513E-3</v>
      </c>
      <c r="J32">
        <f t="shared" ca="1" si="2"/>
        <v>3.0313303375867386E-2</v>
      </c>
      <c r="L32">
        <f t="shared" ca="1" si="3"/>
        <v>2.8830686787531513E-3</v>
      </c>
      <c r="M32">
        <f t="shared" ca="1" si="4"/>
        <v>3.0313303375867386E-2</v>
      </c>
      <c r="O32">
        <f t="shared" ca="1" si="5"/>
        <v>-0.21222448950594597</v>
      </c>
      <c r="P32">
        <f t="shared" ca="1" si="6"/>
        <v>-0.44708244208844528</v>
      </c>
      <c r="R32">
        <f t="shared" ca="1" si="7"/>
        <v>-0.16963463645151511</v>
      </c>
      <c r="S32">
        <f t="shared" ca="1" si="8"/>
        <v>0.22578552008114222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0"/>
        <v>-0.18216271890718549</v>
      </c>
      <c r="D33">
        <f ca="1"/>
        <v>0.57210724312284755</v>
      </c>
      <c r="I33">
        <f t="shared" ca="1" si="1"/>
        <v>2.9684705030607558E-3</v>
      </c>
      <c r="J33">
        <f t="shared" ca="1" si="2"/>
        <v>3.1395921353576939E-2</v>
      </c>
      <c r="L33">
        <f t="shared" ca="1" si="3"/>
        <v>2.9684705030607558E-3</v>
      </c>
      <c r="M33">
        <f t="shared" ca="1" si="4"/>
        <v>3.1395921353576939E-2</v>
      </c>
      <c r="O33">
        <f t="shared" ca="1" si="5"/>
        <v>-0.21270490973450329</v>
      </c>
      <c r="P33">
        <f t="shared" ca="1" si="6"/>
        <v>-0.44078550628438268</v>
      </c>
      <c r="R33">
        <f t="shared" ca="1" si="7"/>
        <v>-0.17333588314354784</v>
      </c>
      <c r="S33">
        <f t="shared" ca="1" si="8"/>
        <v>0.23384928865546875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0"/>
        <v>-0.16622100592678613</v>
      </c>
      <c r="D34">
        <f ca="1"/>
        <v>0.60818843064942263</v>
      </c>
      <c r="I34">
        <f t="shared" ca="1" si="1"/>
        <v>3.0526609539739255E-3</v>
      </c>
      <c r="J34">
        <f t="shared" ca="1" si="2"/>
        <v>3.2478539331286485E-2</v>
      </c>
      <c r="L34">
        <f t="shared" ca="1" si="3"/>
        <v>3.0526609539739255E-3</v>
      </c>
      <c r="M34">
        <f t="shared" ca="1" si="4"/>
        <v>3.2478539331286485E-2</v>
      </c>
      <c r="O34">
        <f t="shared" ca="1" si="5"/>
        <v>-0.21308620146175955</v>
      </c>
      <c r="P34">
        <f t="shared" ca="1" si="6"/>
        <v>-0.43448857048032008</v>
      </c>
      <c r="R34">
        <f t="shared" ca="1" si="7"/>
        <v>-0.1768745689265297</v>
      </c>
      <c r="S34">
        <f t="shared" ca="1" si="8"/>
        <v>0.24191305722979525</v>
      </c>
      <c r="U34" s="4">
        <f ca="1">1 - SUMXMY2(B4:B1000, C4:C1000) / DEVSQ(_xlfn.ANCHORARRAY(B4))</f>
        <v>-240.21449110168859</v>
      </c>
      <c r="W34">
        <f>G9</f>
        <v>0</v>
      </c>
      <c r="X34">
        <f>G10</f>
        <v>0</v>
      </c>
      <c r="Y34">
        <f ca="1">G6</f>
        <v>0.1071791797932454</v>
      </c>
      <c r="Z34">
        <f ca="1">G5</f>
        <v>5.9363353194242944E-3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0"/>
        <v>-0.15889919485501647</v>
      </c>
      <c r="D35">
        <f ca="1"/>
        <v>0.62268557761986565</v>
      </c>
      <c r="I35">
        <f t="shared" ca="1" si="1"/>
        <v>3.1356400314926608E-3</v>
      </c>
      <c r="J35">
        <f t="shared" ca="1" si="2"/>
        <v>3.3561157308996031E-2</v>
      </c>
      <c r="L35">
        <f t="shared" ca="1" si="3"/>
        <v>3.1356400314926608E-3</v>
      </c>
      <c r="M35">
        <f t="shared" ca="1" si="4"/>
        <v>3.3561157308996031E-2</v>
      </c>
      <c r="O35">
        <f t="shared" ca="1" si="5"/>
        <v>-0.21336836468771439</v>
      </c>
      <c r="P35">
        <f t="shared" ca="1" si="6"/>
        <v>-0.42819163467625743</v>
      </c>
      <c r="R35">
        <f t="shared" ca="1" si="7"/>
        <v>-0.18025069380046094</v>
      </c>
      <c r="S35">
        <f t="shared" ca="1" si="8"/>
        <v>0.24997682580412173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0"/>
        <v>-0.1498862478586418</v>
      </c>
      <c r="D36">
        <f ca="1"/>
        <v>0.63925692257325939</v>
      </c>
      <c r="I36">
        <f t="shared" ca="1" si="1"/>
        <v>3.2174077356169634E-3</v>
      </c>
      <c r="J36">
        <f t="shared" ca="1" si="2"/>
        <v>3.4643775286705585E-2</v>
      </c>
      <c r="L36">
        <f t="shared" ca="1" si="3"/>
        <v>3.2174077356169634E-3</v>
      </c>
      <c r="M36">
        <f t="shared" ca="1" si="4"/>
        <v>3.4643775286705585E-2</v>
      </c>
      <c r="O36">
        <f t="shared" ca="1" si="5"/>
        <v>-0.21355139941236795</v>
      </c>
      <c r="P36">
        <f t="shared" ca="1" si="6"/>
        <v>-0.42189469887219483</v>
      </c>
      <c r="R36">
        <f t="shared" ca="1" si="7"/>
        <v>-0.18346425776534137</v>
      </c>
      <c r="S36">
        <f t="shared" ca="1" si="8"/>
        <v>0.25804059437844828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0"/>
        <v>-0.10609535981619955</v>
      </c>
      <c r="D37">
        <f ca="1"/>
        <v>0.70673641821151711</v>
      </c>
      <c r="I37">
        <f t="shared" ca="1" si="1"/>
        <v>3.2979640663468304E-3</v>
      </c>
      <c r="J37">
        <f t="shared" ca="1" si="2"/>
        <v>3.5726393264415138E-2</v>
      </c>
      <c r="L37">
        <f t="shared" ca="1" si="3"/>
        <v>3.2979640663468304E-3</v>
      </c>
      <c r="M37">
        <f t="shared" ca="1" si="4"/>
        <v>3.5726393264415138E-2</v>
      </c>
      <c r="O37">
        <f t="shared" ca="1" si="5"/>
        <v>-0.21363530563572061</v>
      </c>
      <c r="P37">
        <f t="shared" ca="1" si="6"/>
        <v>-0.41559776306813223</v>
      </c>
      <c r="R37">
        <f t="shared" ca="1" si="7"/>
        <v>-0.18651526082117109</v>
      </c>
      <c r="S37">
        <f t="shared" ca="1" si="8"/>
        <v>0.26610436295277479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0"/>
        <v>-8.9803094472403866E-2</v>
      </c>
      <c r="D38">
        <f ca="1"/>
        <v>0.72817096998693942</v>
      </c>
      <c r="I38">
        <f t="shared" ca="1" si="1"/>
        <v>3.3773090236822634E-3</v>
      </c>
      <c r="J38">
        <f t="shared" ca="1" si="2"/>
        <v>3.6809011242124684E-2</v>
      </c>
      <c r="L38">
        <f t="shared" ca="1" si="3"/>
        <v>3.3773090236822634E-3</v>
      </c>
      <c r="M38">
        <f t="shared" ca="1" si="4"/>
        <v>3.6809011242124684E-2</v>
      </c>
      <c r="O38">
        <f t="shared" ca="1" si="5"/>
        <v>-0.21362008335777183</v>
      </c>
      <c r="P38">
        <f t="shared" ca="1" si="6"/>
        <v>-0.40930082726406958</v>
      </c>
      <c r="R38">
        <f t="shared" ca="1" si="7"/>
        <v>-0.18940370296795012</v>
      </c>
      <c r="S38">
        <f t="shared" ca="1" si="8"/>
        <v>0.27416813152710129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0"/>
        <v>-7.6553922291194287E-2</v>
      </c>
      <c r="D39">
        <f ca="1"/>
        <v>0.74458066808380341</v>
      </c>
      <c r="I39">
        <f t="shared" ca="1" si="1"/>
        <v>3.4554426076232624E-3</v>
      </c>
      <c r="J39">
        <f t="shared" ca="1" si="2"/>
        <v>3.789162921983423E-2</v>
      </c>
      <c r="L39">
        <f t="shared" ca="1" si="3"/>
        <v>3.4554426076232624E-3</v>
      </c>
      <c r="M39">
        <f t="shared" ca="1" si="4"/>
        <v>3.789162921983423E-2</v>
      </c>
      <c r="O39">
        <f t="shared" ca="1" si="5"/>
        <v>-0.2135057325785219</v>
      </c>
      <c r="P39">
        <f t="shared" ca="1" si="6"/>
        <v>-0.40300389146000704</v>
      </c>
      <c r="R39">
        <f t="shared" ca="1" si="7"/>
        <v>-0.19212958420567833</v>
      </c>
      <c r="S39">
        <f t="shared" ca="1" si="8"/>
        <v>0.28223190010142779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0"/>
        <v>-6.4011006292994721E-2</v>
      </c>
      <c r="D40">
        <f ca="1"/>
        <v>0.75939920460825194</v>
      </c>
      <c r="I40">
        <f t="shared" ca="1" si="1"/>
        <v>3.5323648181698275E-3</v>
      </c>
      <c r="J40">
        <f t="shared" ca="1" si="2"/>
        <v>3.8974247197543783E-2</v>
      </c>
      <c r="L40">
        <f t="shared" ca="1" si="3"/>
        <v>3.5323648181698275E-3</v>
      </c>
      <c r="M40">
        <f t="shared" ca="1" si="4"/>
        <v>3.8974247197543783E-2</v>
      </c>
      <c r="O40">
        <f t="shared" ca="1" si="5"/>
        <v>-0.21329225329797075</v>
      </c>
      <c r="P40">
        <f t="shared" ca="1" si="6"/>
        <v>-0.39670695565594438</v>
      </c>
      <c r="R40">
        <f t="shared" ca="1" si="7"/>
        <v>-0.19469290453435575</v>
      </c>
      <c r="S40">
        <f t="shared" ca="1" si="8"/>
        <v>0.29029566867575429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0"/>
        <v>-5.1939432241898897E-2</v>
      </c>
      <c r="D41">
        <f ca="1"/>
        <v>0.77308479793731155</v>
      </c>
      <c r="I41">
        <f t="shared" ca="1" si="1"/>
        <v>3.6080756553219595E-3</v>
      </c>
      <c r="J41">
        <f t="shared" ca="1" si="2"/>
        <v>4.005686517525333E-2</v>
      </c>
      <c r="L41">
        <f t="shared" ca="1" si="3"/>
        <v>3.6080756553219595E-3</v>
      </c>
      <c r="M41">
        <f t="shared" ca="1" si="4"/>
        <v>4.005686517525333E-2</v>
      </c>
      <c r="O41">
        <f t="shared" ca="1" si="5"/>
        <v>-0.21297964551611828</v>
      </c>
      <c r="P41">
        <f t="shared" ca="1" si="6"/>
        <v>-0.39041001985188184</v>
      </c>
      <c r="R41">
        <f t="shared" ca="1" si="7"/>
        <v>-0.19709366395398256</v>
      </c>
      <c r="S41">
        <f t="shared" ca="1" si="8"/>
        <v>0.29835943725008079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0"/>
        <v>-3.9710434201906453E-2</v>
      </c>
      <c r="D42">
        <f ca="1"/>
        <v>0.7864372454628864</v>
      </c>
      <c r="I42">
        <f t="shared" ca="1" si="1"/>
        <v>3.6825751190796563E-3</v>
      </c>
      <c r="J42">
        <f t="shared" ca="1" si="2"/>
        <v>4.1139483152962883E-2</v>
      </c>
      <c r="L42">
        <f t="shared" ca="1" si="3"/>
        <v>3.6825751190796563E-3</v>
      </c>
      <c r="M42">
        <f t="shared" ca="1" si="4"/>
        <v>4.1139483152962883E-2</v>
      </c>
      <c r="O42">
        <f t="shared" ca="1" si="5"/>
        <v>-0.21256790923296481</v>
      </c>
      <c r="P42">
        <f t="shared" ca="1" si="6"/>
        <v>-0.38411308404781919</v>
      </c>
      <c r="R42">
        <f t="shared" ca="1" si="7"/>
        <v>-0.19933186246455861</v>
      </c>
      <c r="S42">
        <f t="shared" ca="1" si="8"/>
        <v>0.3064232058244073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0"/>
        <v>-2.8459292594747332E-2</v>
      </c>
      <c r="D43">
        <f ca="1"/>
        <v>0.7983130888583243</v>
      </c>
      <c r="I43">
        <f t="shared" ca="1" si="1"/>
        <v>3.7558632094429186E-3</v>
      </c>
      <c r="J43">
        <f t="shared" ca="1" si="2"/>
        <v>4.2222101130672429E-2</v>
      </c>
      <c r="L43">
        <f t="shared" ca="1" si="3"/>
        <v>3.7558632094429186E-3</v>
      </c>
      <c r="M43">
        <f t="shared" ca="1" si="4"/>
        <v>4.2222101130672429E-2</v>
      </c>
      <c r="O43">
        <f t="shared" ca="1" si="5"/>
        <v>-0.2120570444485099</v>
      </c>
      <c r="P43">
        <f t="shared" ca="1" si="6"/>
        <v>-0.37781614824375659</v>
      </c>
      <c r="R43">
        <f t="shared" ca="1" si="7"/>
        <v>-0.20140750006608382</v>
      </c>
      <c r="S43">
        <f t="shared" ca="1" si="8"/>
        <v>0.3144869743987338</v>
      </c>
    </row>
    <row r="44" spans="1:29" x14ac:dyDescent="0.35">
      <c r="C44" t="str">
        <f t="shared" si="0"/>
        <v/>
      </c>
      <c r="I44">
        <f t="shared" ca="1" si="1"/>
        <v>3.8279399264117484E-3</v>
      </c>
      <c r="J44">
        <f t="shared" ca="1" si="2"/>
        <v>4.3304719108381982E-2</v>
      </c>
      <c r="L44">
        <f t="shared" ca="1" si="3"/>
        <v>3.8279399264117484E-3</v>
      </c>
      <c r="M44">
        <f t="shared" ca="1" si="4"/>
        <v>4.3304719108381982E-2</v>
      </c>
      <c r="O44">
        <f t="shared" ca="1" si="5"/>
        <v>-0.21144705116275392</v>
      </c>
      <c r="P44">
        <f t="shared" ca="1" si="6"/>
        <v>-0.37151921243969399</v>
      </c>
      <c r="R44">
        <f t="shared" ca="1" si="7"/>
        <v>-0.20332057675855839</v>
      </c>
      <c r="S44">
        <f t="shared" ca="1" si="8"/>
        <v>0.32255074297306036</v>
      </c>
    </row>
    <row r="45" spans="1:29" x14ac:dyDescent="0.35">
      <c r="C45" t="str">
        <f t="shared" si="0"/>
        <v/>
      </c>
      <c r="I45">
        <f t="shared" ca="1" si="1"/>
        <v>3.8988052699861428E-3</v>
      </c>
      <c r="J45">
        <f t="shared" ca="1" si="2"/>
        <v>4.4387337086091536E-2</v>
      </c>
      <c r="L45">
        <f t="shared" ca="1" si="3"/>
        <v>3.8988052699861428E-3</v>
      </c>
      <c r="M45">
        <f t="shared" ca="1" si="4"/>
        <v>4.4387337086091536E-2</v>
      </c>
      <c r="O45">
        <f t="shared" ca="1" si="5"/>
        <v>-0.21073792937569666</v>
      </c>
      <c r="P45">
        <f t="shared" ca="1" si="6"/>
        <v>-0.36522227663563134</v>
      </c>
      <c r="R45">
        <f t="shared" ca="1" si="7"/>
        <v>-0.20507109254198222</v>
      </c>
      <c r="S45">
        <f t="shared" ca="1" si="8"/>
        <v>0.3306145115473868</v>
      </c>
    </row>
    <row r="46" spans="1:29" x14ac:dyDescent="0.35">
      <c r="C46" t="str">
        <f t="shared" si="0"/>
        <v/>
      </c>
      <c r="I46">
        <f t="shared" ca="1" si="1"/>
        <v>3.9684592401661029E-3</v>
      </c>
      <c r="J46">
        <f t="shared" ca="1" si="2"/>
        <v>4.5469955063801075E-2</v>
      </c>
      <c r="L46">
        <f t="shared" ca="1" si="3"/>
        <v>3.9684592401661029E-3</v>
      </c>
      <c r="M46">
        <f t="shared" ca="1" si="4"/>
        <v>4.5469955063801075E-2</v>
      </c>
      <c r="O46">
        <f t="shared" ca="1" si="5"/>
        <v>-0.20992967908733817</v>
      </c>
      <c r="P46">
        <f t="shared" ca="1" si="6"/>
        <v>-0.35892534083156874</v>
      </c>
      <c r="R46">
        <f t="shared" ca="1" si="7"/>
        <v>-0.2066590474163553</v>
      </c>
      <c r="S46">
        <f t="shared" ca="1" si="8"/>
        <v>0.3386782801217133</v>
      </c>
    </row>
    <row r="47" spans="1:29" x14ac:dyDescent="0.35">
      <c r="C47" t="str">
        <f t="shared" si="0"/>
        <v/>
      </c>
      <c r="I47">
        <f t="shared" ca="1" si="1"/>
        <v>4.0369018369516294E-3</v>
      </c>
      <c r="J47">
        <f t="shared" ca="1" si="2"/>
        <v>4.6552573041510628E-2</v>
      </c>
      <c r="L47">
        <f t="shared" ca="1" si="3"/>
        <v>4.0369018369516294E-3</v>
      </c>
      <c r="M47">
        <f t="shared" ca="1" si="4"/>
        <v>4.6552573041510628E-2</v>
      </c>
      <c r="O47">
        <f t="shared" ca="1" si="5"/>
        <v>-0.20902230029767865</v>
      </c>
      <c r="P47">
        <f t="shared" ca="1" si="6"/>
        <v>-0.35262840502750614</v>
      </c>
      <c r="R47">
        <f t="shared" ca="1" si="7"/>
        <v>-0.20808444138167753</v>
      </c>
      <c r="S47">
        <f t="shared" ca="1" si="8"/>
        <v>0.34674204869603986</v>
      </c>
    </row>
    <row r="48" spans="1:29" x14ac:dyDescent="0.35">
      <c r="C48" t="str">
        <f t="shared" si="0"/>
        <v/>
      </c>
      <c r="I48">
        <f t="shared" ca="1" si="1"/>
        <v>4.1041330603427215E-3</v>
      </c>
      <c r="J48">
        <f t="shared" ca="1" si="2"/>
        <v>4.7635191019220174E-2</v>
      </c>
      <c r="L48">
        <f t="shared" ca="1" si="3"/>
        <v>4.1041330603427215E-3</v>
      </c>
      <c r="M48">
        <f t="shared" ca="1" si="4"/>
        <v>4.7635191019220174E-2</v>
      </c>
      <c r="O48">
        <f t="shared" ca="1" si="5"/>
        <v>-0.20801579300671763</v>
      </c>
      <c r="P48">
        <f t="shared" ca="1" si="6"/>
        <v>-0.34633146922344354</v>
      </c>
      <c r="R48">
        <f t="shared" ca="1" si="7"/>
        <v>-0.20934727443794915</v>
      </c>
      <c r="S48">
        <f t="shared" ca="1" si="8"/>
        <v>0.35480581727036636</v>
      </c>
    </row>
    <row r="49" spans="3:19" x14ac:dyDescent="0.35">
      <c r="C49" t="str">
        <f t="shared" si="0"/>
        <v/>
      </c>
      <c r="I49">
        <f t="shared" ca="1" si="1"/>
        <v>4.1701529103393802E-3</v>
      </c>
      <c r="J49">
        <f t="shared" ca="1" si="2"/>
        <v>4.8717808996929728E-2</v>
      </c>
      <c r="L49">
        <f t="shared" ca="1" si="3"/>
        <v>4.1701529103393802E-3</v>
      </c>
      <c r="M49">
        <f t="shared" ca="1" si="4"/>
        <v>4.8717808996929728E-2</v>
      </c>
      <c r="O49">
        <f t="shared" ca="1" si="5"/>
        <v>-0.20691015721445563</v>
      </c>
      <c r="P49">
        <f t="shared" ca="1" si="6"/>
        <v>-0.34003453341938095</v>
      </c>
      <c r="R49">
        <f t="shared" ca="1" si="7"/>
        <v>-0.21044754658517001</v>
      </c>
      <c r="S49">
        <f t="shared" ca="1" si="8"/>
        <v>0.36286958584469281</v>
      </c>
    </row>
    <row r="50" spans="3:19" x14ac:dyDescent="0.35">
      <c r="C50" t="str">
        <f t="shared" si="0"/>
        <v/>
      </c>
      <c r="I50">
        <f t="shared" ca="1" si="1"/>
        <v>4.2349613869416044E-3</v>
      </c>
      <c r="J50">
        <f t="shared" ca="1" si="2"/>
        <v>4.9800426974639281E-2</v>
      </c>
      <c r="L50">
        <f t="shared" ca="1" si="3"/>
        <v>4.2349613869416044E-3</v>
      </c>
      <c r="M50">
        <f t="shared" ca="1" si="4"/>
        <v>4.9800426974639281E-2</v>
      </c>
      <c r="O50">
        <f t="shared" ca="1" si="5"/>
        <v>-0.20570539292089238</v>
      </c>
      <c r="P50">
        <f t="shared" ca="1" si="6"/>
        <v>-0.33373759761531829</v>
      </c>
      <c r="R50">
        <f t="shared" ca="1" si="7"/>
        <v>-0.21138525782334011</v>
      </c>
      <c r="S50">
        <f t="shared" ca="1" si="8"/>
        <v>0.37093335441901937</v>
      </c>
    </row>
    <row r="51" spans="3:19" x14ac:dyDescent="0.35">
      <c r="C51" t="str">
        <f t="shared" si="0"/>
        <v/>
      </c>
      <c r="I51">
        <f t="shared" ca="1" si="1"/>
        <v>4.2985584901493942E-3</v>
      </c>
      <c r="J51">
        <f t="shared" ca="1" si="2"/>
        <v>5.0883044952348827E-2</v>
      </c>
      <c r="L51">
        <f t="shared" ca="1" si="3"/>
        <v>4.2985584901493942E-3</v>
      </c>
      <c r="M51">
        <f t="shared" ca="1" si="4"/>
        <v>5.0883044952348827E-2</v>
      </c>
      <c r="O51">
        <f t="shared" ca="1" si="5"/>
        <v>-0.20440150012602776</v>
      </c>
      <c r="P51">
        <f t="shared" ca="1" si="6"/>
        <v>-0.3274406618112557</v>
      </c>
      <c r="R51">
        <f t="shared" ca="1" si="7"/>
        <v>-0.21216040815245946</v>
      </c>
      <c r="S51">
        <f t="shared" ca="1" si="8"/>
        <v>0.37899712299334587</v>
      </c>
    </row>
    <row r="52" spans="3:19" x14ac:dyDescent="0.35">
      <c r="C52" t="str">
        <f t="shared" si="0"/>
        <v/>
      </c>
      <c r="I52">
        <f t="shared" ca="1" si="1"/>
        <v>4.3609442199627505E-3</v>
      </c>
      <c r="J52">
        <f t="shared" ca="1" si="2"/>
        <v>5.1965662930058373E-2</v>
      </c>
      <c r="L52">
        <f t="shared" ca="1" si="3"/>
        <v>4.3609442199627505E-3</v>
      </c>
      <c r="M52">
        <f t="shared" ca="1" si="4"/>
        <v>5.1965662930058373E-2</v>
      </c>
      <c r="O52">
        <f t="shared" ca="1" si="5"/>
        <v>-0.20299847882986205</v>
      </c>
      <c r="P52">
        <f t="shared" ca="1" si="6"/>
        <v>-0.3211437260071931</v>
      </c>
      <c r="R52">
        <f t="shared" ca="1" si="7"/>
        <v>-0.21277299757252816</v>
      </c>
      <c r="S52">
        <f t="shared" ca="1" si="8"/>
        <v>0.38706089156767237</v>
      </c>
    </row>
    <row r="53" spans="3:19" x14ac:dyDescent="0.35">
      <c r="C53" t="str">
        <f t="shared" si="0"/>
        <v/>
      </c>
      <c r="I53">
        <f t="shared" ca="1" si="1"/>
        <v>4.4221185763816725E-3</v>
      </c>
      <c r="J53">
        <f t="shared" ca="1" si="2"/>
        <v>5.304828090776792E-2</v>
      </c>
      <c r="L53">
        <f t="shared" ca="1" si="3"/>
        <v>4.4221185763816725E-3</v>
      </c>
      <c r="M53">
        <f t="shared" ca="1" si="4"/>
        <v>5.304828090776792E-2</v>
      </c>
      <c r="O53">
        <f t="shared" ca="1" si="5"/>
        <v>-0.20149632903239512</v>
      </c>
      <c r="P53">
        <f t="shared" ca="1" si="6"/>
        <v>-0.3148467902031305</v>
      </c>
      <c r="R53">
        <f t="shared" ca="1" si="7"/>
        <v>-0.21322302608354604</v>
      </c>
      <c r="S53">
        <f t="shared" ca="1" si="8"/>
        <v>0.39512466014199893</v>
      </c>
    </row>
    <row r="54" spans="3:19" x14ac:dyDescent="0.35">
      <c r="C54" t="str">
        <f t="shared" si="0"/>
        <v/>
      </c>
      <c r="I54">
        <f t="shared" ca="1" si="1"/>
        <v>4.48208155940616E-3</v>
      </c>
      <c r="J54">
        <f t="shared" ca="1" si="2"/>
        <v>5.4130898885477473E-2</v>
      </c>
      <c r="L54">
        <f t="shared" ca="1" si="3"/>
        <v>4.48208155940616E-3</v>
      </c>
      <c r="M54">
        <f t="shared" ca="1" si="4"/>
        <v>5.4130898885477473E-2</v>
      </c>
      <c r="O54">
        <f t="shared" ca="1" si="5"/>
        <v>-0.1998950507336269</v>
      </c>
      <c r="P54">
        <f t="shared" ca="1" si="6"/>
        <v>-0.30854985439906785</v>
      </c>
      <c r="R54">
        <f t="shared" ca="1" si="7"/>
        <v>-0.21351049368551314</v>
      </c>
      <c r="S54">
        <f t="shared" ca="1" si="8"/>
        <v>0.40318842871632538</v>
      </c>
    </row>
    <row r="55" spans="3:19" x14ac:dyDescent="0.35">
      <c r="C55" t="str">
        <f t="shared" si="0"/>
        <v/>
      </c>
      <c r="I55">
        <f t="shared" ca="1" si="1"/>
        <v>4.540833169036214E-3</v>
      </c>
      <c r="J55">
        <f t="shared" ca="1" si="2"/>
        <v>5.5213516863187026E-2</v>
      </c>
      <c r="L55">
        <f t="shared" ca="1" si="3"/>
        <v>4.540833169036214E-3</v>
      </c>
      <c r="M55">
        <f t="shared" ca="1" si="4"/>
        <v>5.5213516863187026E-2</v>
      </c>
      <c r="O55">
        <f t="shared" ca="1" si="5"/>
        <v>-0.1981946439335576</v>
      </c>
      <c r="P55">
        <f t="shared" ca="1" si="6"/>
        <v>-0.30225291859500525</v>
      </c>
      <c r="R55">
        <f t="shared" ca="1" si="7"/>
        <v>-0.21363540037842962</v>
      </c>
      <c r="S55">
        <f t="shared" ca="1" si="8"/>
        <v>0.41125219729065193</v>
      </c>
    </row>
    <row r="56" spans="3:19" x14ac:dyDescent="0.35">
      <c r="C56" t="str">
        <f t="shared" si="0"/>
        <v/>
      </c>
      <c r="I56">
        <f t="shared" ca="1" si="1"/>
        <v>4.5983734052718337E-3</v>
      </c>
      <c r="J56">
        <f t="shared" ca="1" si="2"/>
        <v>5.6296134840896572E-2</v>
      </c>
      <c r="L56">
        <f t="shared" ca="1" si="3"/>
        <v>4.5983734052718337E-3</v>
      </c>
      <c r="M56">
        <f t="shared" ca="1" si="4"/>
        <v>5.6296134840896572E-2</v>
      </c>
      <c r="O56">
        <f t="shared" ca="1" si="5"/>
        <v>-0.19639510863218695</v>
      </c>
      <c r="P56">
        <f t="shared" ca="1" si="6"/>
        <v>-0.29595598279094265</v>
      </c>
      <c r="R56">
        <f t="shared" ca="1" si="7"/>
        <v>-0.21359774616229524</v>
      </c>
      <c r="S56">
        <f t="shared" ca="1" si="8"/>
        <v>0.41931596586497843</v>
      </c>
    </row>
    <row r="57" spans="3:19" x14ac:dyDescent="0.35">
      <c r="C57" t="str">
        <f t="shared" si="0"/>
        <v/>
      </c>
      <c r="I57">
        <f t="shared" ca="1" si="1"/>
        <v>4.6547022681130198E-3</v>
      </c>
      <c r="J57">
        <f t="shared" ca="1" si="2"/>
        <v>5.7378752818606125E-2</v>
      </c>
      <c r="L57">
        <f t="shared" ca="1" si="3"/>
        <v>4.6547022681130198E-3</v>
      </c>
      <c r="M57">
        <f t="shared" ca="1" si="4"/>
        <v>5.7378752818606125E-2</v>
      </c>
      <c r="O57">
        <f t="shared" ca="1" si="5"/>
        <v>-0.19449644482951525</v>
      </c>
      <c r="P57">
        <f t="shared" ca="1" si="6"/>
        <v>-0.28965904698688005</v>
      </c>
      <c r="R57">
        <f t="shared" ca="1" si="7"/>
        <v>-0.21339753103711018</v>
      </c>
      <c r="S57">
        <f t="shared" ca="1" si="8"/>
        <v>0.42737973443930494</v>
      </c>
    </row>
    <row r="58" spans="3:19" x14ac:dyDescent="0.35">
      <c r="C58" t="str">
        <f t="shared" si="0"/>
        <v/>
      </c>
      <c r="I58">
        <f t="shared" ca="1" si="1"/>
        <v>4.7098197575597706E-3</v>
      </c>
      <c r="J58">
        <f t="shared" ca="1" si="2"/>
        <v>5.8461370796315679E-2</v>
      </c>
      <c r="L58">
        <f t="shared" ca="1" si="3"/>
        <v>4.7098197575597706E-3</v>
      </c>
      <c r="M58">
        <f t="shared" ca="1" si="4"/>
        <v>5.8461370796315679E-2</v>
      </c>
      <c r="O58">
        <f t="shared" ca="1" si="5"/>
        <v>-0.19249865252554219</v>
      </c>
      <c r="P58">
        <f t="shared" ca="1" si="6"/>
        <v>-0.2833621111828174</v>
      </c>
      <c r="R58">
        <f t="shared" ca="1" si="7"/>
        <v>-0.21303475500287425</v>
      </c>
      <c r="S58">
        <f t="shared" ca="1" si="8"/>
        <v>0.43544350301363149</v>
      </c>
    </row>
    <row r="59" spans="3:19" x14ac:dyDescent="0.35">
      <c r="C59" t="str">
        <f t="shared" si="0"/>
        <v/>
      </c>
      <c r="I59">
        <f t="shared" ca="1" si="1"/>
        <v>4.763725873612088E-3</v>
      </c>
      <c r="J59">
        <f t="shared" ca="1" si="2"/>
        <v>5.9543988774025218E-2</v>
      </c>
      <c r="L59">
        <f t="shared" ca="1" si="3"/>
        <v>4.763725873612088E-3</v>
      </c>
      <c r="M59">
        <f t="shared" ca="1" si="4"/>
        <v>5.9543988774025218E-2</v>
      </c>
      <c r="O59">
        <f t="shared" ca="1" si="5"/>
        <v>-0.19040173172026789</v>
      </c>
      <c r="P59">
        <f t="shared" ca="1" si="6"/>
        <v>-0.2770651753787548</v>
      </c>
      <c r="R59">
        <f t="shared" ca="1" si="7"/>
        <v>-0.21250941805958787</v>
      </c>
      <c r="S59">
        <f t="shared" ca="1" si="8"/>
        <v>0.44350727158795794</v>
      </c>
    </row>
    <row r="60" spans="3:19" x14ac:dyDescent="0.35">
      <c r="C60" t="str">
        <f t="shared" si="0"/>
        <v/>
      </c>
      <c r="I60">
        <f t="shared" ca="1" si="1"/>
        <v>4.8164206162699709E-3</v>
      </c>
      <c r="J60">
        <f t="shared" ca="1" si="2"/>
        <v>6.0626606751734771E-2</v>
      </c>
      <c r="L60">
        <f t="shared" ca="1" si="3"/>
        <v>4.8164206162699709E-3</v>
      </c>
      <c r="M60">
        <f t="shared" ca="1" si="4"/>
        <v>6.0626606751734771E-2</v>
      </c>
      <c r="O60">
        <f t="shared" ca="1" si="5"/>
        <v>-0.18820568241369251</v>
      </c>
      <c r="P60">
        <f t="shared" ca="1" si="6"/>
        <v>-0.27076823957469226</v>
      </c>
      <c r="R60">
        <f t="shared" ca="1" si="7"/>
        <v>-0.21182152020725048</v>
      </c>
      <c r="S60">
        <f t="shared" ca="1" si="8"/>
        <v>0.45157104016228444</v>
      </c>
    </row>
    <row r="61" spans="3:19" x14ac:dyDescent="0.35">
      <c r="C61" t="str">
        <f t="shared" si="0"/>
        <v/>
      </c>
      <c r="I61">
        <f t="shared" ca="1" si="1"/>
        <v>4.8679039855334203E-3</v>
      </c>
      <c r="J61">
        <f t="shared" ca="1" si="2"/>
        <v>6.1709224729444317E-2</v>
      </c>
      <c r="L61">
        <f t="shared" ca="1" si="3"/>
        <v>4.8679039855334203E-3</v>
      </c>
      <c r="M61">
        <f t="shared" ca="1" si="4"/>
        <v>6.1709224729444317E-2</v>
      </c>
      <c r="O61">
        <f t="shared" ca="1" si="5"/>
        <v>-0.18591050460581585</v>
      </c>
      <c r="P61">
        <f t="shared" ca="1" si="6"/>
        <v>-0.26447130377062961</v>
      </c>
      <c r="R61">
        <f t="shared" ca="1" si="7"/>
        <v>-0.21097106144586242</v>
      </c>
      <c r="S61">
        <f t="shared" ca="1" si="8"/>
        <v>0.459634808736611</v>
      </c>
    </row>
    <row r="62" spans="3:19" x14ac:dyDescent="0.35">
      <c r="C62" t="str">
        <f t="shared" si="0"/>
        <v/>
      </c>
      <c r="I62">
        <f t="shared" ca="1" si="1"/>
        <v>4.9181759814024353E-3</v>
      </c>
      <c r="J62">
        <f t="shared" ca="1" si="2"/>
        <v>6.2791842707153878E-2</v>
      </c>
      <c r="L62">
        <f t="shared" ca="1" si="3"/>
        <v>4.9181759814024353E-3</v>
      </c>
      <c r="M62">
        <f t="shared" ca="1" si="4"/>
        <v>6.2791842707153878E-2</v>
      </c>
      <c r="O62">
        <f t="shared" ca="1" si="5"/>
        <v>-0.18351619829663801</v>
      </c>
      <c r="P62">
        <f t="shared" ca="1" si="6"/>
        <v>-0.25817436796656701</v>
      </c>
      <c r="R62">
        <f t="shared" ca="1" si="7"/>
        <v>-0.20995804177542382</v>
      </c>
      <c r="S62">
        <f t="shared" ca="1" si="8"/>
        <v>0.4676985773109375</v>
      </c>
    </row>
    <row r="63" spans="3:19" x14ac:dyDescent="0.35">
      <c r="C63" t="str">
        <f t="shared" si="0"/>
        <v/>
      </c>
      <c r="I63">
        <f t="shared" ca="1" si="1"/>
        <v>4.9672366038770168E-3</v>
      </c>
      <c r="J63">
        <f t="shared" ca="1" si="2"/>
        <v>6.3874460684863424E-2</v>
      </c>
      <c r="L63">
        <f t="shared" ca="1" si="3"/>
        <v>4.9672366038770168E-3</v>
      </c>
      <c r="M63">
        <f t="shared" ca="1" si="4"/>
        <v>6.3874460684863424E-2</v>
      </c>
      <c r="O63">
        <f t="shared" ca="1" si="5"/>
        <v>-0.18102276348615889</v>
      </c>
      <c r="P63">
        <f t="shared" ca="1" si="6"/>
        <v>-0.25187743216250436</v>
      </c>
      <c r="R63">
        <f t="shared" ca="1" si="7"/>
        <v>-0.20878246119593424</v>
      </c>
      <c r="S63">
        <f t="shared" ca="1" si="8"/>
        <v>0.47576234588526395</v>
      </c>
    </row>
    <row r="64" spans="3:19" x14ac:dyDescent="0.35">
      <c r="C64" t="str">
        <f t="shared" si="0"/>
        <v/>
      </c>
      <c r="I64">
        <f t="shared" ca="1" si="1"/>
        <v>5.0150858529571631E-3</v>
      </c>
      <c r="J64">
        <f t="shared" ca="1" si="2"/>
        <v>6.495707866257297E-2</v>
      </c>
      <c r="L64">
        <f t="shared" ca="1" si="3"/>
        <v>5.0150858529571631E-3</v>
      </c>
      <c r="M64">
        <f t="shared" ca="1" si="4"/>
        <v>6.495707866257297E-2</v>
      </c>
      <c r="O64">
        <f t="shared" ca="1" si="5"/>
        <v>-0.17843020017437866</v>
      </c>
      <c r="P64">
        <f t="shared" ca="1" si="6"/>
        <v>-0.24558049635844181</v>
      </c>
      <c r="R64">
        <f t="shared" ca="1" si="7"/>
        <v>-0.20744431970739391</v>
      </c>
      <c r="S64">
        <f t="shared" ca="1" si="8"/>
        <v>0.48382611445959051</v>
      </c>
    </row>
    <row r="65" spans="3:19" x14ac:dyDescent="0.35">
      <c r="C65" t="str">
        <f t="shared" si="0"/>
        <v/>
      </c>
      <c r="I65">
        <f t="shared" ca="1" si="1"/>
        <v>5.0617237286428758E-3</v>
      </c>
      <c r="J65">
        <f t="shared" ca="1" si="2"/>
        <v>6.6039696640282516E-2</v>
      </c>
      <c r="L65">
        <f t="shared" ca="1" si="3"/>
        <v>5.0617237286428758E-3</v>
      </c>
      <c r="M65">
        <f t="shared" ca="1" si="4"/>
        <v>6.6039696640282516E-2</v>
      </c>
      <c r="O65">
        <f t="shared" ca="1" si="5"/>
        <v>-0.17573850836129712</v>
      </c>
      <c r="P65">
        <f t="shared" ca="1" si="6"/>
        <v>-0.23928356055437916</v>
      </c>
      <c r="R65">
        <f t="shared" ca="1" si="7"/>
        <v>-0.20594361730980282</v>
      </c>
      <c r="S65">
        <f t="shared" ca="1" si="8"/>
        <v>0.49188988303391701</v>
      </c>
    </row>
    <row r="66" spans="3:19" x14ac:dyDescent="0.35">
      <c r="C66" t="str">
        <f t="shared" si="0"/>
        <v/>
      </c>
      <c r="I66">
        <f t="shared" ca="1" si="1"/>
        <v>5.1071502309341541E-3</v>
      </c>
      <c r="J66">
        <f t="shared" ca="1" si="2"/>
        <v>6.7122314617992063E-2</v>
      </c>
      <c r="L66">
        <f t="shared" ca="1" si="3"/>
        <v>5.1071502309341541E-3</v>
      </c>
      <c r="M66">
        <f t="shared" ca="1" si="4"/>
        <v>6.7122314617992063E-2</v>
      </c>
      <c r="O66">
        <f t="shared" ca="1" si="5"/>
        <v>-0.17294768804691435</v>
      </c>
      <c r="P66">
        <f t="shared" ca="1" si="6"/>
        <v>-0.23298662475031656</v>
      </c>
      <c r="R66">
        <f t="shared" ca="1" si="7"/>
        <v>-0.2042803540031613</v>
      </c>
      <c r="S66">
        <f t="shared" ca="1" si="8"/>
        <v>0.49995365160824345</v>
      </c>
    </row>
    <row r="67" spans="3:19" x14ac:dyDescent="0.35">
      <c r="C67" t="str">
        <f t="shared" si="0"/>
        <v/>
      </c>
      <c r="I67">
        <f t="shared" ca="1" si="1"/>
        <v>5.1513653598309998E-3</v>
      </c>
      <c r="J67">
        <f t="shared" ca="1" si="2"/>
        <v>6.8204932595701623E-2</v>
      </c>
      <c r="L67">
        <f t="shared" ca="1" si="3"/>
        <v>5.1513653598309998E-3</v>
      </c>
      <c r="M67">
        <f t="shared" ca="1" si="4"/>
        <v>6.8204932595701623E-2</v>
      </c>
      <c r="O67">
        <f t="shared" ca="1" si="5"/>
        <v>-0.17005773923123035</v>
      </c>
      <c r="P67">
        <f t="shared" ca="1" si="6"/>
        <v>-0.22668968894625391</v>
      </c>
      <c r="R67">
        <f t="shared" ca="1" si="7"/>
        <v>-0.2024545297874687</v>
      </c>
      <c r="S67">
        <f t="shared" ca="1" si="8"/>
        <v>0.50801742018257001</v>
      </c>
    </row>
    <row r="68" spans="3:19" x14ac:dyDescent="0.35">
      <c r="C68" t="str">
        <f t="shared" si="0"/>
        <v/>
      </c>
      <c r="I68">
        <f t="shared" ca="1" si="1"/>
        <v>5.1943691153334094E-3</v>
      </c>
      <c r="J68">
        <f t="shared" ca="1" si="2"/>
        <v>6.9287550573411169E-2</v>
      </c>
      <c r="L68">
        <f t="shared" ca="1" si="3"/>
        <v>5.1943691153334094E-3</v>
      </c>
      <c r="M68">
        <f t="shared" ca="1" si="4"/>
        <v>6.9287550573411169E-2</v>
      </c>
      <c r="O68">
        <f t="shared" ca="1" si="5"/>
        <v>-0.16706866191424527</v>
      </c>
      <c r="P68">
        <f t="shared" ca="1" si="6"/>
        <v>-0.22039275314219131</v>
      </c>
      <c r="R68">
        <f t="shared" ca="1" si="7"/>
        <v>-0.20046614466272555</v>
      </c>
      <c r="S68">
        <f t="shared" ca="1" si="8"/>
        <v>0.51608118875689657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5.2361614974413863E-3</v>
      </c>
      <c r="J69">
        <f t="shared" ref="J69:J103" ca="1" si="11">$G$9 + ($G$6 - $G$9) * (ROW(B66)-1)/99</f>
        <v>7.0370168551120715E-2</v>
      </c>
      <c r="L69">
        <f t="shared" ref="L69:L103" ca="1" si="12">$G$17 * (M69 - $G$6)^2 + $G$5</f>
        <v>5.2361614974413863E-3</v>
      </c>
      <c r="M69">
        <f t="shared" ref="M69:M103" ca="1" si="13">$G$13 + ($G$6 - $G$13) * (ROW(F66)-1)/99</f>
        <v>7.0370168551120715E-2</v>
      </c>
      <c r="O69">
        <f t="shared" ref="O69:O103" ca="1" si="14">$G$10 + $G$19 * ($G$23 * (P69 - $G$9))^2 + $G$21 * (1 - (P69 - $G$6)/($G$9 - $G$6))</f>
        <v>-0.16398045609595896</v>
      </c>
      <c r="P69">
        <f t="shared" ref="P69:P103" ca="1" si="15">$G$26 + ($G$9 - $G$26) * (ROW(B66)-1)/99</f>
        <v>-0.21409581733812877</v>
      </c>
      <c r="R69">
        <f t="shared" ref="R69:R103" ca="1" si="16">$G$14 + $G$19 * ($G$23 * (S69 - $G$13))^2 - $G$22 * (1 - (S69 - $G$6)/($G$13 - $G$6))</f>
        <v>-0.19831519862893154</v>
      </c>
      <c r="S69">
        <f t="shared" ref="S69:S103" ca="1" si="17">$G$13 + ($G$25 - $G$13) * (ROW(B66)-1)/99</f>
        <v>0.52414495733122302</v>
      </c>
    </row>
    <row r="70" spans="3:19" x14ac:dyDescent="0.35">
      <c r="C70" t="str">
        <f t="shared" si="9"/>
        <v/>
      </c>
      <c r="I70">
        <f t="shared" ca="1" si="10"/>
        <v>5.2767425061549288E-3</v>
      </c>
      <c r="J70">
        <f t="shared" ca="1" si="11"/>
        <v>7.1452786528830275E-2</v>
      </c>
      <c r="L70">
        <f t="shared" ca="1" si="12"/>
        <v>5.2767425061549288E-3</v>
      </c>
      <c r="M70">
        <f t="shared" ca="1" si="13"/>
        <v>7.1452786528830275E-2</v>
      </c>
      <c r="O70">
        <f t="shared" ca="1" si="14"/>
        <v>-0.16079312177637137</v>
      </c>
      <c r="P70">
        <f t="shared" ca="1" si="15"/>
        <v>-0.20779888153406612</v>
      </c>
      <c r="R70">
        <f t="shared" ca="1" si="16"/>
        <v>-0.19600169168608689</v>
      </c>
      <c r="S70">
        <f t="shared" ca="1" si="17"/>
        <v>0.53220872590554957</v>
      </c>
    </row>
    <row r="71" spans="3:19" x14ac:dyDescent="0.35">
      <c r="C71" t="str">
        <f t="shared" si="9"/>
        <v/>
      </c>
      <c r="I71">
        <f t="shared" ca="1" si="10"/>
        <v>5.3161121414740369E-3</v>
      </c>
      <c r="J71">
        <f t="shared" ca="1" si="11"/>
        <v>7.2535404506539822E-2</v>
      </c>
      <c r="L71">
        <f t="shared" ca="1" si="12"/>
        <v>5.3161121414740369E-3</v>
      </c>
      <c r="M71">
        <f t="shared" ca="1" si="13"/>
        <v>7.2535404506539822E-2</v>
      </c>
      <c r="O71">
        <f t="shared" ca="1" si="14"/>
        <v>-0.15750665895548249</v>
      </c>
      <c r="P71">
        <f t="shared" ca="1" si="15"/>
        <v>-0.20150194573000352</v>
      </c>
      <c r="R71">
        <f t="shared" ca="1" si="16"/>
        <v>-0.19352562383419147</v>
      </c>
      <c r="S71">
        <f t="shared" ca="1" si="17"/>
        <v>0.54027249447987602</v>
      </c>
    </row>
    <row r="72" spans="3:19" x14ac:dyDescent="0.35">
      <c r="C72" t="str">
        <f t="shared" si="9"/>
        <v/>
      </c>
      <c r="I72">
        <f t="shared" ca="1" si="10"/>
        <v>5.3542704033987107E-3</v>
      </c>
      <c r="J72">
        <f t="shared" ca="1" si="11"/>
        <v>7.3618022484249368E-2</v>
      </c>
      <c r="L72">
        <f t="shared" ca="1" si="12"/>
        <v>5.3542704033987107E-3</v>
      </c>
      <c r="M72">
        <f t="shared" ca="1" si="13"/>
        <v>7.3618022484249368E-2</v>
      </c>
      <c r="O72">
        <f t="shared" ca="1" si="14"/>
        <v>-0.15412106763329245</v>
      </c>
      <c r="P72">
        <f t="shared" ca="1" si="15"/>
        <v>-0.19520500992594086</v>
      </c>
      <c r="R72">
        <f t="shared" ca="1" si="16"/>
        <v>-0.19088699507324536</v>
      </c>
      <c r="S72">
        <f t="shared" ca="1" si="17"/>
        <v>0.54833626305420258</v>
      </c>
    </row>
    <row r="73" spans="3:19" x14ac:dyDescent="0.35">
      <c r="C73" t="str">
        <f t="shared" si="9"/>
        <v/>
      </c>
      <c r="I73">
        <f t="shared" ca="1" si="10"/>
        <v>5.39121729192895E-3</v>
      </c>
      <c r="J73">
        <f t="shared" ca="1" si="11"/>
        <v>7.4700640461958914E-2</v>
      </c>
      <c r="L73">
        <f t="shared" ca="1" si="12"/>
        <v>5.39121729192895E-3</v>
      </c>
      <c r="M73">
        <f t="shared" ca="1" si="13"/>
        <v>7.4700640461958914E-2</v>
      </c>
      <c r="O73">
        <f t="shared" ca="1" si="14"/>
        <v>-0.15063634780980126</v>
      </c>
      <c r="P73">
        <f t="shared" ca="1" si="15"/>
        <v>-0.18890807412187832</v>
      </c>
      <c r="R73">
        <f t="shared" ca="1" si="16"/>
        <v>-0.18808580540324837</v>
      </c>
      <c r="S73">
        <f t="shared" ca="1" si="17"/>
        <v>0.55640003162852913</v>
      </c>
    </row>
    <row r="74" spans="3:19" x14ac:dyDescent="0.35">
      <c r="C74" t="str">
        <f t="shared" si="9"/>
        <v/>
      </c>
      <c r="I74">
        <f t="shared" ca="1" si="10"/>
        <v>5.4269528070647558E-3</v>
      </c>
      <c r="J74">
        <f t="shared" ca="1" si="11"/>
        <v>7.5783258439668461E-2</v>
      </c>
      <c r="L74">
        <f t="shared" ca="1" si="12"/>
        <v>5.4269528070647558E-3</v>
      </c>
      <c r="M74">
        <f t="shared" ca="1" si="13"/>
        <v>7.5783258439668461E-2</v>
      </c>
      <c r="O74">
        <f t="shared" ca="1" si="14"/>
        <v>-0.14705249948500881</v>
      </c>
      <c r="P74">
        <f t="shared" ca="1" si="15"/>
        <v>-0.18261113831781567</v>
      </c>
      <c r="R74">
        <f t="shared" ca="1" si="16"/>
        <v>-0.18512205482420085</v>
      </c>
      <c r="S74">
        <f t="shared" ca="1" si="17"/>
        <v>0.56446380020285558</v>
      </c>
    </row>
    <row r="75" spans="3:19" x14ac:dyDescent="0.35">
      <c r="C75" t="str">
        <f t="shared" si="9"/>
        <v/>
      </c>
      <c r="I75">
        <f t="shared" ca="1" si="10"/>
        <v>5.4614769488061281E-3</v>
      </c>
      <c r="J75">
        <f t="shared" ca="1" si="11"/>
        <v>7.6865876417378021E-2</v>
      </c>
      <c r="L75">
        <f t="shared" ca="1" si="12"/>
        <v>5.4614769488061281E-3</v>
      </c>
      <c r="M75">
        <f t="shared" ca="1" si="13"/>
        <v>7.6865876417378021E-2</v>
      </c>
      <c r="O75">
        <f t="shared" ca="1" si="14"/>
        <v>-0.14336952265891523</v>
      </c>
      <c r="P75">
        <f t="shared" ca="1" si="15"/>
        <v>-0.17631420251375307</v>
      </c>
      <c r="R75">
        <f t="shared" ca="1" si="16"/>
        <v>-0.18199574333610258</v>
      </c>
      <c r="S75">
        <f t="shared" ca="1" si="17"/>
        <v>0.57252756877718203</v>
      </c>
    </row>
    <row r="76" spans="3:19" x14ac:dyDescent="0.35">
      <c r="C76" t="str">
        <f t="shared" si="9"/>
        <v/>
      </c>
      <c r="I76">
        <f t="shared" ca="1" si="10"/>
        <v>5.494789717153066E-3</v>
      </c>
      <c r="J76">
        <f t="shared" ca="1" si="11"/>
        <v>7.7948494395087567E-2</v>
      </c>
      <c r="L76">
        <f t="shared" ca="1" si="12"/>
        <v>5.494789717153066E-3</v>
      </c>
      <c r="M76">
        <f t="shared" ca="1" si="13"/>
        <v>7.7948494395087567E-2</v>
      </c>
      <c r="O76">
        <f t="shared" ca="1" si="14"/>
        <v>-0.13958741733152036</v>
      </c>
      <c r="P76">
        <f t="shared" ca="1" si="15"/>
        <v>-0.17001726670969042</v>
      </c>
      <c r="R76">
        <f t="shared" ca="1" si="16"/>
        <v>-0.17870687093895321</v>
      </c>
      <c r="S76">
        <f t="shared" ca="1" si="17"/>
        <v>0.58059133735150859</v>
      </c>
    </row>
    <row r="77" spans="3:19" x14ac:dyDescent="0.35">
      <c r="C77" t="str">
        <f t="shared" si="9"/>
        <v/>
      </c>
      <c r="I77">
        <f t="shared" ca="1" si="10"/>
        <v>5.5268911121055695E-3</v>
      </c>
      <c r="J77">
        <f t="shared" ca="1" si="11"/>
        <v>7.9031112372797113E-2</v>
      </c>
      <c r="L77">
        <f t="shared" ca="1" si="12"/>
        <v>5.5268911121055695E-3</v>
      </c>
      <c r="M77">
        <f t="shared" ca="1" si="13"/>
        <v>7.9031112372797113E-2</v>
      </c>
      <c r="O77">
        <f t="shared" ca="1" si="14"/>
        <v>-0.13570618350282418</v>
      </c>
      <c r="P77">
        <f t="shared" ca="1" si="15"/>
        <v>-0.16372033090562782</v>
      </c>
      <c r="R77">
        <f t="shared" ca="1" si="16"/>
        <v>-0.17525543763275342</v>
      </c>
      <c r="S77">
        <f t="shared" ca="1" si="17"/>
        <v>0.58865510592583503</v>
      </c>
    </row>
    <row r="78" spans="3:19" x14ac:dyDescent="0.35">
      <c r="C78" t="str">
        <f t="shared" si="9"/>
        <v/>
      </c>
      <c r="I78">
        <f t="shared" ca="1" si="10"/>
        <v>5.5577811336636387E-3</v>
      </c>
      <c r="J78">
        <f t="shared" ca="1" si="11"/>
        <v>8.0113730350506659E-2</v>
      </c>
      <c r="L78">
        <f t="shared" ca="1" si="12"/>
        <v>5.5577811336636387E-3</v>
      </c>
      <c r="M78">
        <f t="shared" ca="1" si="13"/>
        <v>8.0113730350506659E-2</v>
      </c>
      <c r="O78">
        <f t="shared" ca="1" si="14"/>
        <v>-0.13172582117282694</v>
      </c>
      <c r="P78">
        <f t="shared" ca="1" si="15"/>
        <v>-0.15742339510156528</v>
      </c>
      <c r="R78">
        <f t="shared" ca="1" si="16"/>
        <v>-0.17164144341750276</v>
      </c>
      <c r="S78">
        <f t="shared" ca="1" si="17"/>
        <v>0.59671887450016159</v>
      </c>
    </row>
    <row r="79" spans="3:19" x14ac:dyDescent="0.35">
      <c r="C79" t="str">
        <f t="shared" si="9"/>
        <v/>
      </c>
      <c r="I79">
        <f t="shared" ca="1" si="10"/>
        <v>5.5874597818272743E-3</v>
      </c>
      <c r="J79">
        <f t="shared" ca="1" si="11"/>
        <v>8.1196348328216206E-2</v>
      </c>
      <c r="L79">
        <f t="shared" ca="1" si="12"/>
        <v>5.5874597818272743E-3</v>
      </c>
      <c r="M79">
        <f t="shared" ca="1" si="13"/>
        <v>8.1196348328216206E-2</v>
      </c>
      <c r="O79">
        <f t="shared" ca="1" si="14"/>
        <v>-0.12764633034152842</v>
      </c>
      <c r="P79">
        <f t="shared" ca="1" si="15"/>
        <v>-0.15112645929750262</v>
      </c>
      <c r="R79">
        <f t="shared" ca="1" si="16"/>
        <v>-0.16786488829320151</v>
      </c>
      <c r="S79">
        <f t="shared" ca="1" si="17"/>
        <v>0.60478264307448815</v>
      </c>
    </row>
    <row r="80" spans="3:19" x14ac:dyDescent="0.35">
      <c r="C80" t="str">
        <f t="shared" si="9"/>
        <v/>
      </c>
      <c r="I80">
        <f t="shared" ca="1" si="10"/>
        <v>5.6159270565964755E-3</v>
      </c>
      <c r="J80">
        <f t="shared" ca="1" si="11"/>
        <v>8.2278966305925766E-2</v>
      </c>
      <c r="L80">
        <f t="shared" ca="1" si="12"/>
        <v>5.6159270565964755E-3</v>
      </c>
      <c r="M80">
        <f t="shared" ca="1" si="13"/>
        <v>8.2278966305925766E-2</v>
      </c>
      <c r="O80">
        <f t="shared" ca="1" si="14"/>
        <v>-0.12346771100892878</v>
      </c>
      <c r="P80">
        <f t="shared" ca="1" si="15"/>
        <v>-0.14482952349344003</v>
      </c>
      <c r="R80">
        <f t="shared" ca="1" si="16"/>
        <v>-0.16392577225984939</v>
      </c>
      <c r="S80">
        <f t="shared" ca="1" si="17"/>
        <v>0.61284641164881459</v>
      </c>
    </row>
    <row r="81" spans="3:19" x14ac:dyDescent="0.35">
      <c r="C81" t="str">
        <f t="shared" si="9"/>
        <v/>
      </c>
      <c r="I81">
        <f t="shared" ca="1" si="10"/>
        <v>5.6431829579712432E-3</v>
      </c>
      <c r="J81">
        <f t="shared" ca="1" si="11"/>
        <v>8.3361584283635312E-2</v>
      </c>
      <c r="L81">
        <f t="shared" ca="1" si="12"/>
        <v>5.6431829579712432E-3</v>
      </c>
      <c r="M81">
        <f t="shared" ca="1" si="13"/>
        <v>8.3361584283635312E-2</v>
      </c>
      <c r="O81">
        <f t="shared" ca="1" si="14"/>
        <v>-0.11918996317502775</v>
      </c>
      <c r="P81">
        <f t="shared" ca="1" si="15"/>
        <v>-0.13853258768937737</v>
      </c>
      <c r="R81">
        <f t="shared" ca="1" si="16"/>
        <v>-0.15982409531744657</v>
      </c>
      <c r="S81">
        <f t="shared" ca="1" si="17"/>
        <v>0.62091018022314104</v>
      </c>
    </row>
    <row r="82" spans="3:19" x14ac:dyDescent="0.35">
      <c r="C82" t="str">
        <f t="shared" si="9"/>
        <v/>
      </c>
      <c r="I82">
        <f t="shared" ca="1" si="10"/>
        <v>5.6692274859515756E-3</v>
      </c>
      <c r="J82">
        <f t="shared" ca="1" si="11"/>
        <v>8.4444202261344858E-2</v>
      </c>
      <c r="L82">
        <f t="shared" ca="1" si="12"/>
        <v>5.6692274859515756E-3</v>
      </c>
      <c r="M82">
        <f t="shared" ca="1" si="13"/>
        <v>8.4444202261344858E-2</v>
      </c>
      <c r="O82">
        <f t="shared" ca="1" si="14"/>
        <v>-0.11481308683982565</v>
      </c>
      <c r="P82">
        <f t="shared" ca="1" si="15"/>
        <v>-0.13223565188531483</v>
      </c>
      <c r="R82">
        <f t="shared" ca="1" si="16"/>
        <v>-0.15555985746599305</v>
      </c>
      <c r="S82">
        <f t="shared" ca="1" si="17"/>
        <v>0.6289739487974676</v>
      </c>
    </row>
    <row r="83" spans="3:19" x14ac:dyDescent="0.35">
      <c r="C83" t="str">
        <f t="shared" si="9"/>
        <v/>
      </c>
      <c r="I83">
        <f t="shared" ca="1" si="10"/>
        <v>5.6940606405374754E-3</v>
      </c>
      <c r="J83">
        <f t="shared" ca="1" si="11"/>
        <v>8.5526820239054419E-2</v>
      </c>
      <c r="L83">
        <f t="shared" ca="1" si="12"/>
        <v>5.6940606405374754E-3</v>
      </c>
      <c r="M83">
        <f t="shared" ca="1" si="13"/>
        <v>8.5526820239054419E-2</v>
      </c>
      <c r="O83">
        <f t="shared" ca="1" si="14"/>
        <v>-0.11033708200332223</v>
      </c>
      <c r="P83">
        <f t="shared" ca="1" si="15"/>
        <v>-0.12593871608125218</v>
      </c>
      <c r="R83">
        <f t="shared" ca="1" si="16"/>
        <v>-0.15113305870548865</v>
      </c>
      <c r="S83">
        <f t="shared" ca="1" si="17"/>
        <v>0.63703771737179415</v>
      </c>
    </row>
    <row r="84" spans="3:19" x14ac:dyDescent="0.35">
      <c r="C84" t="str">
        <f t="shared" si="9"/>
        <v/>
      </c>
      <c r="I84">
        <f t="shared" ca="1" si="10"/>
        <v>5.7176824217289399E-3</v>
      </c>
      <c r="J84">
        <f t="shared" ca="1" si="11"/>
        <v>8.6609438216763965E-2</v>
      </c>
      <c r="L84">
        <f t="shared" ca="1" si="12"/>
        <v>5.7176824217289399E-3</v>
      </c>
      <c r="M84">
        <f t="shared" ca="1" si="13"/>
        <v>8.6609438216763965E-2</v>
      </c>
      <c r="O84">
        <f t="shared" ca="1" si="14"/>
        <v>-0.10576194866551769</v>
      </c>
      <c r="P84">
        <f t="shared" ca="1" si="15"/>
        <v>-0.11964178027718964</v>
      </c>
      <c r="R84">
        <f t="shared" ca="1" si="16"/>
        <v>-0.14654369903593367</v>
      </c>
      <c r="S84">
        <f t="shared" ca="1" si="17"/>
        <v>0.64510148594612071</v>
      </c>
    </row>
    <row r="85" spans="3:19" x14ac:dyDescent="0.35">
      <c r="C85" t="str">
        <f t="shared" si="9"/>
        <v/>
      </c>
      <c r="I85">
        <f t="shared" ca="1" si="10"/>
        <v>5.7400928295259709E-3</v>
      </c>
      <c r="J85">
        <f t="shared" ca="1" si="11"/>
        <v>8.7692056194473511E-2</v>
      </c>
      <c r="L85">
        <f t="shared" ca="1" si="12"/>
        <v>5.7400928295259709E-3</v>
      </c>
      <c r="M85">
        <f t="shared" ca="1" si="13"/>
        <v>8.7692056194473511E-2</v>
      </c>
      <c r="O85">
        <f t="shared" ca="1" si="14"/>
        <v>-0.10108768682641189</v>
      </c>
      <c r="P85">
        <f t="shared" ca="1" si="15"/>
        <v>-0.11334484447312698</v>
      </c>
      <c r="R85">
        <f t="shared" ca="1" si="16"/>
        <v>-0.14179177845732793</v>
      </c>
      <c r="S85">
        <f t="shared" ca="1" si="17"/>
        <v>0.65316525452044716</v>
      </c>
    </row>
    <row r="86" spans="3:19" x14ac:dyDescent="0.35">
      <c r="C86" t="str">
        <f t="shared" si="9"/>
        <v/>
      </c>
      <c r="I86">
        <f t="shared" ca="1" si="10"/>
        <v>5.7612918639285676E-3</v>
      </c>
      <c r="J86">
        <f t="shared" ca="1" si="11"/>
        <v>8.8774674172183071E-2</v>
      </c>
      <c r="L86">
        <f t="shared" ca="1" si="12"/>
        <v>5.7612918639285676E-3</v>
      </c>
      <c r="M86">
        <f t="shared" ca="1" si="13"/>
        <v>8.8774674172183071E-2</v>
      </c>
      <c r="O86">
        <f t="shared" ca="1" si="14"/>
        <v>-9.6314296486004841E-2</v>
      </c>
      <c r="P86">
        <f t="shared" ca="1" si="15"/>
        <v>-0.10704790866906433</v>
      </c>
      <c r="R86">
        <f t="shared" ca="1" si="16"/>
        <v>-0.13687729696967144</v>
      </c>
      <c r="S86">
        <f t="shared" ca="1" si="17"/>
        <v>0.6612290230947736</v>
      </c>
    </row>
    <row r="87" spans="3:19" x14ac:dyDescent="0.35">
      <c r="C87" t="str">
        <f t="shared" si="9"/>
        <v/>
      </c>
      <c r="I87">
        <f t="shared" ca="1" si="10"/>
        <v>5.7812795249367298E-3</v>
      </c>
      <c r="J87">
        <f t="shared" ca="1" si="11"/>
        <v>8.9857292149892617E-2</v>
      </c>
      <c r="L87">
        <f t="shared" ca="1" si="12"/>
        <v>5.7812795249367298E-3</v>
      </c>
      <c r="M87">
        <f t="shared" ca="1" si="13"/>
        <v>8.9857292149892617E-2</v>
      </c>
      <c r="O87">
        <f t="shared" ca="1" si="14"/>
        <v>-9.1441777644296673E-2</v>
      </c>
      <c r="P87">
        <f t="shared" ca="1" si="15"/>
        <v>-0.10075097286500179</v>
      </c>
      <c r="R87">
        <f t="shared" ca="1" si="16"/>
        <v>-0.13180025457296429</v>
      </c>
      <c r="S87">
        <f t="shared" ca="1" si="17"/>
        <v>0.66929279166910016</v>
      </c>
    </row>
    <row r="88" spans="3:19" x14ac:dyDescent="0.35">
      <c r="C88" t="str">
        <f t="shared" si="9"/>
        <v/>
      </c>
      <c r="I88">
        <f t="shared" ca="1" si="10"/>
        <v>5.8000558125504585E-3</v>
      </c>
      <c r="J88">
        <f t="shared" ca="1" si="11"/>
        <v>9.093991012760215E-2</v>
      </c>
      <c r="L88">
        <f t="shared" ca="1" si="12"/>
        <v>5.8000558125504585E-3</v>
      </c>
      <c r="M88">
        <f t="shared" ca="1" si="13"/>
        <v>9.093991012760215E-2</v>
      </c>
      <c r="O88">
        <f t="shared" ca="1" si="14"/>
        <v>-8.6470130301287224E-2</v>
      </c>
      <c r="P88">
        <f t="shared" ca="1" si="15"/>
        <v>-9.4454037060939133E-2</v>
      </c>
      <c r="R88">
        <f t="shared" ca="1" si="16"/>
        <v>-0.12656065126720639</v>
      </c>
      <c r="S88">
        <f t="shared" ca="1" si="17"/>
        <v>0.67735656024342661</v>
      </c>
    </row>
    <row r="89" spans="3:19" x14ac:dyDescent="0.35">
      <c r="C89" t="str">
        <f t="shared" si="9"/>
        <v/>
      </c>
      <c r="I89">
        <f t="shared" ca="1" si="10"/>
        <v>5.8176207267697528E-3</v>
      </c>
      <c r="J89">
        <f t="shared" ca="1" si="11"/>
        <v>9.2022528105311696E-2</v>
      </c>
      <c r="L89">
        <f t="shared" ca="1" si="12"/>
        <v>5.8176207267697528E-3</v>
      </c>
      <c r="M89">
        <f t="shared" ca="1" si="13"/>
        <v>9.2022528105311696E-2</v>
      </c>
      <c r="O89">
        <f t="shared" ca="1" si="14"/>
        <v>-8.139935445697663E-2</v>
      </c>
      <c r="P89">
        <f t="shared" ca="1" si="15"/>
        <v>-8.8157101256876591E-2</v>
      </c>
      <c r="R89">
        <f t="shared" ca="1" si="16"/>
        <v>-0.12115848705239729</v>
      </c>
      <c r="S89">
        <f t="shared" ca="1" si="17"/>
        <v>0.68542032881775328</v>
      </c>
    </row>
    <row r="90" spans="3:19" x14ac:dyDescent="0.35">
      <c r="C90" t="str">
        <f t="shared" si="9"/>
        <v/>
      </c>
      <c r="I90">
        <f t="shared" ca="1" si="10"/>
        <v>5.8339742675946127E-3</v>
      </c>
      <c r="J90">
        <f t="shared" ca="1" si="11"/>
        <v>9.3105146083021256E-2</v>
      </c>
      <c r="L90">
        <f t="shared" ca="1" si="12"/>
        <v>5.8339742675946127E-3</v>
      </c>
      <c r="M90">
        <f t="shared" ca="1" si="13"/>
        <v>9.3105146083021256E-2</v>
      </c>
      <c r="O90">
        <f t="shared" ca="1" si="14"/>
        <v>-7.6229450111364713E-2</v>
      </c>
      <c r="P90">
        <f t="shared" ca="1" si="15"/>
        <v>-8.1860165452813938E-2</v>
      </c>
      <c r="R90">
        <f t="shared" ca="1" si="16"/>
        <v>-0.11559376192853776</v>
      </c>
      <c r="S90">
        <f t="shared" ca="1" si="17"/>
        <v>0.69348409739207972</v>
      </c>
    </row>
    <row r="91" spans="3:19" x14ac:dyDescent="0.35">
      <c r="C91" t="str">
        <f t="shared" si="9"/>
        <v/>
      </c>
      <c r="I91">
        <f t="shared" ca="1" si="10"/>
        <v>5.8491164350250391E-3</v>
      </c>
      <c r="J91">
        <f t="shared" ca="1" si="11"/>
        <v>9.4187764060730803E-2</v>
      </c>
      <c r="L91">
        <f t="shared" ca="1" si="12"/>
        <v>5.8491164350250391E-3</v>
      </c>
      <c r="M91">
        <f t="shared" ca="1" si="13"/>
        <v>9.4187764060730803E-2</v>
      </c>
      <c r="O91">
        <f t="shared" ca="1" si="14"/>
        <v>-7.0960417264451611E-2</v>
      </c>
      <c r="P91">
        <f t="shared" ca="1" si="15"/>
        <v>-7.5563229648751284E-2</v>
      </c>
      <c r="R91">
        <f t="shared" ca="1" si="16"/>
        <v>-0.1098664758956277</v>
      </c>
      <c r="S91">
        <f t="shared" ca="1" si="17"/>
        <v>0.70154786596640617</v>
      </c>
    </row>
    <row r="92" spans="3:19" x14ac:dyDescent="0.35">
      <c r="C92" t="str">
        <f t="shared" si="9"/>
        <v/>
      </c>
      <c r="I92">
        <f t="shared" ca="1" si="10"/>
        <v>5.8630472290610311E-3</v>
      </c>
      <c r="J92">
        <f t="shared" ca="1" si="11"/>
        <v>9.5270382038440349E-2</v>
      </c>
      <c r="L92">
        <f t="shared" ca="1" si="12"/>
        <v>5.8630472290610311E-3</v>
      </c>
      <c r="M92">
        <f t="shared" ca="1" si="13"/>
        <v>9.5270382038440349E-2</v>
      </c>
      <c r="O92">
        <f t="shared" ca="1" si="14"/>
        <v>-6.5592255916237366E-2</v>
      </c>
      <c r="P92">
        <f t="shared" ca="1" si="15"/>
        <v>-6.9266293844688742E-2</v>
      </c>
      <c r="R92">
        <f t="shared" ca="1" si="16"/>
        <v>-0.10397662895366677</v>
      </c>
      <c r="S92">
        <f t="shared" ca="1" si="17"/>
        <v>0.70961163454073273</v>
      </c>
    </row>
    <row r="93" spans="3:19" x14ac:dyDescent="0.35">
      <c r="C93" t="str">
        <f t="shared" si="9"/>
        <v/>
      </c>
      <c r="I93">
        <f t="shared" ca="1" si="10"/>
        <v>5.8757666497025896E-3</v>
      </c>
      <c r="J93">
        <f t="shared" ca="1" si="11"/>
        <v>9.6353000016149909E-2</v>
      </c>
      <c r="L93">
        <f t="shared" ca="1" si="12"/>
        <v>5.8757666497025896E-3</v>
      </c>
      <c r="M93">
        <f t="shared" ca="1" si="13"/>
        <v>9.6353000016149909E-2</v>
      </c>
      <c r="O93">
        <f t="shared" ca="1" si="14"/>
        <v>-6.0124966066721817E-2</v>
      </c>
      <c r="P93">
        <f t="shared" ca="1" si="15"/>
        <v>-6.2969358040626089E-2</v>
      </c>
      <c r="R93">
        <f t="shared" ca="1" si="16"/>
        <v>-9.7924221102654974E-2</v>
      </c>
      <c r="S93">
        <f t="shared" ca="1" si="17"/>
        <v>0.71767540311505917</v>
      </c>
    </row>
    <row r="94" spans="3:19" x14ac:dyDescent="0.35">
      <c r="C94" t="str">
        <f t="shared" si="9"/>
        <v/>
      </c>
      <c r="I94">
        <f t="shared" ca="1" si="10"/>
        <v>5.8872746969497137E-3</v>
      </c>
      <c r="J94">
        <f t="shared" ca="1" si="11"/>
        <v>9.7435617993859455E-2</v>
      </c>
      <c r="L94">
        <f t="shared" ca="1" si="12"/>
        <v>5.8872746969497137E-3</v>
      </c>
      <c r="M94">
        <f t="shared" ca="1" si="13"/>
        <v>9.7435617993859455E-2</v>
      </c>
      <c r="O94">
        <f t="shared" ca="1" si="14"/>
        <v>-5.455854771590516E-2</v>
      </c>
      <c r="P94">
        <f t="shared" ca="1" si="15"/>
        <v>-5.6672422236563547E-2</v>
      </c>
      <c r="R94">
        <f t="shared" ca="1" si="16"/>
        <v>-9.170925234259264E-2</v>
      </c>
      <c r="S94">
        <f t="shared" ca="1" si="17"/>
        <v>0.72573917168938562</v>
      </c>
    </row>
    <row r="95" spans="3:19" x14ac:dyDescent="0.35">
      <c r="C95" t="str">
        <f t="shared" si="9"/>
        <v/>
      </c>
      <c r="I95">
        <f t="shared" ca="1" si="10"/>
        <v>5.8975713708024034E-3</v>
      </c>
      <c r="J95">
        <f t="shared" ca="1" si="11"/>
        <v>9.8518235971569001E-2</v>
      </c>
      <c r="L95">
        <f t="shared" ca="1" si="12"/>
        <v>5.8975713708024034E-3</v>
      </c>
      <c r="M95">
        <f t="shared" ca="1" si="13"/>
        <v>9.8518235971569001E-2</v>
      </c>
      <c r="O95">
        <f t="shared" ca="1" si="14"/>
        <v>-4.8893000863787207E-2</v>
      </c>
      <c r="P95">
        <f t="shared" ca="1" si="15"/>
        <v>-5.0375486432500893E-2</v>
      </c>
      <c r="R95">
        <f t="shared" ca="1" si="16"/>
        <v>-8.533172267347966E-2</v>
      </c>
      <c r="S95">
        <f t="shared" ca="1" si="17"/>
        <v>0.73380294026371229</v>
      </c>
    </row>
    <row r="96" spans="3:19" x14ac:dyDescent="0.35">
      <c r="C96" t="str">
        <f t="shared" si="9"/>
        <v/>
      </c>
      <c r="I96">
        <f t="shared" ca="1" si="10"/>
        <v>5.9066566712606587E-3</v>
      </c>
      <c r="J96">
        <f t="shared" ca="1" si="11"/>
        <v>9.9600853949278562E-2</v>
      </c>
      <c r="L96">
        <f t="shared" ca="1" si="12"/>
        <v>5.9066566712606587E-3</v>
      </c>
      <c r="M96">
        <f t="shared" ca="1" si="13"/>
        <v>9.9600853949278562E-2</v>
      </c>
      <c r="O96">
        <f t="shared" ca="1" si="14"/>
        <v>-4.3128325510368007E-2</v>
      </c>
      <c r="P96">
        <f t="shared" ca="1" si="15"/>
        <v>-4.407855062843824E-2</v>
      </c>
      <c r="R96">
        <f t="shared" ca="1" si="16"/>
        <v>-7.8791632095315478E-2</v>
      </c>
      <c r="S96">
        <f t="shared" ca="1" si="17"/>
        <v>0.74186670883803874</v>
      </c>
    </row>
    <row r="97" spans="3:19" x14ac:dyDescent="0.35">
      <c r="C97" t="str">
        <f t="shared" si="9"/>
        <v/>
      </c>
      <c r="I97">
        <f t="shared" ca="1" si="10"/>
        <v>5.9145305983244805E-3</v>
      </c>
      <c r="J97">
        <f t="shared" ca="1" si="11"/>
        <v>0.10068347192698811</v>
      </c>
      <c r="L97">
        <f t="shared" ca="1" si="12"/>
        <v>5.9145305983244805E-3</v>
      </c>
      <c r="M97">
        <f t="shared" ca="1" si="13"/>
        <v>0.10068347192698811</v>
      </c>
      <c r="O97">
        <f t="shared" ca="1" si="14"/>
        <v>-3.7264521655647601E-2</v>
      </c>
      <c r="P97">
        <f t="shared" ca="1" si="15"/>
        <v>-3.7781614824375587E-2</v>
      </c>
      <c r="R97">
        <f t="shared" ca="1" si="16"/>
        <v>-7.2088980608100872E-2</v>
      </c>
      <c r="S97">
        <f t="shared" ca="1" si="17"/>
        <v>0.74993047741236529</v>
      </c>
    </row>
    <row r="98" spans="3:19" x14ac:dyDescent="0.35">
      <c r="C98" t="str">
        <f t="shared" si="9"/>
        <v/>
      </c>
      <c r="I98">
        <f t="shared" ca="1" si="10"/>
        <v>5.921193151993868E-3</v>
      </c>
      <c r="J98">
        <f t="shared" ca="1" si="11"/>
        <v>0.10176608990469765</v>
      </c>
      <c r="L98">
        <f t="shared" ca="1" si="12"/>
        <v>5.921193151993868E-3</v>
      </c>
      <c r="M98">
        <f t="shared" ca="1" si="13"/>
        <v>0.10176608990469765</v>
      </c>
      <c r="O98">
        <f t="shared" ca="1" si="14"/>
        <v>-3.1301589299626086E-2</v>
      </c>
      <c r="P98">
        <f t="shared" ca="1" si="15"/>
        <v>-3.1484679020313044E-2</v>
      </c>
      <c r="R98">
        <f t="shared" ca="1" si="16"/>
        <v>-6.5223768211835731E-2</v>
      </c>
      <c r="S98">
        <f t="shared" ca="1" si="17"/>
        <v>0.75799424598669174</v>
      </c>
    </row>
    <row r="99" spans="3:19" x14ac:dyDescent="0.35">
      <c r="C99" t="str">
        <f t="shared" si="9"/>
        <v/>
      </c>
      <c r="I99">
        <f t="shared" ca="1" si="10"/>
        <v>5.9266443322688218E-3</v>
      </c>
      <c r="J99">
        <f t="shared" ca="1" si="11"/>
        <v>0.10284870788240721</v>
      </c>
      <c r="L99">
        <f t="shared" ca="1" si="12"/>
        <v>5.9266443322688218E-3</v>
      </c>
      <c r="M99">
        <f t="shared" ca="1" si="13"/>
        <v>0.10284870788240721</v>
      </c>
      <c r="O99">
        <f t="shared" ca="1" si="14"/>
        <v>-2.5239528442303271E-2</v>
      </c>
      <c r="P99">
        <f t="shared" ca="1" si="15"/>
        <v>-2.5187743216250391E-2</v>
      </c>
      <c r="R99">
        <f t="shared" ca="1" si="16"/>
        <v>-5.8195994906519388E-2</v>
      </c>
      <c r="S99">
        <f t="shared" ca="1" si="17"/>
        <v>0.76605801456101819</v>
      </c>
    </row>
    <row r="100" spans="3:19" x14ac:dyDescent="0.35">
      <c r="C100" t="str">
        <f t="shared" si="9"/>
        <v/>
      </c>
      <c r="I100">
        <f t="shared" ca="1" si="10"/>
        <v>5.9308841391493405E-3</v>
      </c>
      <c r="J100">
        <f t="shared" ca="1" si="11"/>
        <v>0.10393132586011675</v>
      </c>
      <c r="L100">
        <f t="shared" ca="1" si="12"/>
        <v>5.9308841391493405E-3</v>
      </c>
      <c r="M100">
        <f t="shared" ca="1" si="13"/>
        <v>0.10393132586011675</v>
      </c>
      <c r="O100">
        <f t="shared" ca="1" si="14"/>
        <v>-1.9078339083679306E-2</v>
      </c>
      <c r="P100">
        <f t="shared" ca="1" si="15"/>
        <v>-1.8890807412187849E-2</v>
      </c>
      <c r="R100">
        <f t="shared" ca="1" si="16"/>
        <v>-5.1005660692152621E-2</v>
      </c>
      <c r="S100">
        <f t="shared" ca="1" si="17"/>
        <v>0.77412178313534474</v>
      </c>
    </row>
    <row r="101" spans="3:19" x14ac:dyDescent="0.35">
      <c r="C101" t="str">
        <f t="shared" si="9"/>
        <v/>
      </c>
      <c r="I101">
        <f t="shared" ca="1" si="10"/>
        <v>5.9339125726354264E-3</v>
      </c>
      <c r="J101">
        <f t="shared" ca="1" si="11"/>
        <v>0.10501394383782629</v>
      </c>
      <c r="L101">
        <f t="shared" ca="1" si="12"/>
        <v>5.9339125726354264E-3</v>
      </c>
      <c r="M101">
        <f t="shared" ca="1" si="13"/>
        <v>0.10501394383782629</v>
      </c>
      <c r="O101">
        <f t="shared" ca="1" si="14"/>
        <v>-1.2818021223754063E-2</v>
      </c>
      <c r="P101">
        <f t="shared" ca="1" si="15"/>
        <v>-1.2593871608125196E-2</v>
      </c>
      <c r="R101">
        <f t="shared" ca="1" si="16"/>
        <v>-4.3652765568734875E-2</v>
      </c>
      <c r="S101">
        <f t="shared" ca="1" si="17"/>
        <v>0.7821855517096713</v>
      </c>
    </row>
    <row r="102" spans="3:19" x14ac:dyDescent="0.35">
      <c r="C102" t="str">
        <f t="shared" si="9"/>
        <v/>
      </c>
      <c r="I102">
        <f t="shared" ca="1" si="10"/>
        <v>5.9357296327270772E-3</v>
      </c>
      <c r="J102">
        <f t="shared" ca="1" si="11"/>
        <v>0.10609656181553584</v>
      </c>
      <c r="L102">
        <f t="shared" ca="1" si="12"/>
        <v>5.9357296327270772E-3</v>
      </c>
      <c r="M102">
        <f t="shared" ca="1" si="13"/>
        <v>0.10609656181553584</v>
      </c>
      <c r="O102">
        <f t="shared" ca="1" si="14"/>
        <v>-6.4585748625276976E-3</v>
      </c>
      <c r="P102">
        <f t="shared" ca="1" si="15"/>
        <v>-6.2969358040626533E-3</v>
      </c>
      <c r="R102">
        <f t="shared" ca="1" si="16"/>
        <v>-3.6137309536266593E-2</v>
      </c>
      <c r="S102">
        <f t="shared" ca="1" si="17"/>
        <v>0.79024932028399786</v>
      </c>
    </row>
    <row r="103" spans="3:19" x14ac:dyDescent="0.35">
      <c r="C103" t="str">
        <f t="shared" si="9"/>
        <v/>
      </c>
      <c r="I103">
        <f t="shared" ca="1" si="10"/>
        <v>5.9363353194242944E-3</v>
      </c>
      <c r="J103">
        <f t="shared" ca="1" si="11"/>
        <v>0.1071791797932454</v>
      </c>
      <c r="L103">
        <f t="shared" ca="1" si="12"/>
        <v>5.9363353194242944E-3</v>
      </c>
      <c r="M103">
        <f t="shared" ca="1" si="13"/>
        <v>0.1071791797932454</v>
      </c>
      <c r="O103">
        <f t="shared" ca="1" si="14"/>
        <v>0</v>
      </c>
      <c r="P103">
        <f t="shared" ca="1" si="15"/>
        <v>0</v>
      </c>
      <c r="R103">
        <f t="shared" ca="1" si="16"/>
        <v>-2.8459292594747332E-2</v>
      </c>
      <c r="S103">
        <f t="shared" ca="1" si="17"/>
        <v>0.7983130888583243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272</v>
      </c>
      <c r="C10" s="18">
        <v>-5.0000000000000002E-11</v>
      </c>
    </row>
    <row r="11" spans="1:3" x14ac:dyDescent="0.35">
      <c r="A11" s="18"/>
      <c r="B11" t="s">
        <v>273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6713-F724-43D6-A2E3-F460F0DEDDC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-0.57149445423768375</v>
      </c>
      <c r="C2">
        <v>2.6617913925404448E-2</v>
      </c>
      <c r="D2">
        <v>1.146048386240865E-2</v>
      </c>
    </row>
    <row r="3" spans="1:4" x14ac:dyDescent="0.35">
      <c r="A3">
        <v>-2.8461538461538463</v>
      </c>
      <c r="B3">
        <v>-0.60283922444256888</v>
      </c>
      <c r="C3">
        <v>2.8547264506444035E-2</v>
      </c>
      <c r="D3">
        <v>2.5947872183658689E-2</v>
      </c>
    </row>
    <row r="4" spans="1:4" x14ac:dyDescent="0.35">
      <c r="A4">
        <v>-2.6923076923076925</v>
      </c>
      <c r="B4">
        <v>-0.57861894883698473</v>
      </c>
      <c r="C4">
        <v>2.5097479626825393E-2</v>
      </c>
      <c r="D4">
        <v>2.0929740272439715E-2</v>
      </c>
    </row>
    <row r="5" spans="1:4" x14ac:dyDescent="0.35">
      <c r="A5">
        <v>-2.5384615384615383</v>
      </c>
      <c r="B5">
        <v>-0.54353688222456309</v>
      </c>
      <c r="C5">
        <v>2.1167243251047463E-2</v>
      </c>
      <c r="D5">
        <v>1.2244875087959982E-2</v>
      </c>
    </row>
    <row r="6" spans="1:4" x14ac:dyDescent="0.35">
      <c r="A6">
        <v>-2.3846153846153846</v>
      </c>
      <c r="B6">
        <v>-0.494315076410274</v>
      </c>
      <c r="C6">
        <v>1.687983530152317E-2</v>
      </c>
      <c r="D6">
        <v>-3.9314978865109736E-4</v>
      </c>
    </row>
    <row r="7" spans="1:4" x14ac:dyDescent="0.35">
      <c r="A7">
        <v>-2.2307692307692308</v>
      </c>
      <c r="B7">
        <v>-0.43470644031750372</v>
      </c>
      <c r="C7">
        <v>1.3007889035975924E-2</v>
      </c>
      <c r="D7">
        <v>-1.3993107112764504E-2</v>
      </c>
    </row>
    <row r="8" spans="1:4" x14ac:dyDescent="0.35">
      <c r="A8">
        <v>-2.0769230769230766</v>
      </c>
      <c r="B8">
        <v>-0.37589180774071657</v>
      </c>
      <c r="C8">
        <v>1.0621943197623065E-2</v>
      </c>
      <c r="D8">
        <v>-2.3540194076384472E-2</v>
      </c>
    </row>
    <row r="9" spans="1:4" x14ac:dyDescent="0.35">
      <c r="A9">
        <v>-1.9230769230769229</v>
      </c>
      <c r="B9">
        <v>-0.3261483485836465</v>
      </c>
      <c r="C9">
        <v>9.6112026845433431E-3</v>
      </c>
      <c r="D9">
        <v>-2.7955747240868384E-2</v>
      </c>
    </row>
    <row r="10" spans="1:4" x14ac:dyDescent="0.35">
      <c r="A10">
        <v>-1.7692307692307692</v>
      </c>
      <c r="B10">
        <v>-0.31297321850941773</v>
      </c>
      <c r="C10">
        <v>8.0054593416149511E-3</v>
      </c>
      <c r="D10">
        <v>-2.9040916677824973E-2</v>
      </c>
    </row>
    <row r="11" spans="1:4" x14ac:dyDescent="0.35">
      <c r="A11">
        <v>-1.6153846153846154</v>
      </c>
      <c r="B11">
        <v>-0.2717728599182293</v>
      </c>
      <c r="C11">
        <v>9.3875405265977686E-3</v>
      </c>
      <c r="D11">
        <v>-2.1495590688312565E-2</v>
      </c>
    </row>
    <row r="12" spans="1:4" x14ac:dyDescent="0.35">
      <c r="A12">
        <v>-1.4615384615384615</v>
      </c>
      <c r="B12">
        <v>-0.19341319784263122</v>
      </c>
      <c r="C12">
        <v>9.3988273494738147E-3</v>
      </c>
      <c r="D12">
        <v>-2.1486429589174898E-2</v>
      </c>
    </row>
    <row r="13" spans="1:4" x14ac:dyDescent="0.35">
      <c r="A13">
        <v>-1.3076923076923075</v>
      </c>
      <c r="B13">
        <v>-0.15709245564464461</v>
      </c>
      <c r="C13">
        <v>8.7677491264976769E-3</v>
      </c>
      <c r="D13">
        <v>-2.3257206530626687E-2</v>
      </c>
    </row>
    <row r="14" spans="1:4" x14ac:dyDescent="0.35">
      <c r="A14">
        <v>-1.1538461538461537</v>
      </c>
      <c r="B14">
        <v>-0.13698971850773789</v>
      </c>
      <c r="C14">
        <v>8.1608247315563803E-3</v>
      </c>
      <c r="D14">
        <v>-2.5696527639764259E-2</v>
      </c>
    </row>
    <row r="15" spans="1:4" x14ac:dyDescent="0.35">
      <c r="A15">
        <v>-1</v>
      </c>
      <c r="B15">
        <v>-0.11464865853250159</v>
      </c>
      <c r="C15">
        <v>7.7268752101928946E-3</v>
      </c>
      <c r="D15">
        <v>-2.7343018195941766E-2</v>
      </c>
    </row>
    <row r="16" spans="1:4" x14ac:dyDescent="0.35">
      <c r="A16">
        <v>-0.84615384615384581</v>
      </c>
      <c r="B16">
        <v>-4.9004557159125078E-2</v>
      </c>
      <c r="C16">
        <v>7.5993766733254949E-3</v>
      </c>
      <c r="D16">
        <v>-2.8745406915980598E-2</v>
      </c>
    </row>
    <row r="17" spans="1:4" x14ac:dyDescent="0.35">
      <c r="A17">
        <v>-0.69230769230769207</v>
      </c>
      <c r="B17">
        <v>-1.2865664875796682E-2</v>
      </c>
      <c r="C17">
        <v>7.4045608993284183E-3</v>
      </c>
      <c r="D17">
        <v>-3.0721805209131363E-2</v>
      </c>
    </row>
    <row r="18" spans="1:4" x14ac:dyDescent="0.35">
      <c r="A18">
        <v>-0.53846153846153832</v>
      </c>
      <c r="B18">
        <v>2.3569329527803193E-2</v>
      </c>
      <c r="C18">
        <v>7.2744684276189967E-3</v>
      </c>
      <c r="D18">
        <v>-3.2836839082553158E-2</v>
      </c>
    </row>
    <row r="19" spans="1:4" x14ac:dyDescent="0.35">
      <c r="A19">
        <v>-0.38461538461538458</v>
      </c>
      <c r="B19">
        <v>6.0128484894164148E-2</v>
      </c>
      <c r="C19">
        <v>7.1993898993762398E-3</v>
      </c>
      <c r="D19">
        <v>-3.5022735280862867E-2</v>
      </c>
    </row>
    <row r="20" spans="1:4" x14ac:dyDescent="0.35">
      <c r="A20">
        <v>-0.23076923076923084</v>
      </c>
      <c r="B20">
        <v>9.6845881390727778E-2</v>
      </c>
      <c r="C20">
        <v>7.1704111566752611E-3</v>
      </c>
      <c r="D20">
        <v>-3.7248021200408515E-2</v>
      </c>
    </row>
    <row r="21" spans="1:4" x14ac:dyDescent="0.35">
      <c r="A21">
        <v>-7.692307692307665E-2</v>
      </c>
      <c r="B21">
        <v>0.13368925724720254</v>
      </c>
      <c r="C21">
        <v>7.1807102831623068E-3</v>
      </c>
      <c r="D21">
        <v>-3.9464707887018675E-2</v>
      </c>
    </row>
    <row r="22" spans="1:4" x14ac:dyDescent="0.35">
      <c r="A22">
        <v>7.6923076923077094E-2</v>
      </c>
      <c r="B22">
        <v>0.17064930962982286</v>
      </c>
      <c r="C22">
        <v>7.2299522018401596E-3</v>
      </c>
      <c r="D22">
        <v>-4.1620629286259446E-2</v>
      </c>
    </row>
    <row r="23" spans="1:4" x14ac:dyDescent="0.35">
      <c r="A23">
        <v>0.23076923076923084</v>
      </c>
      <c r="B23">
        <v>0.20764426021774479</v>
      </c>
      <c r="C23">
        <v>7.3206816342642912E-3</v>
      </c>
      <c r="D23">
        <v>-4.3637071598148697E-2</v>
      </c>
    </row>
    <row r="24" spans="1:4" x14ac:dyDescent="0.35">
      <c r="A24">
        <v>0.38461538461538503</v>
      </c>
      <c r="B24">
        <v>0.24473428505325576</v>
      </c>
      <c r="C24">
        <v>7.4562075760257066E-3</v>
      </c>
      <c r="D24">
        <v>-4.5439752942855224E-2</v>
      </c>
    </row>
    <row r="25" spans="1:4" x14ac:dyDescent="0.35">
      <c r="A25">
        <v>0.53846153846153877</v>
      </c>
      <c r="B25">
        <v>0.26734147086450621</v>
      </c>
      <c r="C25">
        <v>8.1024615100205432E-3</v>
      </c>
      <c r="D25">
        <v>-4.8025379798938866E-2</v>
      </c>
    </row>
    <row r="26" spans="1:4" x14ac:dyDescent="0.35">
      <c r="A26">
        <v>0.69230769230769251</v>
      </c>
      <c r="B26">
        <v>0.31976051263246968</v>
      </c>
      <c r="C26">
        <v>7.8758026999676805E-3</v>
      </c>
      <c r="D26">
        <v>-4.789575069109988E-2</v>
      </c>
    </row>
    <row r="27" spans="1:4" x14ac:dyDescent="0.35">
      <c r="A27">
        <v>0.84615384615384626</v>
      </c>
      <c r="B27">
        <v>0.36167157878188155</v>
      </c>
      <c r="C27">
        <v>8.2374741914167365E-3</v>
      </c>
      <c r="D27">
        <v>-4.9852245493731621E-2</v>
      </c>
    </row>
    <row r="28" spans="1:4" x14ac:dyDescent="0.35">
      <c r="A28">
        <v>1</v>
      </c>
      <c r="B28">
        <v>0.39727236092929374</v>
      </c>
      <c r="C28">
        <v>9.1343447375708473E-3</v>
      </c>
      <c r="D28">
        <v>-5.4224216523348405E-2</v>
      </c>
    </row>
    <row r="29" spans="1:4" x14ac:dyDescent="0.35">
      <c r="A29">
        <v>1.1538461538461542</v>
      </c>
      <c r="B29">
        <v>0.4591867507294205</v>
      </c>
      <c r="C29">
        <v>1.0559692552396664E-2</v>
      </c>
      <c r="D29">
        <v>-6.4858576117067718E-2</v>
      </c>
    </row>
    <row r="30" spans="1:4" x14ac:dyDescent="0.35">
      <c r="A30">
        <v>1.3076923076923084</v>
      </c>
      <c r="B30">
        <v>0.50522811869930406</v>
      </c>
      <c r="C30">
        <v>1.2696229318956021E-2</v>
      </c>
      <c r="D30">
        <v>-7.4240574231291795E-2</v>
      </c>
    </row>
    <row r="31" spans="1:4" x14ac:dyDescent="0.35">
      <c r="A31">
        <v>1.4615384615384617</v>
      </c>
      <c r="B31">
        <v>0.54483537750218358</v>
      </c>
      <c r="C31">
        <v>1.50818953717545E-2</v>
      </c>
      <c r="D31">
        <v>-8.2169965665900416E-2</v>
      </c>
    </row>
    <row r="32" spans="1:4" x14ac:dyDescent="0.35">
      <c r="A32">
        <v>1.6153846153846159</v>
      </c>
      <c r="B32">
        <v>0.58176869845473045</v>
      </c>
      <c r="C32">
        <v>1.7392694351342199E-2</v>
      </c>
      <c r="D32">
        <v>-8.8557702730472393E-2</v>
      </c>
    </row>
    <row r="33" spans="1:4" x14ac:dyDescent="0.35">
      <c r="A33">
        <v>1.7692307692307692</v>
      </c>
      <c r="B33">
        <v>0.60529871138431757</v>
      </c>
      <c r="C33">
        <v>1.9374496032053112E-2</v>
      </c>
      <c r="D33">
        <v>-9.1490247181863674E-2</v>
      </c>
    </row>
    <row r="34" spans="1:4" x14ac:dyDescent="0.35">
      <c r="A34">
        <v>1.9230769230769234</v>
      </c>
      <c r="B34">
        <v>0.62096769666370044</v>
      </c>
      <c r="C34">
        <v>2.1780602512960996E-2</v>
      </c>
      <c r="D34">
        <v>-9.5945680190473517E-2</v>
      </c>
    </row>
    <row r="35" spans="1:4" x14ac:dyDescent="0.35">
      <c r="A35">
        <v>2.0769230769230775</v>
      </c>
      <c r="B35">
        <v>0.67905688350881332</v>
      </c>
      <c r="C35">
        <v>2.3809456275446502E-2</v>
      </c>
      <c r="D35">
        <v>-9.6206902511275005E-2</v>
      </c>
    </row>
    <row r="36" spans="1:4" x14ac:dyDescent="0.35">
      <c r="A36">
        <v>2.2307692307692308</v>
      </c>
      <c r="B36">
        <v>0.70303005164996424</v>
      </c>
      <c r="C36">
        <v>2.6601900958044364E-2</v>
      </c>
      <c r="D36">
        <v>-9.9066350345434429E-2</v>
      </c>
    </row>
    <row r="37" spans="1:4" x14ac:dyDescent="0.35">
      <c r="A37">
        <v>2.384615384615385</v>
      </c>
      <c r="B37">
        <v>0.72027318786517236</v>
      </c>
      <c r="C37">
        <v>2.9306411051329806E-2</v>
      </c>
      <c r="D37">
        <v>-0.10022354124835166</v>
      </c>
    </row>
    <row r="38" spans="1:4" x14ac:dyDescent="0.35">
      <c r="A38">
        <v>2.5384615384615383</v>
      </c>
      <c r="B38">
        <v>0.735407814277385</v>
      </c>
      <c r="C38">
        <v>3.2060820776414097E-2</v>
      </c>
      <c r="D38">
        <v>-0.10098107541095791</v>
      </c>
    </row>
    <row r="39" spans="1:4" x14ac:dyDescent="0.35">
      <c r="A39">
        <v>2.6923076923076925</v>
      </c>
      <c r="B39">
        <v>0.74923462943673935</v>
      </c>
      <c r="C39">
        <v>3.485567214812043E-2</v>
      </c>
      <c r="D39">
        <v>-0.10147809011205194</v>
      </c>
    </row>
    <row r="40" spans="1:4" x14ac:dyDescent="0.35">
      <c r="A40">
        <v>2.8461538461538467</v>
      </c>
      <c r="B40">
        <v>0.76215512880148817</v>
      </c>
      <c r="C40">
        <v>3.7689131087400574E-2</v>
      </c>
      <c r="D40">
        <v>-0.10180101725101562</v>
      </c>
    </row>
    <row r="41" spans="1:4" x14ac:dyDescent="0.35">
      <c r="A41">
        <v>3</v>
      </c>
      <c r="B41">
        <v>0.7744469972224558</v>
      </c>
      <c r="C41">
        <v>4.0565124134069812E-2</v>
      </c>
      <c r="D41">
        <v>-0.10202260540809015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4BAD5-0915-46C7-98CB-2F118FA81E0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-0.61278881346456759</v>
      </c>
      <c r="C2">
        <v>2.9635765913195222E-2</v>
      </c>
      <c r="D2">
        <v>2.49273457207243E-2</v>
      </c>
    </row>
    <row r="3" spans="1:4" x14ac:dyDescent="0.35">
      <c r="A3">
        <v>-2.8461538461538463</v>
      </c>
      <c r="B3">
        <v>-0.61161047450655848</v>
      </c>
      <c r="C3">
        <v>2.8638860031739797E-2</v>
      </c>
      <c r="D3">
        <v>2.9010787786082008E-2</v>
      </c>
    </row>
    <row r="4" spans="1:4" x14ac:dyDescent="0.35">
      <c r="A4">
        <v>-2.6923076923076925</v>
      </c>
      <c r="B4">
        <v>-0.58623515768894263</v>
      </c>
      <c r="C4">
        <v>2.5058503111071159E-2</v>
      </c>
      <c r="D4">
        <v>2.3461240054969367E-2</v>
      </c>
    </row>
    <row r="5" spans="1:4" x14ac:dyDescent="0.35">
      <c r="A5">
        <v>-2.5384615384615383</v>
      </c>
      <c r="B5">
        <v>-0.54870839310891417</v>
      </c>
      <c r="C5">
        <v>2.091567026608657E-2</v>
      </c>
      <c r="D5">
        <v>1.3754663531883225E-2</v>
      </c>
    </row>
    <row r="6" spans="1:4" x14ac:dyDescent="0.35">
      <c r="A6">
        <v>-2.3846153846153846</v>
      </c>
      <c r="B6">
        <v>-0.49630881280943545</v>
      </c>
      <c r="C6">
        <v>1.6400666473230418E-2</v>
      </c>
      <c r="D6">
        <v>-8.1877560130558163E-5</v>
      </c>
    </row>
    <row r="7" spans="1:4" x14ac:dyDescent="0.35">
      <c r="A7">
        <v>-2.2307692307692308</v>
      </c>
      <c r="B7">
        <v>-0.43947769729400504</v>
      </c>
      <c r="C7">
        <v>1.2538900655418836E-2</v>
      </c>
      <c r="D7">
        <v>-1.337040696254293E-2</v>
      </c>
    </row>
    <row r="8" spans="1:4" x14ac:dyDescent="0.35">
      <c r="A8">
        <v>-2.0769230769230766</v>
      </c>
      <c r="B8">
        <v>-0.38304002296270112</v>
      </c>
      <c r="C8">
        <v>1.0000970016212642E-2</v>
      </c>
      <c r="D8">
        <v>-2.3567926019964235E-2</v>
      </c>
    </row>
    <row r="9" spans="1:4" x14ac:dyDescent="0.35">
      <c r="A9">
        <v>-1.9230769230769229</v>
      </c>
      <c r="B9">
        <v>-0.33306806819012635</v>
      </c>
      <c r="C9">
        <v>8.7606229716860589E-3</v>
      </c>
      <c r="D9">
        <v>-2.7610143718697265E-2</v>
      </c>
    </row>
    <row r="10" spans="1:4" x14ac:dyDescent="0.35">
      <c r="A10">
        <v>-1.7692307692307692</v>
      </c>
      <c r="B10">
        <v>-0.30335537175798144</v>
      </c>
      <c r="C10">
        <v>8.212879144636958E-3</v>
      </c>
      <c r="D10">
        <v>-2.7473319070269026E-2</v>
      </c>
    </row>
    <row r="11" spans="1:4" x14ac:dyDescent="0.35">
      <c r="A11">
        <v>-1.6153846153846154</v>
      </c>
      <c r="B11">
        <v>-0.22843099607291242</v>
      </c>
      <c r="C11">
        <v>9.5025877115812764E-3</v>
      </c>
      <c r="D11">
        <v>-2.0571143009622563E-2</v>
      </c>
    </row>
    <row r="12" spans="1:4" x14ac:dyDescent="0.35">
      <c r="A12">
        <v>-1.4615384615384615</v>
      </c>
      <c r="B12">
        <v>-0.19063434524747688</v>
      </c>
      <c r="C12">
        <v>8.7237576098047886E-3</v>
      </c>
      <c r="D12">
        <v>-2.2499854589137801E-2</v>
      </c>
    </row>
    <row r="13" spans="1:4" x14ac:dyDescent="0.35">
      <c r="A13">
        <v>-1.3076923076923075</v>
      </c>
      <c r="B13">
        <v>-0.15388385117399864</v>
      </c>
      <c r="C13">
        <v>8.0903748992568261E-3</v>
      </c>
      <c r="D13">
        <v>-2.4341102784077803E-2</v>
      </c>
    </row>
    <row r="14" spans="1:4" x14ac:dyDescent="0.35">
      <c r="A14">
        <v>-1.1538461538461537</v>
      </c>
      <c r="B14">
        <v>-0.13323206810398799</v>
      </c>
      <c r="C14">
        <v>7.4885642013598711E-3</v>
      </c>
      <c r="D14">
        <v>-2.673258554510562E-2</v>
      </c>
    </row>
    <row r="15" spans="1:4" x14ac:dyDescent="0.35">
      <c r="A15">
        <v>-1</v>
      </c>
      <c r="B15">
        <v>-0.10631306092288083</v>
      </c>
      <c r="C15">
        <v>7.0263604358350509E-3</v>
      </c>
      <c r="D15">
        <v>-2.8514480911812898E-2</v>
      </c>
    </row>
    <row r="16" spans="1:4" x14ac:dyDescent="0.35">
      <c r="A16">
        <v>-0.84615384615384581</v>
      </c>
      <c r="B16">
        <v>-4.5099963521158665E-2</v>
      </c>
      <c r="C16">
        <v>6.9180514637180923E-3</v>
      </c>
      <c r="D16">
        <v>-3.0000027658976604E-2</v>
      </c>
    </row>
    <row r="17" spans="1:4" x14ac:dyDescent="0.35">
      <c r="A17">
        <v>-0.69230769230769207</v>
      </c>
      <c r="B17">
        <v>-1.4187029128720875E-2</v>
      </c>
      <c r="C17">
        <v>6.6645805107369994E-3</v>
      </c>
      <c r="D17">
        <v>-3.2456683118152869E-2</v>
      </c>
    </row>
    <row r="18" spans="1:4" x14ac:dyDescent="0.35">
      <c r="A18">
        <v>-0.53846153846153832</v>
      </c>
      <c r="B18">
        <v>2.8182861597068905E-2</v>
      </c>
      <c r="C18">
        <v>6.5925176161129688E-3</v>
      </c>
      <c r="D18">
        <v>-3.4224820471827448E-2</v>
      </c>
    </row>
    <row r="19" spans="1:4" x14ac:dyDescent="0.35">
      <c r="A19">
        <v>-0.38461538461538458</v>
      </c>
      <c r="B19">
        <v>5.7211203726546526E-2</v>
      </c>
      <c r="C19">
        <v>6.539812148958055E-3</v>
      </c>
      <c r="D19">
        <v>-3.6070152836668506E-2</v>
      </c>
    </row>
    <row r="20" spans="1:4" x14ac:dyDescent="0.35">
      <c r="A20">
        <v>-0.23076923076923084</v>
      </c>
      <c r="B20">
        <v>0.10245802793654664</v>
      </c>
      <c r="C20">
        <v>6.486516862012898E-3</v>
      </c>
      <c r="D20">
        <v>-3.8807541332860733E-2</v>
      </c>
    </row>
    <row r="21" spans="1:4" x14ac:dyDescent="0.35">
      <c r="A21">
        <v>-7.692307692307665E-2</v>
      </c>
      <c r="B21">
        <v>0.14016857927518653</v>
      </c>
      <c r="C21">
        <v>6.5013529197664177E-3</v>
      </c>
      <c r="D21">
        <v>-4.1167234781072273E-2</v>
      </c>
    </row>
    <row r="22" spans="1:4" x14ac:dyDescent="0.35">
      <c r="A22">
        <v>7.6923076923077094E-2</v>
      </c>
      <c r="B22">
        <v>0.17761611851618697</v>
      </c>
      <c r="C22">
        <v>6.5563377238935872E-3</v>
      </c>
      <c r="D22">
        <v>-4.3414796857934555E-2</v>
      </c>
    </row>
    <row r="23" spans="1:4" x14ac:dyDescent="0.35">
      <c r="A23">
        <v>0.23076923076923084</v>
      </c>
      <c r="B23">
        <v>0.21472630795645745</v>
      </c>
      <c r="C23">
        <v>6.6584532068690938E-3</v>
      </c>
      <c r="D23">
        <v>-4.5466981661188968E-2</v>
      </c>
    </row>
    <row r="24" spans="1:4" x14ac:dyDescent="0.35">
      <c r="A24">
        <v>0.38461538461538503</v>
      </c>
      <c r="B24">
        <v>0.24981232378113716</v>
      </c>
      <c r="C24">
        <v>6.8849887712216819E-3</v>
      </c>
      <c r="D24">
        <v>-4.7477069953633322E-2</v>
      </c>
    </row>
    <row r="25" spans="1:4" x14ac:dyDescent="0.35">
      <c r="A25">
        <v>0.53846153846153877</v>
      </c>
      <c r="B25">
        <v>0.28661291804281358</v>
      </c>
      <c r="C25">
        <v>7.1251929519455613E-3</v>
      </c>
      <c r="D25">
        <v>-4.909161095777323E-2</v>
      </c>
    </row>
    <row r="26" spans="1:4" x14ac:dyDescent="0.35">
      <c r="A26">
        <v>0.69230769230769251</v>
      </c>
      <c r="B26">
        <v>0.32885805996070844</v>
      </c>
      <c r="C26">
        <v>7.2180405252535683E-3</v>
      </c>
      <c r="D26">
        <v>-4.9548472450672551E-2</v>
      </c>
    </row>
    <row r="27" spans="1:4" x14ac:dyDescent="0.35">
      <c r="A27">
        <v>0.84615384615384626</v>
      </c>
      <c r="B27">
        <v>0.36581409599619263</v>
      </c>
      <c r="C27">
        <v>7.7828009399635656E-3</v>
      </c>
      <c r="D27">
        <v>-5.2143766889075745E-2</v>
      </c>
    </row>
    <row r="28" spans="1:4" x14ac:dyDescent="0.35">
      <c r="A28">
        <v>1</v>
      </c>
      <c r="B28">
        <v>0.40392795657177044</v>
      </c>
      <c r="C28">
        <v>8.7262267121529652E-3</v>
      </c>
      <c r="D28">
        <v>-5.6873599264283488E-2</v>
      </c>
    </row>
    <row r="29" spans="1:4" x14ac:dyDescent="0.35">
      <c r="A29">
        <v>1.1538461538461542</v>
      </c>
      <c r="B29">
        <v>0.47157887598382703</v>
      </c>
      <c r="C29">
        <v>1.0262837845482885E-2</v>
      </c>
      <c r="D29">
        <v>-6.9126449182321067E-2</v>
      </c>
    </row>
    <row r="30" spans="1:4" x14ac:dyDescent="0.35">
      <c r="A30">
        <v>1.3076923076923084</v>
      </c>
      <c r="B30">
        <v>0.5107440942147653</v>
      </c>
      <c r="C30">
        <v>1.2345851952022164E-2</v>
      </c>
      <c r="D30">
        <v>-7.7402551185220728E-2</v>
      </c>
    </row>
    <row r="31" spans="1:4" x14ac:dyDescent="0.35">
      <c r="A31">
        <v>1.4615384615384617</v>
      </c>
      <c r="B31">
        <v>0.55948253167534068</v>
      </c>
      <c r="C31">
        <v>1.5145396230397941E-2</v>
      </c>
      <c r="D31">
        <v>-8.7700133192607804E-2</v>
      </c>
    </row>
    <row r="32" spans="1:4" x14ac:dyDescent="0.35">
      <c r="A32">
        <v>1.6153846153846159</v>
      </c>
      <c r="B32">
        <v>0.59679065661923414</v>
      </c>
      <c r="C32">
        <v>1.740166306703789E-2</v>
      </c>
      <c r="D32">
        <v>-9.3871023151456262E-2</v>
      </c>
    </row>
    <row r="33" spans="1:4" x14ac:dyDescent="0.35">
      <c r="A33">
        <v>1.7692307692307692</v>
      </c>
      <c r="B33">
        <v>0.61374711055264097</v>
      </c>
      <c r="C33">
        <v>1.9296344155053449E-2</v>
      </c>
      <c r="D33">
        <v>-9.6933224084272768E-2</v>
      </c>
    </row>
    <row r="34" spans="1:4" x14ac:dyDescent="0.35">
      <c r="A34">
        <v>1.9230769230769234</v>
      </c>
      <c r="B34">
        <v>0.62538824599934328</v>
      </c>
      <c r="C34">
        <v>2.1369206278741559E-2</v>
      </c>
      <c r="D34">
        <v>-9.9932365342153176E-2</v>
      </c>
    </row>
    <row r="35" spans="1:4" x14ac:dyDescent="0.35">
      <c r="A35">
        <v>2.0769230769230775</v>
      </c>
      <c r="B35">
        <v>0.69397080136060152</v>
      </c>
      <c r="C35">
        <v>2.4208317805601731E-2</v>
      </c>
      <c r="D35">
        <v>-0.10215836822561923</v>
      </c>
    </row>
    <row r="36" spans="1:4" x14ac:dyDescent="0.35">
      <c r="A36">
        <v>2.2307692307692308</v>
      </c>
      <c r="B36">
        <v>0.71656818123492028</v>
      </c>
      <c r="C36">
        <v>2.700846354176048E-2</v>
      </c>
      <c r="D36">
        <v>-0.10473915262336919</v>
      </c>
    </row>
    <row r="37" spans="1:4" x14ac:dyDescent="0.35">
      <c r="A37">
        <v>2.384615384615385</v>
      </c>
      <c r="B37">
        <v>0.73329049272287017</v>
      </c>
      <c r="C37">
        <v>2.9734872940029786E-2</v>
      </c>
      <c r="D37">
        <v>-0.10578995103044082</v>
      </c>
    </row>
    <row r="38" spans="1:4" x14ac:dyDescent="0.35">
      <c r="A38">
        <v>2.5384615384615383</v>
      </c>
      <c r="B38">
        <v>0.74939595358698208</v>
      </c>
      <c r="C38">
        <v>3.2613225539043833E-2</v>
      </c>
      <c r="D38">
        <v>-0.10701531018460878</v>
      </c>
    </row>
    <row r="39" spans="1:4" x14ac:dyDescent="0.35">
      <c r="A39">
        <v>2.6923076923076925</v>
      </c>
      <c r="B39">
        <v>0.76233022169822484</v>
      </c>
      <c r="C39">
        <v>3.5366940798835247E-2</v>
      </c>
      <c r="D39">
        <v>-0.1071545164062422</v>
      </c>
    </row>
    <row r="40" spans="1:4" x14ac:dyDescent="0.35">
      <c r="A40">
        <v>2.8461538461538467</v>
      </c>
      <c r="B40">
        <v>0.77540179510296026</v>
      </c>
      <c r="C40">
        <v>3.8236275792243535E-2</v>
      </c>
      <c r="D40">
        <v>-0.10764280669002027</v>
      </c>
    </row>
    <row r="41" spans="1:4" x14ac:dyDescent="0.35">
      <c r="A41">
        <v>3</v>
      </c>
      <c r="B41">
        <v>0.78711420458108672</v>
      </c>
      <c r="C41">
        <v>4.1097142726497934E-2</v>
      </c>
      <c r="D41">
        <v>-0.10754800818470911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3F30-567D-494D-9D69-DD8BB7DE0B3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-0.62339664460219835</v>
      </c>
      <c r="C2">
        <v>3.0597182097193094E-2</v>
      </c>
      <c r="D2">
        <v>3.0994877031469938E-2</v>
      </c>
    </row>
    <row r="3" spans="1:4" x14ac:dyDescent="0.35">
      <c r="A3">
        <v>-2.8461538461538463</v>
      </c>
      <c r="B3">
        <v>-0.62005530215751237</v>
      </c>
      <c r="C3">
        <v>2.8801444285960359E-2</v>
      </c>
      <c r="D3">
        <v>3.1997648273347758E-2</v>
      </c>
    </row>
    <row r="4" spans="1:4" x14ac:dyDescent="0.35">
      <c r="A4">
        <v>-2.6923076923076925</v>
      </c>
      <c r="B4">
        <v>-0.59365502073221532</v>
      </c>
      <c r="C4">
        <v>2.5102079854752716E-2</v>
      </c>
      <c r="D4">
        <v>2.595574080392234E-2</v>
      </c>
    </row>
    <row r="5" spans="1:4" x14ac:dyDescent="0.35">
      <c r="A5">
        <v>-2.5384615384615383</v>
      </c>
      <c r="B5">
        <v>-0.55352792651082472</v>
      </c>
      <c r="C5">
        <v>2.0740298911620523E-2</v>
      </c>
      <c r="D5">
        <v>1.5168272462744754E-2</v>
      </c>
    </row>
    <row r="6" spans="1:4" x14ac:dyDescent="0.35">
      <c r="A6">
        <v>-2.3846153846153846</v>
      </c>
      <c r="B6">
        <v>-0.49818712722665437</v>
      </c>
      <c r="C6">
        <v>1.6015018859291887E-2</v>
      </c>
      <c r="D6">
        <v>2.193406565438363E-4</v>
      </c>
    </row>
    <row r="7" spans="1:4" x14ac:dyDescent="0.35">
      <c r="A7">
        <v>-2.2307692307692308</v>
      </c>
      <c r="B7">
        <v>-0.44433063471650885</v>
      </c>
      <c r="C7">
        <v>1.2226014713292233E-2</v>
      </c>
      <c r="D7">
        <v>-1.2674688798873493E-2</v>
      </c>
    </row>
    <row r="8" spans="1:4" x14ac:dyDescent="0.35">
      <c r="A8">
        <v>-2.0769230769230766</v>
      </c>
      <c r="B8">
        <v>-0.40184066160179249</v>
      </c>
      <c r="C8">
        <v>9.7082141916320745E-3</v>
      </c>
      <c r="D8">
        <v>-2.0954552972693632E-2</v>
      </c>
    </row>
    <row r="9" spans="1:4" x14ac:dyDescent="0.35">
      <c r="A9">
        <v>-1.9230769230769229</v>
      </c>
      <c r="B9">
        <v>-0.32435874752509397</v>
      </c>
      <c r="C9">
        <v>8.2387173693931875E-3</v>
      </c>
      <c r="D9">
        <v>-2.8433827438677353E-2</v>
      </c>
    </row>
    <row r="10" spans="1:4" x14ac:dyDescent="0.35">
      <c r="A10">
        <v>-1.7692307692307692</v>
      </c>
      <c r="B10">
        <v>-0.29906794812513099</v>
      </c>
      <c r="C10">
        <v>7.8249066474851067E-3</v>
      </c>
      <c r="D10">
        <v>-2.7460419667833129E-2</v>
      </c>
    </row>
    <row r="11" spans="1:4" x14ac:dyDescent="0.35">
      <c r="A11">
        <v>-1.6153846153846154</v>
      </c>
      <c r="B11">
        <v>-0.24465033714380011</v>
      </c>
      <c r="C11">
        <v>8.8803053433335506E-3</v>
      </c>
      <c r="D11">
        <v>-2.1720977754903274E-2</v>
      </c>
    </row>
    <row r="12" spans="1:4" x14ac:dyDescent="0.35">
      <c r="A12">
        <v>-1.4615384615384615</v>
      </c>
      <c r="B12">
        <v>-0.18817776912536624</v>
      </c>
      <c r="C12">
        <v>8.1693770172176199E-3</v>
      </c>
      <c r="D12">
        <v>-2.3374999051428841E-2</v>
      </c>
    </row>
    <row r="13" spans="1:4" x14ac:dyDescent="0.35">
      <c r="A13">
        <v>-1.3076923076923075</v>
      </c>
      <c r="B13">
        <v>-0.15107145181358417</v>
      </c>
      <c r="C13">
        <v>7.5348601804308196E-3</v>
      </c>
      <c r="D13">
        <v>-2.5274981365780498E-2</v>
      </c>
    </row>
    <row r="14" spans="1:4" x14ac:dyDescent="0.35">
      <c r="A14">
        <v>-1.1538461538461537</v>
      </c>
      <c r="B14">
        <v>-0.12865462454901341</v>
      </c>
      <c r="C14">
        <v>6.9851513155388383E-3</v>
      </c>
      <c r="D14">
        <v>-2.7391442292571799E-2</v>
      </c>
    </row>
    <row r="15" spans="1:4" x14ac:dyDescent="0.35">
      <c r="A15">
        <v>-1</v>
      </c>
      <c r="B15">
        <v>-7.7624472255423821E-2</v>
      </c>
      <c r="C15">
        <v>6.6430578991315305E-3</v>
      </c>
      <c r="D15">
        <v>-2.9107706544841457E-2</v>
      </c>
    </row>
    <row r="16" spans="1:4" x14ac:dyDescent="0.35">
      <c r="A16">
        <v>-0.84615384615384581</v>
      </c>
      <c r="B16">
        <v>-4.3540040736006244E-2</v>
      </c>
      <c r="C16">
        <v>6.3339497566668517E-3</v>
      </c>
      <c r="D16">
        <v>-3.1243592079002572E-2</v>
      </c>
    </row>
    <row r="17" spans="1:4" x14ac:dyDescent="0.35">
      <c r="A17">
        <v>-0.69230769230769207</v>
      </c>
      <c r="B17">
        <v>-1.2146321188095959E-2</v>
      </c>
      <c r="C17">
        <v>6.0904853542494359E-3</v>
      </c>
      <c r="D17">
        <v>-3.3392411381530367E-2</v>
      </c>
    </row>
    <row r="18" spans="1:4" x14ac:dyDescent="0.35">
      <c r="A18">
        <v>-0.53846153846153832</v>
      </c>
      <c r="B18">
        <v>3.2281129040102309E-2</v>
      </c>
      <c r="C18">
        <v>6.0302914443841164E-3</v>
      </c>
      <c r="D18">
        <v>-3.5414547643743986E-2</v>
      </c>
    </row>
    <row r="19" spans="1:4" x14ac:dyDescent="0.35">
      <c r="A19">
        <v>-0.38461538461538458</v>
      </c>
      <c r="B19">
        <v>7.0435792596942895E-2</v>
      </c>
      <c r="C19">
        <v>5.9571382236185081E-3</v>
      </c>
      <c r="D19">
        <v>-3.7849408148367347E-2</v>
      </c>
    </row>
    <row r="20" spans="1:4" x14ac:dyDescent="0.35">
      <c r="A20">
        <v>-0.23076923076923084</v>
      </c>
      <c r="B20">
        <v>0.1071791797932454</v>
      </c>
      <c r="C20">
        <v>5.9363353194242944E-3</v>
      </c>
      <c r="D20">
        <v>-4.0159062973211042E-2</v>
      </c>
    </row>
    <row r="21" spans="1:4" x14ac:dyDescent="0.35">
      <c r="A21">
        <v>-7.692307692307665E-2</v>
      </c>
      <c r="B21">
        <v>0.1448906627649752</v>
      </c>
      <c r="C21">
        <v>5.9521613175005745E-3</v>
      </c>
      <c r="D21">
        <v>-4.2514969291657441E-2</v>
      </c>
    </row>
    <row r="22" spans="1:4" x14ac:dyDescent="0.35">
      <c r="A22">
        <v>7.6923076923077094E-2</v>
      </c>
      <c r="B22">
        <v>0.18359857633859389</v>
      </c>
      <c r="C22">
        <v>6.0060996564505094E-3</v>
      </c>
      <c r="D22">
        <v>-4.4939429786143154E-2</v>
      </c>
    </row>
    <row r="23" spans="1:4" x14ac:dyDescent="0.35">
      <c r="A23">
        <v>0.23076923076923084</v>
      </c>
      <c r="B23">
        <v>0.2209502218147556</v>
      </c>
      <c r="C23">
        <v>6.1188065656080735E-3</v>
      </c>
      <c r="D23">
        <v>-4.7049393307068671E-2</v>
      </c>
    </row>
    <row r="24" spans="1:4" x14ac:dyDescent="0.35">
      <c r="A24">
        <v>0.38461538461538503</v>
      </c>
      <c r="B24">
        <v>0.25875544614195373</v>
      </c>
      <c r="C24">
        <v>6.2561156907074084E-3</v>
      </c>
      <c r="D24">
        <v>-4.8856741335329308E-2</v>
      </c>
    </row>
    <row r="25" spans="1:4" x14ac:dyDescent="0.35">
      <c r="A25">
        <v>0.53846153846153877</v>
      </c>
      <c r="B25">
        <v>0.2864293851236876</v>
      </c>
      <c r="C25">
        <v>6.8419033392080886E-3</v>
      </c>
      <c r="D25">
        <v>-5.1564595924005675E-2</v>
      </c>
    </row>
    <row r="26" spans="1:4" x14ac:dyDescent="0.35">
      <c r="A26">
        <v>0.69230769230769251</v>
      </c>
      <c r="B26">
        <v>0.32352231285649452</v>
      </c>
      <c r="C26">
        <v>7.1597295454497462E-3</v>
      </c>
      <c r="D26">
        <v>-5.2834835702378541E-2</v>
      </c>
    </row>
    <row r="27" spans="1:4" x14ac:dyDescent="0.35">
      <c r="A27">
        <v>0.84615384615384626</v>
      </c>
      <c r="B27">
        <v>0.3803740347681589</v>
      </c>
      <c r="C27">
        <v>7.1583783837416582E-3</v>
      </c>
      <c r="D27">
        <v>-5.4719668162146046E-2</v>
      </c>
    </row>
    <row r="28" spans="1:4" x14ac:dyDescent="0.35">
      <c r="A28">
        <v>1</v>
      </c>
      <c r="B28">
        <v>0.41685287421886835</v>
      </c>
      <c r="C28">
        <v>8.2020626214763664E-3</v>
      </c>
      <c r="D28">
        <v>-6.0283886320440259E-2</v>
      </c>
    </row>
    <row r="29" spans="1:4" x14ac:dyDescent="0.35">
      <c r="A29">
        <v>1.1538461538461542</v>
      </c>
      <c r="B29">
        <v>0.46350420615769528</v>
      </c>
      <c r="C29">
        <v>9.6913266808225165E-3</v>
      </c>
      <c r="D29">
        <v>-6.893792331768038E-2</v>
      </c>
    </row>
    <row r="30" spans="1:4" x14ac:dyDescent="0.35">
      <c r="A30">
        <v>1.3076923076923084</v>
      </c>
      <c r="B30">
        <v>0.53161745241065206</v>
      </c>
      <c r="C30">
        <v>1.2608737448071644E-2</v>
      </c>
      <c r="D30">
        <v>-8.3966807452526632E-2</v>
      </c>
    </row>
    <row r="31" spans="1:4" x14ac:dyDescent="0.35">
      <c r="A31">
        <v>1.4615384615384617</v>
      </c>
      <c r="B31">
        <v>0.57210724312284755</v>
      </c>
      <c r="C31">
        <v>1.5263106869413129E-2</v>
      </c>
      <c r="D31">
        <v>-9.2546851674016911E-2</v>
      </c>
    </row>
    <row r="32" spans="1:4" x14ac:dyDescent="0.35">
      <c r="A32">
        <v>1.6153846153846159</v>
      </c>
      <c r="B32">
        <v>0.60818843064942263</v>
      </c>
      <c r="C32">
        <v>1.7495117887923153E-2</v>
      </c>
      <c r="D32">
        <v>-9.8261158520540459E-2</v>
      </c>
    </row>
    <row r="33" spans="1:4" x14ac:dyDescent="0.35">
      <c r="A33">
        <v>1.7692307692307692</v>
      </c>
      <c r="B33">
        <v>0.62268557761986565</v>
      </c>
      <c r="C33">
        <v>1.9419255845318208E-2</v>
      </c>
      <c r="D33">
        <v>-0.10096312057609816</v>
      </c>
    </row>
    <row r="34" spans="1:4" x14ac:dyDescent="0.35">
      <c r="A34">
        <v>1.9230769230769234</v>
      </c>
      <c r="B34">
        <v>0.63925692257325939</v>
      </c>
      <c r="C34">
        <v>2.1838308502704559E-2</v>
      </c>
      <c r="D34">
        <v>-0.10496110267638351</v>
      </c>
    </row>
    <row r="35" spans="1:4" x14ac:dyDescent="0.35">
      <c r="A35">
        <v>2.0769230769230775</v>
      </c>
      <c r="B35">
        <v>0.70673641821151711</v>
      </c>
      <c r="C35">
        <v>2.4607919475820469E-2</v>
      </c>
      <c r="D35">
        <v>-0.10737034128132721</v>
      </c>
    </row>
    <row r="36" spans="1:4" x14ac:dyDescent="0.35">
      <c r="A36">
        <v>2.2307692307692308</v>
      </c>
      <c r="B36">
        <v>0.72817096998693942</v>
      </c>
      <c r="C36">
        <v>2.7408271323253065E-2</v>
      </c>
      <c r="D36">
        <v>-0.10968339373564029</v>
      </c>
    </row>
    <row r="37" spans="1:4" x14ac:dyDescent="0.35">
      <c r="A37">
        <v>2.384615384615385</v>
      </c>
      <c r="B37">
        <v>0.74458066808380341</v>
      </c>
      <c r="C37">
        <v>3.0156803571172001E-2</v>
      </c>
      <c r="D37">
        <v>-0.11068400017802268</v>
      </c>
    </row>
    <row r="38" spans="1:4" x14ac:dyDescent="0.35">
      <c r="A38">
        <v>2.5384615384615383</v>
      </c>
      <c r="B38">
        <v>0.75939920460825194</v>
      </c>
      <c r="C38">
        <v>3.2960543027673476E-2</v>
      </c>
      <c r="D38">
        <v>-0.11140146990816352</v>
      </c>
    </row>
    <row r="39" spans="1:4" x14ac:dyDescent="0.35">
      <c r="A39">
        <v>2.6923076923076925</v>
      </c>
      <c r="B39">
        <v>0.77308479793731155</v>
      </c>
      <c r="C39">
        <v>3.580447715896104E-2</v>
      </c>
      <c r="D39">
        <v>-0.11189109848319702</v>
      </c>
    </row>
    <row r="40" spans="1:4" x14ac:dyDescent="0.35">
      <c r="A40">
        <v>2.8461538461538467</v>
      </c>
      <c r="B40">
        <v>0.7864372454628864</v>
      </c>
      <c r="C40">
        <v>3.8736928493323448E-2</v>
      </c>
      <c r="D40">
        <v>-0.11242311139619203</v>
      </c>
    </row>
    <row r="41" spans="1:4" x14ac:dyDescent="0.35">
      <c r="A41">
        <v>3</v>
      </c>
      <c r="B41">
        <v>0.7983130888583243</v>
      </c>
      <c r="C41">
        <v>4.1620857547373838E-2</v>
      </c>
      <c r="D41">
        <v>-0.11249183142808493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237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236</v>
      </c>
      <c r="B3">
        <v>10</v>
      </c>
      <c r="C3">
        <v>50</v>
      </c>
      <c r="D3">
        <v>10</v>
      </c>
    </row>
    <row r="5" spans="1:31" x14ac:dyDescent="0.35">
      <c r="A5" t="s">
        <v>262</v>
      </c>
    </row>
    <row r="7" spans="1:31" x14ac:dyDescent="0.35">
      <c r="A7" t="s">
        <v>251</v>
      </c>
      <c r="B7" s="6"/>
      <c r="C7" s="21" t="s">
        <v>236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233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236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252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258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232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251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236</v>
      </c>
      <c r="B2">
        <v>40</v>
      </c>
    </row>
    <row r="4" spans="1:10" x14ac:dyDescent="0.35">
      <c r="A4" t="s">
        <v>262</v>
      </c>
    </row>
    <row r="6" spans="1:10" x14ac:dyDescent="0.35">
      <c r="A6" s="7" t="s">
        <v>263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252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258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232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251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268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266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251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N7" sqref="N7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236</v>
      </c>
      <c r="B1">
        <v>30</v>
      </c>
    </row>
    <row r="3" spans="1:14" x14ac:dyDescent="0.35">
      <c r="A3" t="s">
        <v>282</v>
      </c>
    </row>
    <row r="5" spans="1:14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285</v>
      </c>
      <c r="L5" t="s">
        <v>236</v>
      </c>
      <c r="M5">
        <v>28</v>
      </c>
      <c r="N5" t="s">
        <v>287</v>
      </c>
    </row>
    <row r="6" spans="1:14" x14ac:dyDescent="0.35">
      <c r="B6" s="7" t="s">
        <v>263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J6" s="35"/>
      <c r="K6" s="35"/>
      <c r="L6" t="s">
        <v>233</v>
      </c>
      <c r="M6">
        <v>0.24</v>
      </c>
      <c r="N6" t="s">
        <v>288</v>
      </c>
    </row>
    <row r="7" spans="1:14" x14ac:dyDescent="0.35">
      <c r="A7" s="37" t="s">
        <v>283</v>
      </c>
      <c r="B7" s="39" t="s">
        <v>139</v>
      </c>
      <c r="C7" s="36">
        <v>5.1990999999999999E-3</v>
      </c>
      <c r="D7" s="36">
        <v>5.1723000000000003E-3</v>
      </c>
      <c r="E7" s="36">
        <v>5.1536000000000004E-3</v>
      </c>
      <c r="F7" s="36">
        <v>5.1387000000000004E-3</v>
      </c>
      <c r="G7" s="36">
        <v>5.1269000000000002E-3</v>
      </c>
      <c r="H7" s="36">
        <v>5.1161000000000002E-3</v>
      </c>
      <c r="I7" s="36">
        <v>5.1057999999999997E-3</v>
      </c>
      <c r="L7" t="s">
        <v>263</v>
      </c>
      <c r="M7">
        <v>-3</v>
      </c>
      <c r="N7" t="s">
        <v>286</v>
      </c>
    </row>
    <row r="8" spans="1:14" ht="14.5" customHeight="1" x14ac:dyDescent="0.35">
      <c r="A8" s="38"/>
      <c r="B8" s="6" t="s">
        <v>136</v>
      </c>
      <c r="C8" s="35">
        <v>7.7200000000000003E-3</v>
      </c>
      <c r="D8" s="35">
        <v>7.77E-3</v>
      </c>
      <c r="E8" s="35">
        <v>7.8200000000000006E-3</v>
      </c>
      <c r="F8" s="35">
        <v>7.8600000000000007E-3</v>
      </c>
      <c r="G8" s="35">
        <v>7.9399999999999991E-3</v>
      </c>
      <c r="H8" s="35">
        <v>7.9100000000000004E-3</v>
      </c>
      <c r="I8" s="35">
        <v>7.9399999999999991E-3</v>
      </c>
    </row>
    <row r="9" spans="1:14" x14ac:dyDescent="0.35">
      <c r="A9" s="38"/>
      <c r="B9" s="6" t="s">
        <v>252</v>
      </c>
      <c r="C9" s="35">
        <v>0.01</v>
      </c>
      <c r="D9" s="35">
        <v>0.01</v>
      </c>
      <c r="E9" s="35">
        <v>0.01</v>
      </c>
      <c r="F9" s="35">
        <v>0.01</v>
      </c>
      <c r="G9" s="35">
        <v>0.01</v>
      </c>
      <c r="H9" s="35">
        <v>0.01</v>
      </c>
      <c r="I9" s="35">
        <v>0.01</v>
      </c>
    </row>
    <row r="10" spans="1:14" x14ac:dyDescent="0.35">
      <c r="A10" s="38"/>
      <c r="B10" s="6" t="s">
        <v>258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</row>
    <row r="11" spans="1:14" x14ac:dyDescent="0.35">
      <c r="A11" s="38"/>
      <c r="B11" s="6" t="s">
        <v>232</v>
      </c>
      <c r="C11" s="35">
        <v>2.2919099999999998E-2</v>
      </c>
      <c r="D11" s="35">
        <v>2.2942299999999999E-2</v>
      </c>
      <c r="E11" s="35">
        <v>2.2973600000000004E-2</v>
      </c>
      <c r="F11" s="35">
        <v>2.2998700000000004E-2</v>
      </c>
      <c r="G11" s="35">
        <v>2.3066900000000001E-2</v>
      </c>
      <c r="H11" s="35">
        <v>2.3026100000000001E-2</v>
      </c>
      <c r="I11" s="35">
        <v>2.3045799999999998E-2</v>
      </c>
    </row>
    <row r="12" spans="1:14" x14ac:dyDescent="0.35">
      <c r="A12" s="38"/>
      <c r="B12" s="6" t="s">
        <v>251</v>
      </c>
      <c r="C12" s="35">
        <v>11.095148959706846</v>
      </c>
      <c r="D12" s="35">
        <v>11.083929184188907</v>
      </c>
      <c r="E12" s="35">
        <v>11.068828068844983</v>
      </c>
      <c r="F12" s="35">
        <v>11.056747925857422</v>
      </c>
      <c r="G12" s="35">
        <v>11.024057351547764</v>
      </c>
      <c r="H12" s="35">
        <v>11.043590904339734</v>
      </c>
      <c r="I12" s="35">
        <v>11.034150627117182</v>
      </c>
    </row>
    <row r="13" spans="1:14" x14ac:dyDescent="0.35">
      <c r="A13" s="38"/>
      <c r="B13" s="34" t="s">
        <v>143</v>
      </c>
      <c r="C13" s="35">
        <v>0.96856431134489029</v>
      </c>
      <c r="D13" s="35">
        <v>0.97358287630516771</v>
      </c>
      <c r="E13" s="35">
        <v>0.97711555245133852</v>
      </c>
      <c r="F13" s="35">
        <v>0.97994876352252869</v>
      </c>
      <c r="G13" s="35">
        <v>0.98220419963588501</v>
      </c>
      <c r="H13" s="35">
        <v>0.98427761597959762</v>
      </c>
      <c r="I13" s="35">
        <v>0.98626321264311545</v>
      </c>
    </row>
    <row r="14" spans="1:14" x14ac:dyDescent="0.35">
      <c r="A14" s="40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37" t="s">
        <v>284</v>
      </c>
      <c r="B15" s="36" t="s">
        <v>139</v>
      </c>
      <c r="C15" s="41">
        <v>0.41599580000000003</v>
      </c>
      <c r="D15" s="36">
        <v>0.41109269999999998</v>
      </c>
      <c r="E15" s="36">
        <v>0.4041034</v>
      </c>
      <c r="F15" s="36">
        <v>0.39999010000000002</v>
      </c>
      <c r="G15" s="36">
        <v>0.40505869999999999</v>
      </c>
      <c r="H15" s="36">
        <v>0.40558519999999998</v>
      </c>
      <c r="I15" s="36">
        <v>0.40212239999999999</v>
      </c>
    </row>
    <row r="16" spans="1:14" x14ac:dyDescent="0.35">
      <c r="A16" s="38"/>
      <c r="B16" s="35" t="s">
        <v>136</v>
      </c>
      <c r="C16" s="11">
        <v>3.33311</v>
      </c>
      <c r="D16" s="35">
        <v>3.09626</v>
      </c>
      <c r="E16" s="35">
        <v>2.9512299999999998</v>
      </c>
      <c r="F16" s="35">
        <v>2.8494600000000001</v>
      </c>
      <c r="G16" s="35">
        <v>2.7952900000000001</v>
      </c>
      <c r="H16" s="35">
        <v>2.73977</v>
      </c>
      <c r="I16" s="35">
        <v>2.7074699999999998</v>
      </c>
    </row>
    <row r="17" spans="1:9" x14ac:dyDescent="0.35">
      <c r="A17" s="38"/>
      <c r="B17" s="35" t="s">
        <v>252</v>
      </c>
      <c r="C17" s="11">
        <v>0.01</v>
      </c>
      <c r="D17" s="35">
        <v>0.01</v>
      </c>
      <c r="E17" s="35">
        <v>0.01</v>
      </c>
      <c r="F17" s="35">
        <v>0.01</v>
      </c>
      <c r="G17" s="35">
        <v>0.01</v>
      </c>
      <c r="H17" s="35">
        <v>0.01</v>
      </c>
      <c r="I17" s="35">
        <v>0.01</v>
      </c>
    </row>
    <row r="18" spans="1:9" x14ac:dyDescent="0.35">
      <c r="A18" s="38"/>
      <c r="B18" s="35" t="s">
        <v>258</v>
      </c>
      <c r="C18" s="11">
        <v>7.6483551982668069E-2</v>
      </c>
      <c r="D18" s="35">
        <v>7.6483551982668069E-2</v>
      </c>
      <c r="E18" s="35">
        <v>7.6483551982668069E-2</v>
      </c>
      <c r="F18" s="35">
        <v>7.6483551982668069E-2</v>
      </c>
      <c r="G18" s="35">
        <v>7.6483551982668069E-2</v>
      </c>
      <c r="H18" s="35">
        <v>7.6483551982668069E-2</v>
      </c>
      <c r="I18" s="35">
        <v>7.6483551982668069E-2</v>
      </c>
    </row>
    <row r="19" spans="1:9" x14ac:dyDescent="0.35">
      <c r="A19" s="38"/>
      <c r="B19" s="35" t="s">
        <v>232</v>
      </c>
      <c r="C19" s="11">
        <v>3.835589351982668</v>
      </c>
      <c r="D19" s="35">
        <v>3.5938362519826681</v>
      </c>
      <c r="E19" s="35">
        <v>3.4418169519826676</v>
      </c>
      <c r="F19" s="35">
        <v>3.3359336519826681</v>
      </c>
      <c r="G19" s="35">
        <v>3.286832251982668</v>
      </c>
      <c r="H19" s="35">
        <v>3.2318387519826679</v>
      </c>
      <c r="I19" s="35">
        <v>3.1960759519826678</v>
      </c>
    </row>
    <row r="20" spans="1:9" x14ac:dyDescent="0.35">
      <c r="A20" s="38"/>
      <c r="B20" s="35" t="s">
        <v>251</v>
      </c>
      <c r="C20" s="11">
        <v>0.52143225368121671</v>
      </c>
      <c r="D20" s="35">
        <v>0.55650838262222679</v>
      </c>
      <c r="E20" s="35">
        <v>0.58108842739236755</v>
      </c>
      <c r="F20" s="35">
        <v>0.59953230748798814</v>
      </c>
      <c r="G20" s="35">
        <v>0.60848861355597594</v>
      </c>
      <c r="H20" s="35">
        <v>0.61884275593051796</v>
      </c>
      <c r="I20" s="35">
        <v>0.62576735661094385</v>
      </c>
    </row>
    <row r="21" spans="1:9" x14ac:dyDescent="0.35">
      <c r="A21" s="38"/>
      <c r="B21" s="35" t="s">
        <v>143</v>
      </c>
      <c r="C21" s="11">
        <v>0.7488007748896981</v>
      </c>
      <c r="D21" s="35">
        <v>0.7577317169360096</v>
      </c>
      <c r="E21" s="35">
        <v>0.77083730894335434</v>
      </c>
      <c r="F21" s="35">
        <v>0.7787642178915426</v>
      </c>
      <c r="G21" s="35">
        <v>0.76901934803735816</v>
      </c>
      <c r="H21" s="35">
        <v>0.76802106534178238</v>
      </c>
      <c r="I21" s="35">
        <v>0.77463473159132623</v>
      </c>
    </row>
    <row r="22" spans="1:9" x14ac:dyDescent="0.35">
      <c r="A22" s="40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238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275</v>
      </c>
      <c r="Y29" t="s">
        <v>274</v>
      </c>
      <c r="Z29" t="s">
        <v>276</v>
      </c>
    </row>
    <row r="30" spans="1:26" x14ac:dyDescent="0.35">
      <c r="W30" s="18">
        <v>3000000</v>
      </c>
      <c r="X30">
        <v>8.1200000000000005E-3</v>
      </c>
      <c r="Y30" s="31">
        <f>W30*'A_CDCL(Re)'!$C$10+'A_CDCL(Re)'!$C$11</f>
        <v>8.9499999999999996E-3</v>
      </c>
      <c r="Z30" s="31">
        <f>Y30-X30</f>
        <v>8.2999999999999914E-4</v>
      </c>
    </row>
    <row r="31" spans="1:26" x14ac:dyDescent="0.35">
      <c r="W31" s="18">
        <v>5000000</v>
      </c>
      <c r="X31">
        <v>7.45E-3</v>
      </c>
      <c r="Y31" s="31">
        <f>W31*'A_CDCL(Re)'!$C$10+'A_CDCL(Re)'!$C$11</f>
        <v>8.8500000000000002E-3</v>
      </c>
      <c r="Z31" s="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 s="31">
        <f>W32*'A_CDCL(Re)'!$C$10+'A_CDCL(Re)'!$C$11</f>
        <v>8.6E-3</v>
      </c>
      <c r="Z32" s="31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 s="31">
        <f>W33*'A_CDCL(Re)'!$C$10+'A_CDCL(Re)'!$C$11</f>
        <v>8.0999999999999996E-3</v>
      </c>
      <c r="Z33" s="31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 s="31">
        <f>W34*'A_CDCL(Re)'!$C$10+'A_CDCL(Re)'!$C$11</f>
        <v>7.1000000000000004E-3</v>
      </c>
      <c r="Z34" s="31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 s="31">
        <f>W35*'A_CDCL(Re)'!$C$10+'A_CDCL(Re)'!$C$11</f>
        <v>6.1000000000000004E-3</v>
      </c>
      <c r="Z35" s="31">
        <f t="shared" si="0"/>
        <v>1.0100000000000005E-3</v>
      </c>
    </row>
    <row r="37" spans="23:28" x14ac:dyDescent="0.35">
      <c r="W37" s="8" t="s">
        <v>35</v>
      </c>
      <c r="X37" s="7" t="s">
        <v>277</v>
      </c>
      <c r="Y37" s="8" t="s">
        <v>38</v>
      </c>
      <c r="Z37" s="7" t="s">
        <v>278</v>
      </c>
      <c r="AA37" s="8" t="s">
        <v>47</v>
      </c>
      <c r="AB37" s="8" t="s">
        <v>279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EF8DB-FF06-4130-AFC5-B5671FC2C04C}">
  <sheetPr codeName="Sheet38"/>
  <dimension ref="A1:AQ28"/>
  <sheetViews>
    <sheetView tabSelected="1" zoomScale="64" workbookViewId="0">
      <selection activeCell="K4" sqref="K4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289</v>
      </c>
      <c r="K2" t="s">
        <v>330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290</v>
      </c>
      <c r="K3" t="s">
        <v>332</v>
      </c>
    </row>
    <row r="4" spans="1:35" x14ac:dyDescent="0.35">
      <c r="E4">
        <f>E2*E3</f>
        <v>47.999999999999993</v>
      </c>
      <c r="G4" s="42" t="s">
        <v>329</v>
      </c>
      <c r="K4" t="s">
        <v>331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 t="str">
        <f>IF(B26="","",B26)</f>
        <v/>
      </c>
      <c r="D10" t="str">
        <f t="shared" ref="D10:H10" si="0">IF(C26="","",C26)</f>
        <v/>
      </c>
      <c r="E10" t="str">
        <f t="shared" si="0"/>
        <v/>
      </c>
      <c r="F10" t="str">
        <f t="shared" si="0"/>
        <v/>
      </c>
      <c r="G10" t="str">
        <f t="shared" si="0"/>
        <v/>
      </c>
      <c r="H10" t="str">
        <f t="shared" si="0"/>
        <v/>
      </c>
      <c r="J10" s="22" t="s">
        <v>56</v>
      </c>
      <c r="K10" s="6">
        <v>0.05</v>
      </c>
      <c r="L10" t="str">
        <f>IF(B27="","",B27)</f>
        <v/>
      </c>
      <c r="M10" t="str">
        <f t="shared" ref="M10:Q10" si="1">IF(C27="","",C27)</f>
        <v/>
      </c>
      <c r="N10" t="str">
        <f t="shared" si="1"/>
        <v/>
      </c>
      <c r="O10" t="str">
        <f t="shared" si="1"/>
        <v/>
      </c>
      <c r="P10" t="str">
        <f t="shared" si="1"/>
        <v/>
      </c>
      <c r="Q10" t="str">
        <f t="shared" si="1"/>
        <v/>
      </c>
      <c r="S10" s="22" t="s">
        <v>56</v>
      </c>
      <c r="T10" s="6">
        <v>0.05</v>
      </c>
      <c r="U10" t="str">
        <f>IF(B22="","",B22)</f>
        <v/>
      </c>
      <c r="V10" t="str">
        <f t="shared" ref="V10:Z10" si="2">IF(C22="","",C22)</f>
        <v/>
      </c>
      <c r="W10" t="str">
        <f t="shared" si="2"/>
        <v/>
      </c>
      <c r="X10" t="str">
        <f t="shared" si="2"/>
        <v/>
      </c>
      <c r="Y10" t="str">
        <f t="shared" si="2"/>
        <v/>
      </c>
      <c r="Z10" t="str">
        <f t="shared" si="2"/>
        <v/>
      </c>
      <c r="AB10" s="22" t="s">
        <v>56</v>
      </c>
      <c r="AC10" s="6">
        <v>0.05</v>
      </c>
      <c r="AD10" t="str">
        <f>IF(B24="","",B24)</f>
        <v/>
      </c>
      <c r="AE10" t="str">
        <f t="shared" ref="AE10:AI10" si="3">IF(C24="","",C24)</f>
        <v/>
      </c>
      <c r="AF10" t="str">
        <f t="shared" si="3"/>
        <v/>
      </c>
      <c r="AG10" t="str">
        <f t="shared" si="3"/>
        <v/>
      </c>
      <c r="AH10" t="str">
        <f t="shared" si="3"/>
        <v/>
      </c>
      <c r="AI10" t="str">
        <f t="shared" si="3"/>
        <v/>
      </c>
    </row>
    <row r="11" spans="1:35" x14ac:dyDescent="0.35">
      <c r="A11" s="23"/>
      <c r="B11" s="6">
        <v>0.1</v>
      </c>
      <c r="C11" t="str">
        <f>IF(H26="","",H26)</f>
        <v/>
      </c>
      <c r="D11" t="str">
        <f>IF(I26="","",I26)</f>
        <v/>
      </c>
      <c r="E11" t="str">
        <f>IF(J26="","",J26)</f>
        <v/>
      </c>
      <c r="F11" t="str">
        <f>IF(K26="","",K26)</f>
        <v/>
      </c>
      <c r="G11" t="str">
        <f>IF(L26="","",L26)</f>
        <v/>
      </c>
      <c r="H11" t="str">
        <f>IF(M26="","",M26)</f>
        <v/>
      </c>
      <c r="J11" s="23"/>
      <c r="K11" s="6">
        <v>0.1</v>
      </c>
      <c r="L11" t="str">
        <f>IF(H27="","",H27)</f>
        <v/>
      </c>
      <c r="M11" t="str">
        <f>IF(I27="","",I27)</f>
        <v/>
      </c>
      <c r="N11" t="str">
        <f>IF(J27="","",J27)</f>
        <v/>
      </c>
      <c r="O11" t="str">
        <f>IF(K27="","",K27)</f>
        <v/>
      </c>
      <c r="P11" t="str">
        <f>IF(L27="","",L27)</f>
        <v/>
      </c>
      <c r="Q11" t="str">
        <f>IF(M27="","",M27)</f>
        <v/>
      </c>
      <c r="S11" s="23"/>
      <c r="T11" s="6">
        <v>0.1</v>
      </c>
      <c r="U11" t="str">
        <f>IF(H22="","",H22)</f>
        <v/>
      </c>
      <c r="V11" t="str">
        <f>IF(I22="","",I22)</f>
        <v/>
      </c>
      <c r="W11" t="str">
        <f>IF(J22="","",J22)</f>
        <v/>
      </c>
      <c r="X11" t="str">
        <f>IF(K22="","",K22)</f>
        <v/>
      </c>
      <c r="Y11" t="str">
        <f>IF(L22="","",L22)</f>
        <v/>
      </c>
      <c r="Z11" t="str">
        <f>IF(M22="","",M22)</f>
        <v/>
      </c>
      <c r="AB11" s="23"/>
      <c r="AC11" s="6">
        <v>0.1</v>
      </c>
      <c r="AD11" t="str">
        <f>IF(H24="","",H24)</f>
        <v/>
      </c>
      <c r="AE11" t="str">
        <f>IF(I24="","",I24)</f>
        <v/>
      </c>
      <c r="AF11" t="str">
        <f>IF(J24="","",J24)</f>
        <v/>
      </c>
      <c r="AG11" t="str">
        <f>IF(K24="","",K24)</f>
        <v/>
      </c>
      <c r="AH11" t="str">
        <f>IF(L24="","",L24)</f>
        <v/>
      </c>
      <c r="AI11" t="str">
        <f>IF(M24="","",M24)</f>
        <v/>
      </c>
    </row>
    <row r="12" spans="1:35" x14ac:dyDescent="0.35">
      <c r="A12" s="23"/>
      <c r="B12" s="6">
        <v>0.15</v>
      </c>
      <c r="C12" t="str">
        <f>IF(N26="","",N26)</f>
        <v/>
      </c>
      <c r="D12" t="str">
        <f>IF(O26="","",O26)</f>
        <v/>
      </c>
      <c r="E12" t="str">
        <f>IF(P26="","",P26)</f>
        <v/>
      </c>
      <c r="F12" t="str">
        <f>IF(Q26="","",Q26)</f>
        <v/>
      </c>
      <c r="G12" t="str">
        <f>IF(R26="","",R26)</f>
        <v/>
      </c>
      <c r="H12" t="str">
        <f>IF(S26="","",S26)</f>
        <v/>
      </c>
      <c r="J12" s="23"/>
      <c r="K12" s="6">
        <v>0.15</v>
      </c>
      <c r="L12" t="str">
        <f>IF(N27="","",N27)</f>
        <v/>
      </c>
      <c r="M12" t="str">
        <f>IF(O27="","",O27)</f>
        <v/>
      </c>
      <c r="N12" t="str">
        <f>IF(P27="","",P27)</f>
        <v/>
      </c>
      <c r="O12" t="str">
        <f>IF(Q27="","",Q27)</f>
        <v/>
      </c>
      <c r="P12" t="str">
        <f>IF(R27="","",R27)</f>
        <v/>
      </c>
      <c r="Q12" t="str">
        <f>IF(S27="","",S27)</f>
        <v/>
      </c>
      <c r="S12" s="23"/>
      <c r="T12" s="6">
        <v>0.15</v>
      </c>
      <c r="U12" t="str">
        <f>IF(N22="","",N22)</f>
        <v/>
      </c>
      <c r="V12" t="str">
        <f>IF(O22="","",O22)</f>
        <v/>
      </c>
      <c r="W12" t="str">
        <f>IF(P22="","",P22)</f>
        <v/>
      </c>
      <c r="X12" t="str">
        <f>IF(Q22="","",Q22)</f>
        <v/>
      </c>
      <c r="Y12" t="str">
        <f>IF(R22="","",R22)</f>
        <v/>
      </c>
      <c r="Z12" t="str">
        <f>IF(S22="","",S22)</f>
        <v/>
      </c>
      <c r="AB12" s="23"/>
      <c r="AC12" s="6">
        <v>0.15</v>
      </c>
      <c r="AD12" t="str">
        <f>IF(N24="","",N24)</f>
        <v/>
      </c>
      <c r="AE12" t="str">
        <f>IF(O24="","",O24)</f>
        <v/>
      </c>
      <c r="AF12" t="str">
        <f>IF(P24="","",P24)</f>
        <v/>
      </c>
      <c r="AG12" t="str">
        <f>IF(Q24="","",Q24)</f>
        <v/>
      </c>
      <c r="AH12" t="str">
        <f>IF(R24="","",R24)</f>
        <v/>
      </c>
      <c r="AI12" t="str">
        <f>IF(S24="","",S24)</f>
        <v/>
      </c>
    </row>
    <row r="13" spans="1:35" x14ac:dyDescent="0.35">
      <c r="A13" s="23"/>
      <c r="B13" s="6">
        <v>0.2</v>
      </c>
      <c r="C13" t="str">
        <f>IF(T26="","",T26)</f>
        <v/>
      </c>
      <c r="D13" t="str">
        <f>IF(U26="","",U26)</f>
        <v/>
      </c>
      <c r="E13" t="str">
        <f>IF(V26="","",V26)</f>
        <v/>
      </c>
      <c r="F13" t="str">
        <f>IF(W26="","",W26)</f>
        <v/>
      </c>
      <c r="G13" t="str">
        <f>IF(X26="","",X26)</f>
        <v/>
      </c>
      <c r="H13" t="str">
        <f>IF(Y26="","",Y26)</f>
        <v/>
      </c>
      <c r="J13" s="23"/>
      <c r="K13" s="6">
        <v>0.2</v>
      </c>
      <c r="L13" t="str">
        <f>IF(T27="","",T27)</f>
        <v/>
      </c>
      <c r="M13" t="str">
        <f>IF(U27="","",U27)</f>
        <v/>
      </c>
      <c r="N13" t="str">
        <f>IF(V27="","",V27)</f>
        <v/>
      </c>
      <c r="O13" t="str">
        <f>IF(W27="","",W27)</f>
        <v/>
      </c>
      <c r="P13" t="str">
        <f>IF(X27="","",X27)</f>
        <v/>
      </c>
      <c r="Q13" t="str">
        <f>IF(Y27="","",Y27)</f>
        <v/>
      </c>
      <c r="S13" s="23"/>
      <c r="T13" s="6">
        <v>0.2</v>
      </c>
      <c r="U13" t="str">
        <f>IF(T22="","",T22)</f>
        <v/>
      </c>
      <c r="V13" t="str">
        <f>IF(U22="","",U22)</f>
        <v/>
      </c>
      <c r="W13" t="str">
        <f>IF(V22="","",V22)</f>
        <v/>
      </c>
      <c r="X13" t="str">
        <f>IF(W22="","",W22)</f>
        <v/>
      </c>
      <c r="Y13" t="str">
        <f>IF(X22="","",X22)</f>
        <v/>
      </c>
      <c r="Z13" t="str">
        <f>IF(Y22="","",Y22)</f>
        <v/>
      </c>
      <c r="AB13" s="23"/>
      <c r="AC13" s="6">
        <v>0.2</v>
      </c>
      <c r="AD13" t="str">
        <f>IF(T24="","",T24)</f>
        <v/>
      </c>
      <c r="AE13" t="str">
        <f>IF(U24="","",U24)</f>
        <v/>
      </c>
      <c r="AF13" t="str">
        <f>IF(V24="","",V24)</f>
        <v/>
      </c>
      <c r="AG13" t="str">
        <f>IF(W24="","",W24)</f>
        <v/>
      </c>
      <c r="AH13" t="str">
        <f>IF(X24="","",X24)</f>
        <v/>
      </c>
      <c r="AI13" t="str">
        <f>IF(Y24="","",Y24)</f>
        <v/>
      </c>
    </row>
    <row r="14" spans="1:35" x14ac:dyDescent="0.35">
      <c r="A14" s="23"/>
      <c r="B14" s="6">
        <v>0.25</v>
      </c>
      <c r="C14" t="str">
        <f>IF(Z26="","",Z26)</f>
        <v/>
      </c>
      <c r="D14" t="str">
        <f>IF(AA26="","",AA26)</f>
        <v/>
      </c>
      <c r="E14" t="str">
        <f>IF(AB26="","",AB26)</f>
        <v/>
      </c>
      <c r="F14" t="str">
        <f>IF(AC26="","",AC26)</f>
        <v/>
      </c>
      <c r="G14" t="str">
        <f>IF(AD26="","",AD26)</f>
        <v/>
      </c>
      <c r="H14" t="str">
        <f>IF(AE26="","",AE26)</f>
        <v/>
      </c>
      <c r="J14" s="23"/>
      <c r="K14" s="6">
        <v>0.25</v>
      </c>
      <c r="L14" t="str">
        <f>IF(Z27="","",Z27)</f>
        <v/>
      </c>
      <c r="M14" t="str">
        <f>IF(AA27="","",AA27)</f>
        <v/>
      </c>
      <c r="N14" t="str">
        <f>IF(AB27="","",AB27)</f>
        <v/>
      </c>
      <c r="O14" t="str">
        <f>IF(AC27="","",AC27)</f>
        <v/>
      </c>
      <c r="P14" t="str">
        <f>IF(AD27="","",AD27)</f>
        <v/>
      </c>
      <c r="Q14" t="str">
        <f>IF(AE27="","",AE27)</f>
        <v/>
      </c>
      <c r="S14" s="23"/>
      <c r="T14" s="6">
        <v>0.25</v>
      </c>
      <c r="U14" t="str">
        <f>IF(Z22="","",Z22)</f>
        <v/>
      </c>
      <c r="V14" t="str">
        <f>IF(AA22="","",AA22)</f>
        <v/>
      </c>
      <c r="W14" t="str">
        <f>IF(AB22="","",AB22)</f>
        <v/>
      </c>
      <c r="X14" t="str">
        <f>IF(AC22="","",AC22)</f>
        <v/>
      </c>
      <c r="Y14" t="str">
        <f>IF(AD22="","",AD22)</f>
        <v/>
      </c>
      <c r="Z14" t="str">
        <f>IF(AE22="","",AE22)</f>
        <v/>
      </c>
      <c r="AB14" s="23"/>
      <c r="AC14" s="6">
        <v>0.25</v>
      </c>
      <c r="AD14" t="str">
        <f>IF(Z24="","",Z24)</f>
        <v/>
      </c>
      <c r="AE14" t="str">
        <f>IF(AA24="","",AA24)</f>
        <v/>
      </c>
      <c r="AF14" t="str">
        <f>IF(AB24="","",AB24)</f>
        <v/>
      </c>
      <c r="AG14" t="str">
        <f>IF(AC24="","",AC24)</f>
        <v/>
      </c>
      <c r="AH14" t="str">
        <f>IF(AD24="","",AD24)</f>
        <v/>
      </c>
      <c r="AI14" t="str">
        <f>IF(AE24="","",AE24)</f>
        <v/>
      </c>
    </row>
    <row r="15" spans="1:35" x14ac:dyDescent="0.35">
      <c r="A15" s="23"/>
      <c r="B15" s="6">
        <v>0.3</v>
      </c>
      <c r="C15" t="str">
        <f>IF(AF26="","",AF26)</f>
        <v/>
      </c>
      <c r="D15" t="str">
        <f>IF(AG26="","",AG26)</f>
        <v/>
      </c>
      <c r="E15" t="str">
        <f>IF(AH26="","",AH26)</f>
        <v/>
      </c>
      <c r="F15" t="str">
        <f>IF(AI26="","",AI26)</f>
        <v/>
      </c>
      <c r="G15" t="str">
        <f>IF(AJ26="","",AJ26)</f>
        <v/>
      </c>
      <c r="H15" t="str">
        <f>IF(AK26="","",AK26)</f>
        <v/>
      </c>
      <c r="J15" s="23"/>
      <c r="K15" s="6">
        <v>0.3</v>
      </c>
      <c r="L15" t="str">
        <f>IF(AF27="","",AF27)</f>
        <v/>
      </c>
      <c r="M15" t="str">
        <f>IF(AG27="","",AG27)</f>
        <v/>
      </c>
      <c r="N15" t="str">
        <f>IF(AH27="","",AH27)</f>
        <v/>
      </c>
      <c r="O15" t="str">
        <f>IF(AI27="","",AI27)</f>
        <v/>
      </c>
      <c r="P15" t="str">
        <f>IF(AJ27="","",AJ27)</f>
        <v/>
      </c>
      <c r="Q15" t="str">
        <f>IF(AK27="","",AK27)</f>
        <v/>
      </c>
      <c r="S15" s="23"/>
      <c r="T15" s="6">
        <v>0.3</v>
      </c>
      <c r="U15" t="str">
        <f>IF(AF22="","",AF22)</f>
        <v/>
      </c>
      <c r="V15" t="str">
        <f>IF(AG22="","",AG22)</f>
        <v/>
      </c>
      <c r="W15" t="str">
        <f>IF(AH22="","",AH22)</f>
        <v/>
      </c>
      <c r="X15" t="str">
        <f>IF(AI22="","",AI22)</f>
        <v/>
      </c>
      <c r="Y15" t="str">
        <f>IF(AJ22="","",AJ22)</f>
        <v/>
      </c>
      <c r="Z15" t="str">
        <f>IF(AK22="","",AK22)</f>
        <v/>
      </c>
      <c r="AB15" s="23"/>
      <c r="AC15" s="6">
        <v>0.3</v>
      </c>
      <c r="AD15" t="str">
        <f>IF(AF24="","",AF24)</f>
        <v/>
      </c>
      <c r="AE15" t="str">
        <f>IF(AG24="","",AG24)</f>
        <v/>
      </c>
      <c r="AF15" t="str">
        <f>IF(AH24="","",AH24)</f>
        <v/>
      </c>
      <c r="AG15" t="str">
        <f>IF(AI24="","",AI24)</f>
        <v/>
      </c>
      <c r="AH15" t="str">
        <f>IF(AJ24="","",AJ24)</f>
        <v/>
      </c>
      <c r="AI15" t="str">
        <f>IF(AK24="","",AK24)</f>
        <v/>
      </c>
    </row>
    <row r="16" spans="1:35" x14ac:dyDescent="0.35">
      <c r="A16" s="23"/>
      <c r="B16" s="6">
        <v>0.35</v>
      </c>
      <c r="C16" t="str">
        <f>IF(AL26="","",AL26)</f>
        <v/>
      </c>
      <c r="D16" t="str">
        <f>IF(AM26="","",AM26)</f>
        <v/>
      </c>
      <c r="E16" t="str">
        <f>IF(AN26="","",AN26)</f>
        <v/>
      </c>
      <c r="F16" t="str">
        <f>IF(AO26="","",AO26)</f>
        <v/>
      </c>
      <c r="G16" t="str">
        <f>IF(AP26="","",AP26)</f>
        <v/>
      </c>
      <c r="H16" t="str">
        <f>IF(AQ26="","",AQ26)</f>
        <v/>
      </c>
      <c r="J16" s="23"/>
      <c r="K16" s="6">
        <v>0.35</v>
      </c>
      <c r="L16" t="str">
        <f>IF(AL27="","",AL27)</f>
        <v/>
      </c>
      <c r="M16" t="str">
        <f>IF(AM27="","",AM27)</f>
        <v/>
      </c>
      <c r="N16" t="str">
        <f>IF(AN27="","",AN27)</f>
        <v/>
      </c>
      <c r="O16" t="str">
        <f>IF(AO27="","",AO27)</f>
        <v/>
      </c>
      <c r="P16" t="str">
        <f>IF(AP27="","",AP27)</f>
        <v/>
      </c>
      <c r="Q16" t="str">
        <f>IF(AQ27="","",AQ27)</f>
        <v/>
      </c>
      <c r="S16" s="23"/>
      <c r="T16" s="6">
        <v>0.35</v>
      </c>
      <c r="U16" t="str">
        <f>IF(AL22="","",AL22)</f>
        <v/>
      </c>
      <c r="V16" t="str">
        <f>IF(AM22="","",AM22)</f>
        <v/>
      </c>
      <c r="W16" t="str">
        <f>IF(AN22="","",AN22)</f>
        <v/>
      </c>
      <c r="X16" t="str">
        <f>IF(AO22="","",AO22)</f>
        <v/>
      </c>
      <c r="Y16" t="str">
        <f>IF(AP22="","",AP22)</f>
        <v/>
      </c>
      <c r="Z16" t="str">
        <f>IF(AQ22="","",AQ22)</f>
        <v/>
      </c>
      <c r="AB16" s="23"/>
      <c r="AC16" s="6">
        <v>0.35</v>
      </c>
      <c r="AD16" t="str">
        <f>IF(AL24="","",AL24)</f>
        <v/>
      </c>
      <c r="AE16" t="str">
        <f>IF(AM24="","",AM24)</f>
        <v/>
      </c>
      <c r="AF16" t="str">
        <f>IF(AN24="","",AN24)</f>
        <v/>
      </c>
      <c r="AG16" t="str">
        <f>IF(AO24="","",AO24)</f>
        <v/>
      </c>
      <c r="AH16" t="str">
        <f>IF(AP24="","",AP24)</f>
        <v/>
      </c>
      <c r="AI16" t="str">
        <f>IF(AQ24="","",AQ24)</f>
        <v/>
      </c>
    </row>
    <row r="18" spans="1:43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 s="6">
        <v>0.05</v>
      </c>
      <c r="H18">
        <v>0.1</v>
      </c>
      <c r="I18">
        <v>0.1</v>
      </c>
      <c r="J18">
        <v>0.1</v>
      </c>
      <c r="K18">
        <v>0.1</v>
      </c>
      <c r="L18">
        <v>0.1</v>
      </c>
      <c r="M18" s="6">
        <v>0.1</v>
      </c>
      <c r="N18">
        <v>0.15</v>
      </c>
      <c r="O18">
        <v>0.15</v>
      </c>
      <c r="P18">
        <v>0.15</v>
      </c>
      <c r="Q18">
        <v>0.15</v>
      </c>
      <c r="R18">
        <v>0.15</v>
      </c>
      <c r="S18" s="6">
        <v>0.15</v>
      </c>
      <c r="T18">
        <v>0.2</v>
      </c>
      <c r="U18">
        <v>0.2</v>
      </c>
      <c r="V18">
        <v>0.2</v>
      </c>
      <c r="W18">
        <v>0.2</v>
      </c>
      <c r="X18">
        <v>0.2</v>
      </c>
      <c r="Y18" s="6">
        <v>0.2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 s="6">
        <v>0.25</v>
      </c>
      <c r="AF18">
        <v>0.3</v>
      </c>
      <c r="AG18">
        <v>0.3</v>
      </c>
      <c r="AH18">
        <v>0.3</v>
      </c>
      <c r="AI18">
        <v>0.3</v>
      </c>
      <c r="AJ18">
        <v>0.3</v>
      </c>
      <c r="AK18" s="6">
        <v>0.3</v>
      </c>
      <c r="AL18">
        <v>0.35</v>
      </c>
      <c r="AM18">
        <v>0.35</v>
      </c>
      <c r="AN18">
        <v>0.35</v>
      </c>
      <c r="AO18">
        <v>0.35</v>
      </c>
      <c r="AP18">
        <v>0.35</v>
      </c>
      <c r="AQ18">
        <v>0.35</v>
      </c>
    </row>
    <row r="19" spans="1:43" s="35" customFormat="1" x14ac:dyDescent="0.35">
      <c r="A19" s="35" t="s">
        <v>236</v>
      </c>
      <c r="B19" s="11">
        <v>20</v>
      </c>
      <c r="C19" s="35">
        <v>25</v>
      </c>
      <c r="D19" s="35">
        <v>30</v>
      </c>
      <c r="E19" s="35">
        <v>35</v>
      </c>
      <c r="F19" s="35">
        <v>40</v>
      </c>
      <c r="G19" s="6">
        <v>45</v>
      </c>
      <c r="H19" s="35">
        <v>20</v>
      </c>
      <c r="I19" s="35">
        <v>25</v>
      </c>
      <c r="J19" s="35">
        <v>30</v>
      </c>
      <c r="K19" s="35">
        <v>35</v>
      </c>
      <c r="L19" s="35">
        <v>40</v>
      </c>
      <c r="M19" s="6">
        <v>45</v>
      </c>
      <c r="N19" s="35">
        <v>20</v>
      </c>
      <c r="O19" s="35">
        <v>25</v>
      </c>
      <c r="P19" s="35">
        <v>30</v>
      </c>
      <c r="Q19" s="35">
        <v>35</v>
      </c>
      <c r="R19" s="35">
        <v>40</v>
      </c>
      <c r="S19" s="6">
        <v>45</v>
      </c>
      <c r="T19" s="35">
        <v>20</v>
      </c>
      <c r="U19" s="35">
        <v>25</v>
      </c>
      <c r="V19" s="35">
        <v>30</v>
      </c>
      <c r="W19" s="35">
        <v>35</v>
      </c>
      <c r="X19" s="35">
        <v>40</v>
      </c>
      <c r="Y19" s="6">
        <v>45</v>
      </c>
      <c r="Z19" s="35">
        <v>20</v>
      </c>
      <c r="AA19" s="35">
        <v>25</v>
      </c>
      <c r="AB19" s="35">
        <v>30</v>
      </c>
      <c r="AC19" s="35">
        <v>35</v>
      </c>
      <c r="AD19" s="35">
        <v>40</v>
      </c>
      <c r="AE19" s="6">
        <v>45</v>
      </c>
      <c r="AF19" s="35">
        <v>20</v>
      </c>
      <c r="AG19" s="35">
        <v>25</v>
      </c>
      <c r="AH19" s="35">
        <v>30</v>
      </c>
      <c r="AI19" s="35">
        <v>35</v>
      </c>
      <c r="AJ19" s="35">
        <v>40</v>
      </c>
      <c r="AK19" s="6">
        <v>45</v>
      </c>
      <c r="AL19" s="35">
        <v>20</v>
      </c>
      <c r="AM19" s="35">
        <v>25</v>
      </c>
      <c r="AN19" s="35">
        <v>30</v>
      </c>
      <c r="AO19" s="35">
        <v>35</v>
      </c>
      <c r="AP19" s="35">
        <v>40</v>
      </c>
      <c r="AQ19" s="35">
        <v>45</v>
      </c>
    </row>
    <row r="20" spans="1:43" x14ac:dyDescent="0.35">
      <c r="A20" s="8" t="s">
        <v>263</v>
      </c>
      <c r="B20" s="20"/>
      <c r="C20" s="8"/>
      <c r="D20" s="8"/>
      <c r="E20" s="8"/>
      <c r="F20" s="8"/>
      <c r="G20" s="7"/>
      <c r="H20" s="8"/>
      <c r="I20" s="8"/>
      <c r="J20" s="8"/>
      <c r="K20" s="8"/>
      <c r="L20" s="8"/>
      <c r="M20" s="7"/>
      <c r="N20" s="8"/>
      <c r="O20" s="8"/>
      <c r="P20" s="8"/>
      <c r="Q20" s="8"/>
      <c r="R20" s="8"/>
      <c r="S20" s="7"/>
      <c r="T20" s="8"/>
      <c r="U20" s="8"/>
      <c r="V20" s="8"/>
      <c r="W20" s="8"/>
      <c r="X20" s="8"/>
      <c r="Y20" s="7"/>
      <c r="Z20" s="8"/>
      <c r="AA20" s="8"/>
      <c r="AB20" s="8"/>
      <c r="AC20" s="8"/>
      <c r="AD20" s="8"/>
      <c r="AE20" s="7"/>
      <c r="AF20" s="20"/>
      <c r="AG20" s="8"/>
      <c r="AH20" s="8"/>
      <c r="AI20" s="8"/>
      <c r="AJ20" s="8"/>
      <c r="AK20" s="7"/>
      <c r="AL20" s="8"/>
      <c r="AM20" s="8"/>
      <c r="AN20" s="8"/>
      <c r="AO20" s="8"/>
      <c r="AP20" s="8"/>
      <c r="AQ20" s="8"/>
    </row>
    <row r="21" spans="1:43" x14ac:dyDescent="0.35">
      <c r="A21" t="s">
        <v>139</v>
      </c>
      <c r="B21" s="11"/>
      <c r="G21" s="6"/>
      <c r="M21" s="6"/>
      <c r="S21" s="6"/>
      <c r="Y21" s="6"/>
      <c r="AE21" s="6"/>
      <c r="AK21" s="6"/>
    </row>
    <row r="22" spans="1:43" x14ac:dyDescent="0.35">
      <c r="A22" t="s">
        <v>136</v>
      </c>
      <c r="B22" s="11"/>
      <c r="G22" s="6"/>
      <c r="M22" s="6"/>
      <c r="S22" s="6"/>
      <c r="Y22" s="6"/>
      <c r="AE22" s="6"/>
      <c r="AK22" s="6"/>
    </row>
    <row r="23" spans="1:43" x14ac:dyDescent="0.35">
      <c r="A23" t="s">
        <v>252</v>
      </c>
      <c r="B23" s="11"/>
      <c r="G23" s="6"/>
      <c r="M23" s="6"/>
      <c r="S23" s="6"/>
      <c r="Y23" s="6"/>
      <c r="AE23" s="6"/>
      <c r="AK23" s="6"/>
    </row>
    <row r="24" spans="1:43" x14ac:dyDescent="0.35">
      <c r="A24" t="s">
        <v>258</v>
      </c>
      <c r="B24" s="33"/>
      <c r="C24" s="18"/>
      <c r="G24" s="6"/>
      <c r="H24" s="18"/>
      <c r="I24" s="18"/>
      <c r="M24" s="6"/>
      <c r="N24" s="18"/>
      <c r="O24" s="18"/>
      <c r="S24" s="6"/>
      <c r="Y24" s="6"/>
      <c r="AE24" s="6"/>
      <c r="AK24" s="6"/>
    </row>
    <row r="25" spans="1:43" x14ac:dyDescent="0.35">
      <c r="A25" t="s">
        <v>232</v>
      </c>
      <c r="B25" s="11"/>
      <c r="G25" s="6"/>
      <c r="M25" s="6"/>
      <c r="S25" s="6"/>
      <c r="Y25" s="6"/>
      <c r="AE25" s="6"/>
      <c r="AK25" s="6"/>
    </row>
    <row r="26" spans="1:43" x14ac:dyDescent="0.35">
      <c r="A26" s="6" t="s">
        <v>251</v>
      </c>
      <c r="G26" s="6"/>
      <c r="M26" s="6"/>
      <c r="S26" s="6"/>
      <c r="Y26" s="6"/>
      <c r="AE26" s="6"/>
      <c r="AK26" s="6"/>
    </row>
    <row r="27" spans="1:43" x14ac:dyDescent="0.35">
      <c r="A27" s="6" t="s">
        <v>143</v>
      </c>
      <c r="G27" s="6"/>
      <c r="M27" s="6"/>
      <c r="S27" s="6"/>
      <c r="Y27" s="6"/>
      <c r="AE27" s="6"/>
      <c r="AK27" s="6"/>
    </row>
    <row r="28" spans="1:43" x14ac:dyDescent="0.35">
      <c r="A28" s="34" t="s">
        <v>33</v>
      </c>
      <c r="G28" s="6"/>
      <c r="M28" s="6"/>
      <c r="S28" s="6"/>
      <c r="Y28" s="6"/>
      <c r="AE28" s="6"/>
      <c r="AK28" s="6"/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31"/>
  <sheetViews>
    <sheetView zoomScale="66" zoomScaleNormal="70" workbookViewId="0">
      <selection activeCell="B6" sqref="B6"/>
    </sheetView>
  </sheetViews>
  <sheetFormatPr defaultRowHeight="14.5" x14ac:dyDescent="0.35"/>
  <cols>
    <col min="1" max="1" width="15.26953125" style="6" bestFit="1" customWidth="1"/>
    <col min="3" max="3" width="9.1796875" style="6"/>
    <col min="4" max="4" width="9.1796875" customWidth="1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240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2">
        <f>E31</f>
        <v>1.2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5.7133631937457006</v>
      </c>
    </row>
    <row r="6" spans="1:28" x14ac:dyDescent="0.35">
      <c r="H6" s="10" t="s">
        <v>241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7.3008902062376499</v>
      </c>
    </row>
    <row r="7" spans="1:28" x14ac:dyDescent="0.35">
      <c r="A7" s="9" t="s">
        <v>61</v>
      </c>
      <c r="H7" s="10" t="s">
        <v>242</v>
      </c>
      <c r="I7" s="13">
        <v>248.035657436587</v>
      </c>
      <c r="J7" s="6" t="s">
        <v>74</v>
      </c>
      <c r="M7">
        <v>4</v>
      </c>
      <c r="N7">
        <v>0</v>
      </c>
      <c r="O7">
        <f>B12</f>
        <v>6.6146958853831244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5.7133631937457006</v>
      </c>
    </row>
    <row r="10" spans="1:28" x14ac:dyDescent="0.35">
      <c r="A10" s="6" t="s">
        <v>56</v>
      </c>
      <c r="B10" s="3">
        <v>0.24</v>
      </c>
      <c r="M10">
        <v>7</v>
      </c>
      <c r="N10">
        <f>N9</f>
        <v>-8.3815909783602507</v>
      </c>
      <c r="O10">
        <f>O6</f>
        <v>7.3008902062376499</v>
      </c>
    </row>
    <row r="11" spans="1:28" x14ac:dyDescent="0.35">
      <c r="A11" s="6" t="s">
        <v>236</v>
      </c>
      <c r="B11" s="3">
        <v>28</v>
      </c>
      <c r="C11" s="6" t="s">
        <v>88</v>
      </c>
      <c r="M11">
        <v>8</v>
      </c>
      <c r="N11">
        <f>0</f>
        <v>0</v>
      </c>
      <c r="O11">
        <f>O7</f>
        <v>6.6146958853831244</v>
      </c>
    </row>
    <row r="12" spans="1:28" x14ac:dyDescent="0.35">
      <c r="A12" s="6" t="s">
        <v>59</v>
      </c>
      <c r="B12">
        <f>(2*B8)/(B9*(1+B10))</f>
        <v>6.6146958853831244</v>
      </c>
      <c r="C12" s="6" t="s">
        <v>58</v>
      </c>
    </row>
    <row r="13" spans="1:28" x14ac:dyDescent="0.35">
      <c r="A13" s="6" t="s">
        <v>60</v>
      </c>
      <c r="B13">
        <f>B12*B10</f>
        <v>1.5875270124919498</v>
      </c>
      <c r="C13" s="6" t="s">
        <v>58</v>
      </c>
      <c r="H13" s="12"/>
      <c r="I13" s="8"/>
      <c r="J13" s="7"/>
    </row>
    <row r="14" spans="1:28" x14ac:dyDescent="0.35">
      <c r="A14" s="6" t="s">
        <v>239</v>
      </c>
      <c r="B14">
        <f>0.25*(B12-B13)+(B9/2)*TAN(B11*PI()/180)</f>
        <v>5.7133631937457006</v>
      </c>
      <c r="C14" s="6" t="s">
        <v>58</v>
      </c>
      <c r="H14"/>
      <c r="J14"/>
    </row>
    <row r="15" spans="1:28" x14ac:dyDescent="0.35">
      <c r="A15" s="6" t="s">
        <v>263</v>
      </c>
      <c r="B15" s="3">
        <v>-3</v>
      </c>
      <c r="C15" s="6" t="s">
        <v>88</v>
      </c>
      <c r="H15"/>
      <c r="J15"/>
    </row>
    <row r="16" spans="1:28" x14ac:dyDescent="0.35">
      <c r="H16" s="28" t="s">
        <v>253</v>
      </c>
      <c r="I16" s="29"/>
      <c r="J16" s="30"/>
    </row>
    <row r="17" spans="4:30" x14ac:dyDescent="0.35">
      <c r="D17" s="2" t="s">
        <v>261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236</v>
      </c>
      <c r="E18">
        <f>B11</f>
        <v>28</v>
      </c>
      <c r="H18" s="10" t="s">
        <v>139</v>
      </c>
      <c r="I18" s="4">
        <f>CruiseST!F27</f>
        <v>0.1206875</v>
      </c>
    </row>
    <row r="19" spans="4:30" x14ac:dyDescent="0.35">
      <c r="D19" t="s">
        <v>255</v>
      </c>
      <c r="E19">
        <v>0.95</v>
      </c>
      <c r="H19" s="10" t="s">
        <v>136</v>
      </c>
      <c r="I19" s="4">
        <f>CruiseST!C26</f>
        <v>0.86094000000000004</v>
      </c>
    </row>
    <row r="20" spans="4:30" x14ac:dyDescent="0.35">
      <c r="D20" t="s">
        <v>256</v>
      </c>
      <c r="E20">
        <v>5.7000000000000002E-2</v>
      </c>
      <c r="H20" s="11" t="s">
        <v>252</v>
      </c>
      <c r="I20" s="11">
        <v>0.01</v>
      </c>
    </row>
    <row r="21" spans="4:30" x14ac:dyDescent="0.35">
      <c r="D21" t="s">
        <v>254</v>
      </c>
      <c r="E21">
        <f>(E19/COS(E18*PI()/180))-(E20/(COS(E18*PI()/180)^2))-(B5/(10*COS(E18*PI()/180)^3))</f>
        <v>0.82849505753335262</v>
      </c>
      <c r="H21" s="11" t="s">
        <v>258</v>
      </c>
      <c r="I21" s="11">
        <f>20*(E23-E22)^4*E24</f>
        <v>4.0413247848057245E-3</v>
      </c>
    </row>
    <row r="22" spans="4:30" x14ac:dyDescent="0.35">
      <c r="D22" t="s">
        <v>257</v>
      </c>
      <c r="E22">
        <f>E21-(0.1/80)^(1/3)</f>
        <v>0.72077332303175845</v>
      </c>
      <c r="H22" s="11" t="s">
        <v>232</v>
      </c>
      <c r="I22" s="11">
        <f>I18+I19+I20+I21-E26</f>
        <v>0.99484342981519591</v>
      </c>
      <c r="AD22" t="s">
        <v>269</v>
      </c>
    </row>
    <row r="23" spans="4:30" x14ac:dyDescent="0.35">
      <c r="D23" t="s">
        <v>259</v>
      </c>
      <c r="E23">
        <v>0.84</v>
      </c>
      <c r="H23" s="10" t="s">
        <v>251</v>
      </c>
      <c r="I23">
        <f>B5/I22</f>
        <v>1.2062199578710735</v>
      </c>
    </row>
    <row r="24" spans="4:30" x14ac:dyDescent="0.35">
      <c r="D24" t="s">
        <v>260</v>
      </c>
      <c r="E24">
        <f>IF(E23&gt;E22, 1, 0)</f>
        <v>1</v>
      </c>
      <c r="H24" s="10" t="s">
        <v>143</v>
      </c>
      <c r="I24">
        <f>(B5^2)/(PI()*(B9^2/B8)*I18)</f>
        <v>0.92917055917729297</v>
      </c>
    </row>
    <row r="25" spans="4:30" x14ac:dyDescent="0.35">
      <c r="H25" s="10" t="s">
        <v>33</v>
      </c>
      <c r="I25">
        <f>MAX(CruiseFS!J23:J42)</f>
        <v>1.4650000000000001</v>
      </c>
    </row>
    <row r="26" spans="4:30" x14ac:dyDescent="0.35">
      <c r="D26" t="s">
        <v>291</v>
      </c>
      <c r="E26">
        <v>8.2539496960989402E-4</v>
      </c>
    </row>
    <row r="29" spans="4:30" x14ac:dyDescent="0.35">
      <c r="D29" s="2" t="s">
        <v>284</v>
      </c>
    </row>
    <row r="30" spans="4:30" x14ac:dyDescent="0.35">
      <c r="D30" t="s">
        <v>292</v>
      </c>
      <c r="E30">
        <f>(I4*I3)/(I5*I7^2*B8)</f>
        <v>0.25429082852241713</v>
      </c>
    </row>
    <row r="31" spans="4:30" x14ac:dyDescent="0.35">
      <c r="D31" t="s">
        <v>293</v>
      </c>
      <c r="E31">
        <v>1.2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sqref="A1:C1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4.6146394520823346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6.6146958853831244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5.7133631937457006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1.5875270124919498</v>
      </c>
      <c r="G15" s="6" t="s">
        <v>58</v>
      </c>
    </row>
    <row r="16" spans="1:8" x14ac:dyDescent="0.35">
      <c r="E16" s="10" t="s">
        <v>87</v>
      </c>
      <c r="F16">
        <f>Variables!B15</f>
        <v>-3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34774361.285021096</v>
      </c>
      <c r="B5" s="18">
        <f>'CDCL(Re)'!B18*$A$5^2 + 'CDCL(Re)'!B19*$A$5 + 'CDCL(Re)'!B20</f>
        <v>-0.13031974435032465</v>
      </c>
      <c r="C5">
        <f>'CDCL(Re)'!C18*$A$5^2 + 'CDCL(Re)'!C19*$A$5 + 'CDCL(Re)'!C20</f>
        <v>8.5410762770602375E-3</v>
      </c>
      <c r="D5" s="18">
        <f>'CDCL(Re)'!D18*$A$5^2 + 'CDCL(Re)'!D19*$A$5 + 'CDCL(Re)'!D20</f>
        <v>9.5389237229397628E-2</v>
      </c>
      <c r="E5">
        <f>'CDCL(Re)'!E18*$A$5^2 + 'CDCL(Re)'!E19*$A$5 + 'CDCL(Re)'!E20</f>
        <v>7.5410762770602383E-3</v>
      </c>
      <c r="F5">
        <f>'CDCL(Re)'!F18*$A$5^2 + 'CDCL(Re)'!F19*$A$5 + 'CDCL(Re)'!F20</f>
        <v>0.41053751312235198</v>
      </c>
      <c r="G5">
        <f>'CDCL(Re)'!G18*$A$5^2 + 'CDCL(Re)'!G19*$A$5 + 'CDCL(Re)'!G20</f>
        <v>8.079563687129275E-3</v>
      </c>
      <c r="H5" s="6">
        <f>'CDCL(Re)'!I18</f>
        <v>2E-16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8345846.7084050635</v>
      </c>
      <c r="B9">
        <f>'CDCL(Re)'!B18*$A$9^2 + 'CDCL(Re)'!B19*$A$9 + 'CDCL(Re)'!B20</f>
        <v>-0.13567101196962705</v>
      </c>
      <c r="C9">
        <f>'CDCL(Re)'!C18*$A$9^2 + 'CDCL(Re)'!C19*$A$9 + 'CDCL(Re)'!C20</f>
        <v>8.9047216437198838E-3</v>
      </c>
      <c r="D9" s="18">
        <f>'CDCL(Re)'!D18*$A$9^2 + 'CDCL(Re)'!D19*$A$9 + 'CDCL(Re)'!D20</f>
        <v>9.1752783562801157E-2</v>
      </c>
      <c r="E9">
        <f>'CDCL(Re)'!E18*$A$9^2 + 'CDCL(Re)'!E19*$A$9 + 'CDCL(Re)'!E20</f>
        <v>7.9047216437198847E-3</v>
      </c>
      <c r="F9">
        <f>'CDCL(Re)'!F18*$A$9^2 + 'CDCL(Re)'!F19*$A$9 + 'CDCL(Re)'!F20</f>
        <v>0.39654729815520262</v>
      </c>
      <c r="G9">
        <f>'CDCL(Re)'!G18*$A$9^2 + 'CDCL(Re)'!G19*$A$9 + 'CDCL(Re)'!G20</f>
        <v>9.3185269535237397E-3</v>
      </c>
      <c r="H9" s="6">
        <f>'CDCL(Re)'!I18</f>
        <v>2E-16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5"/>
  <sheetViews>
    <sheetView workbookViewId="0"/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243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40</v>
      </c>
    </row>
    <row r="7" spans="1:9" x14ac:dyDescent="0.35">
      <c r="A7" t="s">
        <v>101</v>
      </c>
      <c r="B7" t="s">
        <v>105</v>
      </c>
      <c r="C7" t="s">
        <v>103</v>
      </c>
      <c r="D7">
        <v>400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4.6146000000000003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19.5504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-0.52729999999999999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0</v>
      </c>
      <c r="D21" t="s">
        <v>130</v>
      </c>
      <c r="E21" t="s">
        <v>103</v>
      </c>
      <c r="F21">
        <v>-1.1632800000000001</v>
      </c>
    </row>
    <row r="22" spans="1:9" x14ac:dyDescent="0.35">
      <c r="A22" t="s">
        <v>131</v>
      </c>
      <c r="B22" t="s">
        <v>103</v>
      </c>
      <c r="C22">
        <v>-1.4606600000000001</v>
      </c>
      <c r="D22" t="s">
        <v>132</v>
      </c>
      <c r="E22" t="s">
        <v>103</v>
      </c>
      <c r="F22">
        <v>0</v>
      </c>
      <c r="G22" t="s">
        <v>133</v>
      </c>
      <c r="H22" t="s">
        <v>103</v>
      </c>
      <c r="I22">
        <v>0</v>
      </c>
    </row>
    <row r="24" spans="1:9" x14ac:dyDescent="0.35">
      <c r="A24" t="s">
        <v>134</v>
      </c>
      <c r="B24" t="s">
        <v>103</v>
      </c>
      <c r="C24">
        <v>1.2</v>
      </c>
    </row>
    <row r="25" spans="1:9" x14ac:dyDescent="0.35">
      <c r="A25" t="s">
        <v>135</v>
      </c>
      <c r="B25" t="s">
        <v>103</v>
      </c>
      <c r="C25">
        <v>0.98568999999999996</v>
      </c>
    </row>
    <row r="26" spans="1:9" x14ac:dyDescent="0.35">
      <c r="A26" t="s">
        <v>136</v>
      </c>
      <c r="B26" t="s">
        <v>103</v>
      </c>
      <c r="C26">
        <v>0.86094000000000004</v>
      </c>
      <c r="D26" t="s">
        <v>137</v>
      </c>
      <c r="E26" t="s">
        <v>103</v>
      </c>
      <c r="F26">
        <v>0.12474639999999999</v>
      </c>
    </row>
    <row r="27" spans="1:9" x14ac:dyDescent="0.35">
      <c r="A27" t="s">
        <v>138</v>
      </c>
      <c r="B27" t="s">
        <v>103</v>
      </c>
      <c r="C27">
        <v>1.2443</v>
      </c>
      <c r="D27" t="s">
        <v>139</v>
      </c>
      <c r="E27" t="s">
        <v>103</v>
      </c>
      <c r="F27">
        <v>0.1206875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0.999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3.0517029999999998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0</v>
      </c>
      <c r="H38" t="s">
        <v>156</v>
      </c>
      <c r="I38" t="s">
        <v>103</v>
      </c>
      <c r="J38">
        <v>-0.86165000000000003</v>
      </c>
    </row>
    <row r="39" spans="1:13" x14ac:dyDescent="0.35">
      <c r="A39" t="s">
        <v>322</v>
      </c>
      <c r="B39" t="s">
        <v>150</v>
      </c>
      <c r="C39" t="s">
        <v>2</v>
      </c>
      <c r="D39" t="s">
        <v>140</v>
      </c>
      <c r="E39" t="s">
        <v>323</v>
      </c>
      <c r="F39" t="s">
        <v>103</v>
      </c>
      <c r="G39">
        <v>7.1176110000000001</v>
      </c>
      <c r="H39" t="s">
        <v>324</v>
      </c>
      <c r="I39" t="s">
        <v>103</v>
      </c>
      <c r="J39">
        <v>0</v>
      </c>
    </row>
    <row r="40" spans="1:13" x14ac:dyDescent="0.35">
      <c r="A40" t="s">
        <v>157</v>
      </c>
      <c r="B40" t="s">
        <v>158</v>
      </c>
      <c r="C40" t="s">
        <v>159</v>
      </c>
      <c r="D40" t="s">
        <v>160</v>
      </c>
      <c r="E40" t="s">
        <v>103</v>
      </c>
      <c r="F40">
        <v>0</v>
      </c>
      <c r="G40" t="s">
        <v>161</v>
      </c>
      <c r="H40" t="s">
        <v>103</v>
      </c>
      <c r="I40">
        <v>-6.3233999999999999E-2</v>
      </c>
    </row>
    <row r="41" spans="1:13" x14ac:dyDescent="0.35">
      <c r="A41" t="s">
        <v>153</v>
      </c>
      <c r="B41" t="s">
        <v>158</v>
      </c>
      <c r="C41" t="s">
        <v>4</v>
      </c>
      <c r="D41" t="s">
        <v>140</v>
      </c>
      <c r="E41" t="s">
        <v>162</v>
      </c>
      <c r="F41" t="s">
        <v>103</v>
      </c>
      <c r="G41">
        <v>-4.6422350000000003</v>
      </c>
      <c r="H41" t="s">
        <v>163</v>
      </c>
      <c r="I41" t="s">
        <v>103</v>
      </c>
      <c r="J41">
        <v>0</v>
      </c>
    </row>
    <row r="42" spans="1:13" x14ac:dyDescent="0.35">
      <c r="A42" t="s">
        <v>149</v>
      </c>
      <c r="B42" t="s">
        <v>158</v>
      </c>
      <c r="C42" t="s">
        <v>164</v>
      </c>
      <c r="D42" t="s">
        <v>165</v>
      </c>
      <c r="E42" t="s">
        <v>103</v>
      </c>
      <c r="F42">
        <v>0</v>
      </c>
      <c r="G42" t="s">
        <v>166</v>
      </c>
      <c r="H42" t="s">
        <v>103</v>
      </c>
      <c r="I42">
        <v>0.52963300000000002</v>
      </c>
    </row>
    <row r="44" spans="1:13" x14ac:dyDescent="0.35">
      <c r="A44" t="s">
        <v>167</v>
      </c>
      <c r="B44" t="s">
        <v>168</v>
      </c>
      <c r="C44" t="s">
        <v>169</v>
      </c>
      <c r="D44" t="s">
        <v>170</v>
      </c>
      <c r="E44" t="s">
        <v>168</v>
      </c>
      <c r="F44" t="s">
        <v>171</v>
      </c>
      <c r="G44" t="s">
        <v>172</v>
      </c>
      <c r="H44" t="s">
        <v>168</v>
      </c>
      <c r="I44" t="s">
        <v>173</v>
      </c>
    </row>
    <row r="45" spans="1:13" x14ac:dyDescent="0.35">
      <c r="A45" t="s">
        <v>148</v>
      </c>
      <c r="B45" t="s">
        <v>148</v>
      </c>
      <c r="C45" t="s">
        <v>148</v>
      </c>
    </row>
    <row r="46" spans="1:13" x14ac:dyDescent="0.35">
      <c r="A46" t="s">
        <v>149</v>
      </c>
      <c r="B46" t="s">
        <v>150</v>
      </c>
      <c r="C46" t="s">
        <v>1</v>
      </c>
      <c r="D46" t="s">
        <v>140</v>
      </c>
      <c r="E46" t="s">
        <v>174</v>
      </c>
      <c r="F46" t="s">
        <v>103</v>
      </c>
      <c r="G46">
        <v>0</v>
      </c>
      <c r="H46" t="s">
        <v>175</v>
      </c>
      <c r="I46" t="s">
        <v>103</v>
      </c>
      <c r="J46">
        <v>10.616887</v>
      </c>
      <c r="K46" t="s">
        <v>176</v>
      </c>
      <c r="L46" t="s">
        <v>103</v>
      </c>
      <c r="M46">
        <v>0</v>
      </c>
    </row>
    <row r="47" spans="1:13" x14ac:dyDescent="0.35">
      <c r="A47" t="s">
        <v>153</v>
      </c>
      <c r="B47" t="s">
        <v>150</v>
      </c>
      <c r="C47" t="s">
        <v>154</v>
      </c>
      <c r="D47" t="s">
        <v>140</v>
      </c>
      <c r="E47" t="s">
        <v>177</v>
      </c>
      <c r="F47" t="s">
        <v>103</v>
      </c>
      <c r="G47">
        <v>0.49543700000000002</v>
      </c>
      <c r="H47" t="s">
        <v>178</v>
      </c>
      <c r="I47" t="s">
        <v>103</v>
      </c>
      <c r="J47">
        <v>0</v>
      </c>
      <c r="K47" t="s">
        <v>179</v>
      </c>
      <c r="L47" t="s">
        <v>103</v>
      </c>
      <c r="M47">
        <v>0.243564</v>
      </c>
    </row>
    <row r="48" spans="1:13" x14ac:dyDescent="0.35">
      <c r="A48" t="s">
        <v>322</v>
      </c>
      <c r="B48" t="s">
        <v>150</v>
      </c>
      <c r="C48" t="s">
        <v>2</v>
      </c>
      <c r="D48" t="s">
        <v>140</v>
      </c>
      <c r="E48" t="s">
        <v>3</v>
      </c>
      <c r="F48" t="s">
        <v>103</v>
      </c>
      <c r="G48">
        <v>0</v>
      </c>
      <c r="H48" t="s">
        <v>325</v>
      </c>
      <c r="I48" t="s">
        <v>103</v>
      </c>
      <c r="J48">
        <v>20.515481000000001</v>
      </c>
      <c r="K48" t="s">
        <v>326</v>
      </c>
      <c r="L48" t="s">
        <v>103</v>
      </c>
      <c r="M48">
        <v>0</v>
      </c>
    </row>
    <row r="49" spans="1:14" x14ac:dyDescent="0.35">
      <c r="A49" t="s">
        <v>157</v>
      </c>
      <c r="B49" t="s">
        <v>158</v>
      </c>
      <c r="C49" t="s">
        <v>159</v>
      </c>
      <c r="D49" t="s">
        <v>180</v>
      </c>
      <c r="E49" t="s">
        <v>103</v>
      </c>
      <c r="F49">
        <v>-0.41670099999999999</v>
      </c>
      <c r="G49" t="s">
        <v>181</v>
      </c>
      <c r="H49" t="s">
        <v>103</v>
      </c>
      <c r="I49">
        <v>0</v>
      </c>
      <c r="J49" t="s">
        <v>182</v>
      </c>
      <c r="K49" t="s">
        <v>103</v>
      </c>
      <c r="L49">
        <v>0.28606100000000001</v>
      </c>
    </row>
    <row r="50" spans="1:14" x14ac:dyDescent="0.35">
      <c r="A50" t="s">
        <v>153</v>
      </c>
      <c r="B50" t="s">
        <v>158</v>
      </c>
      <c r="C50" t="s">
        <v>4</v>
      </c>
      <c r="D50" t="s">
        <v>140</v>
      </c>
      <c r="E50" t="s">
        <v>183</v>
      </c>
      <c r="F50" t="s">
        <v>103</v>
      </c>
      <c r="G50">
        <v>0</v>
      </c>
      <c r="H50" t="s">
        <v>184</v>
      </c>
      <c r="I50" t="s">
        <v>103</v>
      </c>
      <c r="J50">
        <v>-14.482469</v>
      </c>
      <c r="K50" t="s">
        <v>185</v>
      </c>
      <c r="L50" t="s">
        <v>103</v>
      </c>
      <c r="M50">
        <v>0</v>
      </c>
    </row>
    <row r="51" spans="1:14" x14ac:dyDescent="0.35">
      <c r="A51" t="s">
        <v>149</v>
      </c>
      <c r="B51" t="s">
        <v>158</v>
      </c>
      <c r="C51" t="s">
        <v>164</v>
      </c>
      <c r="D51" t="s">
        <v>186</v>
      </c>
      <c r="E51" t="s">
        <v>103</v>
      </c>
      <c r="F51">
        <v>0.38475599999999999</v>
      </c>
      <c r="G51" t="s">
        <v>187</v>
      </c>
      <c r="H51" t="s">
        <v>103</v>
      </c>
      <c r="I51">
        <v>0</v>
      </c>
      <c r="J51" t="s">
        <v>188</v>
      </c>
      <c r="K51" t="s">
        <v>103</v>
      </c>
      <c r="L51">
        <v>-1.09195</v>
      </c>
    </row>
    <row r="53" spans="1:14" x14ac:dyDescent="0.35">
      <c r="A53" t="s">
        <v>189</v>
      </c>
      <c r="B53" t="s">
        <v>190</v>
      </c>
      <c r="C53" t="s">
        <v>191</v>
      </c>
      <c r="D53" t="s">
        <v>103</v>
      </c>
      <c r="E53">
        <v>7.0197060000000002</v>
      </c>
    </row>
    <row r="55" spans="1:14" x14ac:dyDescent="0.35">
      <c r="A55" t="s">
        <v>161</v>
      </c>
      <c r="B55" t="s">
        <v>188</v>
      </c>
      <c r="C55" t="s">
        <v>244</v>
      </c>
      <c r="D55" t="s">
        <v>182</v>
      </c>
      <c r="E55" t="s">
        <v>166</v>
      </c>
      <c r="F55" t="s">
        <v>103</v>
      </c>
      <c r="G55">
        <v>0.45573999999999998</v>
      </c>
      <c r="H55" t="s">
        <v>245</v>
      </c>
      <c r="I55" t="s">
        <v>246</v>
      </c>
      <c r="J55">
        <v>1</v>
      </c>
      <c r="K55" t="s">
        <v>247</v>
      </c>
      <c r="L55" t="s">
        <v>248</v>
      </c>
      <c r="M55" t="s">
        <v>249</v>
      </c>
      <c r="N55" t="s">
        <v>250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80"/>
  <sheetViews>
    <sheetView topLeftCell="A22" workbookViewId="0"/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79</v>
      </c>
      <c r="B4" t="s">
        <v>103</v>
      </c>
      <c r="C4">
        <v>68.748000000000005</v>
      </c>
      <c r="D4" t="s">
        <v>80</v>
      </c>
      <c r="E4" t="s">
        <v>103</v>
      </c>
      <c r="F4">
        <v>4.6146000000000003</v>
      </c>
      <c r="G4" t="s">
        <v>81</v>
      </c>
      <c r="H4" t="s">
        <v>103</v>
      </c>
      <c r="I4">
        <v>16.763000000000002</v>
      </c>
    </row>
    <row r="5" spans="1:12" x14ac:dyDescent="0.35">
      <c r="A5" t="s">
        <v>106</v>
      </c>
      <c r="B5" t="s">
        <v>103</v>
      </c>
      <c r="C5">
        <v>0</v>
      </c>
      <c r="D5" t="s">
        <v>107</v>
      </c>
      <c r="E5" t="s">
        <v>103</v>
      </c>
      <c r="F5">
        <v>0</v>
      </c>
      <c r="G5" t="s">
        <v>108</v>
      </c>
      <c r="H5" t="s">
        <v>103</v>
      </c>
      <c r="I5">
        <v>0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10</v>
      </c>
      <c r="E8" t="s">
        <v>101</v>
      </c>
      <c r="F8" t="s">
        <v>205</v>
      </c>
      <c r="G8" t="s">
        <v>103</v>
      </c>
      <c r="H8">
        <v>20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327</v>
      </c>
      <c r="D9" t="s">
        <v>103</v>
      </c>
      <c r="E9">
        <v>34.373779999999996</v>
      </c>
      <c r="F9" t="s">
        <v>209</v>
      </c>
      <c r="G9" t="s">
        <v>85</v>
      </c>
      <c r="H9" t="s">
        <v>219</v>
      </c>
      <c r="I9" t="s">
        <v>103</v>
      </c>
      <c r="J9">
        <v>4.1010999999999997</v>
      </c>
    </row>
    <row r="11" spans="1:12" x14ac:dyDescent="0.35">
      <c r="A11" t="s">
        <v>99</v>
      </c>
      <c r="B11" t="s">
        <v>197</v>
      </c>
      <c r="C11" t="s">
        <v>198</v>
      </c>
      <c r="D11" t="s">
        <v>199</v>
      </c>
      <c r="E11" t="s">
        <v>200</v>
      </c>
      <c r="F11" t="s">
        <v>81</v>
      </c>
      <c r="G11" t="s">
        <v>201</v>
      </c>
      <c r="H11" t="s">
        <v>202</v>
      </c>
      <c r="I11" t="s">
        <v>203</v>
      </c>
      <c r="J11" t="s">
        <v>108</v>
      </c>
    </row>
    <row r="12" spans="1:12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3" spans="1:12" x14ac:dyDescent="0.35">
      <c r="A13" t="s">
        <v>210</v>
      </c>
      <c r="B13" t="s">
        <v>103</v>
      </c>
      <c r="C13">
        <v>0.6</v>
      </c>
      <c r="D13" t="s">
        <v>211</v>
      </c>
      <c r="E13" t="s">
        <v>103</v>
      </c>
      <c r="F13">
        <v>-0.15848000000000001</v>
      </c>
    </row>
    <row r="14" spans="1:12" x14ac:dyDescent="0.35">
      <c r="A14" t="s">
        <v>212</v>
      </c>
      <c r="B14" t="s">
        <v>103</v>
      </c>
      <c r="C14">
        <v>9.3579999999999997E-2</v>
      </c>
      <c r="D14" t="s">
        <v>213</v>
      </c>
      <c r="E14" t="s">
        <v>103</v>
      </c>
      <c r="F14">
        <v>-0.58164000000000005</v>
      </c>
    </row>
    <row r="15" spans="1:12" x14ac:dyDescent="0.35">
      <c r="A15" t="s">
        <v>214</v>
      </c>
      <c r="B15" t="s">
        <v>103</v>
      </c>
      <c r="C15">
        <v>0.49284</v>
      </c>
      <c r="D15" t="s">
        <v>215</v>
      </c>
      <c r="E15" t="s">
        <v>103</v>
      </c>
      <c r="F15">
        <v>4.546E-2</v>
      </c>
    </row>
    <row r="16" spans="1:12" x14ac:dyDescent="0.35">
      <c r="A16" t="s">
        <v>216</v>
      </c>
      <c r="B16" t="s">
        <v>103</v>
      </c>
      <c r="C16">
        <v>6.2370000000000002E-2</v>
      </c>
      <c r="D16" t="s">
        <v>217</v>
      </c>
      <c r="E16" t="s">
        <v>103</v>
      </c>
      <c r="F16">
        <v>0.43047000000000002</v>
      </c>
    </row>
    <row r="18" spans="1:15" x14ac:dyDescent="0.35">
      <c r="A18" t="s">
        <v>99</v>
      </c>
      <c r="B18" t="s">
        <v>197</v>
      </c>
      <c r="C18" t="s">
        <v>198</v>
      </c>
      <c r="D18" t="s">
        <v>218</v>
      </c>
      <c r="E18" t="s">
        <v>219</v>
      </c>
    </row>
    <row r="19" spans="1:15" x14ac:dyDescent="0.35">
      <c r="A19" t="s">
        <v>210</v>
      </c>
      <c r="B19" t="s">
        <v>103</v>
      </c>
      <c r="C19">
        <v>1.2</v>
      </c>
      <c r="D19" t="s">
        <v>214</v>
      </c>
      <c r="E19" t="s">
        <v>103</v>
      </c>
      <c r="F19">
        <v>0.98568999999999996</v>
      </c>
    </row>
    <row r="21" spans="1:15" x14ac:dyDescent="0.35">
      <c r="A21" t="s">
        <v>194</v>
      </c>
      <c r="B21" t="s">
        <v>99</v>
      </c>
      <c r="C21" t="s">
        <v>197</v>
      </c>
      <c r="D21" t="s">
        <v>198</v>
      </c>
      <c r="E21" t="s">
        <v>194</v>
      </c>
      <c r="F21" t="s">
        <v>220</v>
      </c>
      <c r="G21" t="s">
        <v>86</v>
      </c>
    </row>
    <row r="22" spans="1:15" x14ac:dyDescent="0.35">
      <c r="A22" t="s">
        <v>221</v>
      </c>
      <c r="B22" t="s">
        <v>82</v>
      </c>
      <c r="C22" t="s">
        <v>83</v>
      </c>
      <c r="D22" t="s">
        <v>84</v>
      </c>
      <c r="E22" t="s">
        <v>86</v>
      </c>
      <c r="F22" t="s">
        <v>222</v>
      </c>
      <c r="G22" t="s">
        <v>328</v>
      </c>
      <c r="H22" t="s">
        <v>224</v>
      </c>
      <c r="I22" t="s">
        <v>225</v>
      </c>
      <c r="J22" t="s">
        <v>223</v>
      </c>
      <c r="K22" t="s">
        <v>226</v>
      </c>
      <c r="L22" t="s">
        <v>227</v>
      </c>
      <c r="M22" t="s">
        <v>228</v>
      </c>
      <c r="N22" t="s">
        <v>229</v>
      </c>
      <c r="O22" t="s">
        <v>230</v>
      </c>
    </row>
    <row r="23" spans="1:15" x14ac:dyDescent="0.35">
      <c r="A23">
        <v>1</v>
      </c>
      <c r="B23">
        <v>8.8000000000000005E-3</v>
      </c>
      <c r="C23">
        <v>1.29E-2</v>
      </c>
      <c r="D23">
        <v>0</v>
      </c>
      <c r="E23">
        <v>6.6070000000000002</v>
      </c>
      <c r="F23">
        <v>0.34089999999999998</v>
      </c>
      <c r="G23">
        <v>6.24</v>
      </c>
      <c r="H23">
        <v>0.2011</v>
      </c>
      <c r="I23">
        <v>0.70020000000000004</v>
      </c>
      <c r="J23">
        <v>0.56289999999999996</v>
      </c>
      <c r="K23">
        <v>1.2763</v>
      </c>
      <c r="L23">
        <v>3.9E-2</v>
      </c>
      <c r="M23">
        <v>-6.2600000000000003E-2</v>
      </c>
      <c r="N23">
        <v>-0.24959999999999999</v>
      </c>
      <c r="O23">
        <v>0.36099999999999999</v>
      </c>
    </row>
    <row r="24" spans="1:15" x14ac:dyDescent="0.35">
      <c r="A24">
        <v>2</v>
      </c>
      <c r="B24">
        <v>7.8899999999999998E-2</v>
      </c>
      <c r="C24">
        <v>0.1158</v>
      </c>
      <c r="D24">
        <v>0</v>
      </c>
      <c r="E24">
        <v>6.5452000000000004</v>
      </c>
      <c r="F24">
        <v>1.0047999999999999</v>
      </c>
      <c r="G24">
        <v>6.2404000000000002</v>
      </c>
      <c r="H24">
        <v>0.20469999999999999</v>
      </c>
      <c r="I24">
        <v>1.1362000000000001</v>
      </c>
      <c r="J24">
        <v>0.9133</v>
      </c>
      <c r="K24">
        <v>0.6079</v>
      </c>
      <c r="L24">
        <v>0.33050000000000002</v>
      </c>
      <c r="M24">
        <v>-6.0999999999999999E-2</v>
      </c>
      <c r="N24">
        <v>-0.2702</v>
      </c>
      <c r="O24">
        <v>0.317</v>
      </c>
    </row>
    <row r="25" spans="1:15" x14ac:dyDescent="0.35">
      <c r="A25">
        <v>3</v>
      </c>
      <c r="B25">
        <v>0.2175</v>
      </c>
      <c r="C25">
        <v>0.31900000000000001</v>
      </c>
      <c r="D25">
        <v>0</v>
      </c>
      <c r="E25">
        <v>6.4234</v>
      </c>
      <c r="F25">
        <v>1.6165</v>
      </c>
      <c r="G25">
        <v>6.2380000000000004</v>
      </c>
      <c r="H25">
        <v>0.20680000000000001</v>
      </c>
      <c r="I25">
        <v>1.1846000000000001</v>
      </c>
      <c r="J25">
        <v>0.95220000000000005</v>
      </c>
      <c r="K25">
        <v>0.60319999999999996</v>
      </c>
      <c r="L25">
        <v>0.3826</v>
      </c>
      <c r="M25">
        <v>-5.57E-2</v>
      </c>
      <c r="N25">
        <v>-0.27300000000000002</v>
      </c>
      <c r="O25">
        <v>0.308</v>
      </c>
    </row>
    <row r="26" spans="1:15" x14ac:dyDescent="0.35">
      <c r="A26">
        <v>4</v>
      </c>
      <c r="B26">
        <v>0.42099999999999999</v>
      </c>
      <c r="C26">
        <v>0.61760000000000004</v>
      </c>
      <c r="D26">
        <v>0</v>
      </c>
      <c r="E26">
        <v>6.2443</v>
      </c>
      <c r="F26">
        <v>2.1456</v>
      </c>
      <c r="G26">
        <v>6.2253999999999996</v>
      </c>
      <c r="H26">
        <v>0.20760000000000001</v>
      </c>
      <c r="I26">
        <v>1.2286999999999999</v>
      </c>
      <c r="J26">
        <v>0.98770000000000002</v>
      </c>
      <c r="K26">
        <v>0.63180000000000003</v>
      </c>
      <c r="L26">
        <v>0.43380000000000002</v>
      </c>
      <c r="M26">
        <v>-4.82E-2</v>
      </c>
      <c r="N26">
        <v>-0.2757</v>
      </c>
      <c r="O26">
        <v>0.29899999999999999</v>
      </c>
    </row>
    <row r="27" spans="1:15" x14ac:dyDescent="0.35">
      <c r="A27">
        <v>5</v>
      </c>
      <c r="B27">
        <v>0.68440000000000001</v>
      </c>
      <c r="C27">
        <v>1.0041</v>
      </c>
      <c r="D27">
        <v>0</v>
      </c>
      <c r="E27">
        <v>6.0125000000000002</v>
      </c>
      <c r="F27">
        <v>2.5678000000000001</v>
      </c>
      <c r="G27">
        <v>6.1932</v>
      </c>
      <c r="H27">
        <v>0.2074</v>
      </c>
      <c r="I27">
        <v>1.2808999999999999</v>
      </c>
      <c r="J27">
        <v>1.0296000000000001</v>
      </c>
      <c r="K27">
        <v>0.67749999999999999</v>
      </c>
      <c r="L27">
        <v>0.49869999999999998</v>
      </c>
      <c r="M27">
        <v>-4.0500000000000001E-2</v>
      </c>
      <c r="N27">
        <v>-0.28070000000000001</v>
      </c>
      <c r="O27">
        <v>0.28899999999999998</v>
      </c>
    </row>
    <row r="28" spans="1:15" x14ac:dyDescent="0.35">
      <c r="A28">
        <v>6</v>
      </c>
      <c r="B28">
        <v>1.0014000000000001</v>
      </c>
      <c r="C28">
        <v>1.4691000000000001</v>
      </c>
      <c r="D28">
        <v>0</v>
      </c>
      <c r="E28">
        <v>5.7336</v>
      </c>
      <c r="F28">
        <v>2.8671000000000002</v>
      </c>
      <c r="G28">
        <v>6.1311999999999998</v>
      </c>
      <c r="H28">
        <v>0.20610000000000001</v>
      </c>
      <c r="I28">
        <v>1.3404</v>
      </c>
      <c r="J28">
        <v>1.0773999999999999</v>
      </c>
      <c r="K28">
        <v>0.74</v>
      </c>
      <c r="L28">
        <v>0.57850000000000001</v>
      </c>
      <c r="M28">
        <v>-3.3700000000000001E-2</v>
      </c>
      <c r="N28">
        <v>-0.28870000000000001</v>
      </c>
      <c r="O28">
        <v>0.28100000000000003</v>
      </c>
    </row>
    <row r="29" spans="1:15" x14ac:dyDescent="0.35">
      <c r="A29">
        <v>7</v>
      </c>
      <c r="B29">
        <v>1.3641000000000001</v>
      </c>
      <c r="C29">
        <v>2.0011000000000001</v>
      </c>
      <c r="D29">
        <v>0</v>
      </c>
      <c r="E29">
        <v>5.4145000000000003</v>
      </c>
      <c r="F29">
        <v>3.0358999999999998</v>
      </c>
      <c r="G29">
        <v>6.0292000000000003</v>
      </c>
      <c r="H29">
        <v>0.2036</v>
      </c>
      <c r="I29">
        <v>1.4056999999999999</v>
      </c>
      <c r="J29">
        <v>1.1298999999999999</v>
      </c>
      <c r="K29">
        <v>0.81879999999999997</v>
      </c>
      <c r="L29">
        <v>0.67310000000000003</v>
      </c>
      <c r="M29">
        <v>-2.8000000000000001E-2</v>
      </c>
      <c r="N29">
        <v>-0.29970000000000002</v>
      </c>
      <c r="O29">
        <v>0.27500000000000002</v>
      </c>
    </row>
    <row r="30" spans="1:15" x14ac:dyDescent="0.35">
      <c r="A30">
        <v>8</v>
      </c>
      <c r="B30">
        <v>1.7635000000000001</v>
      </c>
      <c r="C30">
        <v>2.5871</v>
      </c>
      <c r="D30">
        <v>0</v>
      </c>
      <c r="E30">
        <v>5.0629999999999997</v>
      </c>
      <c r="F30">
        <v>3.0760999999999998</v>
      </c>
      <c r="G30">
        <v>5.8792</v>
      </c>
      <c r="H30">
        <v>0.2</v>
      </c>
      <c r="I30">
        <v>1.4753000000000001</v>
      </c>
      <c r="J30">
        <v>1.1859</v>
      </c>
      <c r="K30">
        <v>0.91249999999999998</v>
      </c>
      <c r="L30">
        <v>0.78200000000000003</v>
      </c>
      <c r="M30">
        <v>-2.35E-2</v>
      </c>
      <c r="N30">
        <v>-0.31340000000000001</v>
      </c>
      <c r="O30">
        <v>0.27</v>
      </c>
    </row>
    <row r="31" spans="1:15" x14ac:dyDescent="0.35">
      <c r="A31">
        <v>9</v>
      </c>
      <c r="B31">
        <v>2.1898</v>
      </c>
      <c r="C31">
        <v>3.2124999999999999</v>
      </c>
      <c r="D31">
        <v>0</v>
      </c>
      <c r="E31">
        <v>4.6879</v>
      </c>
      <c r="F31">
        <v>2.9975999999999998</v>
      </c>
      <c r="G31">
        <v>5.6755000000000004</v>
      </c>
      <c r="H31">
        <v>0.1953</v>
      </c>
      <c r="I31">
        <v>1.5472999999999999</v>
      </c>
      <c r="J31">
        <v>1.2437</v>
      </c>
      <c r="K31">
        <v>1.0188999999999999</v>
      </c>
      <c r="L31">
        <v>0.9032</v>
      </c>
      <c r="M31">
        <v>-2.01E-2</v>
      </c>
      <c r="N31">
        <v>-0.3291</v>
      </c>
      <c r="O31">
        <v>0.26600000000000001</v>
      </c>
    </row>
    <row r="32" spans="1:15" x14ac:dyDescent="0.35">
      <c r="A32">
        <v>10</v>
      </c>
      <c r="B32">
        <v>2.6326000000000001</v>
      </c>
      <c r="C32">
        <v>3.8620000000000001</v>
      </c>
      <c r="D32">
        <v>0</v>
      </c>
      <c r="E32">
        <v>4.2983000000000002</v>
      </c>
      <c r="F32">
        <v>2.8178999999999998</v>
      </c>
      <c r="G32">
        <v>5.4158999999999997</v>
      </c>
      <c r="H32">
        <v>0.19</v>
      </c>
      <c r="I32">
        <v>1.6192</v>
      </c>
      <c r="J32">
        <v>1.3015000000000001</v>
      </c>
      <c r="K32">
        <v>1.1336999999999999</v>
      </c>
      <c r="L32">
        <v>1.0335000000000001</v>
      </c>
      <c r="M32">
        <v>-1.72E-2</v>
      </c>
      <c r="N32">
        <v>-0.34599999999999997</v>
      </c>
      <c r="O32">
        <v>0.26300000000000001</v>
      </c>
    </row>
    <row r="33" spans="1:15" x14ac:dyDescent="0.35">
      <c r="A33">
        <v>11</v>
      </c>
      <c r="B33">
        <v>3.0808</v>
      </c>
      <c r="C33">
        <v>4.5195999999999996</v>
      </c>
      <c r="D33">
        <v>0</v>
      </c>
      <c r="E33">
        <v>3.9039000000000001</v>
      </c>
      <c r="F33">
        <v>2.5592999999999999</v>
      </c>
      <c r="G33">
        <v>5.1013999999999999</v>
      </c>
      <c r="H33">
        <v>0.18440000000000001</v>
      </c>
      <c r="I33">
        <v>1.6881999999999999</v>
      </c>
      <c r="J33">
        <v>1.357</v>
      </c>
      <c r="K33">
        <v>1.2506999999999999</v>
      </c>
      <c r="L33">
        <v>1.167</v>
      </c>
      <c r="M33">
        <v>-1.46E-2</v>
      </c>
      <c r="N33">
        <v>-0.36270000000000002</v>
      </c>
      <c r="O33">
        <v>0.26100000000000001</v>
      </c>
    </row>
    <row r="34" spans="1:15" x14ac:dyDescent="0.35">
      <c r="A34">
        <v>12</v>
      </c>
      <c r="B34">
        <v>3.5236000000000001</v>
      </c>
      <c r="C34">
        <v>5.1691000000000003</v>
      </c>
      <c r="D34">
        <v>0</v>
      </c>
      <c r="E34">
        <v>3.5143</v>
      </c>
      <c r="F34">
        <v>2.2471999999999999</v>
      </c>
      <c r="G34">
        <v>4.7358000000000002</v>
      </c>
      <c r="H34">
        <v>0.1794</v>
      </c>
      <c r="I34">
        <v>1.7499</v>
      </c>
      <c r="J34">
        <v>1.4066000000000001</v>
      </c>
      <c r="K34">
        <v>1.3596999999999999</v>
      </c>
      <c r="L34">
        <v>1.2938000000000001</v>
      </c>
      <c r="M34">
        <v>-1.17E-2</v>
      </c>
      <c r="N34">
        <v>-0.3775</v>
      </c>
      <c r="O34">
        <v>0.25800000000000001</v>
      </c>
    </row>
    <row r="35" spans="1:15" x14ac:dyDescent="0.35">
      <c r="A35">
        <v>13</v>
      </c>
      <c r="B35">
        <v>3.9499</v>
      </c>
      <c r="C35">
        <v>5.7945000000000002</v>
      </c>
      <c r="D35">
        <v>0</v>
      </c>
      <c r="E35">
        <v>3.1392000000000002</v>
      </c>
      <c r="F35">
        <v>1.9072</v>
      </c>
      <c r="G35">
        <v>4.3244999999999996</v>
      </c>
      <c r="H35">
        <v>0.1759</v>
      </c>
      <c r="I35">
        <v>1.7981</v>
      </c>
      <c r="J35">
        <v>1.4453</v>
      </c>
      <c r="K35">
        <v>1.4447000000000001</v>
      </c>
      <c r="L35">
        <v>1.3979999999999999</v>
      </c>
      <c r="M35">
        <v>-7.7999999999999996E-3</v>
      </c>
      <c r="N35">
        <v>-0.38769999999999999</v>
      </c>
      <c r="O35">
        <v>0.255</v>
      </c>
    </row>
    <row r="36" spans="1:15" x14ac:dyDescent="0.35">
      <c r="A36">
        <v>14</v>
      </c>
      <c r="B36">
        <v>4.3493000000000004</v>
      </c>
      <c r="C36">
        <v>6.3804999999999996</v>
      </c>
      <c r="D36">
        <v>0</v>
      </c>
      <c r="E36">
        <v>2.7877000000000001</v>
      </c>
      <c r="F36">
        <v>1.5630999999999999</v>
      </c>
      <c r="G36">
        <v>3.8729</v>
      </c>
      <c r="H36">
        <v>0.17530000000000001</v>
      </c>
      <c r="I36">
        <v>1.8226</v>
      </c>
      <c r="J36">
        <v>1.4650000000000001</v>
      </c>
      <c r="K36">
        <v>1.4805999999999999</v>
      </c>
      <c r="L36">
        <v>1.4545999999999999</v>
      </c>
      <c r="M36">
        <v>-1.9E-3</v>
      </c>
      <c r="N36">
        <v>-0.3891</v>
      </c>
      <c r="O36">
        <v>0.251</v>
      </c>
    </row>
    <row r="37" spans="1:15" x14ac:dyDescent="0.35">
      <c r="A37">
        <v>15</v>
      </c>
      <c r="B37">
        <v>4.7119999999999997</v>
      </c>
      <c r="C37">
        <v>6.9124999999999996</v>
      </c>
      <c r="D37">
        <v>0</v>
      </c>
      <c r="E37">
        <v>2.4685999999999999</v>
      </c>
      <c r="F37">
        <v>1.2344999999999999</v>
      </c>
      <c r="G37">
        <v>3.3843999999999999</v>
      </c>
      <c r="H37">
        <v>0.17879999999999999</v>
      </c>
      <c r="I37">
        <v>1.8081</v>
      </c>
      <c r="J37">
        <v>1.4534</v>
      </c>
      <c r="K37">
        <v>1.4312</v>
      </c>
      <c r="L37">
        <v>1.4271</v>
      </c>
      <c r="M37">
        <v>7.1000000000000004E-3</v>
      </c>
      <c r="N37">
        <v>-0.376</v>
      </c>
      <c r="O37">
        <v>0.245</v>
      </c>
    </row>
    <row r="38" spans="1:15" x14ac:dyDescent="0.35">
      <c r="A38">
        <v>16</v>
      </c>
      <c r="B38">
        <v>5.0289999999999999</v>
      </c>
      <c r="C38">
        <v>7.3775000000000004</v>
      </c>
      <c r="D38">
        <v>0</v>
      </c>
      <c r="E38">
        <v>2.1897000000000002</v>
      </c>
      <c r="F38">
        <v>0.93520000000000003</v>
      </c>
      <c r="G38">
        <v>2.8586999999999998</v>
      </c>
      <c r="H38">
        <v>0.187</v>
      </c>
      <c r="I38">
        <v>1.7316</v>
      </c>
      <c r="J38">
        <v>1.3917999999999999</v>
      </c>
      <c r="K38">
        <v>1.2528999999999999</v>
      </c>
      <c r="L38">
        <v>1.2710999999999999</v>
      </c>
      <c r="M38">
        <v>2.0299999999999999E-2</v>
      </c>
      <c r="N38">
        <v>-0.34079999999999999</v>
      </c>
      <c r="O38">
        <v>0.23499999999999999</v>
      </c>
    </row>
    <row r="39" spans="1:15" x14ac:dyDescent="0.35">
      <c r="A39">
        <v>17</v>
      </c>
      <c r="B39">
        <v>5.2923999999999998</v>
      </c>
      <c r="C39">
        <v>7.7640000000000002</v>
      </c>
      <c r="D39">
        <v>0</v>
      </c>
      <c r="E39">
        <v>1.9579</v>
      </c>
      <c r="F39">
        <v>0.67269999999999996</v>
      </c>
      <c r="G39">
        <v>2.2926000000000002</v>
      </c>
      <c r="H39">
        <v>0.1993</v>
      </c>
      <c r="I39">
        <v>1.5631999999999999</v>
      </c>
      <c r="J39">
        <v>1.2565</v>
      </c>
      <c r="K39">
        <v>0.91700000000000004</v>
      </c>
      <c r="L39">
        <v>0.95630000000000004</v>
      </c>
      <c r="M39">
        <v>3.6499999999999998E-2</v>
      </c>
      <c r="N39">
        <v>-0.27789999999999998</v>
      </c>
      <c r="O39">
        <v>0.221</v>
      </c>
    </row>
    <row r="40" spans="1:15" x14ac:dyDescent="0.35">
      <c r="A40">
        <v>18</v>
      </c>
      <c r="B40">
        <v>5.4958999999999998</v>
      </c>
      <c r="C40">
        <v>8.0625999999999998</v>
      </c>
      <c r="D40">
        <v>0</v>
      </c>
      <c r="E40">
        <v>1.7787999999999999</v>
      </c>
      <c r="F40">
        <v>0.44769999999999999</v>
      </c>
      <c r="G40">
        <v>1.6836</v>
      </c>
      <c r="H40">
        <v>0.2142</v>
      </c>
      <c r="I40">
        <v>1.2738</v>
      </c>
      <c r="J40">
        <v>1.0239</v>
      </c>
      <c r="K40">
        <v>0.46389999999999998</v>
      </c>
      <c r="L40">
        <v>0.51890000000000003</v>
      </c>
      <c r="M40">
        <v>4.9099999999999998E-2</v>
      </c>
      <c r="N40">
        <v>-0.1908</v>
      </c>
      <c r="O40">
        <v>0.20200000000000001</v>
      </c>
    </row>
    <row r="41" spans="1:15" x14ac:dyDescent="0.35">
      <c r="A41">
        <v>19</v>
      </c>
      <c r="B41">
        <v>5.6345000000000001</v>
      </c>
      <c r="C41">
        <v>8.2658000000000005</v>
      </c>
      <c r="D41">
        <v>0</v>
      </c>
      <c r="E41">
        <v>1.657</v>
      </c>
      <c r="F41">
        <v>0.25440000000000002</v>
      </c>
      <c r="G41">
        <v>1.0341</v>
      </c>
      <c r="H41">
        <v>0.23280000000000001</v>
      </c>
      <c r="I41">
        <v>0.84950000000000003</v>
      </c>
      <c r="J41">
        <v>0.68279999999999996</v>
      </c>
      <c r="K41">
        <v>6.2300000000000001E-2</v>
      </c>
      <c r="L41">
        <v>0.1202</v>
      </c>
      <c r="M41">
        <v>4.5900000000000003E-2</v>
      </c>
      <c r="N41">
        <v>-9.9299999999999999E-2</v>
      </c>
      <c r="O41">
        <v>0.183</v>
      </c>
    </row>
    <row r="42" spans="1:15" x14ac:dyDescent="0.35">
      <c r="A42">
        <v>20</v>
      </c>
      <c r="B42">
        <v>5.7046000000000001</v>
      </c>
      <c r="C42">
        <v>8.3687000000000005</v>
      </c>
      <c r="D42">
        <v>0</v>
      </c>
      <c r="E42">
        <v>1.5952</v>
      </c>
      <c r="F42">
        <v>8.2299999999999998E-2</v>
      </c>
      <c r="G42">
        <v>0.3508</v>
      </c>
      <c r="H42">
        <v>0.25869999999999999</v>
      </c>
      <c r="I42">
        <v>0.30909999999999999</v>
      </c>
      <c r="J42">
        <v>0.24840000000000001</v>
      </c>
      <c r="K42">
        <v>-3.4099999999999998E-2</v>
      </c>
      <c r="L42">
        <v>8.3000000000000001E-3</v>
      </c>
      <c r="M42">
        <v>1.89E-2</v>
      </c>
      <c r="N42">
        <v>-3.04E-2</v>
      </c>
      <c r="O42">
        <v>0.17399999999999999</v>
      </c>
    </row>
    <row r="44" spans="1:15" x14ac:dyDescent="0.35">
      <c r="A44" t="s">
        <v>192</v>
      </c>
      <c r="B44" t="s">
        <v>101</v>
      </c>
      <c r="C44">
        <v>2</v>
      </c>
      <c r="D44" t="s">
        <v>76</v>
      </c>
      <c r="E44" t="s">
        <v>231</v>
      </c>
    </row>
    <row r="45" spans="1:15" x14ac:dyDescent="0.35">
      <c r="A45" t="s">
        <v>101</v>
      </c>
      <c r="B45" t="s">
        <v>204</v>
      </c>
      <c r="C45" t="s">
        <v>103</v>
      </c>
      <c r="D45">
        <v>10</v>
      </c>
      <c r="E45" t="s">
        <v>101</v>
      </c>
      <c r="F45" t="s">
        <v>205</v>
      </c>
      <c r="G45" t="s">
        <v>103</v>
      </c>
      <c r="H45">
        <v>20</v>
      </c>
      <c r="I45" t="s">
        <v>206</v>
      </c>
      <c r="J45" t="s">
        <v>207</v>
      </c>
      <c r="K45" t="s">
        <v>103</v>
      </c>
      <c r="L45">
        <v>21</v>
      </c>
    </row>
    <row r="46" spans="1:15" x14ac:dyDescent="0.35">
      <c r="A46" t="s">
        <v>192</v>
      </c>
      <c r="B46" t="s">
        <v>208</v>
      </c>
      <c r="C46" t="s">
        <v>327</v>
      </c>
      <c r="D46" t="s">
        <v>103</v>
      </c>
      <c r="E46">
        <v>34.373779999999996</v>
      </c>
      <c r="F46" t="s">
        <v>209</v>
      </c>
      <c r="G46" t="s">
        <v>85</v>
      </c>
      <c r="H46" t="s">
        <v>219</v>
      </c>
      <c r="I46" t="s">
        <v>103</v>
      </c>
      <c r="J46">
        <v>4.1010999999999997</v>
      </c>
    </row>
    <row r="48" spans="1:15" x14ac:dyDescent="0.35">
      <c r="A48" t="s">
        <v>99</v>
      </c>
      <c r="B48" t="s">
        <v>197</v>
      </c>
      <c r="C48" t="s">
        <v>198</v>
      </c>
      <c r="D48" t="s">
        <v>199</v>
      </c>
      <c r="E48" t="s">
        <v>200</v>
      </c>
      <c r="F48" t="s">
        <v>81</v>
      </c>
      <c r="G48" t="s">
        <v>201</v>
      </c>
      <c r="H48" t="s">
        <v>202</v>
      </c>
      <c r="I48" t="s">
        <v>203</v>
      </c>
      <c r="J48" t="s">
        <v>108</v>
      </c>
    </row>
    <row r="49" spans="1:15" x14ac:dyDescent="0.35">
      <c r="A49" t="s">
        <v>109</v>
      </c>
      <c r="B49" t="s">
        <v>110</v>
      </c>
      <c r="C49" t="s">
        <v>111</v>
      </c>
      <c r="D49" t="s">
        <v>65</v>
      </c>
      <c r="E49" t="s">
        <v>112</v>
      </c>
      <c r="F49" t="s">
        <v>113</v>
      </c>
      <c r="G49" t="s">
        <v>114</v>
      </c>
    </row>
    <row r="50" spans="1:15" x14ac:dyDescent="0.35">
      <c r="A50" t="s">
        <v>210</v>
      </c>
      <c r="B50" t="s">
        <v>103</v>
      </c>
      <c r="C50">
        <v>0.6</v>
      </c>
      <c r="D50" t="s">
        <v>211</v>
      </c>
      <c r="E50" t="s">
        <v>103</v>
      </c>
      <c r="F50">
        <v>0.15848000000000001</v>
      </c>
    </row>
    <row r="51" spans="1:15" x14ac:dyDescent="0.35">
      <c r="A51" t="s">
        <v>212</v>
      </c>
      <c r="B51" t="s">
        <v>103</v>
      </c>
      <c r="C51">
        <v>-9.3579999999999997E-2</v>
      </c>
      <c r="D51" t="s">
        <v>213</v>
      </c>
      <c r="E51" t="s">
        <v>103</v>
      </c>
      <c r="F51">
        <v>-0.58164000000000005</v>
      </c>
    </row>
    <row r="52" spans="1:15" x14ac:dyDescent="0.35">
      <c r="A52" t="s">
        <v>214</v>
      </c>
      <c r="B52" t="s">
        <v>103</v>
      </c>
      <c r="C52">
        <v>0.49284</v>
      </c>
      <c r="D52" t="s">
        <v>215</v>
      </c>
      <c r="E52" t="s">
        <v>103</v>
      </c>
      <c r="F52">
        <v>-4.546E-2</v>
      </c>
    </row>
    <row r="53" spans="1:15" x14ac:dyDescent="0.35">
      <c r="A53" t="s">
        <v>216</v>
      </c>
      <c r="B53" t="s">
        <v>103</v>
      </c>
      <c r="C53">
        <v>6.2370000000000002E-2</v>
      </c>
      <c r="D53" t="s">
        <v>217</v>
      </c>
      <c r="E53" t="s">
        <v>103</v>
      </c>
      <c r="F53">
        <v>0.43047000000000002</v>
      </c>
    </row>
    <row r="55" spans="1:15" x14ac:dyDescent="0.35">
      <c r="A55" t="s">
        <v>99</v>
      </c>
      <c r="B55" t="s">
        <v>197</v>
      </c>
      <c r="C55" t="s">
        <v>198</v>
      </c>
      <c r="D55" t="s">
        <v>218</v>
      </c>
      <c r="E55" t="s">
        <v>219</v>
      </c>
    </row>
    <row r="56" spans="1:15" x14ac:dyDescent="0.35">
      <c r="A56" t="s">
        <v>210</v>
      </c>
      <c r="B56" t="s">
        <v>103</v>
      </c>
      <c r="C56">
        <v>1.2</v>
      </c>
      <c r="D56" t="s">
        <v>214</v>
      </c>
      <c r="E56" t="s">
        <v>103</v>
      </c>
      <c r="F56">
        <v>0.98568999999999996</v>
      </c>
    </row>
    <row r="58" spans="1:15" x14ac:dyDescent="0.35">
      <c r="A58" t="s">
        <v>194</v>
      </c>
      <c r="B58" t="s">
        <v>99</v>
      </c>
      <c r="C58" t="s">
        <v>197</v>
      </c>
      <c r="D58" t="s">
        <v>198</v>
      </c>
      <c r="E58" t="s">
        <v>194</v>
      </c>
      <c r="F58" t="s">
        <v>220</v>
      </c>
      <c r="G58" t="s">
        <v>86</v>
      </c>
    </row>
    <row r="59" spans="1:15" x14ac:dyDescent="0.35">
      <c r="A59" t="s">
        <v>221</v>
      </c>
      <c r="B59" t="s">
        <v>82</v>
      </c>
      <c r="C59" t="s">
        <v>83</v>
      </c>
      <c r="D59" t="s">
        <v>84</v>
      </c>
      <c r="E59" t="s">
        <v>86</v>
      </c>
      <c r="F59" t="s">
        <v>222</v>
      </c>
      <c r="G59" t="s">
        <v>328</v>
      </c>
      <c r="H59" t="s">
        <v>224</v>
      </c>
      <c r="I59" t="s">
        <v>225</v>
      </c>
      <c r="J59" t="s">
        <v>223</v>
      </c>
      <c r="K59" t="s">
        <v>226</v>
      </c>
      <c r="L59" t="s">
        <v>227</v>
      </c>
      <c r="M59" t="s">
        <v>228</v>
      </c>
      <c r="N59" t="s">
        <v>229</v>
      </c>
      <c r="O59" t="s">
        <v>230</v>
      </c>
    </row>
    <row r="60" spans="1:15" x14ac:dyDescent="0.35">
      <c r="A60">
        <v>21</v>
      </c>
      <c r="B60">
        <v>8.8000000000000005E-3</v>
      </c>
      <c r="C60">
        <v>-1.29E-2</v>
      </c>
      <c r="D60">
        <v>0</v>
      </c>
      <c r="E60">
        <v>6.6070000000000002</v>
      </c>
      <c r="F60">
        <v>0.34089999999999998</v>
      </c>
      <c r="G60">
        <v>6.24</v>
      </c>
      <c r="H60">
        <v>0.2011</v>
      </c>
      <c r="I60">
        <v>0.70020000000000004</v>
      </c>
      <c r="J60">
        <v>0.56289999999999996</v>
      </c>
      <c r="K60">
        <v>1.2763</v>
      </c>
      <c r="L60">
        <v>3.9E-2</v>
      </c>
      <c r="M60">
        <v>-6.2600000000000003E-2</v>
      </c>
      <c r="N60">
        <v>0.24959999999999999</v>
      </c>
      <c r="O60">
        <v>0.36099999999999999</v>
      </c>
    </row>
    <row r="61" spans="1:15" x14ac:dyDescent="0.35">
      <c r="A61">
        <v>22</v>
      </c>
      <c r="B61">
        <v>7.8899999999999998E-2</v>
      </c>
      <c r="C61">
        <v>-0.1158</v>
      </c>
      <c r="D61">
        <v>0</v>
      </c>
      <c r="E61">
        <v>6.5452000000000004</v>
      </c>
      <c r="F61">
        <v>1.0047999999999999</v>
      </c>
      <c r="G61">
        <v>6.2404000000000002</v>
      </c>
      <c r="H61">
        <v>0.20469999999999999</v>
      </c>
      <c r="I61">
        <v>1.1362000000000001</v>
      </c>
      <c r="J61">
        <v>0.9133</v>
      </c>
      <c r="K61">
        <v>0.6079</v>
      </c>
      <c r="L61">
        <v>0.33050000000000002</v>
      </c>
      <c r="M61">
        <v>-6.0999999999999999E-2</v>
      </c>
      <c r="N61">
        <v>0.2702</v>
      </c>
      <c r="O61">
        <v>0.317</v>
      </c>
    </row>
    <row r="62" spans="1:15" x14ac:dyDescent="0.35">
      <c r="A62">
        <v>23</v>
      </c>
      <c r="B62">
        <v>0.2175</v>
      </c>
      <c r="C62">
        <v>-0.31900000000000001</v>
      </c>
      <c r="D62">
        <v>0</v>
      </c>
      <c r="E62">
        <v>6.4234</v>
      </c>
      <c r="F62">
        <v>1.6165</v>
      </c>
      <c r="G62">
        <v>6.2380000000000004</v>
      </c>
      <c r="H62">
        <v>0.20680000000000001</v>
      </c>
      <c r="I62">
        <v>1.1846000000000001</v>
      </c>
      <c r="J62">
        <v>0.95220000000000005</v>
      </c>
      <c r="K62">
        <v>0.60319999999999996</v>
      </c>
      <c r="L62">
        <v>0.3826</v>
      </c>
      <c r="M62">
        <v>-5.57E-2</v>
      </c>
      <c r="N62">
        <v>0.27300000000000002</v>
      </c>
      <c r="O62">
        <v>0.308</v>
      </c>
    </row>
    <row r="63" spans="1:15" x14ac:dyDescent="0.35">
      <c r="A63">
        <v>24</v>
      </c>
      <c r="B63">
        <v>0.42099999999999999</v>
      </c>
      <c r="C63">
        <v>-0.61760000000000004</v>
      </c>
      <c r="D63">
        <v>0</v>
      </c>
      <c r="E63">
        <v>6.2443</v>
      </c>
      <c r="F63">
        <v>2.1456</v>
      </c>
      <c r="G63">
        <v>6.2253999999999996</v>
      </c>
      <c r="H63">
        <v>0.20760000000000001</v>
      </c>
      <c r="I63">
        <v>1.2286999999999999</v>
      </c>
      <c r="J63">
        <v>0.98770000000000002</v>
      </c>
      <c r="K63">
        <v>0.63180000000000003</v>
      </c>
      <c r="L63">
        <v>0.43380000000000002</v>
      </c>
      <c r="M63">
        <v>-4.82E-2</v>
      </c>
      <c r="N63">
        <v>0.2757</v>
      </c>
      <c r="O63">
        <v>0.29899999999999999</v>
      </c>
    </row>
    <row r="64" spans="1:15" x14ac:dyDescent="0.35">
      <c r="A64">
        <v>25</v>
      </c>
      <c r="B64">
        <v>0.68440000000000001</v>
      </c>
      <c r="C64">
        <v>-1.0041</v>
      </c>
      <c r="D64">
        <v>0</v>
      </c>
      <c r="E64">
        <v>6.0125000000000002</v>
      </c>
      <c r="F64">
        <v>2.5678000000000001</v>
      </c>
      <c r="G64">
        <v>6.1932</v>
      </c>
      <c r="H64">
        <v>0.2074</v>
      </c>
      <c r="I64">
        <v>1.2808999999999999</v>
      </c>
      <c r="J64">
        <v>1.0296000000000001</v>
      </c>
      <c r="K64">
        <v>0.67749999999999999</v>
      </c>
      <c r="L64">
        <v>0.49869999999999998</v>
      </c>
      <c r="M64">
        <v>-4.0500000000000001E-2</v>
      </c>
      <c r="N64">
        <v>0.28070000000000001</v>
      </c>
      <c r="O64">
        <v>0.28899999999999998</v>
      </c>
    </row>
    <row r="65" spans="1:15" x14ac:dyDescent="0.35">
      <c r="A65">
        <v>26</v>
      </c>
      <c r="B65">
        <v>1.0014000000000001</v>
      </c>
      <c r="C65">
        <v>-1.4691000000000001</v>
      </c>
      <c r="D65">
        <v>0</v>
      </c>
      <c r="E65">
        <v>5.7336</v>
      </c>
      <c r="F65">
        <v>2.8671000000000002</v>
      </c>
      <c r="G65">
        <v>6.1311999999999998</v>
      </c>
      <c r="H65">
        <v>0.20610000000000001</v>
      </c>
      <c r="I65">
        <v>1.3404</v>
      </c>
      <c r="J65">
        <v>1.0773999999999999</v>
      </c>
      <c r="K65">
        <v>0.74</v>
      </c>
      <c r="L65">
        <v>0.57850000000000001</v>
      </c>
      <c r="M65">
        <v>-3.3700000000000001E-2</v>
      </c>
      <c r="N65">
        <v>0.28870000000000001</v>
      </c>
      <c r="O65">
        <v>0.28100000000000003</v>
      </c>
    </row>
    <row r="66" spans="1:15" x14ac:dyDescent="0.35">
      <c r="A66">
        <v>27</v>
      </c>
      <c r="B66">
        <v>1.3641000000000001</v>
      </c>
      <c r="C66">
        <v>-2.0011000000000001</v>
      </c>
      <c r="D66">
        <v>0</v>
      </c>
      <c r="E66">
        <v>5.4145000000000003</v>
      </c>
      <c r="F66">
        <v>3.0358999999999998</v>
      </c>
      <c r="G66">
        <v>6.0292000000000003</v>
      </c>
      <c r="H66">
        <v>0.2036</v>
      </c>
      <c r="I66">
        <v>1.4056999999999999</v>
      </c>
      <c r="J66">
        <v>1.1298999999999999</v>
      </c>
      <c r="K66">
        <v>0.81879999999999997</v>
      </c>
      <c r="L66">
        <v>0.67310000000000003</v>
      </c>
      <c r="M66">
        <v>-2.8000000000000001E-2</v>
      </c>
      <c r="N66">
        <v>0.29970000000000002</v>
      </c>
      <c r="O66">
        <v>0.27500000000000002</v>
      </c>
    </row>
    <row r="67" spans="1:15" x14ac:dyDescent="0.35">
      <c r="A67">
        <v>28</v>
      </c>
      <c r="B67">
        <v>1.7635000000000001</v>
      </c>
      <c r="C67">
        <v>-2.5871</v>
      </c>
      <c r="D67">
        <v>0</v>
      </c>
      <c r="E67">
        <v>5.0629999999999997</v>
      </c>
      <c r="F67">
        <v>3.0760999999999998</v>
      </c>
      <c r="G67">
        <v>5.8792</v>
      </c>
      <c r="H67">
        <v>0.2</v>
      </c>
      <c r="I67">
        <v>1.4753000000000001</v>
      </c>
      <c r="J67">
        <v>1.1859</v>
      </c>
      <c r="K67">
        <v>0.91249999999999998</v>
      </c>
      <c r="L67">
        <v>0.78200000000000003</v>
      </c>
      <c r="M67">
        <v>-2.35E-2</v>
      </c>
      <c r="N67">
        <v>0.31340000000000001</v>
      </c>
      <c r="O67">
        <v>0.27</v>
      </c>
    </row>
    <row r="68" spans="1:15" x14ac:dyDescent="0.35">
      <c r="A68">
        <v>29</v>
      </c>
      <c r="B68">
        <v>2.1898</v>
      </c>
      <c r="C68">
        <v>-3.2124999999999999</v>
      </c>
      <c r="D68">
        <v>0</v>
      </c>
      <c r="E68">
        <v>4.6879</v>
      </c>
      <c r="F68">
        <v>2.9975999999999998</v>
      </c>
      <c r="G68">
        <v>5.6755000000000004</v>
      </c>
      <c r="H68">
        <v>0.1953</v>
      </c>
      <c r="I68">
        <v>1.5472999999999999</v>
      </c>
      <c r="J68">
        <v>1.2437</v>
      </c>
      <c r="K68">
        <v>1.0188999999999999</v>
      </c>
      <c r="L68">
        <v>0.9032</v>
      </c>
      <c r="M68">
        <v>-2.01E-2</v>
      </c>
      <c r="N68">
        <v>0.3291</v>
      </c>
      <c r="O68">
        <v>0.26600000000000001</v>
      </c>
    </row>
    <row r="69" spans="1:15" x14ac:dyDescent="0.35">
      <c r="A69">
        <v>30</v>
      </c>
      <c r="B69">
        <v>2.6326000000000001</v>
      </c>
      <c r="C69">
        <v>-3.8620000000000001</v>
      </c>
      <c r="D69">
        <v>0</v>
      </c>
      <c r="E69">
        <v>4.2983000000000002</v>
      </c>
      <c r="F69">
        <v>2.8178999999999998</v>
      </c>
      <c r="G69">
        <v>5.4158999999999997</v>
      </c>
      <c r="H69">
        <v>0.19</v>
      </c>
      <c r="I69">
        <v>1.6192</v>
      </c>
      <c r="J69">
        <v>1.3015000000000001</v>
      </c>
      <c r="K69">
        <v>1.1336999999999999</v>
      </c>
      <c r="L69">
        <v>1.0335000000000001</v>
      </c>
      <c r="M69">
        <v>-1.72E-2</v>
      </c>
      <c r="N69">
        <v>0.34599999999999997</v>
      </c>
      <c r="O69">
        <v>0.26300000000000001</v>
      </c>
    </row>
    <row r="70" spans="1:15" x14ac:dyDescent="0.35">
      <c r="A70">
        <v>31</v>
      </c>
      <c r="B70">
        <v>3.0808</v>
      </c>
      <c r="C70">
        <v>-4.5195999999999996</v>
      </c>
      <c r="D70">
        <v>0</v>
      </c>
      <c r="E70">
        <v>3.9039000000000001</v>
      </c>
      <c r="F70">
        <v>2.5592999999999999</v>
      </c>
      <c r="G70">
        <v>5.1013999999999999</v>
      </c>
      <c r="H70">
        <v>0.18440000000000001</v>
      </c>
      <c r="I70">
        <v>1.6881999999999999</v>
      </c>
      <c r="J70">
        <v>1.357</v>
      </c>
      <c r="K70">
        <v>1.2506999999999999</v>
      </c>
      <c r="L70">
        <v>1.167</v>
      </c>
      <c r="M70">
        <v>-1.46E-2</v>
      </c>
      <c r="N70">
        <v>0.36270000000000002</v>
      </c>
      <c r="O70">
        <v>0.26100000000000001</v>
      </c>
    </row>
    <row r="71" spans="1:15" x14ac:dyDescent="0.35">
      <c r="A71">
        <v>32</v>
      </c>
      <c r="B71">
        <v>3.5236000000000001</v>
      </c>
      <c r="C71">
        <v>-5.1691000000000003</v>
      </c>
      <c r="D71">
        <v>0</v>
      </c>
      <c r="E71">
        <v>3.5143</v>
      </c>
      <c r="F71">
        <v>2.2471999999999999</v>
      </c>
      <c r="G71">
        <v>4.7358000000000002</v>
      </c>
      <c r="H71">
        <v>0.1794</v>
      </c>
      <c r="I71">
        <v>1.7499</v>
      </c>
      <c r="J71">
        <v>1.4066000000000001</v>
      </c>
      <c r="K71">
        <v>1.3596999999999999</v>
      </c>
      <c r="L71">
        <v>1.2938000000000001</v>
      </c>
      <c r="M71">
        <v>-1.17E-2</v>
      </c>
      <c r="N71">
        <v>0.3775</v>
      </c>
      <c r="O71">
        <v>0.25800000000000001</v>
      </c>
    </row>
    <row r="72" spans="1:15" x14ac:dyDescent="0.35">
      <c r="A72">
        <v>33</v>
      </c>
      <c r="B72">
        <v>3.9499</v>
      </c>
      <c r="C72">
        <v>-5.7945000000000002</v>
      </c>
      <c r="D72">
        <v>0</v>
      </c>
      <c r="E72">
        <v>3.1392000000000002</v>
      </c>
      <c r="F72">
        <v>1.9072</v>
      </c>
      <c r="G72">
        <v>4.3244999999999996</v>
      </c>
      <c r="H72">
        <v>0.1759</v>
      </c>
      <c r="I72">
        <v>1.7981</v>
      </c>
      <c r="J72">
        <v>1.4453</v>
      </c>
      <c r="K72">
        <v>1.4447000000000001</v>
      </c>
      <c r="L72">
        <v>1.3979999999999999</v>
      </c>
      <c r="M72">
        <v>-7.7999999999999996E-3</v>
      </c>
      <c r="N72">
        <v>0.38769999999999999</v>
      </c>
      <c r="O72">
        <v>0.255</v>
      </c>
    </row>
    <row r="73" spans="1:15" x14ac:dyDescent="0.35">
      <c r="A73">
        <v>34</v>
      </c>
      <c r="B73">
        <v>4.3493000000000004</v>
      </c>
      <c r="C73">
        <v>-6.3804999999999996</v>
      </c>
      <c r="D73">
        <v>0</v>
      </c>
      <c r="E73">
        <v>2.7877000000000001</v>
      </c>
      <c r="F73">
        <v>1.5630999999999999</v>
      </c>
      <c r="G73">
        <v>3.8729</v>
      </c>
      <c r="H73">
        <v>0.17530000000000001</v>
      </c>
      <c r="I73">
        <v>1.8226</v>
      </c>
      <c r="J73">
        <v>1.4650000000000001</v>
      </c>
      <c r="K73">
        <v>1.4805999999999999</v>
      </c>
      <c r="L73">
        <v>1.4545999999999999</v>
      </c>
      <c r="M73">
        <v>-1.9E-3</v>
      </c>
      <c r="N73">
        <v>0.3891</v>
      </c>
      <c r="O73">
        <v>0.251</v>
      </c>
    </row>
    <row r="74" spans="1:15" x14ac:dyDescent="0.35">
      <c r="A74">
        <v>35</v>
      </c>
      <c r="B74">
        <v>4.7119999999999997</v>
      </c>
      <c r="C74">
        <v>-6.9124999999999996</v>
      </c>
      <c r="D74">
        <v>0</v>
      </c>
      <c r="E74">
        <v>2.4685999999999999</v>
      </c>
      <c r="F74">
        <v>1.2344999999999999</v>
      </c>
      <c r="G74">
        <v>3.3843999999999999</v>
      </c>
      <c r="H74">
        <v>0.17879999999999999</v>
      </c>
      <c r="I74">
        <v>1.8081</v>
      </c>
      <c r="J74">
        <v>1.4534</v>
      </c>
      <c r="K74">
        <v>1.4312</v>
      </c>
      <c r="L74">
        <v>1.4271</v>
      </c>
      <c r="M74">
        <v>7.1000000000000004E-3</v>
      </c>
      <c r="N74">
        <v>0.376</v>
      </c>
      <c r="O74">
        <v>0.245</v>
      </c>
    </row>
    <row r="75" spans="1:15" x14ac:dyDescent="0.35">
      <c r="A75">
        <v>36</v>
      </c>
      <c r="B75">
        <v>5.0289999999999999</v>
      </c>
      <c r="C75">
        <v>-7.3775000000000004</v>
      </c>
      <c r="D75">
        <v>0</v>
      </c>
      <c r="E75">
        <v>2.1897000000000002</v>
      </c>
      <c r="F75">
        <v>0.93520000000000003</v>
      </c>
      <c r="G75">
        <v>2.8586999999999998</v>
      </c>
      <c r="H75">
        <v>0.187</v>
      </c>
      <c r="I75">
        <v>1.7316</v>
      </c>
      <c r="J75">
        <v>1.3917999999999999</v>
      </c>
      <c r="K75">
        <v>1.2528999999999999</v>
      </c>
      <c r="L75">
        <v>1.2710999999999999</v>
      </c>
      <c r="M75">
        <v>2.0299999999999999E-2</v>
      </c>
      <c r="N75">
        <v>0.34079999999999999</v>
      </c>
      <c r="O75">
        <v>0.23499999999999999</v>
      </c>
    </row>
    <row r="76" spans="1:15" x14ac:dyDescent="0.35">
      <c r="A76">
        <v>37</v>
      </c>
      <c r="B76">
        <v>5.2923999999999998</v>
      </c>
      <c r="C76">
        <v>-7.7640000000000002</v>
      </c>
      <c r="D76">
        <v>0</v>
      </c>
      <c r="E76">
        <v>1.9579</v>
      </c>
      <c r="F76">
        <v>0.67269999999999996</v>
      </c>
      <c r="G76">
        <v>2.2926000000000002</v>
      </c>
      <c r="H76">
        <v>0.1993</v>
      </c>
      <c r="I76">
        <v>1.5631999999999999</v>
      </c>
      <c r="J76">
        <v>1.2565</v>
      </c>
      <c r="K76">
        <v>0.91700000000000004</v>
      </c>
      <c r="L76">
        <v>0.95630000000000004</v>
      </c>
      <c r="M76">
        <v>3.6499999999999998E-2</v>
      </c>
      <c r="N76">
        <v>0.27789999999999998</v>
      </c>
      <c r="O76">
        <v>0.221</v>
      </c>
    </row>
    <row r="77" spans="1:15" x14ac:dyDescent="0.35">
      <c r="A77">
        <v>38</v>
      </c>
      <c r="B77">
        <v>5.4958999999999998</v>
      </c>
      <c r="C77">
        <v>-8.0625999999999998</v>
      </c>
      <c r="D77">
        <v>0</v>
      </c>
      <c r="E77">
        <v>1.7787999999999999</v>
      </c>
      <c r="F77">
        <v>0.44769999999999999</v>
      </c>
      <c r="G77">
        <v>1.6836</v>
      </c>
      <c r="H77">
        <v>0.2142</v>
      </c>
      <c r="I77">
        <v>1.2738</v>
      </c>
      <c r="J77">
        <v>1.0239</v>
      </c>
      <c r="K77">
        <v>0.46389999999999998</v>
      </c>
      <c r="L77">
        <v>0.51890000000000003</v>
      </c>
      <c r="M77">
        <v>4.9099999999999998E-2</v>
      </c>
      <c r="N77">
        <v>0.1908</v>
      </c>
      <c r="O77">
        <v>0.20200000000000001</v>
      </c>
    </row>
    <row r="78" spans="1:15" x14ac:dyDescent="0.35">
      <c r="A78">
        <v>39</v>
      </c>
      <c r="B78">
        <v>5.6345000000000001</v>
      </c>
      <c r="C78">
        <v>-8.2658000000000005</v>
      </c>
      <c r="D78">
        <v>0</v>
      </c>
      <c r="E78">
        <v>1.657</v>
      </c>
      <c r="F78">
        <v>0.25440000000000002</v>
      </c>
      <c r="G78">
        <v>1.0341</v>
      </c>
      <c r="H78">
        <v>0.23280000000000001</v>
      </c>
      <c r="I78">
        <v>0.84950000000000003</v>
      </c>
      <c r="J78">
        <v>0.68279999999999996</v>
      </c>
      <c r="K78">
        <v>6.2300000000000001E-2</v>
      </c>
      <c r="L78">
        <v>0.1202</v>
      </c>
      <c r="M78">
        <v>4.5900000000000003E-2</v>
      </c>
      <c r="N78">
        <v>9.9299999999999999E-2</v>
      </c>
      <c r="O78">
        <v>0.183</v>
      </c>
    </row>
    <row r="79" spans="1:15" x14ac:dyDescent="0.35">
      <c r="A79">
        <v>40</v>
      </c>
      <c r="B79">
        <v>5.7046000000000001</v>
      </c>
      <c r="C79">
        <v>-8.3687000000000005</v>
      </c>
      <c r="D79">
        <v>0</v>
      </c>
      <c r="E79">
        <v>1.5952</v>
      </c>
      <c r="F79">
        <v>8.2299999999999998E-2</v>
      </c>
      <c r="G79">
        <v>0.3508</v>
      </c>
      <c r="H79">
        <v>0.25869999999999999</v>
      </c>
      <c r="I79">
        <v>0.30909999999999999</v>
      </c>
      <c r="J79">
        <v>0.24840000000000001</v>
      </c>
      <c r="K79">
        <v>-3.4099999999999998E-2</v>
      </c>
      <c r="L79">
        <v>8.3000000000000001E-3</v>
      </c>
      <c r="M79">
        <v>1.89E-2</v>
      </c>
      <c r="N79">
        <v>3.04E-2</v>
      </c>
      <c r="O79">
        <v>0.17399999999999999</v>
      </c>
    </row>
    <row r="80" spans="1:15" x14ac:dyDescent="0.35">
      <c r="A80" t="s">
        <v>93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:G22"/>
  <sheetViews>
    <sheetView zoomScale="115" zoomScaleNormal="115" workbookViewId="0">
      <selection activeCell="E23" sqref="E23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7" x14ac:dyDescent="0.35">
      <c r="A1" t="s">
        <v>301</v>
      </c>
      <c r="B1">
        <f>BuildAVL!B3</f>
        <v>68.747677443329593</v>
      </c>
      <c r="C1" t="s">
        <v>55</v>
      </c>
      <c r="E1" t="s">
        <v>303</v>
      </c>
      <c r="F1">
        <v>15.24</v>
      </c>
      <c r="G1" t="s">
        <v>58</v>
      </c>
    </row>
    <row r="2" spans="1:7" x14ac:dyDescent="0.35">
      <c r="A2" t="s">
        <v>299</v>
      </c>
      <c r="B2">
        <f>BuildAVL!B4</f>
        <v>4.6146394520823346</v>
      </c>
      <c r="C2" t="s">
        <v>58</v>
      </c>
    </row>
    <row r="3" spans="1:7" x14ac:dyDescent="0.35">
      <c r="A3" t="s">
        <v>300</v>
      </c>
      <c r="B3">
        <f>BuildAVL!B5</f>
        <v>16.763181956720501</v>
      </c>
      <c r="C3" t="s">
        <v>58</v>
      </c>
    </row>
    <row r="5" spans="1:7" x14ac:dyDescent="0.35">
      <c r="A5" t="s">
        <v>295</v>
      </c>
      <c r="B5">
        <v>0.1</v>
      </c>
      <c r="E5" t="s">
        <v>294</v>
      </c>
      <c r="F5">
        <f>0.4*(1-0.1)</f>
        <v>0.36000000000000004</v>
      </c>
    </row>
    <row r="6" spans="1:7" x14ac:dyDescent="0.35">
      <c r="A6" t="s">
        <v>304</v>
      </c>
      <c r="B6">
        <v>0.36099999999999999</v>
      </c>
      <c r="E6" t="s">
        <v>305</v>
      </c>
      <c r="F6">
        <v>0.44600000000000001</v>
      </c>
    </row>
    <row r="7" spans="1:7" x14ac:dyDescent="0.35">
      <c r="A7" t="s">
        <v>297</v>
      </c>
      <c r="B7">
        <f>F1*B6</f>
        <v>5.5016400000000001</v>
      </c>
      <c r="C7" t="s">
        <v>58</v>
      </c>
      <c r="E7" t="s">
        <v>296</v>
      </c>
      <c r="F7">
        <f>F1*F6</f>
        <v>6.79704</v>
      </c>
      <c r="G7" t="s">
        <v>58</v>
      </c>
    </row>
    <row r="8" spans="1:7" x14ac:dyDescent="0.35">
      <c r="A8" t="s">
        <v>302</v>
      </c>
      <c r="B8">
        <f>B5*B3*B1/B7</f>
        <v>20.947023543606338</v>
      </c>
      <c r="C8" t="s">
        <v>55</v>
      </c>
      <c r="E8" t="s">
        <v>298</v>
      </c>
      <c r="F8">
        <f>F5*B2*B1/F7</f>
        <v>16.802677054254065</v>
      </c>
      <c r="G8" t="s">
        <v>55</v>
      </c>
    </row>
    <row r="10" spans="1:7" x14ac:dyDescent="0.35">
      <c r="A10" t="s">
        <v>306</v>
      </c>
      <c r="B10">
        <v>70</v>
      </c>
      <c r="C10" t="s">
        <v>88</v>
      </c>
      <c r="E10" t="s">
        <v>308</v>
      </c>
      <c r="F10">
        <f>F8/2</f>
        <v>8.4013385271270327</v>
      </c>
    </row>
    <row r="11" spans="1:7" x14ac:dyDescent="0.35">
      <c r="A11" t="s">
        <v>307</v>
      </c>
      <c r="B11">
        <f>(B8/SIN(B10*PI()/180)/2)</f>
        <v>11.14567842731774</v>
      </c>
      <c r="C11" t="s">
        <v>55</v>
      </c>
    </row>
    <row r="13" spans="1:7" x14ac:dyDescent="0.35">
      <c r="A13" t="s">
        <v>311</v>
      </c>
      <c r="B13">
        <v>1</v>
      </c>
      <c r="E13" t="s">
        <v>312</v>
      </c>
      <c r="F13">
        <v>4</v>
      </c>
    </row>
    <row r="14" spans="1:7" x14ac:dyDescent="0.35">
      <c r="A14" t="s">
        <v>309</v>
      </c>
      <c r="B14">
        <v>0.4</v>
      </c>
      <c r="E14" t="s">
        <v>310</v>
      </c>
      <c r="F14">
        <v>0.3</v>
      </c>
    </row>
    <row r="16" spans="1:7" x14ac:dyDescent="0.35">
      <c r="A16" t="s">
        <v>313</v>
      </c>
      <c r="B16">
        <f>SQRT(B13*B11)</f>
        <v>3.3385144042399668</v>
      </c>
      <c r="C16" t="s">
        <v>58</v>
      </c>
      <c r="E16" t="s">
        <v>314</v>
      </c>
      <c r="F16">
        <f>SQRT(F13*F10)</f>
        <v>5.797012515814342</v>
      </c>
      <c r="G16" t="s">
        <v>58</v>
      </c>
    </row>
    <row r="17" spans="1:7" x14ac:dyDescent="0.35">
      <c r="E17" t="s">
        <v>315</v>
      </c>
      <c r="F17">
        <f>F16/2</f>
        <v>2.898506257907171</v>
      </c>
      <c r="G17" t="s">
        <v>58</v>
      </c>
    </row>
    <row r="19" spans="1:7" x14ac:dyDescent="0.35">
      <c r="A19" t="s">
        <v>318</v>
      </c>
      <c r="B19">
        <f>(2*B11)/(B16*(1+B14))</f>
        <v>4.7693062917713815</v>
      </c>
      <c r="C19" t="s">
        <v>58</v>
      </c>
      <c r="E19" t="s">
        <v>316</v>
      </c>
      <c r="F19">
        <f>(2*F10)/(F16*(1+F14))</f>
        <v>2.2296201983901316</v>
      </c>
      <c r="G19" t="s">
        <v>58</v>
      </c>
    </row>
    <row r="20" spans="1:7" x14ac:dyDescent="0.35">
      <c r="A20" t="s">
        <v>319</v>
      </c>
      <c r="B20">
        <f>B19*B14</f>
        <v>1.9077225167085528</v>
      </c>
      <c r="C20" t="s">
        <v>58</v>
      </c>
      <c r="E20" t="s">
        <v>317</v>
      </c>
      <c r="F20">
        <f>F19*F14</f>
        <v>0.6688860595170395</v>
      </c>
      <c r="G20" t="s">
        <v>58</v>
      </c>
    </row>
    <row r="22" spans="1:7" x14ac:dyDescent="0.35">
      <c r="A22" t="s">
        <v>320</v>
      </c>
      <c r="E22" t="s">
        <v>321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polar1</vt:lpstr>
      <vt:lpstr>Study_4</vt:lpstr>
      <vt:lpstr>CDCL</vt:lpstr>
      <vt:lpstr>CDCL(Re)</vt:lpstr>
      <vt:lpstr>A_CDCL</vt:lpstr>
      <vt:lpstr>A_CDCL(Re)</vt:lpstr>
      <vt:lpstr>polar2</vt:lpstr>
      <vt:lpstr>polar4</vt:lpstr>
      <vt:lpstr>polar8</vt:lpstr>
      <vt:lpstr>Study_1</vt:lpstr>
      <vt:lpstr>Study_2</vt:lpstr>
      <vt:lpstr>Study_3</vt:lpstr>
      <vt:lpstr>Study_5</vt:lpstr>
      <vt:lpstr>CDCL(Re) XFOIL</vt:lpstr>
      <vt:lpstr>Study_6</vt:lpstr>
      <vt:lpstr>Variables</vt:lpstr>
      <vt:lpstr>BuildAVL</vt:lpstr>
      <vt:lpstr>CruiseCDCL</vt:lpstr>
      <vt:lpstr>CruiseST</vt:lpstr>
      <vt:lpstr>CruiseFS</vt:lpstr>
      <vt:lpstr>Tail Sizing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2025-10-05T22:43:42Z</dcterms:modified>
</cp:coreProperties>
</file>