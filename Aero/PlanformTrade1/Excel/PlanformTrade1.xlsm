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sher\OneDrive\Documents\AE481\NoThaiGrubbin-Repo\Aero\PlanformTrade1\Excel\"/>
    </mc:Choice>
  </mc:AlternateContent>
  <xr:revisionPtr revIDLastSave="0" documentId="13_ncr:1_{9717C484-7EB0-4F4A-9B74-D69129C0B48F}" xr6:coauthVersionLast="47" xr6:coauthVersionMax="47" xr10:uidLastSave="{00000000-0000-0000-0000-000000000000}"/>
  <bookViews>
    <workbookView xWindow="-110" yWindow="-110" windowWidth="19420" windowHeight="11500" firstSheet="20" activeTab="23" xr2:uid="{D7FE38CE-8B6A-4834-9BB6-A7F65CAE4A07}"/>
  </bookViews>
  <sheets>
    <sheet name="T1_Re200 000_M0 84_N5 0_XtrTop " sheetId="52" state="hidden" r:id="rId1"/>
    <sheet name="T1_Re160 000_M0 84_N5 0_XtrTop " sheetId="51" state="hidden" r:id="rId2"/>
    <sheet name="T1_Re120 000_M0 84_N5 0_XtrTop " sheetId="50" state="hidden" r:id="rId3"/>
    <sheet name="T1_Re100 000_M0 84_N5 0_XtrTop " sheetId="49" state="hidden" r:id="rId4"/>
    <sheet name="T1_Re80 000_M0 84_N5 0_XtrTop 5" sheetId="48" state="hidden" r:id="rId5"/>
    <sheet name="T1_Re60 000_M0 84_N5 0_XtrTop 5" sheetId="47" state="hidden" r:id="rId6"/>
    <sheet name="T1_Re40 000_M0 84_N5 0_XtrTop 5" sheetId="46" state="hidden" r:id="rId7"/>
    <sheet name="T1_Re20 000_M0 84_N5 0_XtrTop 5" sheetId="45" state="hidden" r:id="rId8"/>
    <sheet name="T1_Re10 000_M0 84_N5 0_XtrTop 5" sheetId="44" state="hidden" r:id="rId9"/>
    <sheet name="T1_Re5 000_M0 84_N5 0_XtrTop 5%" sheetId="43" state="hidden" r:id="rId10"/>
    <sheet name="T1_Re3 000_M0 84_N5 0_XtrTop 5%" sheetId="55" state="hidden" r:id="rId11"/>
    <sheet name="T1_Re2 000_M0 84_N5 0_XtrTop 5%" sheetId="54" state="hidden" r:id="rId12"/>
    <sheet name="T1_Re1 000_M0 84_N5 0_XtrTop 5%" sheetId="53" state="hidden" r:id="rId13"/>
    <sheet name="polar1" sheetId="60" state="hidden" r:id="rId14"/>
    <sheet name="polar2" sheetId="61" state="hidden" r:id="rId15"/>
    <sheet name="polar4" sheetId="62" state="hidden" r:id="rId16"/>
    <sheet name="polar8" sheetId="63" state="hidden" r:id="rId17"/>
    <sheet name="CDCL" sheetId="16" state="hidden" r:id="rId18"/>
    <sheet name="A_CDCL" sheetId="64" state="hidden" r:id="rId19"/>
    <sheet name="A_CDCL(Re)" sheetId="58" state="hidden" r:id="rId20"/>
    <sheet name="Study_1" sheetId="39" r:id="rId21"/>
    <sheet name="Study_2" sheetId="57" r:id="rId22"/>
    <sheet name="Study_3" sheetId="56" r:id="rId23"/>
    <sheet name="Study_4" sheetId="65" r:id="rId24"/>
    <sheet name="Study_5" sheetId="66" r:id="rId25"/>
    <sheet name="Variables" sheetId="1" r:id="rId26"/>
    <sheet name="BuildAVL" sheetId="3" r:id="rId27"/>
    <sheet name="CruiseCDCL" sheetId="27" r:id="rId28"/>
    <sheet name="CruiseST" sheetId="4" r:id="rId29"/>
    <sheet name="CruiseFS" sheetId="5" r:id="rId30"/>
    <sheet name="CDCL(Re)" sheetId="6" r:id="rId31"/>
  </sheets>
  <functionGroups builtInGroupCount="19"/>
  <definedNames>
    <definedName name="_xleta.PI" hidden="1" xlm="1">#NAME?</definedName>
    <definedName name="ExternalData_1" localSheetId="12" hidden="1">'T1_Re1 000_M0 84_N5 0_XtrTop 5%'!$A$1:$L$204</definedName>
    <definedName name="ExternalData_1" localSheetId="9" hidden="1">'T1_Re5 000_M0 84_N5 0_XtrTop 5%'!$A$1:$L$172</definedName>
    <definedName name="ExternalData_10" localSheetId="0" hidden="1">'T1_Re200 000_M0 84_N5 0_XtrTop '!$A$1:$L$57</definedName>
    <definedName name="ExternalData_2" localSheetId="13" hidden="1">polar1!$A$1:$D$22</definedName>
    <definedName name="ExternalData_2" localSheetId="8" hidden="1">'T1_Re10 000_M0 84_N5 0_XtrTop 5'!$A$1:$L$115</definedName>
    <definedName name="ExternalData_2" localSheetId="11" hidden="1">'T1_Re2 000_M0 84_N5 0_XtrTop 5%'!$A$1:$L$204</definedName>
    <definedName name="ExternalData_3" localSheetId="14" hidden="1">polar2!$A$1:$D$22</definedName>
    <definedName name="ExternalData_3" localSheetId="7" hidden="1">'T1_Re20 000_M0 84_N5 0_XtrTop 5'!$A$1:$L$107</definedName>
    <definedName name="ExternalData_3" localSheetId="10" hidden="1">'T1_Re3 000_M0 84_N5 0_XtrTop 5%'!$A$1:$L$203</definedName>
    <definedName name="ExternalData_4" localSheetId="15" hidden="1">polar4!$A$1:$D$22</definedName>
    <definedName name="ExternalData_4" localSheetId="6" hidden="1">'T1_Re40 000_M0 84_N5 0_XtrTop 5'!$A$1:$L$79</definedName>
    <definedName name="ExternalData_5" localSheetId="16" hidden="1">polar8!$A$1:$D$22</definedName>
    <definedName name="ExternalData_5" localSheetId="5" hidden="1">'T1_Re60 000_M0 84_N5 0_XtrTop 5'!$A$1:$L$69</definedName>
    <definedName name="ExternalData_6" localSheetId="4" hidden="1">'T1_Re80 000_M0 84_N5 0_XtrTop 5'!$A$1:$L$70</definedName>
    <definedName name="ExternalData_7" localSheetId="3" hidden="1">'T1_Re100 000_M0 84_N5 0_XtrTop '!$A$1:$L$69</definedName>
    <definedName name="ExternalData_8" localSheetId="2" hidden="1">'T1_Re120 000_M0 84_N5 0_XtrTop '!$A$1:$L$62</definedName>
    <definedName name="ExternalData_9" localSheetId="1" hidden="1">'T1_Re160 000_M0 84_N5 0_XtrTop '!$A$1:$L$60</definedName>
    <definedName name="solver_adj" localSheetId="18" hidden="1">A_CDCL!$G$8,A_CDCL!$G$12</definedName>
    <definedName name="solver_adj" localSheetId="17" hidden="1">CDCL!$G$8,CDCL!$G$12</definedName>
    <definedName name="solver_adj" localSheetId="25" hidden="1">Variables!#REF!</definedName>
    <definedName name="solver_cvg" localSheetId="18" hidden="1">0.0001</definedName>
    <definedName name="solver_cvg" localSheetId="17" hidden="1">0.0001</definedName>
    <definedName name="solver_cvg" localSheetId="25" hidden="1">0.00001</definedName>
    <definedName name="solver_drv" localSheetId="18" hidden="1">2</definedName>
    <definedName name="solver_drv" localSheetId="17" hidden="1">2</definedName>
    <definedName name="solver_drv" localSheetId="25" hidden="1">1</definedName>
    <definedName name="solver_eng" localSheetId="18" hidden="1">3</definedName>
    <definedName name="solver_eng" localSheetId="17" hidden="1">3</definedName>
    <definedName name="solver_eng" localSheetId="25" hidden="1">1</definedName>
    <definedName name="solver_est" localSheetId="18" hidden="1">1</definedName>
    <definedName name="solver_est" localSheetId="17" hidden="1">1</definedName>
    <definedName name="solver_est" localSheetId="25" hidden="1">1</definedName>
    <definedName name="solver_itr" localSheetId="18" hidden="1">2147483647</definedName>
    <definedName name="solver_itr" localSheetId="17" hidden="1">2147483647</definedName>
    <definedName name="solver_itr" localSheetId="25" hidden="1">2147483647</definedName>
    <definedName name="solver_lhs1" localSheetId="18" hidden="1">A_CDCL!$G$12</definedName>
    <definedName name="solver_lhs1" localSheetId="17" hidden="1">CDCL!$G$12</definedName>
    <definedName name="solver_lhs1" localSheetId="25" hidden="1">Variables!#REF!</definedName>
    <definedName name="solver_lhs2" localSheetId="18" hidden="1">A_CDCL!$G$12</definedName>
    <definedName name="solver_lhs2" localSheetId="17" hidden="1">CDCL!$G$12</definedName>
    <definedName name="solver_lhs2" localSheetId="25" hidden="1">Variables!#REF!</definedName>
    <definedName name="solver_lhs3" localSheetId="18" hidden="1">A_CDCL!$G$8</definedName>
    <definedName name="solver_lhs3" localSheetId="17" hidden="1">CDCL!$G$8</definedName>
    <definedName name="solver_lhs4" localSheetId="18" hidden="1">A_CDCL!$G$8</definedName>
    <definedName name="solver_lhs4" localSheetId="17" hidden="1">CDCL!$G$8</definedName>
    <definedName name="solver_lhs5" localSheetId="18" hidden="1">A_CDCL!$G$8</definedName>
    <definedName name="solver_lhs5" localSheetId="17" hidden="1">CDCL!$G$8</definedName>
    <definedName name="solver_lhs6" localSheetId="18" hidden="1">A_CDCL!$G$8</definedName>
    <definedName name="solver_lhs6" localSheetId="17" hidden="1">CDCL!$G$8</definedName>
    <definedName name="solver_lhs7" localSheetId="18" hidden="1">A_CDCL!$G$8</definedName>
    <definedName name="solver_lhs7" localSheetId="17" hidden="1">CDCL!$G$8</definedName>
    <definedName name="solver_lhs8" localSheetId="18" hidden="1">A_CDCL!$G$8</definedName>
    <definedName name="solver_lhs8" localSheetId="17" hidden="1">CDCL!$G$8</definedName>
    <definedName name="solver_lhs9" localSheetId="18" hidden="1">A_CDCL!$G$8</definedName>
    <definedName name="solver_lhs9" localSheetId="17" hidden="1">CDCL!$G$8</definedName>
    <definedName name="solver_mip" localSheetId="18" hidden="1">2147483647</definedName>
    <definedName name="solver_mip" localSheetId="17" hidden="1">2147483647</definedName>
    <definedName name="solver_mip" localSheetId="25" hidden="1">2147483647</definedName>
    <definedName name="solver_mni" localSheetId="18" hidden="1">30</definedName>
    <definedName name="solver_mni" localSheetId="17" hidden="1">30</definedName>
    <definedName name="solver_mni" localSheetId="25" hidden="1">30</definedName>
    <definedName name="solver_mrt" localSheetId="18" hidden="1">0.075</definedName>
    <definedName name="solver_mrt" localSheetId="17" hidden="1">0.075</definedName>
    <definedName name="solver_mrt" localSheetId="25" hidden="1">0.1</definedName>
    <definedName name="solver_msl" localSheetId="18" hidden="1">2</definedName>
    <definedName name="solver_msl" localSheetId="17" hidden="1">2</definedName>
    <definedName name="solver_msl" localSheetId="25" hidden="1">1</definedName>
    <definedName name="solver_neg" localSheetId="18" hidden="1">1</definedName>
    <definedName name="solver_neg" localSheetId="17" hidden="1">1</definedName>
    <definedName name="solver_neg" localSheetId="25" hidden="1">1</definedName>
    <definedName name="solver_nod" localSheetId="18" hidden="1">2147483647</definedName>
    <definedName name="solver_nod" localSheetId="17" hidden="1">2147483647</definedName>
    <definedName name="solver_nod" localSheetId="25" hidden="1">2147483647</definedName>
    <definedName name="solver_num" localSheetId="18" hidden="1">5</definedName>
    <definedName name="solver_num" localSheetId="17" hidden="1">5</definedName>
    <definedName name="solver_num" localSheetId="25" hidden="1">2</definedName>
    <definedName name="solver_nwt" localSheetId="18" hidden="1">1</definedName>
    <definedName name="solver_nwt" localSheetId="17" hidden="1">1</definedName>
    <definedName name="solver_nwt" localSheetId="25" hidden="1">1</definedName>
    <definedName name="solver_opt" localSheetId="18" hidden="1">A_CDCL!$G$12</definedName>
    <definedName name="solver_opt" localSheetId="17" hidden="1">CDCL!$G$12</definedName>
    <definedName name="solver_opt" localSheetId="25" hidden="1">Variables!#REF!</definedName>
    <definedName name="solver_pre" localSheetId="18" hidden="1">0.000001</definedName>
    <definedName name="solver_pre" localSheetId="17" hidden="1">0.000001</definedName>
    <definedName name="solver_pre" localSheetId="25" hidden="1">0.000001</definedName>
    <definedName name="solver_rbv" localSheetId="18" hidden="1">2</definedName>
    <definedName name="solver_rbv" localSheetId="17" hidden="1">2</definedName>
    <definedName name="solver_rbv" localSheetId="25" hidden="1">1</definedName>
    <definedName name="solver_rel1" localSheetId="18" hidden="1">1</definedName>
    <definedName name="solver_rel1" localSheetId="17" hidden="1">1</definedName>
    <definedName name="solver_rel1" localSheetId="25" hidden="1">1</definedName>
    <definedName name="solver_rel2" localSheetId="18" hidden="1">4</definedName>
    <definedName name="solver_rel2" localSheetId="17" hidden="1">4</definedName>
    <definedName name="solver_rel2" localSheetId="25" hidden="1">3</definedName>
    <definedName name="solver_rel3" localSheetId="18" hidden="1">1</definedName>
    <definedName name="solver_rel3" localSheetId="17" hidden="1">1</definedName>
    <definedName name="solver_rel4" localSheetId="18" hidden="1">4</definedName>
    <definedName name="solver_rel4" localSheetId="17" hidden="1">4</definedName>
    <definedName name="solver_rel5" localSheetId="18" hidden="1">3</definedName>
    <definedName name="solver_rel5" localSheetId="17" hidden="1">3</definedName>
    <definedName name="solver_rel6" localSheetId="18" hidden="1">3</definedName>
    <definedName name="solver_rel6" localSheetId="17" hidden="1">3</definedName>
    <definedName name="solver_rel7" localSheetId="18" hidden="1">3</definedName>
    <definedName name="solver_rel7" localSheetId="17" hidden="1">3</definedName>
    <definedName name="solver_rel8" localSheetId="18" hidden="1">3</definedName>
    <definedName name="solver_rel8" localSheetId="17" hidden="1">3</definedName>
    <definedName name="solver_rel9" localSheetId="18" hidden="1">3</definedName>
    <definedName name="solver_rel9" localSheetId="17" hidden="1">3</definedName>
    <definedName name="solver_rhs1" localSheetId="18" hidden="1">A_CDCL!$G$28</definedName>
    <definedName name="solver_rhs1" localSheetId="17" hidden="1">CDCL!$G$28</definedName>
    <definedName name="solver_rhs1" localSheetId="25" hidden="1">Variables!#REF!</definedName>
    <definedName name="solver_rhs2" localSheetId="18" hidden="1">"integer"</definedName>
    <definedName name="solver_rhs2" localSheetId="17" hidden="1">"integer"</definedName>
    <definedName name="solver_rhs2" localSheetId="25" hidden="1">Variables!#REF!</definedName>
    <definedName name="solver_rhs3" localSheetId="18" hidden="1">A_CDCL!$G$12-1</definedName>
    <definedName name="solver_rhs3" localSheetId="17" hidden="1">CDCL!$G$12-1</definedName>
    <definedName name="solver_rhs4" localSheetId="18" hidden="1">"integer"</definedName>
    <definedName name="solver_rhs4" localSheetId="17" hidden="1">"integer"</definedName>
    <definedName name="solver_rhs5" localSheetId="18" hidden="1">1</definedName>
    <definedName name="solver_rhs5" localSheetId="17" hidden="1">1</definedName>
    <definedName name="solver_rhs6" localSheetId="18" hidden="1">0</definedName>
    <definedName name="solver_rhs6" localSheetId="17" hidden="1">0</definedName>
    <definedName name="solver_rhs7" localSheetId="18" hidden="1">0</definedName>
    <definedName name="solver_rhs7" localSheetId="17" hidden="1">0</definedName>
    <definedName name="solver_rhs8" localSheetId="18" hidden="1">0</definedName>
    <definedName name="solver_rhs8" localSheetId="17" hidden="1">0</definedName>
    <definedName name="solver_rhs9" localSheetId="18" hidden="1">0</definedName>
    <definedName name="solver_rhs9" localSheetId="17" hidden="1">0</definedName>
    <definedName name="solver_rlx" localSheetId="18" hidden="1">2</definedName>
    <definedName name="solver_rlx" localSheetId="17" hidden="1">2</definedName>
    <definedName name="solver_rlx" localSheetId="25" hidden="1">2</definedName>
    <definedName name="solver_rsd" localSheetId="18" hidden="1">0</definedName>
    <definedName name="solver_rsd" localSheetId="17" hidden="1">0</definedName>
    <definedName name="solver_rsd" localSheetId="25" hidden="1">12</definedName>
    <definedName name="solver_scl" localSheetId="18" hidden="1">2</definedName>
    <definedName name="solver_scl" localSheetId="17" hidden="1">2</definedName>
    <definedName name="solver_scl" localSheetId="25" hidden="1">1</definedName>
    <definedName name="solver_sho" localSheetId="18" hidden="1">2</definedName>
    <definedName name="solver_sho" localSheetId="17" hidden="1">2</definedName>
    <definedName name="solver_sho" localSheetId="25" hidden="1">2</definedName>
    <definedName name="solver_ssz" localSheetId="18" hidden="1">100</definedName>
    <definedName name="solver_ssz" localSheetId="17" hidden="1">100</definedName>
    <definedName name="solver_ssz" localSheetId="25" hidden="1">200</definedName>
    <definedName name="solver_tim" localSheetId="18" hidden="1">2147483647</definedName>
    <definedName name="solver_tim" localSheetId="17" hidden="1">2147483647</definedName>
    <definedName name="solver_tim" localSheetId="25" hidden="1">300</definedName>
    <definedName name="solver_tol" localSheetId="18" hidden="1">0.01</definedName>
    <definedName name="solver_tol" localSheetId="17" hidden="1">0.01</definedName>
    <definedName name="solver_tol" localSheetId="25" hidden="1">0.01</definedName>
    <definedName name="solver_typ" localSheetId="18" hidden="1">1</definedName>
    <definedName name="solver_typ" localSheetId="17" hidden="1">1</definedName>
    <definedName name="solver_typ" localSheetId="25" hidden="1">2</definedName>
    <definedName name="solver_val" localSheetId="18" hidden="1">0</definedName>
    <definedName name="solver_val" localSheetId="17" hidden="1">0</definedName>
    <definedName name="solver_val" localSheetId="25" hidden="1">0</definedName>
    <definedName name="solver_ver" localSheetId="18" hidden="1">3</definedName>
    <definedName name="solver_ver" localSheetId="17" hidden="1">3</definedName>
    <definedName name="solver_ver" localSheetId="25" hidden="1">3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4" l="1"/>
  <c r="B5" i="1"/>
  <c r="I25" i="1"/>
  <c r="AI16" i="65"/>
  <c r="AH16" i="65"/>
  <c r="AG16" i="65"/>
  <c r="AF16" i="65"/>
  <c r="AE16" i="65"/>
  <c r="AD16" i="65"/>
  <c r="Z16" i="65"/>
  <c r="Y16" i="65"/>
  <c r="X16" i="65"/>
  <c r="W16" i="65"/>
  <c r="V16" i="65"/>
  <c r="U16" i="65"/>
  <c r="Q16" i="65"/>
  <c r="P16" i="65"/>
  <c r="O16" i="65"/>
  <c r="N16" i="65"/>
  <c r="M16" i="65"/>
  <c r="L16" i="65"/>
  <c r="H16" i="65"/>
  <c r="G16" i="65"/>
  <c r="F16" i="65"/>
  <c r="E16" i="65"/>
  <c r="D16" i="65"/>
  <c r="C16" i="65"/>
  <c r="AI15" i="65"/>
  <c r="AH15" i="65"/>
  <c r="AG15" i="65"/>
  <c r="AF15" i="65"/>
  <c r="AE15" i="65"/>
  <c r="AD15" i="65"/>
  <c r="Z15" i="65"/>
  <c r="Y15" i="65"/>
  <c r="X15" i="65"/>
  <c r="W15" i="65"/>
  <c r="V15" i="65"/>
  <c r="U15" i="65"/>
  <c r="Q15" i="65"/>
  <c r="P15" i="65"/>
  <c r="O15" i="65"/>
  <c r="N15" i="65"/>
  <c r="M15" i="65"/>
  <c r="L15" i="65"/>
  <c r="H15" i="65"/>
  <c r="G15" i="65"/>
  <c r="F15" i="65"/>
  <c r="E15" i="65"/>
  <c r="D15" i="65"/>
  <c r="C15" i="65"/>
  <c r="AI14" i="65"/>
  <c r="AH14" i="65"/>
  <c r="AG14" i="65"/>
  <c r="AF14" i="65"/>
  <c r="AE14" i="65"/>
  <c r="AD14" i="65"/>
  <c r="Z14" i="65"/>
  <c r="Y14" i="65"/>
  <c r="X14" i="65"/>
  <c r="W14" i="65"/>
  <c r="V14" i="65"/>
  <c r="U14" i="65"/>
  <c r="Q14" i="65"/>
  <c r="P14" i="65"/>
  <c r="O14" i="65"/>
  <c r="N14" i="65"/>
  <c r="M14" i="65"/>
  <c r="L14" i="65"/>
  <c r="H14" i="65"/>
  <c r="G14" i="65"/>
  <c r="F14" i="65"/>
  <c r="E14" i="65"/>
  <c r="D14" i="65"/>
  <c r="C14" i="65"/>
  <c r="AI13" i="65"/>
  <c r="AH13" i="65"/>
  <c r="AG13" i="65"/>
  <c r="AF13" i="65"/>
  <c r="AE13" i="65"/>
  <c r="AD13" i="65"/>
  <c r="Z13" i="65"/>
  <c r="Y13" i="65"/>
  <c r="X13" i="65"/>
  <c r="W13" i="65"/>
  <c r="V13" i="65"/>
  <c r="U13" i="65"/>
  <c r="Q13" i="65"/>
  <c r="P13" i="65"/>
  <c r="O13" i="65"/>
  <c r="N13" i="65"/>
  <c r="M13" i="65"/>
  <c r="L13" i="65"/>
  <c r="H13" i="65"/>
  <c r="G13" i="65"/>
  <c r="F13" i="65"/>
  <c r="E13" i="65"/>
  <c r="D13" i="65"/>
  <c r="C13" i="65"/>
  <c r="AI12" i="65"/>
  <c r="AH12" i="65"/>
  <c r="AG12" i="65"/>
  <c r="AF12" i="65"/>
  <c r="AE12" i="65"/>
  <c r="AD12" i="65"/>
  <c r="Z12" i="65"/>
  <c r="Y12" i="65"/>
  <c r="X12" i="65"/>
  <c r="W12" i="65"/>
  <c r="V12" i="65"/>
  <c r="U12" i="65"/>
  <c r="Q12" i="65"/>
  <c r="P12" i="65"/>
  <c r="O12" i="65"/>
  <c r="N12" i="65"/>
  <c r="M12" i="65"/>
  <c r="L12" i="65"/>
  <c r="H12" i="65"/>
  <c r="G12" i="65"/>
  <c r="F12" i="65"/>
  <c r="E12" i="65"/>
  <c r="D12" i="65"/>
  <c r="C12" i="65"/>
  <c r="AI11" i="65"/>
  <c r="AH11" i="65"/>
  <c r="AG11" i="65"/>
  <c r="AF11" i="65"/>
  <c r="AE11" i="65"/>
  <c r="AD11" i="65"/>
  <c r="Z11" i="65"/>
  <c r="Y11" i="65"/>
  <c r="X11" i="65"/>
  <c r="W11" i="65"/>
  <c r="V11" i="65"/>
  <c r="U11" i="65"/>
  <c r="Q11" i="65"/>
  <c r="P11" i="65"/>
  <c r="O11" i="65"/>
  <c r="N11" i="65"/>
  <c r="M11" i="65"/>
  <c r="L11" i="65"/>
  <c r="H11" i="65"/>
  <c r="G11" i="65"/>
  <c r="F11" i="65"/>
  <c r="E11" i="65"/>
  <c r="D11" i="65"/>
  <c r="C11" i="65"/>
  <c r="AI10" i="65"/>
  <c r="AH10" i="65"/>
  <c r="AG10" i="65"/>
  <c r="AF10" i="65"/>
  <c r="AE10" i="65"/>
  <c r="AD10" i="65"/>
  <c r="Z10" i="65"/>
  <c r="Y10" i="65"/>
  <c r="X10" i="65"/>
  <c r="W10" i="65"/>
  <c r="V10" i="65"/>
  <c r="U10" i="65"/>
  <c r="Q10" i="65"/>
  <c r="P10" i="65"/>
  <c r="O10" i="65"/>
  <c r="N10" i="65"/>
  <c r="M10" i="65"/>
  <c r="L10" i="65"/>
  <c r="H10" i="65"/>
  <c r="G10" i="65"/>
  <c r="F10" i="65"/>
  <c r="E10" i="65"/>
  <c r="D10" i="65"/>
  <c r="C10" i="65"/>
  <c r="E3" i="65"/>
  <c r="E2" i="65"/>
  <c r="E4" i="65" s="1"/>
  <c r="AB39" i="6"/>
  <c r="AB40" i="6"/>
  <c r="AB41" i="6"/>
  <c r="AB42" i="6"/>
  <c r="AB43" i="6"/>
  <c r="AB38" i="6"/>
  <c r="Z39" i="6"/>
  <c r="Z40" i="6"/>
  <c r="Z41" i="6"/>
  <c r="Z42" i="6"/>
  <c r="Z43" i="6"/>
  <c r="Z38" i="6"/>
  <c r="X39" i="6"/>
  <c r="X40" i="6"/>
  <c r="X41" i="6"/>
  <c r="X42" i="6"/>
  <c r="X43" i="6"/>
  <c r="X38" i="6"/>
  <c r="Y31" i="6"/>
  <c r="Z31" i="6" s="1"/>
  <c r="Y32" i="6"/>
  <c r="Z32" i="6" s="1"/>
  <c r="Y33" i="6"/>
  <c r="Z33" i="6" s="1"/>
  <c r="Y34" i="6"/>
  <c r="Z34" i="6" s="1"/>
  <c r="Y35" i="6"/>
  <c r="Z35" i="6" s="1"/>
  <c r="Y30" i="6"/>
  <c r="Z30" i="6" s="1"/>
  <c r="C1000" i="64"/>
  <c r="C999" i="64"/>
  <c r="C998" i="64"/>
  <c r="C997" i="64"/>
  <c r="C996" i="64"/>
  <c r="C995" i="64"/>
  <c r="C994" i="64"/>
  <c r="C993" i="64"/>
  <c r="C992" i="64"/>
  <c r="C991" i="64"/>
  <c r="C990" i="64"/>
  <c r="C989" i="64"/>
  <c r="C988" i="64"/>
  <c r="C987" i="64"/>
  <c r="C986" i="64"/>
  <c r="C985" i="64"/>
  <c r="C984" i="64"/>
  <c r="C983" i="64"/>
  <c r="C982" i="64"/>
  <c r="C981" i="64"/>
  <c r="C980" i="64"/>
  <c r="C979" i="64"/>
  <c r="C978" i="64"/>
  <c r="C977" i="64"/>
  <c r="C976" i="64"/>
  <c r="C975" i="64"/>
  <c r="C974" i="64"/>
  <c r="C973" i="64"/>
  <c r="C972" i="64"/>
  <c r="C971" i="64"/>
  <c r="C970" i="64"/>
  <c r="C969" i="64"/>
  <c r="C968" i="64"/>
  <c r="C967" i="64"/>
  <c r="C966" i="64"/>
  <c r="C965" i="64"/>
  <c r="C964" i="64"/>
  <c r="C963" i="64"/>
  <c r="C962" i="64"/>
  <c r="C961" i="64"/>
  <c r="C960" i="64"/>
  <c r="C959" i="64"/>
  <c r="C958" i="64"/>
  <c r="C957" i="64"/>
  <c r="C956" i="64"/>
  <c r="C955" i="64"/>
  <c r="C954" i="64"/>
  <c r="C953" i="64"/>
  <c r="C952" i="64"/>
  <c r="C951" i="64"/>
  <c r="C950" i="64"/>
  <c r="C949" i="64"/>
  <c r="C948" i="64"/>
  <c r="C947" i="64"/>
  <c r="C946" i="64"/>
  <c r="C945" i="64"/>
  <c r="C944" i="64"/>
  <c r="C943" i="64"/>
  <c r="C942" i="64"/>
  <c r="C941" i="64"/>
  <c r="C940" i="64"/>
  <c r="C939" i="64"/>
  <c r="C938" i="64"/>
  <c r="C937" i="64"/>
  <c r="C936" i="64"/>
  <c r="C935" i="64"/>
  <c r="C934" i="64"/>
  <c r="C933" i="64"/>
  <c r="C932" i="64"/>
  <c r="C931" i="64"/>
  <c r="C930" i="64"/>
  <c r="C929" i="64"/>
  <c r="C928" i="64"/>
  <c r="C927" i="64"/>
  <c r="C926" i="64"/>
  <c r="C925" i="64"/>
  <c r="C924" i="64"/>
  <c r="C923" i="64"/>
  <c r="C922" i="64"/>
  <c r="C921" i="64"/>
  <c r="C920" i="64"/>
  <c r="C919" i="64"/>
  <c r="C918" i="64"/>
  <c r="C917" i="64"/>
  <c r="C916" i="64"/>
  <c r="C915" i="64"/>
  <c r="C914" i="64"/>
  <c r="C913" i="64"/>
  <c r="C912" i="64"/>
  <c r="C911" i="64"/>
  <c r="C910" i="64"/>
  <c r="C909" i="64"/>
  <c r="C908" i="64"/>
  <c r="C907" i="64"/>
  <c r="C906" i="64"/>
  <c r="C905" i="64"/>
  <c r="C904" i="64"/>
  <c r="C903" i="64"/>
  <c r="C902" i="64"/>
  <c r="C901" i="64"/>
  <c r="C900" i="64"/>
  <c r="C899" i="64"/>
  <c r="C898" i="64"/>
  <c r="C897" i="64"/>
  <c r="C896" i="64"/>
  <c r="C895" i="64"/>
  <c r="C894" i="64"/>
  <c r="C893" i="64"/>
  <c r="C892" i="64"/>
  <c r="C891" i="64"/>
  <c r="C890" i="64"/>
  <c r="C889" i="64"/>
  <c r="C888" i="64"/>
  <c r="C887" i="64"/>
  <c r="C886" i="64"/>
  <c r="C885" i="64"/>
  <c r="C884" i="64"/>
  <c r="C883" i="64"/>
  <c r="C882" i="64"/>
  <c r="C881" i="64"/>
  <c r="C880" i="64"/>
  <c r="C879" i="64"/>
  <c r="C878" i="64"/>
  <c r="C877" i="64"/>
  <c r="C876" i="64"/>
  <c r="C875" i="64"/>
  <c r="C874" i="64"/>
  <c r="C873" i="64"/>
  <c r="C872" i="64"/>
  <c r="C871" i="64"/>
  <c r="C870" i="64"/>
  <c r="C869" i="64"/>
  <c r="C868" i="64"/>
  <c r="C867" i="64"/>
  <c r="C866" i="64"/>
  <c r="C865" i="64"/>
  <c r="C864" i="64"/>
  <c r="C863" i="64"/>
  <c r="C862" i="64"/>
  <c r="C861" i="64"/>
  <c r="C860" i="64"/>
  <c r="C859" i="64"/>
  <c r="C858" i="64"/>
  <c r="C857" i="64"/>
  <c r="C856" i="64"/>
  <c r="C855" i="64"/>
  <c r="C854" i="64"/>
  <c r="C853" i="64"/>
  <c r="C852" i="64"/>
  <c r="C851" i="64"/>
  <c r="C850" i="64"/>
  <c r="C849" i="64"/>
  <c r="C848" i="64"/>
  <c r="C847" i="64"/>
  <c r="C846" i="64"/>
  <c r="C845" i="64"/>
  <c r="C844" i="64"/>
  <c r="C843" i="64"/>
  <c r="C842" i="64"/>
  <c r="C841" i="64"/>
  <c r="C840" i="64"/>
  <c r="C839" i="64"/>
  <c r="C838" i="64"/>
  <c r="C837" i="64"/>
  <c r="C836" i="64"/>
  <c r="C835" i="64"/>
  <c r="C834" i="64"/>
  <c r="C833" i="64"/>
  <c r="C832" i="64"/>
  <c r="C831" i="64"/>
  <c r="C830" i="64"/>
  <c r="C829" i="64"/>
  <c r="C828" i="64"/>
  <c r="C827" i="64"/>
  <c r="C826" i="64"/>
  <c r="C825" i="64"/>
  <c r="C824" i="64"/>
  <c r="C823" i="64"/>
  <c r="C822" i="64"/>
  <c r="C821" i="64"/>
  <c r="C820" i="64"/>
  <c r="C819" i="64"/>
  <c r="C818" i="64"/>
  <c r="C817" i="64"/>
  <c r="C816" i="64"/>
  <c r="C815" i="64"/>
  <c r="C814" i="64"/>
  <c r="C813" i="64"/>
  <c r="C812" i="64"/>
  <c r="C811" i="64"/>
  <c r="C810" i="64"/>
  <c r="C809" i="64"/>
  <c r="C808" i="64"/>
  <c r="C807" i="64"/>
  <c r="C806" i="64"/>
  <c r="C805" i="64"/>
  <c r="C804" i="64"/>
  <c r="C803" i="64"/>
  <c r="C802" i="64"/>
  <c r="C801" i="64"/>
  <c r="C800" i="64"/>
  <c r="C799" i="64"/>
  <c r="C798" i="64"/>
  <c r="C797" i="64"/>
  <c r="C796" i="64"/>
  <c r="C795" i="64"/>
  <c r="C794" i="64"/>
  <c r="C793" i="64"/>
  <c r="C792" i="64"/>
  <c r="C791" i="64"/>
  <c r="C790" i="64"/>
  <c r="C789" i="64"/>
  <c r="C788" i="64"/>
  <c r="C787" i="64"/>
  <c r="C786" i="64"/>
  <c r="C785" i="64"/>
  <c r="C784" i="64"/>
  <c r="C783" i="64"/>
  <c r="C782" i="64"/>
  <c r="C781" i="64"/>
  <c r="C780" i="64"/>
  <c r="C779" i="64"/>
  <c r="C778" i="64"/>
  <c r="C777" i="64"/>
  <c r="C776" i="64"/>
  <c r="C775" i="64"/>
  <c r="C774" i="64"/>
  <c r="C773" i="64"/>
  <c r="C772" i="64"/>
  <c r="C771" i="64"/>
  <c r="C770" i="64"/>
  <c r="C769" i="64"/>
  <c r="C768" i="64"/>
  <c r="C767" i="64"/>
  <c r="C766" i="64"/>
  <c r="C765" i="64"/>
  <c r="C764" i="64"/>
  <c r="C763" i="64"/>
  <c r="C762" i="64"/>
  <c r="C761" i="64"/>
  <c r="C760" i="64"/>
  <c r="C759" i="64"/>
  <c r="C758" i="64"/>
  <c r="C757" i="64"/>
  <c r="C756" i="64"/>
  <c r="C755" i="64"/>
  <c r="C754" i="64"/>
  <c r="C753" i="64"/>
  <c r="C752" i="64"/>
  <c r="C751" i="64"/>
  <c r="C750" i="64"/>
  <c r="C749" i="64"/>
  <c r="C748" i="64"/>
  <c r="C747" i="64"/>
  <c r="C746" i="64"/>
  <c r="C745" i="64"/>
  <c r="C744" i="64"/>
  <c r="C743" i="64"/>
  <c r="C742" i="64"/>
  <c r="C741" i="64"/>
  <c r="C740" i="64"/>
  <c r="C739" i="64"/>
  <c r="C738" i="64"/>
  <c r="C737" i="64"/>
  <c r="C736" i="64"/>
  <c r="C735" i="64"/>
  <c r="C734" i="64"/>
  <c r="C733" i="64"/>
  <c r="C732" i="64"/>
  <c r="C731" i="64"/>
  <c r="C730" i="64"/>
  <c r="C729" i="64"/>
  <c r="C728" i="64"/>
  <c r="C727" i="64"/>
  <c r="C726" i="64"/>
  <c r="C725" i="64"/>
  <c r="C724" i="64"/>
  <c r="C723" i="64"/>
  <c r="C722" i="64"/>
  <c r="C721" i="64"/>
  <c r="C720" i="64"/>
  <c r="C719" i="64"/>
  <c r="C718" i="64"/>
  <c r="C717" i="64"/>
  <c r="C716" i="64"/>
  <c r="C715" i="64"/>
  <c r="C714" i="64"/>
  <c r="C713" i="64"/>
  <c r="C712" i="64"/>
  <c r="C711" i="64"/>
  <c r="C710" i="64"/>
  <c r="C709" i="64"/>
  <c r="C708" i="64"/>
  <c r="C707" i="64"/>
  <c r="C706" i="64"/>
  <c r="C705" i="64"/>
  <c r="C704" i="64"/>
  <c r="C703" i="64"/>
  <c r="C702" i="64"/>
  <c r="C701" i="64"/>
  <c r="C700" i="64"/>
  <c r="C699" i="64"/>
  <c r="C698" i="64"/>
  <c r="C697" i="64"/>
  <c r="C696" i="64"/>
  <c r="C695" i="64"/>
  <c r="C694" i="64"/>
  <c r="C693" i="64"/>
  <c r="C692" i="64"/>
  <c r="C691" i="64"/>
  <c r="C690" i="64"/>
  <c r="C689" i="64"/>
  <c r="C688" i="64"/>
  <c r="C687" i="64"/>
  <c r="C686" i="64"/>
  <c r="C685" i="64"/>
  <c r="C684" i="64"/>
  <c r="C683" i="64"/>
  <c r="C682" i="64"/>
  <c r="C681" i="64"/>
  <c r="C680" i="64"/>
  <c r="C679" i="64"/>
  <c r="C678" i="64"/>
  <c r="C677" i="64"/>
  <c r="C676" i="64"/>
  <c r="C675" i="64"/>
  <c r="C674" i="64"/>
  <c r="C673" i="64"/>
  <c r="C672" i="64"/>
  <c r="C671" i="64"/>
  <c r="C670" i="64"/>
  <c r="C669" i="64"/>
  <c r="C668" i="64"/>
  <c r="C667" i="64"/>
  <c r="C666" i="64"/>
  <c r="C665" i="64"/>
  <c r="C664" i="64"/>
  <c r="C663" i="64"/>
  <c r="C662" i="64"/>
  <c r="C661" i="64"/>
  <c r="C660" i="64"/>
  <c r="C659" i="64"/>
  <c r="C658" i="64"/>
  <c r="C657" i="64"/>
  <c r="C656" i="64"/>
  <c r="C655" i="64"/>
  <c r="C654" i="64"/>
  <c r="C653" i="64"/>
  <c r="C652" i="64"/>
  <c r="C651" i="64"/>
  <c r="C650" i="64"/>
  <c r="C649" i="64"/>
  <c r="C648" i="64"/>
  <c r="C647" i="64"/>
  <c r="C646" i="64"/>
  <c r="C645" i="64"/>
  <c r="C644" i="64"/>
  <c r="C643" i="64"/>
  <c r="C642" i="64"/>
  <c r="C641" i="64"/>
  <c r="C640" i="64"/>
  <c r="C639" i="64"/>
  <c r="C638" i="64"/>
  <c r="C637" i="64"/>
  <c r="C636" i="64"/>
  <c r="C635" i="64"/>
  <c r="C634" i="64"/>
  <c r="C633" i="64"/>
  <c r="C632" i="64"/>
  <c r="C631" i="64"/>
  <c r="C630" i="64"/>
  <c r="C629" i="64"/>
  <c r="C628" i="64"/>
  <c r="C627" i="64"/>
  <c r="C626" i="64"/>
  <c r="C625" i="64"/>
  <c r="C624" i="64"/>
  <c r="C623" i="64"/>
  <c r="C622" i="64"/>
  <c r="C621" i="64"/>
  <c r="C620" i="64"/>
  <c r="C619" i="64"/>
  <c r="C618" i="64"/>
  <c r="C617" i="64"/>
  <c r="C616" i="64"/>
  <c r="C615" i="64"/>
  <c r="C614" i="64"/>
  <c r="C613" i="64"/>
  <c r="C612" i="64"/>
  <c r="C611" i="64"/>
  <c r="C610" i="64"/>
  <c r="C609" i="64"/>
  <c r="C608" i="64"/>
  <c r="C607" i="64"/>
  <c r="C606" i="64"/>
  <c r="C605" i="64"/>
  <c r="C604" i="64"/>
  <c r="C603" i="64"/>
  <c r="C602" i="64"/>
  <c r="C601" i="64"/>
  <c r="C600" i="64"/>
  <c r="C599" i="64"/>
  <c r="C598" i="64"/>
  <c r="C597" i="64"/>
  <c r="C596" i="64"/>
  <c r="C595" i="64"/>
  <c r="C594" i="64"/>
  <c r="C593" i="64"/>
  <c r="C592" i="64"/>
  <c r="C591" i="64"/>
  <c r="C590" i="64"/>
  <c r="C589" i="64"/>
  <c r="C588" i="64"/>
  <c r="C587" i="64"/>
  <c r="C586" i="64"/>
  <c r="C585" i="64"/>
  <c r="C584" i="64"/>
  <c r="C583" i="64"/>
  <c r="C582" i="64"/>
  <c r="C581" i="64"/>
  <c r="C580" i="64"/>
  <c r="C579" i="64"/>
  <c r="C578" i="64"/>
  <c r="C577" i="64"/>
  <c r="C576" i="64"/>
  <c r="C575" i="64"/>
  <c r="C574" i="64"/>
  <c r="C573" i="64"/>
  <c r="C572" i="64"/>
  <c r="C571" i="64"/>
  <c r="C570" i="64"/>
  <c r="C569" i="64"/>
  <c r="C568" i="64"/>
  <c r="C567" i="64"/>
  <c r="C566" i="64"/>
  <c r="C565" i="64"/>
  <c r="C564" i="64"/>
  <c r="C563" i="64"/>
  <c r="C562" i="64"/>
  <c r="C561" i="64"/>
  <c r="C560" i="64"/>
  <c r="C559" i="64"/>
  <c r="C558" i="64"/>
  <c r="C557" i="64"/>
  <c r="C556" i="64"/>
  <c r="C555" i="64"/>
  <c r="C554" i="64"/>
  <c r="C553" i="64"/>
  <c r="C552" i="64"/>
  <c r="C551" i="64"/>
  <c r="C550" i="64"/>
  <c r="C549" i="64"/>
  <c r="C548" i="64"/>
  <c r="C547" i="64"/>
  <c r="C546" i="64"/>
  <c r="C545" i="64"/>
  <c r="C544" i="64"/>
  <c r="C543" i="64"/>
  <c r="C542" i="64"/>
  <c r="C541" i="64"/>
  <c r="C540" i="64"/>
  <c r="C539" i="64"/>
  <c r="C538" i="64"/>
  <c r="C537" i="64"/>
  <c r="C536" i="64"/>
  <c r="C535" i="64"/>
  <c r="C534" i="64"/>
  <c r="C533" i="64"/>
  <c r="C532" i="64"/>
  <c r="C531" i="64"/>
  <c r="C530" i="64"/>
  <c r="C529" i="64"/>
  <c r="C528" i="64"/>
  <c r="C527" i="64"/>
  <c r="C526" i="64"/>
  <c r="C525" i="64"/>
  <c r="C524" i="64"/>
  <c r="C523" i="64"/>
  <c r="C522" i="64"/>
  <c r="C521" i="64"/>
  <c r="C520" i="64"/>
  <c r="C519" i="64"/>
  <c r="C518" i="64"/>
  <c r="C517" i="64"/>
  <c r="C516" i="64"/>
  <c r="C515" i="64"/>
  <c r="C514" i="64"/>
  <c r="C513" i="64"/>
  <c r="C512" i="64"/>
  <c r="C511" i="64"/>
  <c r="C510" i="64"/>
  <c r="C509" i="64"/>
  <c r="C508" i="64"/>
  <c r="C507" i="64"/>
  <c r="C506" i="64"/>
  <c r="C505" i="64"/>
  <c r="C504" i="64"/>
  <c r="C503" i="64"/>
  <c r="C502" i="64"/>
  <c r="C501" i="64"/>
  <c r="C500" i="64"/>
  <c r="C499" i="64"/>
  <c r="C498" i="64"/>
  <c r="C497" i="64"/>
  <c r="C496" i="64"/>
  <c r="C495" i="64"/>
  <c r="C494" i="64"/>
  <c r="C493" i="64"/>
  <c r="C492" i="64"/>
  <c r="C491" i="64"/>
  <c r="C490" i="64"/>
  <c r="C489" i="64"/>
  <c r="C488" i="64"/>
  <c r="C487" i="64"/>
  <c r="C486" i="64"/>
  <c r="C485" i="64"/>
  <c r="C484" i="64"/>
  <c r="C483" i="64"/>
  <c r="C482" i="64"/>
  <c r="C481" i="64"/>
  <c r="C480" i="64"/>
  <c r="C479" i="64"/>
  <c r="C478" i="64"/>
  <c r="C477" i="64"/>
  <c r="C476" i="64"/>
  <c r="C475" i="64"/>
  <c r="C474" i="64"/>
  <c r="C473" i="64"/>
  <c r="C472" i="64"/>
  <c r="C471" i="64"/>
  <c r="C470" i="64"/>
  <c r="C469" i="64"/>
  <c r="C468" i="64"/>
  <c r="C467" i="64"/>
  <c r="C466" i="64"/>
  <c r="C465" i="64"/>
  <c r="C464" i="64"/>
  <c r="C463" i="64"/>
  <c r="C462" i="64"/>
  <c r="C461" i="64"/>
  <c r="C460" i="64"/>
  <c r="C459" i="64"/>
  <c r="C458" i="64"/>
  <c r="C457" i="64"/>
  <c r="C456" i="64"/>
  <c r="C455" i="64"/>
  <c r="C454" i="64"/>
  <c r="C453" i="64"/>
  <c r="C452" i="64"/>
  <c r="C451" i="64"/>
  <c r="C450" i="64"/>
  <c r="C449" i="64"/>
  <c r="C448" i="64"/>
  <c r="C447" i="64"/>
  <c r="C446" i="64"/>
  <c r="C445" i="64"/>
  <c r="C444" i="64"/>
  <c r="C443" i="64"/>
  <c r="C442" i="64"/>
  <c r="C441" i="64"/>
  <c r="C440" i="64"/>
  <c r="C439" i="64"/>
  <c r="C438" i="64"/>
  <c r="C437" i="64"/>
  <c r="C436" i="64"/>
  <c r="C435" i="64"/>
  <c r="C434" i="64"/>
  <c r="C433" i="64"/>
  <c r="C432" i="64"/>
  <c r="C431" i="64"/>
  <c r="C430" i="64"/>
  <c r="C429" i="64"/>
  <c r="C428" i="64"/>
  <c r="C427" i="64"/>
  <c r="C426" i="64"/>
  <c r="C425" i="64"/>
  <c r="C424" i="64"/>
  <c r="C423" i="64"/>
  <c r="C422" i="64"/>
  <c r="C421" i="64"/>
  <c r="C420" i="64"/>
  <c r="C419" i="64"/>
  <c r="C418" i="64"/>
  <c r="C417" i="64"/>
  <c r="C416" i="64"/>
  <c r="C415" i="64"/>
  <c r="C414" i="64"/>
  <c r="C413" i="64"/>
  <c r="C412" i="64"/>
  <c r="C411" i="64"/>
  <c r="C410" i="64"/>
  <c r="C409" i="64"/>
  <c r="C408" i="64"/>
  <c r="C407" i="64"/>
  <c r="C406" i="64"/>
  <c r="C405" i="64"/>
  <c r="C404" i="64"/>
  <c r="C403" i="64"/>
  <c r="C402" i="64"/>
  <c r="C401" i="64"/>
  <c r="C400" i="64"/>
  <c r="C399" i="64"/>
  <c r="C398" i="64"/>
  <c r="C397" i="64"/>
  <c r="C396" i="64"/>
  <c r="C395" i="64"/>
  <c r="C394" i="64"/>
  <c r="C393" i="64"/>
  <c r="C392" i="64"/>
  <c r="C391" i="64"/>
  <c r="C390" i="64"/>
  <c r="C389" i="64"/>
  <c r="C388" i="64"/>
  <c r="C387" i="64"/>
  <c r="C386" i="64"/>
  <c r="C385" i="64"/>
  <c r="C384" i="64"/>
  <c r="C383" i="64"/>
  <c r="C382" i="64"/>
  <c r="C381" i="64"/>
  <c r="C380" i="64"/>
  <c r="C379" i="64"/>
  <c r="C378" i="64"/>
  <c r="C377" i="64"/>
  <c r="C376" i="64"/>
  <c r="C375" i="64"/>
  <c r="C374" i="64"/>
  <c r="C373" i="64"/>
  <c r="C372" i="64"/>
  <c r="C371" i="64"/>
  <c r="C370" i="64"/>
  <c r="C369" i="64"/>
  <c r="C368" i="64"/>
  <c r="C367" i="64"/>
  <c r="C366" i="64"/>
  <c r="C365" i="64"/>
  <c r="C364" i="64"/>
  <c r="C363" i="64"/>
  <c r="C362" i="64"/>
  <c r="C361" i="64"/>
  <c r="C360" i="64"/>
  <c r="C359" i="64"/>
  <c r="C358" i="64"/>
  <c r="C357" i="64"/>
  <c r="C356" i="64"/>
  <c r="C355" i="64"/>
  <c r="C354" i="64"/>
  <c r="C353" i="64"/>
  <c r="C352" i="64"/>
  <c r="C351" i="64"/>
  <c r="C350" i="64"/>
  <c r="C349" i="64"/>
  <c r="C348" i="64"/>
  <c r="C347" i="64"/>
  <c r="C346" i="64"/>
  <c r="C345" i="64"/>
  <c r="C344" i="64"/>
  <c r="C343" i="64"/>
  <c r="C342" i="64"/>
  <c r="C341" i="64"/>
  <c r="C340" i="64"/>
  <c r="C339" i="64"/>
  <c r="C338" i="64"/>
  <c r="C337" i="64"/>
  <c r="C336" i="64"/>
  <c r="C335" i="64"/>
  <c r="C334" i="64"/>
  <c r="C333" i="64"/>
  <c r="C332" i="64"/>
  <c r="C331" i="64"/>
  <c r="C330" i="64"/>
  <c r="C329" i="64"/>
  <c r="C328" i="64"/>
  <c r="C327" i="64"/>
  <c r="C326" i="64"/>
  <c r="C325" i="64"/>
  <c r="C324" i="64"/>
  <c r="C323" i="64"/>
  <c r="C322" i="64"/>
  <c r="C321" i="64"/>
  <c r="C320" i="64"/>
  <c r="C319" i="64"/>
  <c r="C318" i="64"/>
  <c r="C317" i="64"/>
  <c r="C316" i="64"/>
  <c r="C315" i="64"/>
  <c r="C314" i="64"/>
  <c r="C313" i="64"/>
  <c r="C312" i="64"/>
  <c r="C311" i="64"/>
  <c r="C310" i="64"/>
  <c r="C309" i="64"/>
  <c r="C308" i="64"/>
  <c r="C307" i="64"/>
  <c r="C306" i="64"/>
  <c r="C305" i="64"/>
  <c r="C304" i="64"/>
  <c r="C303" i="64"/>
  <c r="C302" i="64"/>
  <c r="C301" i="64"/>
  <c r="C300" i="64"/>
  <c r="C299" i="64"/>
  <c r="C298" i="64"/>
  <c r="C297" i="64"/>
  <c r="C296" i="64"/>
  <c r="C295" i="64"/>
  <c r="C294" i="64"/>
  <c r="C293" i="64"/>
  <c r="C292" i="64"/>
  <c r="C291" i="64"/>
  <c r="C290" i="64"/>
  <c r="C289" i="64"/>
  <c r="C288" i="64"/>
  <c r="C287" i="64"/>
  <c r="C286" i="64"/>
  <c r="C285" i="64"/>
  <c r="C284" i="64"/>
  <c r="C283" i="64"/>
  <c r="C282" i="64"/>
  <c r="C281" i="64"/>
  <c r="C280" i="64"/>
  <c r="C279" i="64"/>
  <c r="C278" i="64"/>
  <c r="C277" i="64"/>
  <c r="C276" i="64"/>
  <c r="C275" i="64"/>
  <c r="C274" i="64"/>
  <c r="C273" i="64"/>
  <c r="C272" i="64"/>
  <c r="C271" i="64"/>
  <c r="C270" i="64"/>
  <c r="C269" i="64"/>
  <c r="C268" i="64"/>
  <c r="C267" i="64"/>
  <c r="C266" i="64"/>
  <c r="C265" i="64"/>
  <c r="C264" i="64"/>
  <c r="C263" i="64"/>
  <c r="C262" i="64"/>
  <c r="C261" i="64"/>
  <c r="C260" i="64"/>
  <c r="C259" i="64"/>
  <c r="C258" i="64"/>
  <c r="C257" i="64"/>
  <c r="C256" i="64"/>
  <c r="C255" i="64"/>
  <c r="C254" i="64"/>
  <c r="C253" i="64"/>
  <c r="C252" i="64"/>
  <c r="C251" i="64"/>
  <c r="C250" i="64"/>
  <c r="C249" i="64"/>
  <c r="C248" i="64"/>
  <c r="C247" i="64"/>
  <c r="C246" i="64"/>
  <c r="C245" i="64"/>
  <c r="C244" i="64"/>
  <c r="C243" i="64"/>
  <c r="C242" i="64"/>
  <c r="C241" i="64"/>
  <c r="C240" i="64"/>
  <c r="C239" i="64"/>
  <c r="C238" i="64"/>
  <c r="C237" i="64"/>
  <c r="C236" i="64"/>
  <c r="C235" i="64"/>
  <c r="C234" i="64"/>
  <c r="C233" i="64"/>
  <c r="C232" i="64"/>
  <c r="C231" i="64"/>
  <c r="C230" i="64"/>
  <c r="C229" i="64"/>
  <c r="C228" i="64"/>
  <c r="C227" i="64"/>
  <c r="C226" i="64"/>
  <c r="C225" i="64"/>
  <c r="C224" i="64"/>
  <c r="C223" i="64"/>
  <c r="C222" i="64"/>
  <c r="C221" i="64"/>
  <c r="C220" i="64"/>
  <c r="C219" i="64"/>
  <c r="C218" i="64"/>
  <c r="C217" i="64"/>
  <c r="C216" i="64"/>
  <c r="C215" i="64"/>
  <c r="C214" i="64"/>
  <c r="C213" i="64"/>
  <c r="C212" i="64"/>
  <c r="C211" i="64"/>
  <c r="C210" i="64"/>
  <c r="C209" i="64"/>
  <c r="C208" i="64"/>
  <c r="C207" i="64"/>
  <c r="C206" i="64"/>
  <c r="C205" i="64"/>
  <c r="C204" i="64"/>
  <c r="C203" i="64"/>
  <c r="C202" i="64"/>
  <c r="C201" i="64"/>
  <c r="C200" i="64"/>
  <c r="C199" i="64"/>
  <c r="C198" i="64"/>
  <c r="C197" i="64"/>
  <c r="C196" i="64"/>
  <c r="C195" i="64"/>
  <c r="C194" i="64"/>
  <c r="C193" i="64"/>
  <c r="C192" i="64"/>
  <c r="C191" i="64"/>
  <c r="C190" i="64"/>
  <c r="C189" i="64"/>
  <c r="C188" i="64"/>
  <c r="C187" i="64"/>
  <c r="C186" i="64"/>
  <c r="C185" i="64"/>
  <c r="C184" i="64"/>
  <c r="C183" i="64"/>
  <c r="C182" i="64"/>
  <c r="C181" i="64"/>
  <c r="C180" i="64"/>
  <c r="C179" i="64"/>
  <c r="C178" i="64"/>
  <c r="C177" i="64"/>
  <c r="C176" i="64"/>
  <c r="C175" i="64"/>
  <c r="C174" i="64"/>
  <c r="C173" i="64"/>
  <c r="C172" i="64"/>
  <c r="C171" i="64"/>
  <c r="C170" i="64"/>
  <c r="C169" i="64"/>
  <c r="C168" i="64"/>
  <c r="C167" i="64"/>
  <c r="C166" i="64"/>
  <c r="C165" i="64"/>
  <c r="C164" i="64"/>
  <c r="C163" i="64"/>
  <c r="C162" i="64"/>
  <c r="C161" i="64"/>
  <c r="C160" i="64"/>
  <c r="C159" i="64"/>
  <c r="C158" i="64"/>
  <c r="C157" i="64"/>
  <c r="C156" i="64"/>
  <c r="C155" i="64"/>
  <c r="C154" i="64"/>
  <c r="C153" i="64"/>
  <c r="C152" i="64"/>
  <c r="C151" i="64"/>
  <c r="C150" i="64"/>
  <c r="C149" i="64"/>
  <c r="C148" i="64"/>
  <c r="C147" i="64"/>
  <c r="C146" i="64"/>
  <c r="C145" i="64"/>
  <c r="C144" i="64"/>
  <c r="C143" i="64"/>
  <c r="C142" i="64"/>
  <c r="C141" i="64"/>
  <c r="C140" i="64"/>
  <c r="C139" i="64"/>
  <c r="C138" i="64"/>
  <c r="C137" i="64"/>
  <c r="C136" i="64"/>
  <c r="C135" i="64"/>
  <c r="C134" i="64"/>
  <c r="C133" i="64"/>
  <c r="C132" i="64"/>
  <c r="C131" i="64"/>
  <c r="C130" i="64"/>
  <c r="C129" i="64"/>
  <c r="C128" i="64"/>
  <c r="C127" i="64"/>
  <c r="C126" i="64"/>
  <c r="C125" i="64"/>
  <c r="C124" i="64"/>
  <c r="C123" i="64"/>
  <c r="C122" i="64"/>
  <c r="C121" i="64"/>
  <c r="C120" i="64"/>
  <c r="C119" i="64"/>
  <c r="C118" i="64"/>
  <c r="C117" i="64"/>
  <c r="C116" i="64"/>
  <c r="C115" i="64"/>
  <c r="C114" i="64"/>
  <c r="C113" i="64"/>
  <c r="C112" i="64"/>
  <c r="C111" i="64"/>
  <c r="C110" i="64"/>
  <c r="C109" i="64"/>
  <c r="C108" i="64"/>
  <c r="C107" i="64"/>
  <c r="C106" i="64"/>
  <c r="C105" i="64"/>
  <c r="C104" i="64"/>
  <c r="C103" i="64"/>
  <c r="C102" i="64"/>
  <c r="C101" i="64"/>
  <c r="C100" i="64"/>
  <c r="C99" i="64"/>
  <c r="C98" i="64"/>
  <c r="C97" i="64"/>
  <c r="C96" i="64"/>
  <c r="C95" i="64"/>
  <c r="C94" i="64"/>
  <c r="C93" i="64"/>
  <c r="C92" i="64"/>
  <c r="C91" i="64"/>
  <c r="C90" i="64"/>
  <c r="C89" i="64"/>
  <c r="C88" i="64"/>
  <c r="C87" i="64"/>
  <c r="C86" i="64"/>
  <c r="C85" i="64"/>
  <c r="C84" i="64"/>
  <c r="C83" i="64"/>
  <c r="C82" i="64"/>
  <c r="C81" i="64"/>
  <c r="C80" i="64"/>
  <c r="C79" i="64"/>
  <c r="C78" i="64"/>
  <c r="C77" i="64"/>
  <c r="C76" i="64"/>
  <c r="C75" i="64"/>
  <c r="C74" i="64"/>
  <c r="C73" i="64"/>
  <c r="C72" i="64"/>
  <c r="C71" i="64"/>
  <c r="C70" i="64"/>
  <c r="C69" i="64"/>
  <c r="C68" i="64"/>
  <c r="C67" i="64"/>
  <c r="C66" i="64"/>
  <c r="C65" i="64"/>
  <c r="C64" i="64"/>
  <c r="C63" i="64"/>
  <c r="C62" i="64"/>
  <c r="C61" i="64"/>
  <c r="C60" i="64"/>
  <c r="C59" i="64"/>
  <c r="C58" i="64"/>
  <c r="C57" i="64"/>
  <c r="C56" i="64"/>
  <c r="C55" i="64"/>
  <c r="C54" i="64"/>
  <c r="C53" i="64"/>
  <c r="C52" i="64"/>
  <c r="C51" i="64"/>
  <c r="C50" i="64"/>
  <c r="C49" i="64"/>
  <c r="C48" i="64"/>
  <c r="C47" i="64"/>
  <c r="C46" i="64"/>
  <c r="C45" i="64"/>
  <c r="C44" i="64"/>
  <c r="C43" i="64"/>
  <c r="C42" i="64"/>
  <c r="C41" i="64"/>
  <c r="C40" i="64"/>
  <c r="C39" i="64"/>
  <c r="C38" i="64"/>
  <c r="C37" i="64"/>
  <c r="C36" i="64"/>
  <c r="C35" i="64"/>
  <c r="C34" i="64"/>
  <c r="C33" i="64"/>
  <c r="C32" i="64"/>
  <c r="G31" i="64"/>
  <c r="G32" i="64" s="1"/>
  <c r="AC34" i="64" s="1"/>
  <c r="C31" i="64"/>
  <c r="C30" i="64"/>
  <c r="C29" i="64"/>
  <c r="C28" i="64"/>
  <c r="C27" i="64"/>
  <c r="C26" i="64"/>
  <c r="C25" i="64"/>
  <c r="G23" i="64"/>
  <c r="G14" i="64"/>
  <c r="G14" i="64" a="1"/>
  <c r="G13" i="64" a="1"/>
  <c r="G13" i="64" s="1"/>
  <c r="G10" i="64"/>
  <c r="G10" i="64" a="1"/>
  <c r="G9" i="64" a="1"/>
  <c r="G9" i="64" s="1"/>
  <c r="AE16" i="56"/>
  <c r="AF16" i="56"/>
  <c r="AG16" i="56"/>
  <c r="AH16" i="56"/>
  <c r="AI16" i="56"/>
  <c r="AE15" i="56"/>
  <c r="AF15" i="56"/>
  <c r="AG15" i="56"/>
  <c r="AH15" i="56"/>
  <c r="AI15" i="56"/>
  <c r="AE14" i="56"/>
  <c r="AF14" i="56"/>
  <c r="AG14" i="56"/>
  <c r="AH14" i="56"/>
  <c r="AI14" i="56"/>
  <c r="AE13" i="56"/>
  <c r="AF13" i="56"/>
  <c r="AG13" i="56"/>
  <c r="AH13" i="56"/>
  <c r="AI13" i="56"/>
  <c r="AE12" i="56"/>
  <c r="AF12" i="56"/>
  <c r="AG12" i="56"/>
  <c r="AH12" i="56"/>
  <c r="AI12" i="56"/>
  <c r="AE11" i="56"/>
  <c r="AF11" i="56"/>
  <c r="AG11" i="56"/>
  <c r="AH11" i="56"/>
  <c r="AI11" i="56"/>
  <c r="AE10" i="56"/>
  <c r="AF10" i="56"/>
  <c r="AG10" i="56"/>
  <c r="AH10" i="56"/>
  <c r="AI10" i="56"/>
  <c r="AD16" i="56"/>
  <c r="AD15" i="56"/>
  <c r="AD14" i="56"/>
  <c r="AD13" i="56"/>
  <c r="AD12" i="56"/>
  <c r="AD11" i="56"/>
  <c r="AD10" i="56"/>
  <c r="V16" i="56"/>
  <c r="W16" i="56"/>
  <c r="X16" i="56"/>
  <c r="Y16" i="56"/>
  <c r="Z16" i="56"/>
  <c r="V15" i="56"/>
  <c r="W15" i="56"/>
  <c r="X15" i="56"/>
  <c r="Y15" i="56"/>
  <c r="Z15" i="56"/>
  <c r="V14" i="56"/>
  <c r="W14" i="56"/>
  <c r="X14" i="56"/>
  <c r="Y14" i="56"/>
  <c r="Z14" i="56"/>
  <c r="V13" i="56"/>
  <c r="W13" i="56"/>
  <c r="X13" i="56"/>
  <c r="Y13" i="56"/>
  <c r="Z13" i="56"/>
  <c r="V12" i="56"/>
  <c r="W12" i="56"/>
  <c r="X12" i="56"/>
  <c r="Y12" i="56"/>
  <c r="Z12" i="56"/>
  <c r="V11" i="56"/>
  <c r="W11" i="56"/>
  <c r="X11" i="56"/>
  <c r="Y11" i="56"/>
  <c r="Z11" i="56"/>
  <c r="V10" i="56"/>
  <c r="W10" i="56"/>
  <c r="X10" i="56"/>
  <c r="Y10" i="56"/>
  <c r="Z10" i="56"/>
  <c r="U16" i="56"/>
  <c r="U15" i="56"/>
  <c r="U14" i="56"/>
  <c r="U13" i="56"/>
  <c r="U12" i="56"/>
  <c r="U11" i="56"/>
  <c r="U10" i="56"/>
  <c r="M16" i="56"/>
  <c r="N16" i="56"/>
  <c r="O16" i="56"/>
  <c r="P16" i="56"/>
  <c r="Q16" i="56"/>
  <c r="M15" i="56"/>
  <c r="N15" i="56"/>
  <c r="O15" i="56"/>
  <c r="P15" i="56"/>
  <c r="Q15" i="56"/>
  <c r="M14" i="56"/>
  <c r="N14" i="56"/>
  <c r="O14" i="56"/>
  <c r="P14" i="56"/>
  <c r="Q14" i="56"/>
  <c r="M13" i="56"/>
  <c r="N13" i="56"/>
  <c r="O13" i="56"/>
  <c r="P13" i="56"/>
  <c r="Q13" i="56"/>
  <c r="M12" i="56"/>
  <c r="N12" i="56"/>
  <c r="O12" i="56"/>
  <c r="P12" i="56"/>
  <c r="Q12" i="56"/>
  <c r="M11" i="56"/>
  <c r="N11" i="56"/>
  <c r="O11" i="56"/>
  <c r="P11" i="56"/>
  <c r="Q11" i="56"/>
  <c r="L16" i="56"/>
  <c r="L15" i="56"/>
  <c r="L14" i="56"/>
  <c r="L13" i="56"/>
  <c r="L12" i="56"/>
  <c r="L11" i="56"/>
  <c r="M10" i="56"/>
  <c r="N10" i="56"/>
  <c r="O10" i="56"/>
  <c r="P10" i="56"/>
  <c r="Q10" i="56"/>
  <c r="L10" i="56"/>
  <c r="C16" i="56"/>
  <c r="D16" i="56"/>
  <c r="H16" i="56"/>
  <c r="E16" i="56"/>
  <c r="F16" i="56"/>
  <c r="G16" i="56"/>
  <c r="I16" i="56"/>
  <c r="D15" i="56"/>
  <c r="E15" i="56"/>
  <c r="F15" i="56"/>
  <c r="G15" i="56"/>
  <c r="H15" i="56"/>
  <c r="I15" i="56"/>
  <c r="D14" i="56"/>
  <c r="E14" i="56"/>
  <c r="F14" i="56"/>
  <c r="G14" i="56"/>
  <c r="H14" i="56"/>
  <c r="I14" i="56"/>
  <c r="D13" i="56"/>
  <c r="E13" i="56"/>
  <c r="F13" i="56"/>
  <c r="G13" i="56"/>
  <c r="H13" i="56"/>
  <c r="I13" i="56"/>
  <c r="D12" i="56"/>
  <c r="E12" i="56"/>
  <c r="F12" i="56"/>
  <c r="G12" i="56"/>
  <c r="H12" i="56"/>
  <c r="I12" i="56"/>
  <c r="D11" i="56"/>
  <c r="E11" i="56"/>
  <c r="F11" i="56"/>
  <c r="G11" i="56"/>
  <c r="H11" i="56"/>
  <c r="I11" i="56"/>
  <c r="D10" i="56"/>
  <c r="E10" i="56"/>
  <c r="F10" i="56"/>
  <c r="G10" i="56"/>
  <c r="H10" i="56"/>
  <c r="I10" i="56"/>
  <c r="C15" i="56"/>
  <c r="C14" i="56"/>
  <c r="C13" i="56"/>
  <c r="C10" i="56"/>
  <c r="C11" i="56"/>
  <c r="C12" i="56"/>
  <c r="E3" i="56"/>
  <c r="E2" i="56"/>
  <c r="I19" i="1"/>
  <c r="I18" i="1"/>
  <c r="F16" i="3"/>
  <c r="D4" i="64" a="1"/>
  <c r="A4" i="64" a="1"/>
  <c r="B4" i="64" a="1"/>
  <c r="B4" i="64" l="1"/>
  <c r="A4" i="64"/>
  <c r="D4" i="64"/>
  <c r="AA34" i="64"/>
  <c r="AB34" i="64"/>
  <c r="W34" i="64"/>
  <c r="X34" i="64"/>
  <c r="E4" i="56"/>
  <c r="N11" i="1"/>
  <c r="N5" i="1"/>
  <c r="N9" i="1" s="1"/>
  <c r="N10" i="1" s="1"/>
  <c r="I18" i="6"/>
  <c r="H9" i="27" s="1"/>
  <c r="F13" i="3"/>
  <c r="B5" i="3"/>
  <c r="B12" i="1"/>
  <c r="F8" i="3" s="1"/>
  <c r="AC34" i="16"/>
  <c r="H5" i="27" l="1"/>
  <c r="G26" i="64"/>
  <c r="G25" i="64"/>
  <c r="G28" i="64"/>
  <c r="G5" i="64"/>
  <c r="N6" i="1"/>
  <c r="E20" i="1"/>
  <c r="E21" i="1" s="1"/>
  <c r="E23" i="1" s="1"/>
  <c r="I21" i="1" s="1"/>
  <c r="A5" i="27"/>
  <c r="B5" i="27" s="1"/>
  <c r="B4" i="3"/>
  <c r="O7" i="1"/>
  <c r="O11" i="1" s="1"/>
  <c r="B13" i="1"/>
  <c r="G31" i="16"/>
  <c r="G32" i="16" s="1"/>
  <c r="I24" i="1"/>
  <c r="B3" i="3"/>
  <c r="Z34" i="64" l="1"/>
  <c r="G6" i="64"/>
  <c r="G22" i="64" s="1"/>
  <c r="S39" i="64"/>
  <c r="S8" i="64"/>
  <c r="S74" i="64"/>
  <c r="S9" i="64"/>
  <c r="S34" i="64"/>
  <c r="S26" i="64"/>
  <c r="S77" i="64"/>
  <c r="S52" i="64"/>
  <c r="S88" i="64"/>
  <c r="S58" i="64"/>
  <c r="S67" i="64"/>
  <c r="S79" i="64"/>
  <c r="S20" i="64"/>
  <c r="S37" i="64"/>
  <c r="S13" i="64"/>
  <c r="S33" i="64"/>
  <c r="S94" i="64"/>
  <c r="S101" i="64"/>
  <c r="S97" i="64"/>
  <c r="S41" i="64"/>
  <c r="S65" i="64"/>
  <c r="S16" i="64"/>
  <c r="S27" i="64"/>
  <c r="S64" i="64"/>
  <c r="S49" i="64"/>
  <c r="S12" i="64"/>
  <c r="S24" i="64"/>
  <c r="S44" i="64"/>
  <c r="S61" i="64"/>
  <c r="S36" i="64"/>
  <c r="S19" i="64"/>
  <c r="S99" i="64"/>
  <c r="S5" i="64"/>
  <c r="S98" i="64"/>
  <c r="S18" i="64"/>
  <c r="S92" i="64"/>
  <c r="S40" i="64"/>
  <c r="S43" i="64"/>
  <c r="S103" i="64"/>
  <c r="S62" i="64"/>
  <c r="S69" i="64"/>
  <c r="S15" i="64"/>
  <c r="S66" i="64"/>
  <c r="S89" i="64"/>
  <c r="S86" i="64"/>
  <c r="S35" i="64"/>
  <c r="S17" i="64"/>
  <c r="S30" i="64"/>
  <c r="S75" i="64"/>
  <c r="S54" i="64"/>
  <c r="S57" i="64"/>
  <c r="S90" i="64"/>
  <c r="S55" i="64"/>
  <c r="S14" i="64"/>
  <c r="S59" i="64"/>
  <c r="S91" i="64"/>
  <c r="S32" i="64"/>
  <c r="S81" i="64"/>
  <c r="S60" i="64"/>
  <c r="S46" i="64"/>
  <c r="S31" i="64"/>
  <c r="S70" i="64"/>
  <c r="S84" i="64"/>
  <c r="S28" i="64"/>
  <c r="S72" i="64"/>
  <c r="S42" i="64"/>
  <c r="S87" i="64"/>
  <c r="S83" i="64"/>
  <c r="S48" i="64"/>
  <c r="S71" i="64"/>
  <c r="S22" i="64"/>
  <c r="S102" i="64"/>
  <c r="S82" i="64"/>
  <c r="S11" i="64"/>
  <c r="S93" i="64"/>
  <c r="S80" i="64"/>
  <c r="S53" i="64"/>
  <c r="S47" i="64"/>
  <c r="S95" i="64"/>
  <c r="S51" i="64"/>
  <c r="S45" i="64"/>
  <c r="S7" i="64"/>
  <c r="S73" i="64"/>
  <c r="S96" i="64"/>
  <c r="S78" i="64"/>
  <c r="S25" i="64"/>
  <c r="S10" i="64"/>
  <c r="S63" i="64"/>
  <c r="S21" i="64"/>
  <c r="S76" i="64"/>
  <c r="S29" i="64"/>
  <c r="S6" i="64"/>
  <c r="S56" i="64"/>
  <c r="S38" i="64"/>
  <c r="S23" i="64"/>
  <c r="S4" i="64"/>
  <c r="S100" i="64"/>
  <c r="S50" i="64"/>
  <c r="S68" i="64"/>
  <c r="S85" i="64"/>
  <c r="P89" i="64"/>
  <c r="P73" i="64"/>
  <c r="P57" i="64"/>
  <c r="P41" i="64"/>
  <c r="P33" i="64"/>
  <c r="P13" i="64"/>
  <c r="P96" i="64"/>
  <c r="P80" i="64"/>
  <c r="P64" i="64"/>
  <c r="P48" i="64"/>
  <c r="P39" i="64"/>
  <c r="P103" i="64"/>
  <c r="P87" i="64"/>
  <c r="P71" i="64"/>
  <c r="P55" i="64"/>
  <c r="P97" i="64"/>
  <c r="P95" i="64"/>
  <c r="P79" i="64"/>
  <c r="P63" i="64"/>
  <c r="P47" i="64"/>
  <c r="P86" i="64"/>
  <c r="P70" i="64"/>
  <c r="P54" i="64"/>
  <c r="P38" i="64"/>
  <c r="P102" i="64"/>
  <c r="P94" i="64"/>
  <c r="P31" i="64"/>
  <c r="P25" i="64"/>
  <c r="P23" i="64"/>
  <c r="P91" i="64"/>
  <c r="P78" i="64"/>
  <c r="P66" i="64"/>
  <c r="P100" i="64"/>
  <c r="P81" i="64"/>
  <c r="P76" i="64"/>
  <c r="P59" i="64"/>
  <c r="P49" i="64"/>
  <c r="P44" i="64"/>
  <c r="P29" i="64"/>
  <c r="P27" i="64"/>
  <c r="P61" i="64"/>
  <c r="P46" i="64"/>
  <c r="P32" i="64"/>
  <c r="P24" i="64"/>
  <c r="P22" i="64"/>
  <c r="P20" i="64"/>
  <c r="P90" i="64"/>
  <c r="P75" i="64"/>
  <c r="P72" i="64"/>
  <c r="P65" i="64"/>
  <c r="P52" i="64"/>
  <c r="P45" i="64"/>
  <c r="P42" i="64"/>
  <c r="P35" i="64"/>
  <c r="P30" i="64"/>
  <c r="P19" i="64"/>
  <c r="P98" i="64"/>
  <c r="P82" i="64"/>
  <c r="P51" i="64"/>
  <c r="P85" i="64"/>
  <c r="P53" i="64"/>
  <c r="P40" i="64"/>
  <c r="P43" i="64"/>
  <c r="P56" i="64"/>
  <c r="P36" i="64"/>
  <c r="P9" i="64"/>
  <c r="P83" i="64"/>
  <c r="P8" i="64"/>
  <c r="P68" i="64"/>
  <c r="P58" i="64"/>
  <c r="P93" i="64"/>
  <c r="P21" i="64"/>
  <c r="P10" i="64"/>
  <c r="P5" i="64"/>
  <c r="P12" i="64"/>
  <c r="P84" i="64"/>
  <c r="P50" i="64"/>
  <c r="P17" i="64"/>
  <c r="P6" i="64"/>
  <c r="P26" i="64"/>
  <c r="P18" i="64"/>
  <c r="P15" i="64"/>
  <c r="P62" i="64"/>
  <c r="P101" i="64"/>
  <c r="P88" i="64"/>
  <c r="P74" i="64"/>
  <c r="P67" i="64"/>
  <c r="P37" i="64"/>
  <c r="P69" i="64"/>
  <c r="P99" i="64"/>
  <c r="P92" i="64"/>
  <c r="P77" i="64"/>
  <c r="P60" i="64"/>
  <c r="P7" i="64"/>
  <c r="P34" i="64"/>
  <c r="P4" i="64"/>
  <c r="P28" i="64"/>
  <c r="P14" i="64"/>
  <c r="P16" i="64"/>
  <c r="P11" i="64"/>
  <c r="B14" i="1"/>
  <c r="F12" i="3" s="1"/>
  <c r="A9" i="27"/>
  <c r="I22" i="1"/>
  <c r="I23" i="1" s="1"/>
  <c r="G21" i="64" l="1"/>
  <c r="O44" i="64" s="1"/>
  <c r="G16" i="64"/>
  <c r="C16" i="64"/>
  <c r="C17" i="64"/>
  <c r="C12" i="64"/>
  <c r="C22" i="64"/>
  <c r="C18" i="64"/>
  <c r="C23" i="64"/>
  <c r="C9" i="64"/>
  <c r="C10" i="64"/>
  <c r="C15" i="64"/>
  <c r="C19" i="64"/>
  <c r="C24" i="64"/>
  <c r="C14" i="64"/>
  <c r="C20" i="64"/>
  <c r="C13" i="64"/>
  <c r="C21" i="64"/>
  <c r="C11" i="64"/>
  <c r="R82" i="64"/>
  <c r="R63" i="64"/>
  <c r="R52" i="64"/>
  <c r="R103" i="64"/>
  <c r="R14" i="64"/>
  <c r="R55" i="64"/>
  <c r="R85" i="64"/>
  <c r="R74" i="64"/>
  <c r="R42" i="64"/>
  <c r="R94" i="64"/>
  <c r="R4" i="64"/>
  <c r="R51" i="64"/>
  <c r="R28" i="64"/>
  <c r="R30" i="64"/>
  <c r="R99" i="64"/>
  <c r="R33" i="64"/>
  <c r="R11" i="64"/>
  <c r="R21" i="64"/>
  <c r="R91" i="64"/>
  <c r="R76" i="64"/>
  <c r="R58" i="64"/>
  <c r="R69" i="64"/>
  <c r="R102" i="64"/>
  <c r="R62" i="64"/>
  <c r="R59" i="64"/>
  <c r="R77" i="64"/>
  <c r="R71" i="64"/>
  <c r="R16" i="64"/>
  <c r="R78" i="64"/>
  <c r="R65" i="64"/>
  <c r="R83" i="64"/>
  <c r="R41" i="64"/>
  <c r="R73" i="64"/>
  <c r="R18" i="64"/>
  <c r="R50" i="64"/>
  <c r="R54" i="64"/>
  <c r="R8" i="64"/>
  <c r="R100" i="64"/>
  <c r="R75" i="64"/>
  <c r="R39" i="64"/>
  <c r="R95" i="64"/>
  <c r="R17" i="64"/>
  <c r="R13" i="64"/>
  <c r="R38" i="64"/>
  <c r="R47" i="64"/>
  <c r="R70" i="64"/>
  <c r="R35" i="64"/>
  <c r="R36" i="64"/>
  <c r="R37" i="64"/>
  <c r="G17" i="64"/>
  <c r="R12" i="64"/>
  <c r="R49" i="64"/>
  <c r="R43" i="64"/>
  <c r="R34" i="64"/>
  <c r="R90" i="64"/>
  <c r="R57" i="64"/>
  <c r="R56" i="64"/>
  <c r="R53" i="64"/>
  <c r="R31" i="64"/>
  <c r="R86" i="64"/>
  <c r="R61" i="64"/>
  <c r="R20" i="64"/>
  <c r="R15" i="64"/>
  <c r="R32" i="64"/>
  <c r="R64" i="64"/>
  <c r="R10" i="64"/>
  <c r="R27" i="64"/>
  <c r="R25" i="64"/>
  <c r="R26" i="64"/>
  <c r="R48" i="64"/>
  <c r="R40" i="64"/>
  <c r="R96" i="64"/>
  <c r="R9" i="64"/>
  <c r="R87" i="64"/>
  <c r="R98" i="64"/>
  <c r="R45" i="64"/>
  <c r="R5" i="64"/>
  <c r="R23" i="64"/>
  <c r="R84" i="64"/>
  <c r="R6" i="64"/>
  <c r="R80" i="64"/>
  <c r="R46" i="64"/>
  <c r="R89" i="64"/>
  <c r="R44" i="64"/>
  <c r="R79" i="64"/>
  <c r="Y34" i="64"/>
  <c r="J6" i="64"/>
  <c r="M81" i="64"/>
  <c r="M56" i="64"/>
  <c r="M100" i="64"/>
  <c r="M71" i="64"/>
  <c r="M62" i="64"/>
  <c r="M60" i="64"/>
  <c r="M38" i="64"/>
  <c r="J52" i="64"/>
  <c r="J29" i="64"/>
  <c r="J49" i="64"/>
  <c r="J8" i="64"/>
  <c r="J31" i="64"/>
  <c r="J57" i="64"/>
  <c r="M5" i="64"/>
  <c r="M31" i="64"/>
  <c r="M20" i="64"/>
  <c r="M35" i="64"/>
  <c r="J36" i="64"/>
  <c r="J24" i="64"/>
  <c r="J33" i="64"/>
  <c r="J88" i="64"/>
  <c r="J53" i="64"/>
  <c r="J50" i="64"/>
  <c r="J19" i="64"/>
  <c r="J64" i="64"/>
  <c r="J73" i="64"/>
  <c r="J40" i="64"/>
  <c r="M51" i="64"/>
  <c r="M101" i="64"/>
  <c r="J90" i="64"/>
  <c r="J87" i="64"/>
  <c r="M49" i="64"/>
  <c r="M103" i="64"/>
  <c r="M8" i="64"/>
  <c r="M96" i="64"/>
  <c r="M41" i="64"/>
  <c r="M65" i="64"/>
  <c r="M40" i="64"/>
  <c r="M44" i="64"/>
  <c r="M27" i="64"/>
  <c r="M87" i="64"/>
  <c r="M30" i="64"/>
  <c r="J30" i="64"/>
  <c r="J56" i="64"/>
  <c r="J20" i="64"/>
  <c r="J17" i="64"/>
  <c r="J60" i="64"/>
  <c r="J4" i="64"/>
  <c r="M93" i="64"/>
  <c r="M98" i="64"/>
  <c r="M29" i="64"/>
  <c r="M76" i="64"/>
  <c r="M46" i="64"/>
  <c r="M66" i="64"/>
  <c r="M73" i="64"/>
  <c r="M17" i="64"/>
  <c r="M52" i="64"/>
  <c r="M74" i="64"/>
  <c r="M53" i="64"/>
  <c r="J77" i="64"/>
  <c r="J75" i="64"/>
  <c r="J89" i="64"/>
  <c r="J103" i="64"/>
  <c r="J65" i="64"/>
  <c r="J21" i="64"/>
  <c r="J39" i="64"/>
  <c r="M37" i="64"/>
  <c r="M36" i="64"/>
  <c r="M32" i="64"/>
  <c r="M64" i="64"/>
  <c r="J61" i="64"/>
  <c r="J59" i="64"/>
  <c r="J79" i="64"/>
  <c r="J86" i="64"/>
  <c r="J62" i="64"/>
  <c r="J85" i="64"/>
  <c r="J14" i="64"/>
  <c r="M91" i="64"/>
  <c r="M50" i="64"/>
  <c r="M57" i="64"/>
  <c r="M9" i="64"/>
  <c r="M15" i="64"/>
  <c r="M54" i="64"/>
  <c r="M58" i="64"/>
  <c r="M12" i="64"/>
  <c r="J45" i="64"/>
  <c r="J101" i="64"/>
  <c r="M97" i="64"/>
  <c r="M39" i="64"/>
  <c r="M90" i="64"/>
  <c r="M48" i="64"/>
  <c r="J99" i="64"/>
  <c r="J23" i="64"/>
  <c r="J82" i="64"/>
  <c r="J76" i="64"/>
  <c r="M25" i="64"/>
  <c r="M45" i="64"/>
  <c r="M22" i="64"/>
  <c r="J11" i="64"/>
  <c r="J38" i="64"/>
  <c r="M82" i="64"/>
  <c r="M102" i="64"/>
  <c r="J67" i="64"/>
  <c r="J81" i="64"/>
  <c r="M86" i="64"/>
  <c r="J51" i="64"/>
  <c r="J46" i="64"/>
  <c r="M42" i="64"/>
  <c r="M78" i="64"/>
  <c r="M83" i="64"/>
  <c r="J96" i="64"/>
  <c r="J63" i="64"/>
  <c r="M28" i="64"/>
  <c r="J25" i="64"/>
  <c r="J78" i="64"/>
  <c r="M95" i="64"/>
  <c r="J15" i="64"/>
  <c r="J32" i="64"/>
  <c r="J95" i="64"/>
  <c r="M69" i="64"/>
  <c r="J68" i="64"/>
  <c r="J44" i="64"/>
  <c r="J69" i="64"/>
  <c r="J9" i="64"/>
  <c r="J66" i="64"/>
  <c r="J91" i="64"/>
  <c r="J34" i="64"/>
  <c r="J37" i="64"/>
  <c r="M43" i="64"/>
  <c r="M79" i="64"/>
  <c r="J83" i="64"/>
  <c r="M24" i="64"/>
  <c r="J102" i="64"/>
  <c r="M7" i="64"/>
  <c r="J7" i="64"/>
  <c r="J18" i="64"/>
  <c r="M18" i="64"/>
  <c r="J100" i="64"/>
  <c r="M84" i="64"/>
  <c r="J84" i="64"/>
  <c r="J28" i="64"/>
  <c r="M68" i="64"/>
  <c r="M67" i="64"/>
  <c r="J72" i="64"/>
  <c r="J10" i="64"/>
  <c r="J26" i="64"/>
  <c r="M99" i="64"/>
  <c r="M34" i="64"/>
  <c r="J43" i="64"/>
  <c r="M4" i="64"/>
  <c r="J54" i="64"/>
  <c r="M16" i="64"/>
  <c r="J92" i="64"/>
  <c r="J12" i="64"/>
  <c r="J35" i="64"/>
  <c r="J71" i="64"/>
  <c r="M61" i="64"/>
  <c r="J74" i="64"/>
  <c r="M88" i="64"/>
  <c r="J80" i="64"/>
  <c r="M19" i="64"/>
  <c r="J22" i="64"/>
  <c r="M33" i="64"/>
  <c r="J93" i="64"/>
  <c r="M21" i="64"/>
  <c r="M80" i="64"/>
  <c r="J58" i="64"/>
  <c r="M23" i="64"/>
  <c r="J47" i="64"/>
  <c r="M85" i="64"/>
  <c r="J5" i="64"/>
  <c r="J97" i="64"/>
  <c r="M11" i="64"/>
  <c r="M10" i="64"/>
  <c r="M55" i="64"/>
  <c r="J27" i="64"/>
  <c r="M75" i="64"/>
  <c r="M6" i="64"/>
  <c r="M26" i="64"/>
  <c r="J55" i="64"/>
  <c r="J48" i="64"/>
  <c r="M59" i="64"/>
  <c r="J98" i="64"/>
  <c r="M63" i="64"/>
  <c r="J41" i="64"/>
  <c r="M13" i="64"/>
  <c r="J42" i="64"/>
  <c r="M72" i="64"/>
  <c r="M92" i="64"/>
  <c r="J16" i="64"/>
  <c r="M94" i="64"/>
  <c r="M77" i="64"/>
  <c r="M47" i="64"/>
  <c r="J13" i="64"/>
  <c r="J70" i="64"/>
  <c r="M89" i="64"/>
  <c r="M14" i="64"/>
  <c r="M70" i="64"/>
  <c r="J94" i="64"/>
  <c r="R81" i="64"/>
  <c r="R88" i="64"/>
  <c r="R22" i="64"/>
  <c r="R92" i="64"/>
  <c r="R68" i="64"/>
  <c r="R97" i="64"/>
  <c r="R7" i="64"/>
  <c r="R101" i="64"/>
  <c r="R72" i="64"/>
  <c r="R19" i="64"/>
  <c r="R29" i="64"/>
  <c r="R93" i="64"/>
  <c r="R60" i="64"/>
  <c r="R66" i="64"/>
  <c r="R24" i="64"/>
  <c r="R67" i="64"/>
  <c r="O5" i="1"/>
  <c r="O9" i="1" s="1"/>
  <c r="C1000" i="16"/>
  <c r="C999" i="16"/>
  <c r="C998" i="16"/>
  <c r="C997" i="16"/>
  <c r="C996" i="16"/>
  <c r="C995" i="16"/>
  <c r="C994" i="16"/>
  <c r="C993" i="16"/>
  <c r="C992" i="16"/>
  <c r="C991" i="16"/>
  <c r="C990" i="16"/>
  <c r="C989" i="16"/>
  <c r="C988" i="16"/>
  <c r="C987" i="16"/>
  <c r="C986" i="16"/>
  <c r="C985" i="16"/>
  <c r="C984" i="16"/>
  <c r="C983" i="16"/>
  <c r="C982" i="16"/>
  <c r="C981" i="16"/>
  <c r="C980" i="16"/>
  <c r="C979" i="16"/>
  <c r="C978" i="16"/>
  <c r="C977" i="16"/>
  <c r="C976" i="16"/>
  <c r="C975" i="16"/>
  <c r="C974" i="16"/>
  <c r="C973" i="16"/>
  <c r="C972" i="16"/>
  <c r="C971" i="16"/>
  <c r="C970" i="16"/>
  <c r="C969" i="16"/>
  <c r="C968" i="16"/>
  <c r="C967" i="16"/>
  <c r="C966" i="16"/>
  <c r="C965" i="16"/>
  <c r="C964" i="16"/>
  <c r="C963" i="16"/>
  <c r="C962" i="16"/>
  <c r="C961" i="16"/>
  <c r="C960" i="16"/>
  <c r="C959" i="16"/>
  <c r="C958" i="16"/>
  <c r="C957" i="16"/>
  <c r="C956" i="16"/>
  <c r="C955" i="16"/>
  <c r="C954" i="16"/>
  <c r="C953" i="16"/>
  <c r="C952" i="16"/>
  <c r="C951" i="16"/>
  <c r="C950" i="16"/>
  <c r="C949" i="16"/>
  <c r="C948" i="16"/>
  <c r="C947" i="16"/>
  <c r="C946" i="16"/>
  <c r="C945" i="16"/>
  <c r="C944" i="16"/>
  <c r="C943" i="16"/>
  <c r="C942" i="16"/>
  <c r="C941" i="16"/>
  <c r="C940" i="16"/>
  <c r="C939" i="16"/>
  <c r="C938" i="16"/>
  <c r="C937" i="16"/>
  <c r="C936" i="16"/>
  <c r="C935" i="16"/>
  <c r="C934" i="16"/>
  <c r="C933" i="16"/>
  <c r="C932" i="16"/>
  <c r="C931" i="16"/>
  <c r="C930" i="16"/>
  <c r="C929" i="16"/>
  <c r="C928" i="16"/>
  <c r="C927" i="16"/>
  <c r="C926" i="16"/>
  <c r="C925" i="16"/>
  <c r="C924" i="16"/>
  <c r="C923" i="16"/>
  <c r="C922" i="16"/>
  <c r="C921" i="16"/>
  <c r="C920" i="16"/>
  <c r="C919" i="16"/>
  <c r="C918" i="16"/>
  <c r="C917" i="16"/>
  <c r="C916" i="16"/>
  <c r="C915" i="16"/>
  <c r="C914" i="16"/>
  <c r="C913" i="16"/>
  <c r="C912" i="16"/>
  <c r="C911" i="16"/>
  <c r="C910" i="16"/>
  <c r="C909" i="16"/>
  <c r="C908" i="16"/>
  <c r="C907" i="16"/>
  <c r="C906" i="16"/>
  <c r="C905" i="16"/>
  <c r="C904" i="16"/>
  <c r="C903" i="16"/>
  <c r="C902" i="16"/>
  <c r="C901" i="16"/>
  <c r="C900" i="16"/>
  <c r="C899" i="16"/>
  <c r="C898" i="16"/>
  <c r="C897" i="16"/>
  <c r="C896" i="16"/>
  <c r="C895" i="16"/>
  <c r="C894" i="16"/>
  <c r="C893" i="16"/>
  <c r="C892" i="16"/>
  <c r="C891" i="16"/>
  <c r="C890" i="16"/>
  <c r="C889" i="16"/>
  <c r="C888" i="16"/>
  <c r="C887" i="16"/>
  <c r="C886" i="16"/>
  <c r="C885" i="16"/>
  <c r="C884" i="16"/>
  <c r="C883" i="16"/>
  <c r="C882" i="16"/>
  <c r="C881" i="16"/>
  <c r="C880" i="16"/>
  <c r="C879" i="16"/>
  <c r="C878" i="16"/>
  <c r="C877" i="16"/>
  <c r="C876" i="16"/>
  <c r="C875" i="16"/>
  <c r="C874" i="16"/>
  <c r="C873" i="16"/>
  <c r="C872" i="16"/>
  <c r="C871" i="16"/>
  <c r="C870" i="16"/>
  <c r="C869" i="16"/>
  <c r="C868" i="16"/>
  <c r="C867" i="16"/>
  <c r="C866" i="16"/>
  <c r="C865" i="16"/>
  <c r="C864" i="16"/>
  <c r="C863" i="16"/>
  <c r="C862" i="16"/>
  <c r="C861" i="16"/>
  <c r="C860" i="16"/>
  <c r="C859" i="16"/>
  <c r="C858" i="16"/>
  <c r="C857" i="16"/>
  <c r="C856" i="16"/>
  <c r="C855" i="16"/>
  <c r="C854" i="16"/>
  <c r="C853" i="16"/>
  <c r="C852" i="16"/>
  <c r="C851" i="16"/>
  <c r="C850" i="16"/>
  <c r="C849" i="16"/>
  <c r="C848" i="16"/>
  <c r="C847" i="16"/>
  <c r="C846" i="16"/>
  <c r="C845" i="16"/>
  <c r="C844" i="16"/>
  <c r="C843" i="16"/>
  <c r="C842" i="16"/>
  <c r="C841" i="16"/>
  <c r="C840" i="16"/>
  <c r="C839" i="16"/>
  <c r="C838" i="16"/>
  <c r="C837" i="16"/>
  <c r="C836" i="16"/>
  <c r="C835" i="16"/>
  <c r="C834" i="16"/>
  <c r="C833" i="16"/>
  <c r="C832" i="16"/>
  <c r="C831" i="16"/>
  <c r="C830" i="16"/>
  <c r="C829" i="16"/>
  <c r="C828" i="16"/>
  <c r="C827" i="16"/>
  <c r="C826" i="16"/>
  <c r="C825" i="16"/>
  <c r="C824" i="16"/>
  <c r="C823" i="16"/>
  <c r="C822" i="16"/>
  <c r="C821" i="16"/>
  <c r="C820" i="16"/>
  <c r="C819" i="16"/>
  <c r="C818" i="16"/>
  <c r="C817" i="16"/>
  <c r="C816" i="16"/>
  <c r="C815" i="16"/>
  <c r="C814" i="16"/>
  <c r="C813" i="16"/>
  <c r="C812" i="16"/>
  <c r="C811" i="16"/>
  <c r="C810" i="16"/>
  <c r="C809" i="16"/>
  <c r="C808" i="16"/>
  <c r="C807" i="16"/>
  <c r="C806" i="16"/>
  <c r="C805" i="16"/>
  <c r="C804" i="16"/>
  <c r="C803" i="16"/>
  <c r="C802" i="16"/>
  <c r="C801" i="16"/>
  <c r="C800" i="16"/>
  <c r="C799" i="16"/>
  <c r="C798" i="16"/>
  <c r="C797" i="16"/>
  <c r="C796" i="16"/>
  <c r="C795" i="16"/>
  <c r="C794" i="16"/>
  <c r="C793" i="16"/>
  <c r="C792" i="16"/>
  <c r="C791" i="16"/>
  <c r="C790" i="16"/>
  <c r="C789" i="16"/>
  <c r="C788" i="16"/>
  <c r="C787" i="16"/>
  <c r="C786" i="16"/>
  <c r="C785" i="16"/>
  <c r="C784" i="16"/>
  <c r="C783" i="16"/>
  <c r="C782" i="16"/>
  <c r="C781" i="16"/>
  <c r="C780" i="16"/>
  <c r="C779" i="16"/>
  <c r="C778" i="16"/>
  <c r="C777" i="16"/>
  <c r="C776" i="16"/>
  <c r="C775" i="16"/>
  <c r="C774" i="16"/>
  <c r="C773" i="16"/>
  <c r="C772" i="16"/>
  <c r="C771" i="16"/>
  <c r="C770" i="16"/>
  <c r="C769" i="16"/>
  <c r="C768" i="16"/>
  <c r="C767" i="16"/>
  <c r="C766" i="16"/>
  <c r="C765" i="16"/>
  <c r="C764" i="16"/>
  <c r="C763" i="16"/>
  <c r="C762" i="16"/>
  <c r="C761" i="16"/>
  <c r="C760" i="16"/>
  <c r="C759" i="16"/>
  <c r="C758" i="16"/>
  <c r="C757" i="16"/>
  <c r="C756" i="16"/>
  <c r="C755" i="16"/>
  <c r="C754" i="16"/>
  <c r="C753" i="16"/>
  <c r="C752" i="16"/>
  <c r="C751" i="16"/>
  <c r="C750" i="16"/>
  <c r="C749" i="16"/>
  <c r="C748" i="16"/>
  <c r="C747" i="16"/>
  <c r="C746" i="16"/>
  <c r="C745" i="16"/>
  <c r="C744" i="16"/>
  <c r="C743" i="16"/>
  <c r="C742" i="16"/>
  <c r="C741" i="16"/>
  <c r="C740" i="16"/>
  <c r="C739" i="16"/>
  <c r="C738" i="16"/>
  <c r="C737" i="16"/>
  <c r="C736" i="16"/>
  <c r="C735" i="16"/>
  <c r="C734" i="16"/>
  <c r="C733" i="16"/>
  <c r="C732" i="16"/>
  <c r="C731" i="16"/>
  <c r="C730" i="16"/>
  <c r="C729" i="16"/>
  <c r="C728" i="16"/>
  <c r="C727" i="16"/>
  <c r="C726" i="16"/>
  <c r="C725" i="16"/>
  <c r="C724" i="16"/>
  <c r="C723" i="16"/>
  <c r="C722" i="16"/>
  <c r="C721" i="16"/>
  <c r="C720" i="16"/>
  <c r="C719" i="16"/>
  <c r="C718" i="16"/>
  <c r="C717" i="16"/>
  <c r="C716" i="16"/>
  <c r="C715" i="16"/>
  <c r="C714" i="16"/>
  <c r="C713" i="16"/>
  <c r="C712" i="16"/>
  <c r="C711" i="16"/>
  <c r="C710" i="16"/>
  <c r="C709" i="16"/>
  <c r="C708" i="16"/>
  <c r="C707" i="16"/>
  <c r="C706" i="16"/>
  <c r="C705" i="16"/>
  <c r="C704" i="16"/>
  <c r="C703" i="16"/>
  <c r="C702" i="16"/>
  <c r="C701" i="16"/>
  <c r="C700" i="16"/>
  <c r="C699" i="16"/>
  <c r="C698" i="16"/>
  <c r="C697" i="16"/>
  <c r="C696" i="16"/>
  <c r="C695" i="16"/>
  <c r="C694" i="16"/>
  <c r="C693" i="16"/>
  <c r="C692" i="16"/>
  <c r="C691" i="16"/>
  <c r="C690" i="16"/>
  <c r="C689" i="16"/>
  <c r="C688" i="16"/>
  <c r="C687" i="16"/>
  <c r="C686" i="16"/>
  <c r="C685" i="16"/>
  <c r="C684" i="16"/>
  <c r="C683" i="16"/>
  <c r="C682" i="16"/>
  <c r="C681" i="16"/>
  <c r="C680" i="16"/>
  <c r="C679" i="16"/>
  <c r="C678" i="16"/>
  <c r="C677" i="16"/>
  <c r="C676" i="16"/>
  <c r="C675" i="16"/>
  <c r="C674" i="16"/>
  <c r="C673" i="16"/>
  <c r="C672" i="16"/>
  <c r="C671" i="16"/>
  <c r="C670" i="16"/>
  <c r="C669" i="16"/>
  <c r="C668" i="16"/>
  <c r="C667" i="16"/>
  <c r="C666" i="16"/>
  <c r="C665" i="16"/>
  <c r="C664" i="16"/>
  <c r="C663" i="16"/>
  <c r="C662" i="16"/>
  <c r="C661" i="16"/>
  <c r="C660" i="16"/>
  <c r="C659" i="16"/>
  <c r="C658" i="16"/>
  <c r="C657" i="16"/>
  <c r="C656" i="16"/>
  <c r="C655" i="16"/>
  <c r="C654" i="16"/>
  <c r="C653" i="16"/>
  <c r="C652" i="16"/>
  <c r="C651" i="16"/>
  <c r="C650" i="16"/>
  <c r="C649" i="16"/>
  <c r="C648" i="16"/>
  <c r="C647" i="16"/>
  <c r="C646" i="16"/>
  <c r="C645" i="16"/>
  <c r="C644" i="16"/>
  <c r="C643" i="16"/>
  <c r="C642" i="16"/>
  <c r="C641" i="16"/>
  <c r="C640" i="16"/>
  <c r="C639" i="16"/>
  <c r="C638" i="16"/>
  <c r="C637" i="16"/>
  <c r="C636" i="16"/>
  <c r="C635" i="16"/>
  <c r="C634" i="16"/>
  <c r="C633" i="16"/>
  <c r="C632" i="16"/>
  <c r="C631" i="16"/>
  <c r="C630" i="16"/>
  <c r="C629" i="16"/>
  <c r="C628" i="16"/>
  <c r="C627" i="16"/>
  <c r="C626" i="16"/>
  <c r="C625" i="16"/>
  <c r="C624" i="16"/>
  <c r="C623" i="16"/>
  <c r="C622" i="16"/>
  <c r="C621" i="16"/>
  <c r="C620" i="16"/>
  <c r="C619" i="16"/>
  <c r="C618" i="16"/>
  <c r="C617" i="16"/>
  <c r="C616" i="16"/>
  <c r="C615" i="16"/>
  <c r="C614" i="16"/>
  <c r="C613" i="16"/>
  <c r="C612" i="16"/>
  <c r="C611" i="16"/>
  <c r="C610" i="16"/>
  <c r="C609" i="16"/>
  <c r="C608" i="16"/>
  <c r="C607" i="16"/>
  <c r="C606" i="16"/>
  <c r="C605" i="16"/>
  <c r="C604" i="16"/>
  <c r="C603" i="16"/>
  <c r="C602" i="16"/>
  <c r="C601" i="16"/>
  <c r="C600" i="16"/>
  <c r="C599" i="16"/>
  <c r="C598" i="16"/>
  <c r="C597" i="16"/>
  <c r="C596" i="16"/>
  <c r="C595" i="16"/>
  <c r="C594" i="16"/>
  <c r="C593" i="16"/>
  <c r="C592" i="16"/>
  <c r="C591" i="16"/>
  <c r="C590" i="16"/>
  <c r="C589" i="16"/>
  <c r="C588" i="16"/>
  <c r="C587" i="16"/>
  <c r="C586" i="16"/>
  <c r="C585" i="16"/>
  <c r="C584" i="16"/>
  <c r="C583" i="16"/>
  <c r="C582" i="16"/>
  <c r="C581" i="16"/>
  <c r="C580" i="16"/>
  <c r="C579" i="16"/>
  <c r="C578" i="16"/>
  <c r="C577" i="16"/>
  <c r="C576" i="16"/>
  <c r="C575" i="16"/>
  <c r="C574" i="16"/>
  <c r="C573" i="16"/>
  <c r="C572" i="16"/>
  <c r="C571" i="16"/>
  <c r="C570" i="16"/>
  <c r="C569" i="16"/>
  <c r="C568" i="16"/>
  <c r="C567" i="16"/>
  <c r="C566" i="16"/>
  <c r="C565" i="16"/>
  <c r="C564" i="16"/>
  <c r="C563" i="16"/>
  <c r="C562" i="16"/>
  <c r="C561" i="16"/>
  <c r="C560" i="16"/>
  <c r="C559" i="16"/>
  <c r="C558" i="16"/>
  <c r="C557" i="16"/>
  <c r="C556" i="16"/>
  <c r="C555" i="16"/>
  <c r="C554" i="16"/>
  <c r="C553" i="16"/>
  <c r="C552" i="16"/>
  <c r="C551" i="16"/>
  <c r="C550" i="16"/>
  <c r="C549" i="16"/>
  <c r="C548" i="16"/>
  <c r="C547" i="16"/>
  <c r="C546" i="16"/>
  <c r="C545" i="16"/>
  <c r="C544" i="16"/>
  <c r="C543" i="16"/>
  <c r="C542" i="16"/>
  <c r="C541" i="16"/>
  <c r="C540" i="16"/>
  <c r="C539" i="16"/>
  <c r="C538" i="16"/>
  <c r="C537" i="16"/>
  <c r="C536" i="16"/>
  <c r="C535" i="16"/>
  <c r="C534" i="16"/>
  <c r="C533" i="16"/>
  <c r="C532" i="16"/>
  <c r="C531" i="16"/>
  <c r="C530" i="16"/>
  <c r="C529" i="16"/>
  <c r="C528" i="16"/>
  <c r="C527" i="16"/>
  <c r="C526" i="16"/>
  <c r="C525" i="16"/>
  <c r="C524" i="16"/>
  <c r="C523" i="16"/>
  <c r="C522" i="16"/>
  <c r="C521" i="16"/>
  <c r="C520" i="16"/>
  <c r="C519" i="16"/>
  <c r="C518" i="16"/>
  <c r="C517" i="16"/>
  <c r="C516" i="16"/>
  <c r="C515" i="16"/>
  <c r="C514" i="16"/>
  <c r="C513" i="16"/>
  <c r="C512" i="16"/>
  <c r="C511" i="16"/>
  <c r="C510" i="16"/>
  <c r="C509" i="16"/>
  <c r="C508" i="16"/>
  <c r="C507" i="16"/>
  <c r="C506" i="16"/>
  <c r="C505" i="16"/>
  <c r="C504" i="16"/>
  <c r="C503" i="16"/>
  <c r="C502" i="16"/>
  <c r="C501" i="16"/>
  <c r="C500" i="16"/>
  <c r="C499" i="16"/>
  <c r="C498" i="16"/>
  <c r="C497" i="16"/>
  <c r="C496" i="16"/>
  <c r="C495" i="16"/>
  <c r="C494" i="16"/>
  <c r="C493" i="16"/>
  <c r="C492" i="16"/>
  <c r="C491" i="16"/>
  <c r="C490" i="16"/>
  <c r="C489" i="16"/>
  <c r="C488" i="16"/>
  <c r="C487" i="16"/>
  <c r="C486" i="16"/>
  <c r="C485" i="16"/>
  <c r="C484" i="16"/>
  <c r="C483" i="16"/>
  <c r="C482" i="16"/>
  <c r="C481" i="16"/>
  <c r="C480" i="16"/>
  <c r="C479" i="16"/>
  <c r="C478" i="16"/>
  <c r="C477" i="16"/>
  <c r="C476" i="16"/>
  <c r="C475" i="16"/>
  <c r="C474" i="16"/>
  <c r="C473" i="16"/>
  <c r="C472" i="16"/>
  <c r="C471" i="16"/>
  <c r="C470" i="16"/>
  <c r="C469" i="16"/>
  <c r="C468" i="16"/>
  <c r="C467" i="16"/>
  <c r="C466" i="16"/>
  <c r="C465" i="16"/>
  <c r="C464" i="16"/>
  <c r="C463" i="16"/>
  <c r="C462" i="16"/>
  <c r="C461" i="16"/>
  <c r="C460" i="16"/>
  <c r="C459" i="16"/>
  <c r="C458" i="16"/>
  <c r="C457" i="16"/>
  <c r="C456" i="16"/>
  <c r="C455" i="16"/>
  <c r="C454" i="16"/>
  <c r="C453" i="16"/>
  <c r="C452" i="16"/>
  <c r="C451" i="16"/>
  <c r="C450" i="16"/>
  <c r="C449" i="16"/>
  <c r="C448" i="16"/>
  <c r="C447" i="16"/>
  <c r="C446" i="16"/>
  <c r="C445" i="16"/>
  <c r="C444" i="16"/>
  <c r="C443" i="16"/>
  <c r="C442" i="16"/>
  <c r="C441" i="16"/>
  <c r="C440" i="16"/>
  <c r="C439" i="16"/>
  <c r="C438" i="16"/>
  <c r="C437" i="16"/>
  <c r="C436" i="16"/>
  <c r="C435" i="16"/>
  <c r="C434" i="16"/>
  <c r="C433" i="16"/>
  <c r="C432" i="16"/>
  <c r="C431" i="16"/>
  <c r="C430" i="16"/>
  <c r="C429" i="16"/>
  <c r="C428" i="16"/>
  <c r="C427" i="16"/>
  <c r="C426" i="16"/>
  <c r="C425" i="16"/>
  <c r="C424" i="16"/>
  <c r="C423" i="16"/>
  <c r="C422" i="16"/>
  <c r="C421" i="16"/>
  <c r="C420" i="16"/>
  <c r="C419" i="16"/>
  <c r="C418" i="16"/>
  <c r="C417" i="16"/>
  <c r="C416" i="16"/>
  <c r="C415" i="16"/>
  <c r="C414" i="16"/>
  <c r="C413" i="16"/>
  <c r="C412" i="16"/>
  <c r="C411" i="16"/>
  <c r="C410" i="16"/>
  <c r="C409" i="16"/>
  <c r="C408" i="16"/>
  <c r="C407" i="16"/>
  <c r="C406" i="16"/>
  <c r="C405" i="16"/>
  <c r="C404" i="16"/>
  <c r="C403" i="16"/>
  <c r="C402" i="16"/>
  <c r="C401" i="16"/>
  <c r="C400" i="16"/>
  <c r="C399" i="16"/>
  <c r="C398" i="16"/>
  <c r="C397" i="16"/>
  <c r="C396" i="16"/>
  <c r="C395" i="16"/>
  <c r="C394" i="16"/>
  <c r="C393" i="16"/>
  <c r="C392" i="16"/>
  <c r="C391" i="16"/>
  <c r="C390" i="16"/>
  <c r="C389" i="16"/>
  <c r="C388" i="16"/>
  <c r="C387" i="16"/>
  <c r="C386" i="16"/>
  <c r="C385" i="16"/>
  <c r="C384" i="16"/>
  <c r="C383" i="16"/>
  <c r="C382" i="16"/>
  <c r="C381" i="16"/>
  <c r="C380" i="16"/>
  <c r="C379" i="16"/>
  <c r="C378" i="16"/>
  <c r="C377" i="16"/>
  <c r="C376" i="16"/>
  <c r="C375" i="16"/>
  <c r="C374" i="16"/>
  <c r="C373" i="16"/>
  <c r="C372" i="16"/>
  <c r="C371" i="16"/>
  <c r="C370" i="16"/>
  <c r="C369" i="16"/>
  <c r="C368" i="16"/>
  <c r="C367" i="16"/>
  <c r="C366" i="16"/>
  <c r="C365" i="16"/>
  <c r="C364" i="16"/>
  <c r="C363" i="16"/>
  <c r="C362" i="16"/>
  <c r="C361" i="16"/>
  <c r="C360" i="16"/>
  <c r="C359" i="16"/>
  <c r="C358" i="16"/>
  <c r="C357" i="16"/>
  <c r="C356" i="16"/>
  <c r="C355" i="16"/>
  <c r="G23" i="16"/>
  <c r="A4" i="16" a="1"/>
  <c r="B4" i="16" a="1"/>
  <c r="D4" i="16" a="1"/>
  <c r="I11" i="64" l="1"/>
  <c r="I10" i="64"/>
  <c r="I72" i="64"/>
  <c r="I4" i="64"/>
  <c r="I83" i="64"/>
  <c r="I21" i="64"/>
  <c r="I27" i="64"/>
  <c r="I37" i="64"/>
  <c r="I65" i="64"/>
  <c r="I70" i="64"/>
  <c r="I78" i="64"/>
  <c r="I24" i="64"/>
  <c r="I36" i="64"/>
  <c r="I80" i="64"/>
  <c r="I63" i="64"/>
  <c r="I6" i="64"/>
  <c r="I16" i="64"/>
  <c r="I90" i="64"/>
  <c r="I74" i="64"/>
  <c r="I82" i="64"/>
  <c r="I17" i="64"/>
  <c r="I91" i="64"/>
  <c r="I89" i="64"/>
  <c r="I66" i="64"/>
  <c r="I23" i="64"/>
  <c r="I75" i="64"/>
  <c r="I14" i="64"/>
  <c r="I20" i="64"/>
  <c r="I57" i="64"/>
  <c r="I97" i="64"/>
  <c r="I71" i="64"/>
  <c r="I84" i="64"/>
  <c r="I9" i="64"/>
  <c r="I99" i="64"/>
  <c r="I77" i="64"/>
  <c r="I56" i="64"/>
  <c r="I31" i="64"/>
  <c r="I42" i="64"/>
  <c r="I5" i="64"/>
  <c r="I35" i="64"/>
  <c r="I69" i="64"/>
  <c r="I46" i="64"/>
  <c r="I62" i="64"/>
  <c r="I30" i="64"/>
  <c r="I40" i="64"/>
  <c r="I8" i="64"/>
  <c r="I12" i="64"/>
  <c r="I100" i="64"/>
  <c r="I44" i="64"/>
  <c r="I51" i="64"/>
  <c r="I86" i="64"/>
  <c r="I73" i="64"/>
  <c r="I49" i="64"/>
  <c r="O98" i="64"/>
  <c r="I34" i="64"/>
  <c r="I96" i="64"/>
  <c r="I76" i="64"/>
  <c r="I103" i="64"/>
  <c r="I60" i="64"/>
  <c r="I87" i="64"/>
  <c r="I92" i="64"/>
  <c r="I18" i="64"/>
  <c r="I81" i="64"/>
  <c r="I59" i="64"/>
  <c r="I19" i="64"/>
  <c r="I52" i="64"/>
  <c r="O10" i="64"/>
  <c r="I41" i="64"/>
  <c r="I64" i="64"/>
  <c r="O80" i="64"/>
  <c r="I47" i="64"/>
  <c r="I68" i="64"/>
  <c r="I79" i="64"/>
  <c r="O48" i="64"/>
  <c r="I39" i="64"/>
  <c r="I94" i="64"/>
  <c r="I7" i="64"/>
  <c r="I95" i="64"/>
  <c r="I67" i="64"/>
  <c r="I101" i="64"/>
  <c r="I61" i="64"/>
  <c r="I50" i="64"/>
  <c r="I54" i="64"/>
  <c r="I32" i="64"/>
  <c r="I45" i="64"/>
  <c r="I53" i="64"/>
  <c r="I98" i="64"/>
  <c r="I48" i="64"/>
  <c r="I43" i="64"/>
  <c r="I102" i="64"/>
  <c r="I15" i="64"/>
  <c r="I88" i="64"/>
  <c r="I58" i="64"/>
  <c r="I93" i="64"/>
  <c r="I38" i="64"/>
  <c r="I33" i="64"/>
  <c r="I13" i="64"/>
  <c r="I22" i="64"/>
  <c r="I26" i="64"/>
  <c r="I25" i="64"/>
  <c r="I28" i="64"/>
  <c r="I85" i="64"/>
  <c r="O31" i="64"/>
  <c r="I29" i="64"/>
  <c r="O21" i="64"/>
  <c r="I55" i="64"/>
  <c r="O38" i="64"/>
  <c r="O91" i="64"/>
  <c r="O82" i="64"/>
  <c r="O5" i="64"/>
  <c r="O60" i="64"/>
  <c r="O55" i="64"/>
  <c r="O85" i="64"/>
  <c r="O84" i="64"/>
  <c r="O78" i="64"/>
  <c r="O100" i="64"/>
  <c r="O29" i="64"/>
  <c r="O34" i="64"/>
  <c r="O66" i="64"/>
  <c r="O77" i="64"/>
  <c r="O17" i="64"/>
  <c r="O4" i="64"/>
  <c r="O9" i="64"/>
  <c r="O87" i="64"/>
  <c r="O40" i="64"/>
  <c r="O96" i="64"/>
  <c r="O24" i="64"/>
  <c r="O54" i="64"/>
  <c r="O90" i="64"/>
  <c r="O97" i="64"/>
  <c r="O76" i="64"/>
  <c r="C5" i="64"/>
  <c r="O14" i="64"/>
  <c r="O101" i="64"/>
  <c r="O75" i="64"/>
  <c r="O79" i="64"/>
  <c r="O59" i="64"/>
  <c r="O70" i="64"/>
  <c r="O23" i="64"/>
  <c r="O46" i="64"/>
  <c r="O50" i="64"/>
  <c r="O89" i="64"/>
  <c r="C7" i="64"/>
  <c r="O43" i="64"/>
  <c r="C6" i="64"/>
  <c r="O57" i="64"/>
  <c r="O88" i="64"/>
  <c r="O28" i="64"/>
  <c r="O62" i="64"/>
  <c r="O42" i="64"/>
  <c r="O30" i="64"/>
  <c r="O20" i="64"/>
  <c r="O94" i="64"/>
  <c r="O6" i="64"/>
  <c r="O53" i="64"/>
  <c r="O63" i="64"/>
  <c r="O15" i="64"/>
  <c r="O33" i="64"/>
  <c r="C8" i="64"/>
  <c r="O16" i="64"/>
  <c r="O13" i="64"/>
  <c r="O81" i="64"/>
  <c r="O45" i="64"/>
  <c r="O74" i="64"/>
  <c r="O27" i="64"/>
  <c r="O32" i="64"/>
  <c r="O103" i="64"/>
  <c r="O25" i="64"/>
  <c r="O92" i="64"/>
  <c r="O26" i="64"/>
  <c r="O7" i="64"/>
  <c r="O52" i="64"/>
  <c r="O64" i="64"/>
  <c r="O41" i="64"/>
  <c r="O19" i="64"/>
  <c r="O83" i="64"/>
  <c r="O68" i="64"/>
  <c r="O67" i="64"/>
  <c r="O36" i="64"/>
  <c r="O69" i="64"/>
  <c r="O22" i="64"/>
  <c r="O56" i="64"/>
  <c r="O72" i="64"/>
  <c r="C4" i="64"/>
  <c r="O47" i="64"/>
  <c r="O95" i="64"/>
  <c r="O102" i="64"/>
  <c r="O49" i="64"/>
  <c r="O8" i="64"/>
  <c r="O35" i="64"/>
  <c r="O37" i="64"/>
  <c r="O11" i="64"/>
  <c r="O51" i="64"/>
  <c r="O12" i="64"/>
  <c r="O99" i="64"/>
  <c r="O18" i="64"/>
  <c r="O65" i="64"/>
  <c r="O73" i="64"/>
  <c r="O61" i="64"/>
  <c r="O58" i="64"/>
  <c r="O39" i="64"/>
  <c r="O86" i="64"/>
  <c r="O93" i="64"/>
  <c r="O71" i="64"/>
  <c r="L100" i="64"/>
  <c r="L84" i="64"/>
  <c r="L68" i="64"/>
  <c r="L52" i="64"/>
  <c r="L36" i="64"/>
  <c r="L30" i="64"/>
  <c r="L20" i="64"/>
  <c r="L10" i="64"/>
  <c r="L91" i="64"/>
  <c r="L75" i="64"/>
  <c r="L59" i="64"/>
  <c r="L43" i="64"/>
  <c r="L98" i="64"/>
  <c r="L82" i="64"/>
  <c r="L66" i="64"/>
  <c r="L50" i="64"/>
  <c r="L92" i="64"/>
  <c r="L99" i="64"/>
  <c r="L90" i="64"/>
  <c r="L74" i="64"/>
  <c r="L58" i="64"/>
  <c r="L42" i="64"/>
  <c r="L34" i="64"/>
  <c r="L97" i="64"/>
  <c r="L81" i="64"/>
  <c r="L65" i="64"/>
  <c r="L49" i="64"/>
  <c r="L64" i="64"/>
  <c r="L17" i="64"/>
  <c r="L13" i="64"/>
  <c r="L5" i="64"/>
  <c r="L9" i="64"/>
  <c r="L103" i="64"/>
  <c r="L86" i="64"/>
  <c r="L21" i="64"/>
  <c r="L71" i="64"/>
  <c r="L39" i="64"/>
  <c r="L31" i="64"/>
  <c r="L69" i="64"/>
  <c r="L37" i="64"/>
  <c r="L23" i="64"/>
  <c r="L15" i="64"/>
  <c r="L11" i="64"/>
  <c r="L54" i="64"/>
  <c r="L33" i="64"/>
  <c r="L19" i="64"/>
  <c r="L7" i="64"/>
  <c r="L94" i="64"/>
  <c r="L80" i="64"/>
  <c r="L48" i="64"/>
  <c r="L18" i="64"/>
  <c r="L16" i="64"/>
  <c r="L14" i="64"/>
  <c r="L93" i="64"/>
  <c r="L85" i="64"/>
  <c r="L83" i="64"/>
  <c r="L55" i="64"/>
  <c r="L45" i="64"/>
  <c r="L38" i="64"/>
  <c r="L102" i="64"/>
  <c r="L41" i="64"/>
  <c r="L24" i="64"/>
  <c r="L44" i="64"/>
  <c r="L29" i="64"/>
  <c r="L26" i="64"/>
  <c r="L12" i="64"/>
  <c r="L76" i="64"/>
  <c r="L79" i="64"/>
  <c r="L72" i="64"/>
  <c r="L62" i="64"/>
  <c r="L27" i="64"/>
  <c r="L35" i="64"/>
  <c r="L8" i="64"/>
  <c r="L96" i="64"/>
  <c r="L40" i="64"/>
  <c r="L73" i="64"/>
  <c r="L63" i="64"/>
  <c r="L53" i="64"/>
  <c r="L89" i="64"/>
  <c r="L78" i="64"/>
  <c r="L61" i="64"/>
  <c r="L32" i="64"/>
  <c r="L51" i="64"/>
  <c r="L101" i="64"/>
  <c r="L67" i="64"/>
  <c r="L56" i="64"/>
  <c r="L46" i="64"/>
  <c r="L87" i="64"/>
  <c r="L25" i="64"/>
  <c r="L88" i="64"/>
  <c r="L57" i="64"/>
  <c r="L47" i="64"/>
  <c r="L70" i="64"/>
  <c r="L4" i="64"/>
  <c r="L77" i="64"/>
  <c r="L60" i="64"/>
  <c r="L28" i="64"/>
  <c r="L95" i="64"/>
  <c r="L6" i="64"/>
  <c r="L22" i="64"/>
  <c r="O6" i="1"/>
  <c r="O10" i="1" s="1"/>
  <c r="A4" i="16"/>
  <c r="B4" i="16"/>
  <c r="D4" i="16"/>
  <c r="U34" i="64" l="1"/>
  <c r="D9" i="27"/>
  <c r="E5" i="27"/>
  <c r="D5" i="27"/>
  <c r="C5" i="27"/>
  <c r="G5" i="27"/>
  <c r="F5" i="27"/>
  <c r="E9" i="27"/>
  <c r="F9" i="27"/>
  <c r="B9" i="27"/>
  <c r="G9" i="27"/>
  <c r="C9" i="27"/>
  <c r="F15" i="3"/>
  <c r="G5" i="16"/>
  <c r="Z34" i="16" s="1"/>
  <c r="G26" i="16"/>
  <c r="G25" i="16"/>
  <c r="G6" i="16" l="1"/>
  <c r="Y34" i="16" s="1"/>
  <c r="C354" i="16" l="1"/>
  <c r="C353" i="16"/>
  <c r="C352" i="16"/>
  <c r="C351" i="16"/>
  <c r="G28" i="16" l="1"/>
  <c r="G13" i="16" a="1"/>
  <c r="G13" i="16" s="1"/>
  <c r="G9" i="16" a="1"/>
  <c r="G9" i="16" s="1"/>
  <c r="W34" i="16" l="1"/>
  <c r="P82" i="16"/>
  <c r="P73" i="16"/>
  <c r="P102" i="16"/>
  <c r="P101" i="16"/>
  <c r="P92" i="16"/>
  <c r="P6" i="16"/>
  <c r="P19" i="16"/>
  <c r="P5" i="16"/>
  <c r="P59" i="16"/>
  <c r="P35" i="16"/>
  <c r="P56" i="16"/>
  <c r="P83" i="16"/>
  <c r="P16" i="16"/>
  <c r="P74" i="16"/>
  <c r="P96" i="16"/>
  <c r="P94" i="16"/>
  <c r="P93" i="16"/>
  <c r="P64" i="16"/>
  <c r="P99" i="16"/>
  <c r="P75" i="16"/>
  <c r="P91" i="16"/>
  <c r="P49" i="16"/>
  <c r="P9" i="16"/>
  <c r="P11" i="16"/>
  <c r="P66" i="16"/>
  <c r="P88" i="16"/>
  <c r="P86" i="16"/>
  <c r="P85" i="16"/>
  <c r="P47" i="16"/>
  <c r="P80" i="16"/>
  <c r="P65" i="16"/>
  <c r="P84" i="16"/>
  <c r="P36" i="16"/>
  <c r="P21" i="16"/>
  <c r="P15" i="16"/>
  <c r="P67" i="16"/>
  <c r="P58" i="16"/>
  <c r="P103" i="16"/>
  <c r="P78" i="16"/>
  <c r="P77" i="16"/>
  <c r="P44" i="16"/>
  <c r="P68" i="16"/>
  <c r="P48" i="16"/>
  <c r="P55" i="16"/>
  <c r="P27" i="16"/>
  <c r="P72" i="16"/>
  <c r="P41" i="16"/>
  <c r="P63" i="16"/>
  <c r="P50" i="16"/>
  <c r="P95" i="16"/>
  <c r="P70" i="16"/>
  <c r="P69" i="16"/>
  <c r="P40" i="16"/>
  <c r="P51" i="16"/>
  <c r="P38" i="16"/>
  <c r="P52" i="16"/>
  <c r="P22" i="16"/>
  <c r="P57" i="16"/>
  <c r="P34" i="16"/>
  <c r="P30" i="16"/>
  <c r="P71" i="16"/>
  <c r="P10" i="16"/>
  <c r="P28" i="16"/>
  <c r="P8" i="16"/>
  <c r="P97" i="16"/>
  <c r="P87" i="16"/>
  <c r="P62" i="16"/>
  <c r="P61" i="16"/>
  <c r="P20" i="16"/>
  <c r="P39" i="16"/>
  <c r="P29" i="16"/>
  <c r="P37" i="16"/>
  <c r="P4" i="16"/>
  <c r="P42" i="16"/>
  <c r="P17" i="16"/>
  <c r="P13" i="16"/>
  <c r="P7" i="16"/>
  <c r="P90" i="16"/>
  <c r="P46" i="16"/>
  <c r="P18" i="16"/>
  <c r="P60" i="16"/>
  <c r="P76" i="16"/>
  <c r="P98" i="16"/>
  <c r="P89" i="16"/>
  <c r="P79" i="16"/>
  <c r="P54" i="16"/>
  <c r="P53" i="16"/>
  <c r="P14" i="16"/>
  <c r="P33" i="16"/>
  <c r="P23" i="16"/>
  <c r="P32" i="16"/>
  <c r="P43" i="16"/>
  <c r="P26" i="16"/>
  <c r="P25" i="16"/>
  <c r="P81" i="16"/>
  <c r="P45" i="16"/>
  <c r="P24" i="16"/>
  <c r="P31" i="16"/>
  <c r="P100" i="16"/>
  <c r="P12" i="16"/>
  <c r="J94" i="16"/>
  <c r="J68" i="16"/>
  <c r="J86" i="16"/>
  <c r="J39" i="16"/>
  <c r="J72" i="16"/>
  <c r="J43" i="16"/>
  <c r="J65" i="16"/>
  <c r="J34" i="16"/>
  <c r="J12" i="16"/>
  <c r="J91" i="16"/>
  <c r="J53" i="16"/>
  <c r="J25" i="16"/>
  <c r="J26" i="16"/>
  <c r="J20" i="16"/>
  <c r="J93" i="16"/>
  <c r="J87" i="16"/>
  <c r="J85" i="16"/>
  <c r="J5" i="16"/>
  <c r="J44" i="16"/>
  <c r="J54" i="16"/>
  <c r="J14" i="16"/>
  <c r="J30" i="16"/>
  <c r="J88" i="16"/>
  <c r="J8" i="16"/>
  <c r="J102" i="16"/>
  <c r="J38" i="16"/>
  <c r="J28" i="16"/>
  <c r="J48" i="16"/>
  <c r="J47" i="16"/>
  <c r="J37" i="16"/>
  <c r="J42" i="16"/>
  <c r="J52" i="16"/>
  <c r="J100" i="16"/>
  <c r="J19" i="16"/>
  <c r="J75" i="16"/>
  <c r="J84" i="16"/>
  <c r="J89" i="16"/>
  <c r="J70" i="16"/>
  <c r="J40" i="16"/>
  <c r="J99" i="16"/>
  <c r="J33" i="16"/>
  <c r="J10" i="16"/>
  <c r="J29" i="16"/>
  <c r="J79" i="16"/>
  <c r="J56" i="16"/>
  <c r="J6" i="16"/>
  <c r="J97" i="16"/>
  <c r="J63" i="16"/>
  <c r="J11" i="16"/>
  <c r="J66" i="16"/>
  <c r="J9" i="16"/>
  <c r="J23" i="16"/>
  <c r="J101" i="16"/>
  <c r="J77" i="16"/>
  <c r="J76" i="16"/>
  <c r="J17" i="16"/>
  <c r="J60" i="16"/>
  <c r="J82" i="16"/>
  <c r="J24" i="16"/>
  <c r="J57" i="16"/>
  <c r="J32" i="16"/>
  <c r="J46" i="16"/>
  <c r="J27" i="16"/>
  <c r="J15" i="16"/>
  <c r="J81" i="16"/>
  <c r="J95" i="16"/>
  <c r="J69" i="16"/>
  <c r="J31" i="16"/>
  <c r="J74" i="16"/>
  <c r="J78" i="16"/>
  <c r="J13" i="16"/>
  <c r="J90" i="16"/>
  <c r="J96" i="16"/>
  <c r="J103" i="16"/>
  <c r="J71" i="16"/>
  <c r="J73" i="16"/>
  <c r="J7" i="16"/>
  <c r="J62" i="16"/>
  <c r="J22" i="16"/>
  <c r="J58" i="16"/>
  <c r="J61" i="16"/>
  <c r="J41" i="16"/>
  <c r="J21" i="16"/>
  <c r="J4" i="16"/>
  <c r="J35" i="16"/>
  <c r="J80" i="16"/>
  <c r="J67" i="16"/>
  <c r="J51" i="16"/>
  <c r="J98" i="16"/>
  <c r="J36" i="16"/>
  <c r="J55" i="16"/>
  <c r="J92" i="16"/>
  <c r="J16" i="16"/>
  <c r="J49" i="16"/>
  <c r="J18" i="16"/>
  <c r="J45" i="16"/>
  <c r="J83" i="16"/>
  <c r="J50" i="16"/>
  <c r="J59" i="16"/>
  <c r="J64" i="16"/>
  <c r="AA34" i="16"/>
  <c r="S85" i="16"/>
  <c r="S12" i="16"/>
  <c r="S83" i="16"/>
  <c r="S73" i="16"/>
  <c r="S63" i="16"/>
  <c r="S16" i="16"/>
  <c r="S18" i="16"/>
  <c r="S38" i="16"/>
  <c r="S8" i="16"/>
  <c r="S94" i="16"/>
  <c r="S35" i="16"/>
  <c r="S60" i="16"/>
  <c r="S93" i="16"/>
  <c r="S89" i="16"/>
  <c r="S61" i="16"/>
  <c r="S66" i="16"/>
  <c r="S52" i="16"/>
  <c r="S62" i="16"/>
  <c r="S43" i="16"/>
  <c r="S51" i="16"/>
  <c r="S75" i="16"/>
  <c r="S5" i="16"/>
  <c r="S92" i="16"/>
  <c r="S17" i="16"/>
  <c r="S54" i="16"/>
  <c r="S47" i="16"/>
  <c r="S15" i="16"/>
  <c r="S102" i="16"/>
  <c r="S29" i="16"/>
  <c r="S68" i="16"/>
  <c r="S76" i="16"/>
  <c r="S100" i="16"/>
  <c r="S86" i="16"/>
  <c r="S24" i="16"/>
  <c r="S64" i="16"/>
  <c r="S9" i="16"/>
  <c r="S44" i="16"/>
  <c r="S58" i="16"/>
  <c r="S31" i="16"/>
  <c r="S25" i="16"/>
  <c r="S7" i="16"/>
  <c r="S67" i="16"/>
  <c r="S79" i="16"/>
  <c r="S103" i="16"/>
  <c r="S72" i="16"/>
  <c r="S87" i="16"/>
  <c r="S26" i="16"/>
  <c r="S96" i="16"/>
  <c r="S32" i="16"/>
  <c r="S28" i="16"/>
  <c r="S101" i="16"/>
  <c r="S71" i="16"/>
  <c r="S78" i="16"/>
  <c r="S36" i="16"/>
  <c r="S84" i="16"/>
  <c r="S34" i="16"/>
  <c r="S14" i="16"/>
  <c r="S50" i="16"/>
  <c r="S56" i="16"/>
  <c r="S69" i="16"/>
  <c r="S82" i="16"/>
  <c r="S42" i="16"/>
  <c r="S91" i="16"/>
  <c r="S77" i="16"/>
  <c r="S80" i="16"/>
  <c r="S99" i="16"/>
  <c r="S21" i="16"/>
  <c r="S81" i="16"/>
  <c r="S48" i="16"/>
  <c r="S20" i="16"/>
  <c r="S11" i="16"/>
  <c r="S19" i="16"/>
  <c r="S88" i="16"/>
  <c r="S22" i="16"/>
  <c r="S6" i="16"/>
  <c r="S23" i="16"/>
  <c r="S98" i="16"/>
  <c r="S59" i="16"/>
  <c r="S37" i="16"/>
  <c r="S13" i="16"/>
  <c r="S74" i="16"/>
  <c r="S4" i="16"/>
  <c r="S40" i="16"/>
  <c r="S30" i="16"/>
  <c r="S10" i="16"/>
  <c r="S27" i="16"/>
  <c r="S41" i="16"/>
  <c r="S70" i="16"/>
  <c r="S46" i="16"/>
  <c r="S90" i="16"/>
  <c r="S39" i="16"/>
  <c r="S33" i="16"/>
  <c r="S97" i="16"/>
  <c r="S49" i="16"/>
  <c r="S65" i="16"/>
  <c r="S53" i="16"/>
  <c r="S45" i="16"/>
  <c r="S57" i="16"/>
  <c r="S55" i="16"/>
  <c r="S95" i="16"/>
  <c r="M67" i="16"/>
  <c r="M80" i="16"/>
  <c r="M18" i="16"/>
  <c r="M71" i="16"/>
  <c r="M94" i="16"/>
  <c r="M57" i="16"/>
  <c r="M60" i="16"/>
  <c r="M100" i="16"/>
  <c r="M85" i="16"/>
  <c r="M91" i="16"/>
  <c r="M33" i="16"/>
  <c r="M40" i="16"/>
  <c r="M87" i="16"/>
  <c r="M48" i="16"/>
  <c r="M35" i="16"/>
  <c r="M78" i="16"/>
  <c r="M45" i="16"/>
  <c r="M11" i="16"/>
  <c r="M99" i="16"/>
  <c r="M21" i="16"/>
  <c r="M32" i="16"/>
  <c r="M22" i="16"/>
  <c r="M52" i="16"/>
  <c r="M24" i="16"/>
  <c r="M7" i="16"/>
  <c r="M65" i="16"/>
  <c r="M29" i="16"/>
  <c r="M89" i="16"/>
  <c r="M79" i="16"/>
  <c r="M93" i="16"/>
  <c r="M42" i="16"/>
  <c r="M9" i="16"/>
  <c r="M6" i="16"/>
  <c r="M49" i="16"/>
  <c r="M54" i="16"/>
  <c r="M43" i="16"/>
  <c r="M102" i="16"/>
  <c r="M34" i="16"/>
  <c r="M68" i="16"/>
  <c r="M38" i="16"/>
  <c r="M69" i="16"/>
  <c r="M88" i="16"/>
  <c r="M47" i="16"/>
  <c r="M41" i="16"/>
  <c r="M98" i="16"/>
  <c r="M53" i="16"/>
  <c r="M56" i="16"/>
  <c r="M50" i="16"/>
  <c r="M70" i="16"/>
  <c r="M15" i="16"/>
  <c r="M84" i="16"/>
  <c r="M10" i="16"/>
  <c r="M23" i="16"/>
  <c r="M19" i="16"/>
  <c r="M59" i="16"/>
  <c r="M74" i="16"/>
  <c r="M95" i="16"/>
  <c r="M86" i="16"/>
  <c r="M39" i="16"/>
  <c r="M83" i="16"/>
  <c r="M37" i="16"/>
  <c r="M27" i="16"/>
  <c r="M90" i="16"/>
  <c r="M8" i="16"/>
  <c r="M58" i="16"/>
  <c r="M92" i="16"/>
  <c r="M76" i="16"/>
  <c r="M4" i="16"/>
  <c r="M55" i="16"/>
  <c r="M12" i="16"/>
  <c r="M73" i="16"/>
  <c r="M61" i="16"/>
  <c r="M5" i="16"/>
  <c r="M97" i="16"/>
  <c r="M31" i="16"/>
  <c r="M66" i="16"/>
  <c r="M75" i="16"/>
  <c r="M81" i="16"/>
  <c r="M46" i="16"/>
  <c r="M96" i="16"/>
  <c r="M44" i="16"/>
  <c r="M26" i="16"/>
  <c r="M25" i="16"/>
  <c r="M72" i="16"/>
  <c r="M14" i="16"/>
  <c r="M51" i="16"/>
  <c r="M17" i="16"/>
  <c r="M64" i="16"/>
  <c r="M28" i="16"/>
  <c r="M77" i="16"/>
  <c r="M20" i="16"/>
  <c r="M30" i="16"/>
  <c r="M13" i="16"/>
  <c r="M62" i="16"/>
  <c r="M103" i="16"/>
  <c r="M36" i="16"/>
  <c r="M63" i="16"/>
  <c r="M101" i="16"/>
  <c r="M16" i="16"/>
  <c r="M82" i="16"/>
  <c r="G14" i="16" a="1"/>
  <c r="G14" i="16" s="1"/>
  <c r="G10" i="16" a="1"/>
  <c r="G10" i="16" s="1"/>
  <c r="G16" i="16" l="1"/>
  <c r="G21" i="16"/>
  <c r="O17" i="16" s="1"/>
  <c r="X34" i="16"/>
  <c r="G22" i="16"/>
  <c r="AB34" i="16"/>
  <c r="G17" i="16"/>
  <c r="R71" i="16" l="1"/>
  <c r="C323" i="16"/>
  <c r="C335" i="16"/>
  <c r="C278" i="16"/>
  <c r="C273" i="16"/>
  <c r="C300" i="16"/>
  <c r="C311" i="16"/>
  <c r="C304" i="16"/>
  <c r="C320" i="16"/>
  <c r="C292" i="16"/>
  <c r="C318" i="16"/>
  <c r="C348" i="16"/>
  <c r="C285" i="16"/>
  <c r="C333" i="16"/>
  <c r="C288" i="16"/>
  <c r="C340" i="16"/>
  <c r="C345" i="16"/>
  <c r="C331" i="16"/>
  <c r="C286" i="16"/>
  <c r="C350" i="16"/>
  <c r="C283" i="16"/>
  <c r="C344" i="16"/>
  <c r="C271" i="16"/>
  <c r="C275" i="16"/>
  <c r="C341" i="16"/>
  <c r="C314" i="16"/>
  <c r="C279" i="16"/>
  <c r="C303" i="16"/>
  <c r="C330" i="16"/>
  <c r="C336" i="16"/>
  <c r="C287" i="16"/>
  <c r="C338" i="16"/>
  <c r="C305" i="16"/>
  <c r="C327" i="16"/>
  <c r="C342" i="16"/>
  <c r="C272" i="16"/>
  <c r="C343" i="16"/>
  <c r="C293" i="16"/>
  <c r="C326" i="16"/>
  <c r="C306" i="16"/>
  <c r="C282" i="16"/>
  <c r="C313" i="16"/>
  <c r="C289" i="16"/>
  <c r="C301" i="16"/>
  <c r="C316" i="16"/>
  <c r="C312" i="16"/>
  <c r="C334" i="16"/>
  <c r="C280" i="16"/>
  <c r="C297" i="16"/>
  <c r="C349" i="16"/>
  <c r="C281" i="16"/>
  <c r="C302" i="16"/>
  <c r="C321" i="16"/>
  <c r="C276" i="16"/>
  <c r="C332" i="16"/>
  <c r="C308" i="16"/>
  <c r="C298" i="16"/>
  <c r="C274" i="16"/>
  <c r="C347" i="16"/>
  <c r="C346" i="16"/>
  <c r="C299" i="16"/>
  <c r="C324" i="16"/>
  <c r="C296" i="16"/>
  <c r="C325" i="16"/>
  <c r="C322" i="16"/>
  <c r="C315" i="16"/>
  <c r="C294" i="16"/>
  <c r="C337" i="16"/>
  <c r="C339" i="16"/>
  <c r="C317" i="16"/>
  <c r="C329" i="16"/>
  <c r="C295" i="16"/>
  <c r="C309" i="16"/>
  <c r="C277" i="16"/>
  <c r="C284" i="16"/>
  <c r="C307" i="16"/>
  <c r="C328" i="16"/>
  <c r="C291" i="16"/>
  <c r="C310" i="16"/>
  <c r="C290" i="16"/>
  <c r="C319" i="16"/>
  <c r="C175" i="16"/>
  <c r="R49" i="16"/>
  <c r="R53" i="16"/>
  <c r="C261" i="16"/>
  <c r="C239" i="16"/>
  <c r="C226" i="16"/>
  <c r="C236" i="16"/>
  <c r="R95" i="16"/>
  <c r="C178" i="16"/>
  <c r="R103" i="16"/>
  <c r="C211" i="16"/>
  <c r="C222" i="16"/>
  <c r="R38" i="16"/>
  <c r="R81" i="16"/>
  <c r="R14" i="16"/>
  <c r="C246" i="16"/>
  <c r="R31" i="16"/>
  <c r="C251" i="16"/>
  <c r="C179" i="16"/>
  <c r="C191" i="16"/>
  <c r="R96" i="16"/>
  <c r="C193" i="16"/>
  <c r="R36" i="16"/>
  <c r="C267" i="16"/>
  <c r="R77" i="16"/>
  <c r="R12" i="16"/>
  <c r="R101" i="16"/>
  <c r="C232" i="16"/>
  <c r="R89" i="16"/>
  <c r="R84" i="16"/>
  <c r="C210" i="16"/>
  <c r="C188" i="16"/>
  <c r="R41" i="16"/>
  <c r="R56" i="16"/>
  <c r="C199" i="16"/>
  <c r="C209" i="16"/>
  <c r="C189" i="16"/>
  <c r="R34" i="16"/>
  <c r="R86" i="16"/>
  <c r="C195" i="16"/>
  <c r="C190" i="16"/>
  <c r="C204" i="16"/>
  <c r="R88" i="16"/>
  <c r="R58" i="16"/>
  <c r="O53" i="16"/>
  <c r="O56" i="16"/>
  <c r="O71" i="16"/>
  <c r="O95" i="16"/>
  <c r="O50" i="16"/>
  <c r="C182" i="16"/>
  <c r="C180" i="16"/>
  <c r="R7" i="16"/>
  <c r="C201" i="16"/>
  <c r="C207" i="16"/>
  <c r="R45" i="16"/>
  <c r="C172" i="16"/>
  <c r="C245" i="16"/>
  <c r="R90" i="16"/>
  <c r="R66" i="16"/>
  <c r="C249" i="16"/>
  <c r="R102" i="16"/>
  <c r="R75" i="16"/>
  <c r="C212" i="16"/>
  <c r="C265" i="16"/>
  <c r="R44" i="16"/>
  <c r="C266" i="16"/>
  <c r="C260" i="16"/>
  <c r="R91" i="16"/>
  <c r="C219" i="16"/>
  <c r="R72" i="16"/>
  <c r="R15" i="16"/>
  <c r="C258" i="16"/>
  <c r="R67" i="16"/>
  <c r="R97" i="16"/>
  <c r="C270" i="16"/>
  <c r="C237" i="16"/>
  <c r="R73" i="16"/>
  <c r="C231" i="16"/>
  <c r="C263" i="16"/>
  <c r="R23" i="16"/>
  <c r="C253" i="16"/>
  <c r="C173" i="16"/>
  <c r="R27" i="16"/>
  <c r="R40" i="16"/>
  <c r="C215" i="16"/>
  <c r="R6" i="16"/>
  <c r="R69" i="16"/>
  <c r="C234" i="16"/>
  <c r="C213" i="16"/>
  <c r="R11" i="16"/>
  <c r="C248" i="16"/>
  <c r="C184" i="16"/>
  <c r="R94" i="16"/>
  <c r="C225" i="16"/>
  <c r="R65" i="16"/>
  <c r="R39" i="16"/>
  <c r="C170" i="16"/>
  <c r="C205" i="16"/>
  <c r="R25" i="16"/>
  <c r="C192" i="16"/>
  <c r="C196" i="16"/>
  <c r="R85" i="16"/>
  <c r="C166" i="16"/>
  <c r="C233" i="16"/>
  <c r="R47" i="16"/>
  <c r="R61" i="16"/>
  <c r="C202" i="16"/>
  <c r="R18" i="16"/>
  <c r="R80" i="16"/>
  <c r="C171" i="16"/>
  <c r="C181" i="16"/>
  <c r="R22" i="16"/>
  <c r="C185" i="16"/>
  <c r="C174" i="16"/>
  <c r="R70" i="16"/>
  <c r="C244" i="16"/>
  <c r="C214" i="16"/>
  <c r="R52" i="16"/>
  <c r="R92" i="16"/>
  <c r="C242" i="16"/>
  <c r="R54" i="16"/>
  <c r="R29" i="16"/>
  <c r="C238" i="16"/>
  <c r="C256" i="16"/>
  <c r="R35" i="16"/>
  <c r="C221" i="16"/>
  <c r="C268" i="16"/>
  <c r="R60" i="16"/>
  <c r="C252" i="16"/>
  <c r="R64" i="16"/>
  <c r="R50" i="16"/>
  <c r="C227" i="16"/>
  <c r="R79" i="16"/>
  <c r="R55" i="16"/>
  <c r="C247" i="16"/>
  <c r="C255" i="16"/>
  <c r="R93" i="16"/>
  <c r="C250" i="16"/>
  <c r="C257" i="16"/>
  <c r="R20" i="16"/>
  <c r="C241" i="16"/>
  <c r="C168" i="16"/>
  <c r="R46" i="16"/>
  <c r="R37" i="16"/>
  <c r="C216" i="16"/>
  <c r="R19" i="16"/>
  <c r="R99" i="16"/>
  <c r="C235" i="16"/>
  <c r="C228" i="16"/>
  <c r="R26" i="16"/>
  <c r="C177" i="16"/>
  <c r="C229" i="16"/>
  <c r="R8" i="16"/>
  <c r="R76" i="16"/>
  <c r="C223" i="16"/>
  <c r="R82" i="16"/>
  <c r="R32" i="16"/>
  <c r="C203" i="16"/>
  <c r="R57" i="16"/>
  <c r="C206" i="16"/>
  <c r="C183" i="16"/>
  <c r="C164" i="16"/>
  <c r="R62" i="16"/>
  <c r="C194" i="16"/>
  <c r="C269" i="16"/>
  <c r="R78" i="16"/>
  <c r="R13" i="16"/>
  <c r="C224" i="16"/>
  <c r="R33" i="16"/>
  <c r="R10" i="16"/>
  <c r="C169" i="16"/>
  <c r="R9" i="16"/>
  <c r="R42" i="16"/>
  <c r="C240" i="16"/>
  <c r="C243" i="16"/>
  <c r="R43" i="16"/>
  <c r="C264" i="16"/>
  <c r="C200" i="16"/>
  <c r="R30" i="16"/>
  <c r="R98" i="16"/>
  <c r="C217" i="16"/>
  <c r="R51" i="16"/>
  <c r="C220" i="16"/>
  <c r="C167" i="16"/>
  <c r="R59" i="16"/>
  <c r="C262" i="16"/>
  <c r="R4" i="16"/>
  <c r="C259" i="16"/>
  <c r="R87" i="16"/>
  <c r="R16" i="16"/>
  <c r="C198" i="16"/>
  <c r="C186" i="16"/>
  <c r="R83" i="16"/>
  <c r="C165" i="16"/>
  <c r="C254" i="16"/>
  <c r="R17" i="16"/>
  <c r="R48" i="16"/>
  <c r="R21" i="16"/>
  <c r="C187" i="16"/>
  <c r="R63" i="16"/>
  <c r="R28" i="16"/>
  <c r="C208" i="16"/>
  <c r="R68" i="16"/>
  <c r="R100" i="16"/>
  <c r="C218" i="16"/>
  <c r="R24" i="16"/>
  <c r="O49" i="16"/>
  <c r="O37" i="16"/>
  <c r="O5" i="16"/>
  <c r="I12" i="16"/>
  <c r="I56" i="16"/>
  <c r="I45" i="16"/>
  <c r="I83" i="16"/>
  <c r="I92" i="16"/>
  <c r="I22" i="16"/>
  <c r="I103" i="16"/>
  <c r="I25" i="16"/>
  <c r="I5" i="16"/>
  <c r="I62" i="16"/>
  <c r="I39" i="16"/>
  <c r="I9" i="16"/>
  <c r="C64" i="16"/>
  <c r="C44" i="16"/>
  <c r="C95" i="16"/>
  <c r="C43" i="16"/>
  <c r="C36" i="16"/>
  <c r="C57" i="16"/>
  <c r="C45" i="16"/>
  <c r="C33" i="16"/>
  <c r="C87" i="16"/>
  <c r="C52" i="16"/>
  <c r="I89" i="16"/>
  <c r="I7" i="16"/>
  <c r="I66" i="16"/>
  <c r="I70" i="16"/>
  <c r="I48" i="16"/>
  <c r="I69" i="16"/>
  <c r="I17" i="16"/>
  <c r="I59" i="16"/>
  <c r="I37" i="16"/>
  <c r="I86" i="16"/>
  <c r="I76" i="16"/>
  <c r="I40" i="16"/>
  <c r="C55" i="16"/>
  <c r="C66" i="16"/>
  <c r="C76" i="16"/>
  <c r="C4" i="16"/>
  <c r="C58" i="16"/>
  <c r="C65" i="16"/>
  <c r="C59" i="16"/>
  <c r="C99" i="16"/>
  <c r="C69" i="16"/>
  <c r="I38" i="16"/>
  <c r="I11" i="16"/>
  <c r="I73" i="16"/>
  <c r="I30" i="16"/>
  <c r="I14" i="16"/>
  <c r="I47" i="16"/>
  <c r="I93" i="16"/>
  <c r="I15" i="16"/>
  <c r="I68" i="16"/>
  <c r="I36" i="16"/>
  <c r="I85" i="16"/>
  <c r="I8" i="16"/>
  <c r="I100" i="16"/>
  <c r="C60" i="16"/>
  <c r="C93" i="16"/>
  <c r="C48" i="16"/>
  <c r="C75" i="16"/>
  <c r="C81" i="16"/>
  <c r="C41" i="16"/>
  <c r="C40" i="16"/>
  <c r="C96" i="16"/>
  <c r="C83" i="16"/>
  <c r="I16" i="16"/>
  <c r="I55" i="16"/>
  <c r="I96" i="16"/>
  <c r="I79" i="16"/>
  <c r="I84" i="16"/>
  <c r="I41" i="16"/>
  <c r="I57" i="16"/>
  <c r="I63" i="16"/>
  <c r="I99" i="16"/>
  <c r="I43" i="16"/>
  <c r="I18" i="16"/>
  <c r="I94" i="16"/>
  <c r="I27" i="16"/>
  <c r="C71" i="16"/>
  <c r="C88" i="16"/>
  <c r="C73" i="16"/>
  <c r="C31" i="16"/>
  <c r="C61" i="16"/>
  <c r="C67" i="16"/>
  <c r="C86" i="16"/>
  <c r="C28" i="16"/>
  <c r="C51" i="16"/>
  <c r="I49" i="16"/>
  <c r="I28" i="16"/>
  <c r="I60" i="16"/>
  <c r="I32" i="16"/>
  <c r="I26" i="16"/>
  <c r="I23" i="16"/>
  <c r="I81" i="16"/>
  <c r="I53" i="16"/>
  <c r="I88" i="16"/>
  <c r="I19" i="16"/>
  <c r="I67" i="16"/>
  <c r="I98" i="16"/>
  <c r="I33" i="16"/>
  <c r="C46" i="16"/>
  <c r="C80" i="16"/>
  <c r="C97" i="16"/>
  <c r="C62" i="16"/>
  <c r="C70" i="16"/>
  <c r="C91" i="16"/>
  <c r="C92" i="16"/>
  <c r="C50" i="16"/>
  <c r="C32" i="16"/>
  <c r="I71" i="16"/>
  <c r="I65" i="16"/>
  <c r="I52" i="16"/>
  <c r="I101" i="16"/>
  <c r="I20" i="16"/>
  <c r="I46" i="16"/>
  <c r="I77" i="16"/>
  <c r="I6" i="16"/>
  <c r="I24" i="16"/>
  <c r="I50" i="16"/>
  <c r="I31" i="16"/>
  <c r="I29" i="16"/>
  <c r="I91" i="16"/>
  <c r="C37" i="16"/>
  <c r="C94" i="16"/>
  <c r="C100" i="16"/>
  <c r="C68" i="16"/>
  <c r="C54" i="16"/>
  <c r="C72" i="16"/>
  <c r="C39" i="16"/>
  <c r="C56" i="16"/>
  <c r="C49" i="16"/>
  <c r="I61" i="16"/>
  <c r="I78" i="16"/>
  <c r="I51" i="16"/>
  <c r="I74" i="16"/>
  <c r="I75" i="16"/>
  <c r="I97" i="16"/>
  <c r="I90" i="16"/>
  <c r="I13" i="16"/>
  <c r="I58" i="16"/>
  <c r="I4" i="16"/>
  <c r="I72" i="16"/>
  <c r="I34" i="16"/>
  <c r="C35" i="16"/>
  <c r="C34" i="16"/>
  <c r="C53" i="16"/>
  <c r="C47" i="16"/>
  <c r="C90" i="16"/>
  <c r="C78" i="16"/>
  <c r="C74" i="16"/>
  <c r="C77" i="16"/>
  <c r="C84" i="16"/>
  <c r="C42" i="16"/>
  <c r="I64" i="16"/>
  <c r="I80" i="16"/>
  <c r="I21" i="16"/>
  <c r="I10" i="16"/>
  <c r="I54" i="16"/>
  <c r="I102" i="16"/>
  <c r="I44" i="16"/>
  <c r="I35" i="16"/>
  <c r="I42" i="16"/>
  <c r="I95" i="16"/>
  <c r="I82" i="16"/>
  <c r="I87" i="16"/>
  <c r="C98" i="16"/>
  <c r="C38" i="16"/>
  <c r="C82" i="16"/>
  <c r="C29" i="16"/>
  <c r="C79" i="16"/>
  <c r="C89" i="16"/>
  <c r="C63" i="16"/>
  <c r="C30" i="16"/>
  <c r="C101" i="16"/>
  <c r="C85" i="16"/>
  <c r="C21" i="16"/>
  <c r="O77" i="16"/>
  <c r="O94" i="16"/>
  <c r="O40" i="16"/>
  <c r="O46" i="16"/>
  <c r="C25" i="16"/>
  <c r="O30" i="16"/>
  <c r="C18" i="16"/>
  <c r="O48" i="16"/>
  <c r="C26" i="16"/>
  <c r="O76" i="16"/>
  <c r="C12" i="16"/>
  <c r="O64" i="16"/>
  <c r="C20" i="16"/>
  <c r="O82" i="16"/>
  <c r="O101" i="16"/>
  <c r="C11" i="16"/>
  <c r="C14" i="16"/>
  <c r="C10" i="16"/>
  <c r="O39" i="16"/>
  <c r="C15" i="16"/>
  <c r="C9" i="16"/>
  <c r="O19" i="16"/>
  <c r="C23" i="16"/>
  <c r="C13" i="16"/>
  <c r="O42" i="16"/>
  <c r="O103" i="16"/>
  <c r="O35" i="16"/>
  <c r="O7" i="16"/>
  <c r="O4" i="16"/>
  <c r="O16" i="16"/>
  <c r="O59" i="16"/>
  <c r="O78" i="16"/>
  <c r="O97" i="16"/>
  <c r="O89" i="16"/>
  <c r="O11" i="16"/>
  <c r="O75" i="16"/>
  <c r="O10" i="16"/>
  <c r="O62" i="16"/>
  <c r="O58" i="16"/>
  <c r="O9" i="16"/>
  <c r="O61" i="16"/>
  <c r="O23" i="16"/>
  <c r="O33" i="16"/>
  <c r="C7" i="16"/>
  <c r="C22" i="16"/>
  <c r="C16" i="16"/>
  <c r="C24" i="16"/>
  <c r="O6" i="16"/>
  <c r="O27" i="16"/>
  <c r="O29" i="16"/>
  <c r="C19" i="16"/>
  <c r="O69" i="16"/>
  <c r="O100" i="16"/>
  <c r="O15" i="16"/>
  <c r="C197" i="16"/>
  <c r="C176" i="16"/>
  <c r="R74" i="16"/>
  <c r="O102" i="16"/>
  <c r="O28" i="16"/>
  <c r="O68" i="16"/>
  <c r="O55" i="16"/>
  <c r="O44" i="16"/>
  <c r="O32" i="16"/>
  <c r="O8" i="16"/>
  <c r="O86" i="16"/>
  <c r="O25" i="16"/>
  <c r="O87" i="16"/>
  <c r="O80" i="16"/>
  <c r="O73" i="16"/>
  <c r="O20" i="16"/>
  <c r="O14" i="16"/>
  <c r="O92" i="16"/>
  <c r="O51" i="16"/>
  <c r="L69" i="16"/>
  <c r="L23" i="16"/>
  <c r="L4" i="16"/>
  <c r="L79" i="16"/>
  <c r="L6" i="16"/>
  <c r="L81" i="16"/>
  <c r="L90" i="16"/>
  <c r="L67" i="16"/>
  <c r="L9" i="16"/>
  <c r="L97" i="16"/>
  <c r="L96" i="16"/>
  <c r="L85" i="16"/>
  <c r="L56" i="16"/>
  <c r="C152" i="16"/>
  <c r="C142" i="16"/>
  <c r="C110" i="16"/>
  <c r="C145" i="16"/>
  <c r="C150" i="16"/>
  <c r="C146" i="16"/>
  <c r="C115" i="16"/>
  <c r="L46" i="16"/>
  <c r="L65" i="16"/>
  <c r="L80" i="16"/>
  <c r="L71" i="16"/>
  <c r="L103" i="16"/>
  <c r="L31" i="16"/>
  <c r="L13" i="16"/>
  <c r="L14" i="16"/>
  <c r="L73" i="16"/>
  <c r="L44" i="16"/>
  <c r="L40" i="16"/>
  <c r="L39" i="16"/>
  <c r="C131" i="16"/>
  <c r="C148" i="16"/>
  <c r="C141" i="16"/>
  <c r="C149" i="16"/>
  <c r="C106" i="16"/>
  <c r="C156" i="16"/>
  <c r="C125" i="16"/>
  <c r="C140" i="16"/>
  <c r="L75" i="16"/>
  <c r="L18" i="16"/>
  <c r="L20" i="16"/>
  <c r="L45" i="16"/>
  <c r="L33" i="16"/>
  <c r="L36" i="16"/>
  <c r="L22" i="16"/>
  <c r="L82" i="16"/>
  <c r="L7" i="16"/>
  <c r="L12" i="16"/>
  <c r="L101" i="16"/>
  <c r="L61" i="16"/>
  <c r="C102" i="16"/>
  <c r="C105" i="16"/>
  <c r="C126" i="16"/>
  <c r="C117" i="16"/>
  <c r="C155" i="16"/>
  <c r="C103" i="16"/>
  <c r="C135" i="16"/>
  <c r="C161" i="16"/>
  <c r="L5" i="16"/>
  <c r="L99" i="16"/>
  <c r="L93" i="16"/>
  <c r="L50" i="16"/>
  <c r="L53" i="16"/>
  <c r="L76" i="16"/>
  <c r="L87" i="16"/>
  <c r="L34" i="16"/>
  <c r="L32" i="16"/>
  <c r="L57" i="16"/>
  <c r="L26" i="16"/>
  <c r="L47" i="16"/>
  <c r="C108" i="16"/>
  <c r="C120" i="16"/>
  <c r="C132" i="16"/>
  <c r="C144" i="16"/>
  <c r="C136" i="16"/>
  <c r="C118" i="16"/>
  <c r="C151" i="16"/>
  <c r="C124" i="16"/>
  <c r="L60" i="16"/>
  <c r="L28" i="16"/>
  <c r="L78" i="16"/>
  <c r="L42" i="16"/>
  <c r="L35" i="16"/>
  <c r="L95" i="16"/>
  <c r="L10" i="16"/>
  <c r="L102" i="16"/>
  <c r="L83" i="16"/>
  <c r="L29" i="16"/>
  <c r="L94" i="16"/>
  <c r="L59" i="16"/>
  <c r="C130" i="16"/>
  <c r="C112" i="16"/>
  <c r="C154" i="16"/>
  <c r="C159" i="16"/>
  <c r="C127" i="16"/>
  <c r="C116" i="16"/>
  <c r="C133" i="16"/>
  <c r="C162" i="16"/>
  <c r="L16" i="16"/>
  <c r="L66" i="16"/>
  <c r="L24" i="16"/>
  <c r="L27" i="16"/>
  <c r="L86" i="16"/>
  <c r="L70" i="16"/>
  <c r="L52" i="16"/>
  <c r="L64" i="16"/>
  <c r="L38" i="16"/>
  <c r="L19" i="16"/>
  <c r="L91" i="16"/>
  <c r="L17" i="16"/>
  <c r="L74" i="16"/>
  <c r="C153" i="16"/>
  <c r="C111" i="16"/>
  <c r="C143" i="16"/>
  <c r="C121" i="16"/>
  <c r="C109" i="16"/>
  <c r="C158" i="16"/>
  <c r="C147" i="16"/>
  <c r="C128" i="16"/>
  <c r="L30" i="16"/>
  <c r="L92" i="16"/>
  <c r="L51" i="16"/>
  <c r="L98" i="16"/>
  <c r="L89" i="16"/>
  <c r="L72" i="16"/>
  <c r="L49" i="16"/>
  <c r="L58" i="16"/>
  <c r="L55" i="16"/>
  <c r="L100" i="16"/>
  <c r="L54" i="16"/>
  <c r="L48" i="16"/>
  <c r="L25" i="16"/>
  <c r="C157" i="16"/>
  <c r="C107" i="16"/>
  <c r="C129" i="16"/>
  <c r="C113" i="16"/>
  <c r="C123" i="16"/>
  <c r="C160" i="16"/>
  <c r="C138" i="16"/>
  <c r="C119" i="16"/>
  <c r="L84" i="16"/>
  <c r="L8" i="16"/>
  <c r="L41" i="16"/>
  <c r="L11" i="16"/>
  <c r="L15" i="16"/>
  <c r="L63" i="16"/>
  <c r="L68" i="16"/>
  <c r="L77" i="16"/>
  <c r="L43" i="16"/>
  <c r="L21" i="16"/>
  <c r="L37" i="16"/>
  <c r="L88" i="16"/>
  <c r="L62" i="16"/>
  <c r="C163" i="16"/>
  <c r="C134" i="16"/>
  <c r="C122" i="16"/>
  <c r="C139" i="16"/>
  <c r="C104" i="16"/>
  <c r="C114" i="16"/>
  <c r="C137" i="16"/>
  <c r="O70" i="16"/>
  <c r="C17" i="16"/>
  <c r="O90" i="16"/>
  <c r="C27" i="16"/>
  <c r="C6" i="16"/>
  <c r="O81" i="16"/>
  <c r="O26" i="16"/>
  <c r="O65" i="16"/>
  <c r="O47" i="16"/>
  <c r="O13" i="16"/>
  <c r="O38" i="16"/>
  <c r="O83" i="16"/>
  <c r="O12" i="16"/>
  <c r="O34" i="16"/>
  <c r="O67" i="16"/>
  <c r="O31" i="16"/>
  <c r="O98" i="16"/>
  <c r="O21" i="16"/>
  <c r="O99" i="16"/>
  <c r="O24" i="16"/>
  <c r="O57" i="16"/>
  <c r="O88" i="16"/>
  <c r="O60" i="16"/>
  <c r="O45" i="16"/>
  <c r="O74" i="16"/>
  <c r="O96" i="16"/>
  <c r="C8" i="16"/>
  <c r="C5" i="16"/>
  <c r="C230" i="16"/>
  <c r="R5" i="16"/>
  <c r="O36" i="16"/>
  <c r="O22" i="16"/>
  <c r="O52" i="16"/>
  <c r="O72" i="16"/>
  <c r="O66" i="16"/>
  <c r="O79" i="16"/>
  <c r="O63" i="16"/>
  <c r="O91" i="16"/>
  <c r="O93" i="16"/>
  <c r="O41" i="16"/>
  <c r="O84" i="16"/>
  <c r="O43" i="16"/>
  <c r="O18" i="16"/>
  <c r="O85" i="16"/>
  <c r="O54" i="16"/>
  <c r="U34" i="1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tc={02C1A877-2FC5-4DAB-9FE1-C0965CFE203E}</author>
    <author>tc={170C91B2-D880-4D03-8787-559C82B60C33}</author>
  </authors>
  <commentList>
    <comment ref="G19" authorId="0" shapeId="0" xr:uid="{02C1A877-2FC5-4DAB-9FE1-C0965CFE203E}">
      <text>
        <t>[Threaded comment]
Your version of Excel allows you to read this threaded comment; however, any edits to it will get removed if the file is opened in a newer version of Excel. Learn more: https://go.microsoft.com/fwlink/?linkid=870924
Comment:
    Default 0.05</t>
      </text>
    </comment>
    <comment ref="G20" authorId="1" shapeId="0" xr:uid="{170C91B2-D880-4D03-8787-559C82B60C33}">
      <text>
        <t>[Threaded comment]
Your version of Excel allows you to read this threaded comment; however, any edits to it will get removed if the file is opened in a newer version of Excel. Learn more: https://go.microsoft.com/fwlink/?linkid=870924
Comment:
    Default 0.2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tc={F21D8311-FE19-409F-95BA-82A21FC5EEDE}</author>
    <author>tc={AB873CAA-763D-43CF-A1A4-28B028F20BDE}</author>
  </authors>
  <commentList>
    <comment ref="G19" authorId="0" shapeId="0" xr:uid="{F21D8311-FE19-409F-95BA-82A21FC5EEDE}">
      <text>
        <t>[Threaded comment]
Your version of Excel allows you to read this threaded comment; however, any edits to it will get removed if the file is opened in a newer version of Excel. Learn more: https://go.microsoft.com/fwlink/?linkid=870924
Comment:
    Default 0.05</t>
      </text>
    </comment>
    <comment ref="G20" authorId="1" shapeId="0" xr:uid="{AB873CAA-763D-43CF-A1A4-28B028F20BDE}">
      <text>
        <t>[Threaded comment]
Your version of Excel allows you to read this threaded comment; however, any edits to it will get removed if the file is opened in a newer version of Excel. Learn more: https://go.microsoft.com/fwlink/?linkid=870924
Comment:
    Default 0.2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C5E3C92-398C-4AAB-A6E7-1F3B287948E1}" keepAlive="1" name="Query - polar1" description="Connection to the 'polar1' query in the workbook." type="5" refreshedVersion="8" background="1" saveData="1">
    <dbPr connection="Provider=Microsoft.Mashup.OleDb.1;Data Source=$Workbook$;Location=polar1;Extended Properties=&quot;&quot;" command="SELECT * FROM [polar1]"/>
  </connection>
  <connection id="2" xr16:uid="{A472F2AE-CB8F-401E-853A-80A6064250C5}" keepAlive="1" name="Query - polar2" description="Connection to the 'polar2' query in the workbook." type="5" refreshedVersion="8" background="1" saveData="1">
    <dbPr connection="Provider=Microsoft.Mashup.OleDb.1;Data Source=$Workbook$;Location=polar2;Extended Properties=&quot;&quot;" command="SELECT * FROM [polar2]"/>
  </connection>
  <connection id="3" xr16:uid="{C250AF62-6947-4FCF-8094-2D05B2DE4ECB}" keepAlive="1" name="Query - polar4" description="Connection to the 'polar4' query in the workbook." type="5" refreshedVersion="8" background="1" saveData="1">
    <dbPr connection="Provider=Microsoft.Mashup.OleDb.1;Data Source=$Workbook$;Location=polar4;Extended Properties=&quot;&quot;" command="SELECT * FROM [polar4]"/>
  </connection>
  <connection id="4" xr16:uid="{656B54B5-00E5-4943-B1FA-0FF36544001A}" keepAlive="1" name="Query - polar8" description="Connection to the 'polar8' query in the workbook." type="5" refreshedVersion="8" background="1" saveData="1">
    <dbPr connection="Provider=Microsoft.Mashup.OleDb.1;Data Source=$Workbook$;Location=polar8;Extended Properties=&quot;&quot;" command="SELECT * FROM [polar8]"/>
  </connection>
  <connection id="5" xr16:uid="{7FF76113-36E3-4F95-8E84-5068422B01BE}" keepAlive="1" name="Query - T1_Re1 000_M0 84_N5 0_XtrTop 5%_XtrBot 5%" description="Connection to the 'T1_Re1 000_M0 84_N5 0_XtrTop 5%_XtrBot 5%' query in the workbook." type="5" refreshedVersion="8" background="1" saveData="1">
    <dbPr connection="Provider=Microsoft.Mashup.OleDb.1;Data Source=$Workbook$;Location=&quot;T1_Re1 000_M0 84_N5 0_XtrTop 5%_XtrBot 5%&quot;;Extended Properties=&quot;&quot;" command="SELECT * FROM [T1_Re1 000_M0 84_N5 0_XtrTop 5%_XtrBot 5%]"/>
  </connection>
  <connection id="6" xr16:uid="{3A4A6657-B876-4721-8B72-DDCA811EECBB}" keepAlive="1" name="Query - T1_Re10 000_M0 84_N5 0_XtrTop 5%_XtrBot 5%" description="Connection to the 'T1_Re10 000_M0 84_N5 0_XtrTop 5%_XtrBot 5%' query in the workbook." type="5" refreshedVersion="8" background="1" saveData="1">
    <dbPr connection="Provider=Microsoft.Mashup.OleDb.1;Data Source=$Workbook$;Location=&quot;T1_Re10 000_M0 84_N5 0_XtrTop 5%_XtrBot 5%&quot;;Extended Properties=&quot;&quot;" command="SELECT * FROM [T1_Re10 000_M0 84_N5 0_XtrTop 5%_XtrBot 5%]"/>
  </connection>
  <connection id="7" xr16:uid="{4901DA0D-FFE9-4B2A-8154-527332BAAF23}" keepAlive="1" name="Query - T1_Re100 000_M0 84_N5 0_XtrTop 5%_XtrBot 5%" description="Connection to the 'T1_Re100 000_M0 84_N5 0_XtrTop 5%_XtrBot 5%' query in the workbook." type="5" refreshedVersion="8" background="1" saveData="1">
    <dbPr connection="Provider=Microsoft.Mashup.OleDb.1;Data Source=$Workbook$;Location=&quot;T1_Re100 000_M0 84_N5 0_XtrTop 5%_XtrBot 5%&quot;;Extended Properties=&quot;&quot;" command="SELECT * FROM [T1_Re100 000_M0 84_N5 0_XtrTop 5%_XtrBot 5%]"/>
  </connection>
  <connection id="8" xr16:uid="{929D20B8-6AD5-47C2-BDC0-E9A9D14C67DA}" keepAlive="1" name="Query - T1_Re120 000_M0 84_N5 0_XtrTop 5%_XtrBot 5%" description="Connection to the 'T1_Re120 000_M0 84_N5 0_XtrTop 5%_XtrBot 5%' query in the workbook." type="5" refreshedVersion="8" background="1" saveData="1">
    <dbPr connection="Provider=Microsoft.Mashup.OleDb.1;Data Source=$Workbook$;Location=&quot;T1_Re120 000_M0 84_N5 0_XtrTop 5%_XtrBot 5%&quot;;Extended Properties=&quot;&quot;" command="SELECT * FROM [T1_Re120 000_M0 84_N5 0_XtrTop 5%_XtrBot 5%]"/>
  </connection>
  <connection id="9" xr16:uid="{00CA6ED8-B30F-4094-915E-2647C2BACB65}" keepAlive="1" name="Query - T1_Re160 000_M0 84_N5 0_XtrTop 5%_XtrBot 5%" description="Connection to the 'T1_Re160 000_M0 84_N5 0_XtrTop 5%_XtrBot 5%' query in the workbook." type="5" refreshedVersion="8" background="1" saveData="1">
    <dbPr connection="Provider=Microsoft.Mashup.OleDb.1;Data Source=$Workbook$;Location=&quot;T1_Re160 000_M0 84_N5 0_XtrTop 5%_XtrBot 5%&quot;;Extended Properties=&quot;&quot;" command="SELECT * FROM [T1_Re160 000_M0 84_N5 0_XtrTop 5%_XtrBot 5%]"/>
  </connection>
  <connection id="10" xr16:uid="{BB0B73FD-A325-4163-9DE3-55B6DD3C8EBA}" keepAlive="1" name="Query - T1_Re2 000_M0 84_N5 0_XtrTop 5%_XtrBot 5%" description="Connection to the 'T1_Re2 000_M0 84_N5 0_XtrTop 5%_XtrBot 5%' query in the workbook." type="5" refreshedVersion="8" background="1" saveData="1">
    <dbPr connection="Provider=Microsoft.Mashup.OleDb.1;Data Source=$Workbook$;Location=&quot;T1_Re2 000_M0 84_N5 0_XtrTop 5%_XtrBot 5%&quot;;Extended Properties=&quot;&quot;" command="SELECT * FROM [T1_Re2 000_M0 84_N5 0_XtrTop 5%_XtrBot 5%]"/>
  </connection>
  <connection id="11" xr16:uid="{8C7BB580-6A51-448C-846A-DAB6DC3BBD13}" keepAlive="1" name="Query - T1_Re20 000_M0 84_N5 0_XtrTop 5%_XtrBot 5%" description="Connection to the 'T1_Re20 000_M0 84_N5 0_XtrTop 5%_XtrBot 5%' query in the workbook." type="5" refreshedVersion="8" background="1" saveData="1">
    <dbPr connection="Provider=Microsoft.Mashup.OleDb.1;Data Source=$Workbook$;Location=&quot;T1_Re20 000_M0 84_N5 0_XtrTop 5%_XtrBot 5%&quot;;Extended Properties=&quot;&quot;" command="SELECT * FROM [T1_Re20 000_M0 84_N5 0_XtrTop 5%_XtrBot 5%]"/>
  </connection>
  <connection id="12" xr16:uid="{2A2FEF2A-CDAB-4651-9D14-7E1AB0ACC9AB}" keepAlive="1" name="Query - T1_Re200 000_M0 84_N5 0_XtrTop 5%_XtrBot 5%" description="Connection to the 'T1_Re200 000_M0 84_N5 0_XtrTop 5%_XtrBot 5%' query in the workbook." type="5" refreshedVersion="8" background="1" saveData="1">
    <dbPr connection="Provider=Microsoft.Mashup.OleDb.1;Data Source=$Workbook$;Location=&quot;T1_Re200 000_M0 84_N5 0_XtrTop 5%_XtrBot 5%&quot;;Extended Properties=&quot;&quot;" command="SELECT * FROM [T1_Re200 000_M0 84_N5 0_XtrTop 5%_XtrBot 5%]"/>
  </connection>
  <connection id="13" xr16:uid="{D72AE403-B6A2-4B2E-B3C2-9422E116EF2F}" keepAlive="1" name="Query - T1_Re3 000_M0 84_N5 0_XtrTop 5%_XtrBot 5%" description="Connection to the 'T1_Re3 000_M0 84_N5 0_XtrTop 5%_XtrBot 5%' query in the workbook." type="5" refreshedVersion="8" background="1" saveData="1">
    <dbPr connection="Provider=Microsoft.Mashup.OleDb.1;Data Source=$Workbook$;Location=&quot;T1_Re3 000_M0 84_N5 0_XtrTop 5%_XtrBot 5%&quot;;Extended Properties=&quot;&quot;" command="SELECT * FROM [T1_Re3 000_M0 84_N5 0_XtrTop 5%_XtrBot 5%]"/>
  </connection>
  <connection id="14" xr16:uid="{F540F914-236B-4ED9-9A0B-52F9CE8829FB}" keepAlive="1" name="Query - T1_Re40 000_M0 84_N5 0_XtrTop 5%_XtrBot 5%" description="Connection to the 'T1_Re40 000_M0 84_N5 0_XtrTop 5%_XtrBot 5%' query in the workbook." type="5" refreshedVersion="8" background="1" saveData="1">
    <dbPr connection="Provider=Microsoft.Mashup.OleDb.1;Data Source=$Workbook$;Location=&quot;T1_Re40 000_M0 84_N5 0_XtrTop 5%_XtrBot 5%&quot;;Extended Properties=&quot;&quot;" command="SELECT * FROM [T1_Re40 000_M0 84_N5 0_XtrTop 5%_XtrBot 5%]"/>
  </connection>
  <connection id="15" xr16:uid="{A8219EBB-B5AE-45F9-A61F-99EB0ACEBD1E}" keepAlive="1" name="Query - T1_Re5 000_M0 84_N5 0_XtrTop 5%_XtrBot 5%" description="Connection to the 'T1_Re5 000_M0 84_N5 0_XtrTop 5%_XtrBot 5%' query in the workbook." type="5" refreshedVersion="8" background="1" saveData="1">
    <dbPr connection="Provider=Microsoft.Mashup.OleDb.1;Data Source=$Workbook$;Location=&quot;T1_Re5 000_M0 84_N5 0_XtrTop 5%_XtrBot 5%&quot;;Extended Properties=&quot;&quot;" command="SELECT * FROM [T1_Re5 000_M0 84_N5 0_XtrTop 5%_XtrBot 5%]"/>
  </connection>
  <connection id="16" xr16:uid="{6649800A-C1A3-4710-A7CC-1CBF00A13511}" keepAlive="1" name="Query - T1_Re5 000_M0 84_N5 0_XtrTop 5%_XtrBot 5% (2)" description="Connection to the 'T1_Re5 000_M0 84_N5 0_XtrTop 5%_XtrBot 5% (2)' query in the workbook." type="5" refreshedVersion="8" background="1" saveData="1">
    <dbPr connection="Provider=Microsoft.Mashup.OleDb.1;Data Source=$Workbook$;Location=&quot;T1_Re5 000_M0 84_N5 0_XtrTop 5%_XtrBot 5% (2)&quot;;Extended Properties=&quot;&quot;" command="SELECT * FROM [T1_Re5 000_M0 84_N5 0_XtrTop 5%_XtrBot 5% (2)]"/>
  </connection>
  <connection id="17" xr16:uid="{4196E9B2-87A3-4541-AB37-C066A5202AF3}" keepAlive="1" name="Query - T1_Re60 000_M0 84_N5 0_XtrTop 5%_XtrBot 5%" description="Connection to the 'T1_Re60 000_M0 84_N5 0_XtrTop 5%_XtrBot 5%' query in the workbook." type="5" refreshedVersion="8" background="1" saveData="1">
    <dbPr connection="Provider=Microsoft.Mashup.OleDb.1;Data Source=$Workbook$;Location=&quot;T1_Re60 000_M0 84_N5 0_XtrTop 5%_XtrBot 5%&quot;;Extended Properties=&quot;&quot;" command="SELECT * FROM [T1_Re60 000_M0 84_N5 0_XtrTop 5%_XtrBot 5%]"/>
  </connection>
  <connection id="18" xr16:uid="{F26E6A9C-8816-4E19-9CE4-5BC57AC51D23}" keepAlive="1" name="Query - T1_Re80 000_M0 84_N5 0_XtrTop 5%_XtrBot 5%" description="Connection to the 'T1_Re80 000_M0 84_N5 0_XtrTop 5%_XtrBot 5%' query in the workbook." type="5" refreshedVersion="8" background="1" saveData="1">
    <dbPr connection="Provider=Microsoft.Mashup.OleDb.1;Data Source=$Workbook$;Location=&quot;T1_Re80 000_M0 84_N5 0_XtrTop 5%_XtrBot 5%&quot;;Extended Properties=&quot;&quot;" command="SELECT * FROM [T1_Re80 000_M0 84_N5 0_XtrTop 5%_XtrBot 5%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<sst xmlns="http://schemas.openxmlformats.org/spreadsheetml/2006/main" count="910" uniqueCount="291">
  <si>
    <t>alpha</t>
  </si>
  <si>
    <t>CL</t>
  </si>
  <si>
    <t>CD</t>
  </si>
  <si>
    <t>CDp</t>
  </si>
  <si>
    <t>Cm</t>
  </si>
  <si>
    <t>Cpmin</t>
  </si>
  <si>
    <t>Chinge</t>
  </si>
  <si>
    <t>XCp</t>
  </si>
  <si>
    <t>Top Xtr</t>
  </si>
  <si>
    <t>Bot Xtr</t>
  </si>
  <si>
    <t>Column11</t>
  </si>
  <si>
    <t>Column12</t>
  </si>
  <si>
    <t>Name:</t>
  </si>
  <si>
    <t>Cdmin</t>
  </si>
  <si>
    <t>Clmin</t>
  </si>
  <si>
    <t>k1</t>
  </si>
  <si>
    <t>k3</t>
  </si>
  <si>
    <t>Cl1</t>
  </si>
  <si>
    <t>Cd1</t>
  </si>
  <si>
    <t>Cl3</t>
  </si>
  <si>
    <t>Cd3</t>
  </si>
  <si>
    <t>a1</t>
  </si>
  <si>
    <t>a3</t>
  </si>
  <si>
    <t>Cdcutoff</t>
  </si>
  <si>
    <t>Region 1-2</t>
  </si>
  <si>
    <t>Region 2-3</t>
  </si>
  <si>
    <t>Cdinc</t>
  </si>
  <si>
    <t>Clinc</t>
  </si>
  <si>
    <t>Cdx1</t>
  </si>
  <si>
    <t>Cdx3</t>
  </si>
  <si>
    <t>ClFac</t>
  </si>
  <si>
    <t>Region 1 stall</t>
  </si>
  <si>
    <t>Region 3 stall</t>
  </si>
  <si>
    <t>Clmax</t>
  </si>
  <si>
    <t>CL1</t>
  </si>
  <si>
    <t>CD1</t>
  </si>
  <si>
    <t>CL2</t>
  </si>
  <si>
    <t>CL3</t>
  </si>
  <si>
    <t>CD2</t>
  </si>
  <si>
    <t>CL4</t>
  </si>
  <si>
    <t>Cdfit</t>
  </si>
  <si>
    <t>Cd</t>
  </si>
  <si>
    <t>Cl</t>
  </si>
  <si>
    <t>R^2</t>
  </si>
  <si>
    <t>Num</t>
  </si>
  <si>
    <t>Re</t>
  </si>
  <si>
    <t>CLAF</t>
  </si>
  <si>
    <t>CD3</t>
  </si>
  <si>
    <t>Variable</t>
  </si>
  <si>
    <t>Quantity</t>
  </si>
  <si>
    <t>Unit</t>
  </si>
  <si>
    <t>Lower</t>
  </si>
  <si>
    <t>Equality</t>
  </si>
  <si>
    <t>Upper</t>
  </si>
  <si>
    <t>Wing Area</t>
  </si>
  <si>
    <t>m^2</t>
  </si>
  <si>
    <t>Taper Ratio</t>
  </si>
  <si>
    <t>Wingspan</t>
  </si>
  <si>
    <t>m</t>
  </si>
  <si>
    <t>Root Chord</t>
  </si>
  <si>
    <t>Tip Chord</t>
  </si>
  <si>
    <t>Wing Variables</t>
  </si>
  <si>
    <t>Design Variables</t>
  </si>
  <si>
    <t>Geometry Visualization</t>
  </si>
  <si>
    <t>Point</t>
  </si>
  <si>
    <t>X</t>
  </si>
  <si>
    <t>Y</t>
  </si>
  <si>
    <t>Constants</t>
  </si>
  <si>
    <t>Mass</t>
  </si>
  <si>
    <t>kg</t>
  </si>
  <si>
    <t>Density</t>
  </si>
  <si>
    <t>kg/m^3</t>
  </si>
  <si>
    <t>Gravity</t>
  </si>
  <si>
    <t>m/s^2</t>
  </si>
  <si>
    <t>m/s</t>
  </si>
  <si>
    <t>Header</t>
  </si>
  <si>
    <t>Wing</t>
  </si>
  <si>
    <t>Section 1</t>
  </si>
  <si>
    <t>Section 2</t>
  </si>
  <si>
    <t>Sref</t>
  </si>
  <si>
    <t>Cref</t>
  </si>
  <si>
    <t>Bref</t>
  </si>
  <si>
    <t>Xle</t>
  </si>
  <si>
    <t>Yle</t>
  </si>
  <si>
    <t>Zle</t>
  </si>
  <si>
    <t>chord</t>
  </si>
  <si>
    <t>Chord</t>
  </si>
  <si>
    <t>Angle</t>
  </si>
  <si>
    <t>deg</t>
  </si>
  <si>
    <t>Pa*s</t>
  </si>
  <si>
    <t>x^2</t>
  </si>
  <si>
    <t>x^1</t>
  </si>
  <si>
    <t>x^0</t>
  </si>
  <si>
    <t>---------------------------------------------------------------</t>
  </si>
  <si>
    <t>Vortex</t>
  </si>
  <si>
    <t>Lattice</t>
  </si>
  <si>
    <t>Output</t>
  </si>
  <si>
    <t>--</t>
  </si>
  <si>
    <t>Total</t>
  </si>
  <si>
    <t>Forces</t>
  </si>
  <si>
    <t>Configuration:</t>
  </si>
  <si>
    <t>#</t>
  </si>
  <si>
    <t>Surfaces</t>
  </si>
  <si>
    <t>=</t>
  </si>
  <si>
    <t>Strips</t>
  </si>
  <si>
    <t>Vortices</t>
  </si>
  <si>
    <t>Xref</t>
  </si>
  <si>
    <t>Yref</t>
  </si>
  <si>
    <t>Zref</t>
  </si>
  <si>
    <t>Standard</t>
  </si>
  <si>
    <t>axis</t>
  </si>
  <si>
    <t>orientation,</t>
  </si>
  <si>
    <t>fwd,</t>
  </si>
  <si>
    <t>Z</t>
  </si>
  <si>
    <t>down</t>
  </si>
  <si>
    <t>Run</t>
  </si>
  <si>
    <t>case:</t>
  </si>
  <si>
    <t>-unnamed-</t>
  </si>
  <si>
    <t>Alpha</t>
  </si>
  <si>
    <t>pb/2V</t>
  </si>
  <si>
    <t>p'b/2V</t>
  </si>
  <si>
    <t>Beta</t>
  </si>
  <si>
    <t>qc/2V</t>
  </si>
  <si>
    <t>Mach</t>
  </si>
  <si>
    <t>rb/2V</t>
  </si>
  <si>
    <t>r'b/2V</t>
  </si>
  <si>
    <t>CXtot</t>
  </si>
  <si>
    <t>Cltot</t>
  </si>
  <si>
    <t>Cl'tot</t>
  </si>
  <si>
    <t>CYtot</t>
  </si>
  <si>
    <t>Cmtot</t>
  </si>
  <si>
    <t>CZtot</t>
  </si>
  <si>
    <t>Cntot</t>
  </si>
  <si>
    <t>Cn'tot</t>
  </si>
  <si>
    <t>CLtot</t>
  </si>
  <si>
    <t>CDtot</t>
  </si>
  <si>
    <t>CDvis</t>
  </si>
  <si>
    <t>CDind</t>
  </si>
  <si>
    <t>CLff</t>
  </si>
  <si>
    <t>CDff</t>
  </si>
  <si>
    <t>|</t>
  </si>
  <si>
    <t>Trefftz</t>
  </si>
  <si>
    <t>CYff</t>
  </si>
  <si>
    <t>e</t>
  </si>
  <si>
    <t>Plane</t>
  </si>
  <si>
    <t>Stability-axis</t>
  </si>
  <si>
    <t>derivatives...</t>
  </si>
  <si>
    <t>beta</t>
  </si>
  <si>
    <t>----------------</t>
  </si>
  <si>
    <t>z'</t>
  </si>
  <si>
    <t>force</t>
  </si>
  <si>
    <t>CLa</t>
  </si>
  <si>
    <t>CLb</t>
  </si>
  <si>
    <t>y</t>
  </si>
  <si>
    <t>CY</t>
  </si>
  <si>
    <t>CYa</t>
  </si>
  <si>
    <t>CYb</t>
  </si>
  <si>
    <t>x'</t>
  </si>
  <si>
    <t>mom.</t>
  </si>
  <si>
    <t>Cl'|</t>
  </si>
  <si>
    <t>Cla</t>
  </si>
  <si>
    <t>Clb</t>
  </si>
  <si>
    <t>Cma</t>
  </si>
  <si>
    <t>Cmb</t>
  </si>
  <si>
    <t>Cn'|</t>
  </si>
  <si>
    <t>Cna</t>
  </si>
  <si>
    <t>Cnb</t>
  </si>
  <si>
    <t>roll</t>
  </si>
  <si>
    <t>rate</t>
  </si>
  <si>
    <t>p'</t>
  </si>
  <si>
    <t>pitch</t>
  </si>
  <si>
    <t>q'</t>
  </si>
  <si>
    <t>yaw</t>
  </si>
  <si>
    <t>r'</t>
  </si>
  <si>
    <t>CLp</t>
  </si>
  <si>
    <t>CLq</t>
  </si>
  <si>
    <t>CLr</t>
  </si>
  <si>
    <t>CYp</t>
  </si>
  <si>
    <t>CYq</t>
  </si>
  <si>
    <t>CYr</t>
  </si>
  <si>
    <t>Clp</t>
  </si>
  <si>
    <t>Clq</t>
  </si>
  <si>
    <t>Clr</t>
  </si>
  <si>
    <t>Cmp</t>
  </si>
  <si>
    <t>Cmq</t>
  </si>
  <si>
    <t>Cmr</t>
  </si>
  <si>
    <t>Cnp</t>
  </si>
  <si>
    <t>Cnq</t>
  </si>
  <si>
    <t>Cnr</t>
  </si>
  <si>
    <t>Neutral</t>
  </si>
  <si>
    <t>point</t>
  </si>
  <si>
    <t>Xnp</t>
  </si>
  <si>
    <t>Surface</t>
  </si>
  <si>
    <t>and</t>
  </si>
  <si>
    <t>Strip</t>
  </si>
  <si>
    <t>by</t>
  </si>
  <si>
    <t>surface</t>
  </si>
  <si>
    <t>referred</t>
  </si>
  <si>
    <t>to</t>
  </si>
  <si>
    <t>Sref,</t>
  </si>
  <si>
    <t>Cref,</t>
  </si>
  <si>
    <t>about</t>
  </si>
  <si>
    <t>Xref,</t>
  </si>
  <si>
    <t>Yref,</t>
  </si>
  <si>
    <t>Chordwise</t>
  </si>
  <si>
    <t>Spanwise</t>
  </si>
  <si>
    <t>First</t>
  </si>
  <si>
    <t>strip</t>
  </si>
  <si>
    <t>area</t>
  </si>
  <si>
    <t>Ave.</t>
  </si>
  <si>
    <t>CLsurf</t>
  </si>
  <si>
    <t>Clsurf</t>
  </si>
  <si>
    <t>CYsurf</t>
  </si>
  <si>
    <t>Cmsurf</t>
  </si>
  <si>
    <t>CDsurf</t>
  </si>
  <si>
    <t>Cnsurf</t>
  </si>
  <si>
    <t>CDisurf</t>
  </si>
  <si>
    <t>CDvsurf</t>
  </si>
  <si>
    <t>Ssurf,</t>
  </si>
  <si>
    <t>Cave</t>
  </si>
  <si>
    <t>hinge</t>
  </si>
  <si>
    <t>thru</t>
  </si>
  <si>
    <t>LE</t>
  </si>
  <si>
    <t>Deflect</t>
  </si>
  <si>
    <t>Area,</t>
  </si>
  <si>
    <t>j</t>
  </si>
  <si>
    <t>Area</t>
  </si>
  <si>
    <t>c</t>
  </si>
  <si>
    <t>cl</t>
  </si>
  <si>
    <t>ai</t>
  </si>
  <si>
    <t>cl_norm</t>
  </si>
  <si>
    <t>cd</t>
  </si>
  <si>
    <t>cdv</t>
  </si>
  <si>
    <t>cm_c/4</t>
  </si>
  <si>
    <t>cm_LE</t>
  </si>
  <si>
    <t>C.P.x/c</t>
  </si>
  <si>
    <t>(YDUP)</t>
  </si>
  <si>
    <t>Cdtot</t>
  </si>
  <si>
    <t>Taper</t>
  </si>
  <si>
    <t>Slope (deg)</t>
  </si>
  <si>
    <t>Slope (rad)</t>
  </si>
  <si>
    <t>Sweep</t>
  </si>
  <si>
    <t>Delta</t>
  </si>
  <si>
    <t>CLAF Average</t>
  </si>
  <si>
    <t>Tip Setback</t>
  </si>
  <si>
    <t>Condition</t>
  </si>
  <si>
    <t>Viscosity</t>
  </si>
  <si>
    <t>Velocity</t>
  </si>
  <si>
    <t>F-67A</t>
  </si>
  <si>
    <t>/</t>
  </si>
  <si>
    <t>(</t>
  </si>
  <si>
    <t>&gt;</t>
  </si>
  <si>
    <t>if</t>
  </si>
  <si>
    <t>spirally</t>
  </si>
  <si>
    <t>stable</t>
  </si>
  <si>
    <t>)</t>
  </si>
  <si>
    <t>L/D</t>
  </si>
  <si>
    <t>CDmisc</t>
  </si>
  <si>
    <t>Outputs</t>
  </si>
  <si>
    <t>M_DD</t>
  </si>
  <si>
    <t>K</t>
  </si>
  <si>
    <t>t/c</t>
  </si>
  <si>
    <t>M_crit</t>
  </si>
  <si>
    <t>CDwave</t>
  </si>
  <si>
    <t>M_cruise</t>
  </si>
  <si>
    <t>Above?</t>
  </si>
  <si>
    <t>Transonic Drag</t>
  </si>
  <si>
    <t>Objective: Maximize L/D</t>
  </si>
  <si>
    <t>Twist</t>
  </si>
  <si>
    <t>N</t>
  </si>
  <si>
    <t>0 twist</t>
  </si>
  <si>
    <t>XFOIL parasitic polars</t>
  </si>
  <si>
    <t>CDvisc</t>
  </si>
  <si>
    <t>Korn Supercritical CDwave</t>
  </si>
  <si>
    <t>s</t>
  </si>
  <si>
    <t>CM</t>
  </si>
  <si>
    <t>polar8</t>
  </si>
  <si>
    <t>T1_Re60 000_M0 84_N5 0_XtrTop 5</t>
  </si>
  <si>
    <t>^1</t>
  </si>
  <si>
    <t>^0</t>
  </si>
  <si>
    <t>CD_AF</t>
  </si>
  <si>
    <t>CD_XF</t>
  </si>
  <si>
    <t>CD_Adj</t>
  </si>
  <si>
    <t>CD1_Adj</t>
  </si>
  <si>
    <t>CD2_Adj</t>
  </si>
  <si>
    <t>CD3_Adj</t>
  </si>
  <si>
    <t>Korn Supercritical Cwave</t>
  </si>
  <si>
    <t>XFOIL parasitic polars, adjusted using Adflow</t>
  </si>
  <si>
    <t>Objective: Maximize L/D, avoid tip stall</t>
  </si>
  <si>
    <t>Cruise</t>
  </si>
  <si>
    <t>Stall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</si>
</sst>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49992370372631"/>
        <bgColor indexed="64"/>
      </patternFill>
    </fill>
  </fills>
  <borders count="1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42">
    <xf numFmtId="0" fontId="0" fillId="0" borderId="0" xfId="0"/>
    <xf numFmtId="49" fontId="0" fillId="0" borderId="0" xfId="0" applyNumberFormat="1"/>
    <xf numFmtId="0" fontId="1" fillId="0" borderId="0" xfId="0" applyFont="1"/>
    <xf numFmtId="0" fontId="0" fillId="2" borderId="0" xfId="0" applyFill="1"/>
    <xf numFmtId="0" fontId="0" fillId="3" borderId="0" xfId="0" applyFill="1"/>
    <xf numFmtId="1" fontId="0" fillId="2" borderId="0" xfId="0" applyNumberFormat="1" applyFill="1"/>
    <xf numFmtId="0" fontId="0" fillId="0" borderId="1" xfId="0" applyBorder="1"/>
    <xf numFmtId="0" fontId="0" fillId="0" borderId="3" xfId="0" applyBorder="1"/>
    <xf numFmtId="0" fontId="0" fillId="0" borderId="2" xfId="0" applyBorder="1"/>
    <xf numFmtId="0" fontId="1" fillId="0" borderId="1" xfId="0" applyFont="1" applyBorder="1"/>
    <xf numFmtId="0" fontId="0" fillId="0" borderId="4" xfId="0" applyBorder="1"/>
    <xf numFmtId="0" fontId="0" fillId="0" borderId="7" xfId="0" applyBorder="1"/>
    <xf numFmtId="0" fontId="0" fillId="0" borderId="6" xfId="0" applyBorder="1"/>
    <xf numFmtId="0" fontId="0" fillId="4" borderId="0" xfId="0" applyFill="1"/>
    <xf numFmtId="0" fontId="0" fillId="0" borderId="10" xfId="0" applyBorder="1"/>
    <xf numFmtId="0" fontId="0" fillId="0" borderId="9" xfId="0" applyBorder="1"/>
    <xf numFmtId="0" fontId="1" fillId="0" borderId="4" xfId="0" applyFont="1" applyBorder="1"/>
    <xf numFmtId="0" fontId="0" fillId="0" borderId="11" xfId="0" applyBorder="1"/>
    <xf numFmtId="11" fontId="0" fillId="0" borderId="0" xfId="0" applyNumberFormat="1"/>
    <xf numFmtId="11" fontId="0" fillId="4" borderId="0" xfId="0" applyNumberFormat="1" applyFill="1"/>
    <xf numFmtId="0" fontId="0" fillId="0" borderId="5" xfId="0" applyBorder="1"/>
    <xf numFmtId="0" fontId="0" fillId="0" borderId="0" xfId="0" applyAlignment="1">
      <alignment horizontal="center"/>
    </xf>
    <xf numFmtId="0" fontId="0" fillId="0" borderId="12" xfId="0" applyBorder="1" applyAlignment="1">
      <alignment horizontal="center" vertical="center" textRotation="90"/>
    </xf>
    <xf numFmtId="0" fontId="0" fillId="0" borderId="0" xfId="0" applyAlignment="1">
      <alignment horizontal="center" vertical="center" textRotation="90"/>
    </xf>
    <xf numFmtId="0" fontId="0" fillId="0" borderId="7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NumberFormat="1"/>
    <xf numFmtId="0" fontId="0" fillId="0" borderId="0" xfId="0" applyFill="1"/>
    <xf numFmtId="11" fontId="0" fillId="0" borderId="7" xfId="0" applyNumberFormat="1" applyBorder="1"/>
    <xf numFmtId="0" fontId="0" fillId="0" borderId="1" xfId="0" applyFill="1" applyBorder="1"/>
    <xf numFmtId="0" fontId="0" fillId="0" borderId="0" xfId="0" applyBorder="1"/>
    <xf numFmtId="0" fontId="0" fillId="0" borderId="12" xfId="0" applyBorder="1"/>
    <xf numFmtId="0" fontId="0" fillId="0" borderId="12" xfId="0" applyBorder="1" applyAlignment="1">
      <alignment horizontal="right" vertical="center" textRotation="90"/>
    </xf>
    <xf numFmtId="0" fontId="0" fillId="0" borderId="0" xfId="0" applyBorder="1" applyAlignment="1">
      <alignment horizontal="right" vertical="center" textRotation="90"/>
    </xf>
    <xf numFmtId="0" fontId="0" fillId="0" borderId="13" xfId="0" applyBorder="1"/>
    <xf numFmtId="0" fontId="0" fillId="0" borderId="2" xfId="0" applyBorder="1" applyAlignment="1">
      <alignment horizontal="right" vertical="center" textRotation="90"/>
    </xf>
    <xf numFmtId="0" fontId="0" fillId="0" borderId="14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onnections" Target="connections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microsoft.com/office/2017/10/relationships/person" Target="persons/person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CDCL!$B$4:$B$247</c:f>
              <c:numCache>
                <c:formatCode>General</c:formatCode>
                <c:ptCount val="244"/>
                <c:pt idx="0">
                  <c:v>6.28E-3</c:v>
                </c:pt>
                <c:pt idx="1">
                  <c:v>5.94E-3</c:v>
                </c:pt>
                <c:pt idx="2">
                  <c:v>5.6800000000000002E-3</c:v>
                </c:pt>
                <c:pt idx="3">
                  <c:v>5.4799999999999996E-3</c:v>
                </c:pt>
                <c:pt idx="4">
                  <c:v>5.3600000000000002E-3</c:v>
                </c:pt>
                <c:pt idx="5">
                  <c:v>5.28E-3</c:v>
                </c:pt>
                <c:pt idx="6">
                  <c:v>5.2300000000000003E-3</c:v>
                </c:pt>
                <c:pt idx="7">
                  <c:v>5.1900000000000002E-3</c:v>
                </c:pt>
                <c:pt idx="8">
                  <c:v>5.1599999999999997E-3</c:v>
                </c:pt>
                <c:pt idx="9">
                  <c:v>5.1500000000000001E-3</c:v>
                </c:pt>
                <c:pt idx="10">
                  <c:v>5.13E-3</c:v>
                </c:pt>
                <c:pt idx="11">
                  <c:v>5.1200000000000004E-3</c:v>
                </c:pt>
                <c:pt idx="12">
                  <c:v>5.1200000000000004E-3</c:v>
                </c:pt>
                <c:pt idx="13">
                  <c:v>5.11E-3</c:v>
                </c:pt>
                <c:pt idx="14">
                  <c:v>5.11E-3</c:v>
                </c:pt>
                <c:pt idx="15">
                  <c:v>5.1000000000000004E-3</c:v>
                </c:pt>
                <c:pt idx="16">
                  <c:v>5.1000000000000004E-3</c:v>
                </c:pt>
                <c:pt idx="17">
                  <c:v>5.1000000000000004E-3</c:v>
                </c:pt>
                <c:pt idx="18">
                  <c:v>5.0899999999999999E-3</c:v>
                </c:pt>
                <c:pt idx="19">
                  <c:v>5.0899999999999999E-3</c:v>
                </c:pt>
                <c:pt idx="20">
                  <c:v>5.0899999999999999E-3</c:v>
                </c:pt>
                <c:pt idx="21">
                  <c:v>5.0899999999999999E-3</c:v>
                </c:pt>
                <c:pt idx="22">
                  <c:v>5.0899999999999999E-3</c:v>
                </c:pt>
                <c:pt idx="23">
                  <c:v>5.0899999999999999E-3</c:v>
                </c:pt>
                <c:pt idx="24">
                  <c:v>5.0899999999999999E-3</c:v>
                </c:pt>
                <c:pt idx="25">
                  <c:v>5.0899999999999999E-3</c:v>
                </c:pt>
                <c:pt idx="26">
                  <c:v>5.0899999999999999E-3</c:v>
                </c:pt>
                <c:pt idx="27">
                  <c:v>5.0899999999999999E-3</c:v>
                </c:pt>
                <c:pt idx="28">
                  <c:v>5.1000000000000004E-3</c:v>
                </c:pt>
                <c:pt idx="29">
                  <c:v>5.1000000000000004E-3</c:v>
                </c:pt>
                <c:pt idx="30">
                  <c:v>5.1000000000000004E-3</c:v>
                </c:pt>
                <c:pt idx="31">
                  <c:v>5.13E-3</c:v>
                </c:pt>
                <c:pt idx="32">
                  <c:v>5.1399999999999996E-3</c:v>
                </c:pt>
                <c:pt idx="33">
                  <c:v>5.1500000000000001E-3</c:v>
                </c:pt>
                <c:pt idx="34">
                  <c:v>5.1599999999999997E-3</c:v>
                </c:pt>
                <c:pt idx="35">
                  <c:v>5.1700000000000001E-3</c:v>
                </c:pt>
                <c:pt idx="36">
                  <c:v>5.1700000000000001E-3</c:v>
                </c:pt>
                <c:pt idx="37">
                  <c:v>5.1799999999999997E-3</c:v>
                </c:pt>
                <c:pt idx="38">
                  <c:v>5.1799999999999997E-3</c:v>
                </c:pt>
                <c:pt idx="39">
                  <c:v>5.1900000000000002E-3</c:v>
                </c:pt>
                <c:pt idx="40">
                  <c:v>5.1900000000000002E-3</c:v>
                </c:pt>
                <c:pt idx="41">
                  <c:v>5.1999999999999998E-3</c:v>
                </c:pt>
                <c:pt idx="42">
                  <c:v>5.1999999999999998E-3</c:v>
                </c:pt>
                <c:pt idx="43">
                  <c:v>5.2100000000000002E-3</c:v>
                </c:pt>
                <c:pt idx="44">
                  <c:v>5.2300000000000003E-3</c:v>
                </c:pt>
                <c:pt idx="45">
                  <c:v>5.2500000000000003E-3</c:v>
                </c:pt>
                <c:pt idx="46">
                  <c:v>5.2599999999999999E-3</c:v>
                </c:pt>
                <c:pt idx="47">
                  <c:v>5.2500000000000003E-3</c:v>
                </c:pt>
                <c:pt idx="48">
                  <c:v>5.2599999999999999E-3</c:v>
                </c:pt>
                <c:pt idx="49">
                  <c:v>5.2700000000000004E-3</c:v>
                </c:pt>
                <c:pt idx="50">
                  <c:v>5.2900000000000004E-3</c:v>
                </c:pt>
                <c:pt idx="51">
                  <c:v>5.3E-3</c:v>
                </c:pt>
                <c:pt idx="52">
                  <c:v>5.3200000000000001E-3</c:v>
                </c:pt>
                <c:pt idx="53">
                  <c:v>5.3400000000000001E-3</c:v>
                </c:pt>
                <c:pt idx="54">
                  <c:v>5.3600000000000002E-3</c:v>
                </c:pt>
                <c:pt idx="55">
                  <c:v>5.3800000000000002E-3</c:v>
                </c:pt>
                <c:pt idx="56">
                  <c:v>5.4000000000000003E-3</c:v>
                </c:pt>
                <c:pt idx="57">
                  <c:v>5.4200000000000003E-3</c:v>
                </c:pt>
                <c:pt idx="58">
                  <c:v>5.4299999999999999E-3</c:v>
                </c:pt>
                <c:pt idx="59">
                  <c:v>5.45E-3</c:v>
                </c:pt>
                <c:pt idx="60">
                  <c:v>5.47E-3</c:v>
                </c:pt>
                <c:pt idx="61">
                  <c:v>5.4900000000000001E-3</c:v>
                </c:pt>
                <c:pt idx="62">
                  <c:v>5.4999999999999997E-3</c:v>
                </c:pt>
                <c:pt idx="63">
                  <c:v>5.5199999999999997E-3</c:v>
                </c:pt>
                <c:pt idx="64">
                  <c:v>5.5500000000000002E-3</c:v>
                </c:pt>
                <c:pt idx="65">
                  <c:v>5.5700000000000003E-3</c:v>
                </c:pt>
              </c:numCache>
            </c:numRef>
          </c:xVal>
          <c:yVal>
            <c:numRef>
              <c:f>CDCL!$D$4:$D$247</c:f>
              <c:numCache>
                <c:formatCode>General</c:formatCode>
                <c:ptCount val="244"/>
                <c:pt idx="0">
                  <c:v>-5.5500000000000001E-2</c:v>
                </c:pt>
                <c:pt idx="1">
                  <c:v>-4.4900000000000002E-2</c:v>
                </c:pt>
                <c:pt idx="2">
                  <c:v>-3.3700000000000001E-2</c:v>
                </c:pt>
                <c:pt idx="3">
                  <c:v>-2.1999999999999999E-2</c:v>
                </c:pt>
                <c:pt idx="4">
                  <c:v>-0.01</c:v>
                </c:pt>
                <c:pt idx="5">
                  <c:v>2.0999999999999999E-3</c:v>
                </c:pt>
                <c:pt idx="6">
                  <c:v>1.4200000000000001E-2</c:v>
                </c:pt>
                <c:pt idx="7">
                  <c:v>2.6100000000000002E-2</c:v>
                </c:pt>
                <c:pt idx="8">
                  <c:v>3.7999999999999999E-2</c:v>
                </c:pt>
                <c:pt idx="9">
                  <c:v>4.9799999999999997E-2</c:v>
                </c:pt>
                <c:pt idx="10">
                  <c:v>6.1600000000000002E-2</c:v>
                </c:pt>
                <c:pt idx="11">
                  <c:v>7.3300000000000004E-2</c:v>
                </c:pt>
                <c:pt idx="12">
                  <c:v>8.4900000000000003E-2</c:v>
                </c:pt>
                <c:pt idx="13">
                  <c:v>9.64E-2</c:v>
                </c:pt>
                <c:pt idx="14">
                  <c:v>0.1079</c:v>
                </c:pt>
                <c:pt idx="15">
                  <c:v>0.1193</c:v>
                </c:pt>
                <c:pt idx="16">
                  <c:v>0.13070000000000001</c:v>
                </c:pt>
                <c:pt idx="17">
                  <c:v>0.1421</c:v>
                </c:pt>
                <c:pt idx="18">
                  <c:v>0.15340000000000001</c:v>
                </c:pt>
                <c:pt idx="19">
                  <c:v>0.1646</c:v>
                </c:pt>
                <c:pt idx="20">
                  <c:v>0.1759</c:v>
                </c:pt>
                <c:pt idx="21">
                  <c:v>0.18709999999999999</c:v>
                </c:pt>
                <c:pt idx="22">
                  <c:v>0.1983</c:v>
                </c:pt>
                <c:pt idx="23">
                  <c:v>0.2094</c:v>
                </c:pt>
                <c:pt idx="24">
                  <c:v>0.2205</c:v>
                </c:pt>
                <c:pt idx="25">
                  <c:v>0.23169999999999999</c:v>
                </c:pt>
                <c:pt idx="26">
                  <c:v>0.24279999999999999</c:v>
                </c:pt>
                <c:pt idx="27">
                  <c:v>0.25390000000000001</c:v>
                </c:pt>
                <c:pt idx="28">
                  <c:v>0.26490000000000002</c:v>
                </c:pt>
                <c:pt idx="29">
                  <c:v>0.27600000000000002</c:v>
                </c:pt>
                <c:pt idx="30">
                  <c:v>0.28710000000000002</c:v>
                </c:pt>
                <c:pt idx="31">
                  <c:v>0.29770000000000002</c:v>
                </c:pt>
                <c:pt idx="32">
                  <c:v>0.30869999999999997</c:v>
                </c:pt>
                <c:pt idx="33">
                  <c:v>0.3196</c:v>
                </c:pt>
                <c:pt idx="34">
                  <c:v>0.3306</c:v>
                </c:pt>
                <c:pt idx="35">
                  <c:v>0.34150000000000003</c:v>
                </c:pt>
                <c:pt idx="36">
                  <c:v>0.35260000000000002</c:v>
                </c:pt>
                <c:pt idx="37">
                  <c:v>0.36359999999999998</c:v>
                </c:pt>
                <c:pt idx="38">
                  <c:v>0.37469999999999998</c:v>
                </c:pt>
                <c:pt idx="39">
                  <c:v>0.38579999999999998</c:v>
                </c:pt>
                <c:pt idx="40">
                  <c:v>0.39689999999999998</c:v>
                </c:pt>
                <c:pt idx="41">
                  <c:v>0.40799999999999997</c:v>
                </c:pt>
                <c:pt idx="42">
                  <c:v>0.41909999999999997</c:v>
                </c:pt>
                <c:pt idx="43">
                  <c:v>0.43030000000000002</c:v>
                </c:pt>
                <c:pt idx="44">
                  <c:v>0.44130000000000003</c:v>
                </c:pt>
                <c:pt idx="45">
                  <c:v>0.45219999999999999</c:v>
                </c:pt>
                <c:pt idx="46">
                  <c:v>0.46339999999999998</c:v>
                </c:pt>
                <c:pt idx="47">
                  <c:v>0.47470000000000001</c:v>
                </c:pt>
                <c:pt idx="48">
                  <c:v>0.48599999999999999</c:v>
                </c:pt>
                <c:pt idx="49">
                  <c:v>0.49719999999999998</c:v>
                </c:pt>
                <c:pt idx="50">
                  <c:v>0.50860000000000005</c:v>
                </c:pt>
                <c:pt idx="51">
                  <c:v>0.51990000000000003</c:v>
                </c:pt>
                <c:pt idx="52">
                  <c:v>0.53129999999999999</c:v>
                </c:pt>
                <c:pt idx="53">
                  <c:v>0.54269999999999996</c:v>
                </c:pt>
                <c:pt idx="54">
                  <c:v>0.55410000000000004</c:v>
                </c:pt>
                <c:pt idx="55">
                  <c:v>0.5655</c:v>
                </c:pt>
                <c:pt idx="56">
                  <c:v>0.57699999999999996</c:v>
                </c:pt>
                <c:pt idx="57">
                  <c:v>0.58860000000000001</c:v>
                </c:pt>
                <c:pt idx="58">
                  <c:v>0.60029999999999994</c:v>
                </c:pt>
                <c:pt idx="59">
                  <c:v>0.61209999999999998</c:v>
                </c:pt>
                <c:pt idx="60">
                  <c:v>0.624</c:v>
                </c:pt>
                <c:pt idx="61">
                  <c:v>0.63590000000000002</c:v>
                </c:pt>
                <c:pt idx="62">
                  <c:v>0.64800000000000002</c:v>
                </c:pt>
                <c:pt idx="63">
                  <c:v>0.66010000000000002</c:v>
                </c:pt>
                <c:pt idx="64">
                  <c:v>0.6724</c:v>
                </c:pt>
                <c:pt idx="65">
                  <c:v>0.68479999999999996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BD-4886-BD54-0C0C54271E09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CDCL!$I$4:$I$101</c:f>
              <c:numCache>
                <c:formatCode>General</c:formatCode>
                <c:ptCount val="98"/>
                <c:pt idx="0">
                  <c:v>5.3600000000000002E-3</c:v>
                </c:pt>
                <c:pt idx="1">
                  <c:v>5.3545730027548212E-3</c:v>
                </c:pt>
                <c:pt idx="2">
                  <c:v>5.3492011019283751E-3</c:v>
                </c:pt>
                <c:pt idx="3">
                  <c:v>5.343884297520661E-3</c:v>
                </c:pt>
                <c:pt idx="4">
                  <c:v>5.3386225895316807E-3</c:v>
                </c:pt>
                <c:pt idx="5">
                  <c:v>5.3334159779614325E-3</c:v>
                </c:pt>
                <c:pt idx="6">
                  <c:v>5.3282644628099172E-3</c:v>
                </c:pt>
                <c:pt idx="7">
                  <c:v>5.3231680440771348E-3</c:v>
                </c:pt>
                <c:pt idx="8">
                  <c:v>5.3181267217630853E-3</c:v>
                </c:pt>
                <c:pt idx="9">
                  <c:v>5.3131404958677688E-3</c:v>
                </c:pt>
                <c:pt idx="10">
                  <c:v>5.3082093663911843E-3</c:v>
                </c:pt>
                <c:pt idx="11">
                  <c:v>5.3033333333333335E-3</c:v>
                </c:pt>
                <c:pt idx="12">
                  <c:v>5.2985123966942148E-3</c:v>
                </c:pt>
                <c:pt idx="13">
                  <c:v>5.293746556473829E-3</c:v>
                </c:pt>
                <c:pt idx="14">
                  <c:v>5.2890358126721762E-3</c:v>
                </c:pt>
                <c:pt idx="15">
                  <c:v>5.2843801652892562E-3</c:v>
                </c:pt>
                <c:pt idx="16">
                  <c:v>5.2797796143250692E-3</c:v>
                </c:pt>
                <c:pt idx="17">
                  <c:v>5.2752341597796142E-3</c:v>
                </c:pt>
                <c:pt idx="18">
                  <c:v>5.270743801652893E-3</c:v>
                </c:pt>
                <c:pt idx="19">
                  <c:v>5.2663085399449038E-3</c:v>
                </c:pt>
                <c:pt idx="20">
                  <c:v>5.2619283746556476E-3</c:v>
                </c:pt>
                <c:pt idx="21">
                  <c:v>5.2576033057851242E-3</c:v>
                </c:pt>
                <c:pt idx="22">
                  <c:v>5.2533333333333338E-3</c:v>
                </c:pt>
                <c:pt idx="23">
                  <c:v>5.2491184573002754E-3</c:v>
                </c:pt>
                <c:pt idx="24">
                  <c:v>5.2449586776859508E-3</c:v>
                </c:pt>
                <c:pt idx="25">
                  <c:v>5.2408539944903583E-3</c:v>
                </c:pt>
                <c:pt idx="26">
                  <c:v>5.2368044077134987E-3</c:v>
                </c:pt>
                <c:pt idx="27">
                  <c:v>5.2328099173553719E-3</c:v>
                </c:pt>
                <c:pt idx="28">
                  <c:v>5.2288705234159781E-3</c:v>
                </c:pt>
                <c:pt idx="29">
                  <c:v>5.2249862258953172E-3</c:v>
                </c:pt>
                <c:pt idx="30">
                  <c:v>5.2211570247933884E-3</c:v>
                </c:pt>
                <c:pt idx="31">
                  <c:v>5.2173829201101925E-3</c:v>
                </c:pt>
                <c:pt idx="32">
                  <c:v>5.2136639118457303E-3</c:v>
                </c:pt>
                <c:pt idx="33">
                  <c:v>5.2100000000000002E-3</c:v>
                </c:pt>
                <c:pt idx="34">
                  <c:v>5.206391184573003E-3</c:v>
                </c:pt>
                <c:pt idx="35">
                  <c:v>5.2028374655647388E-3</c:v>
                </c:pt>
                <c:pt idx="36">
                  <c:v>5.1993388429752065E-3</c:v>
                </c:pt>
                <c:pt idx="37">
                  <c:v>5.1958953168044081E-3</c:v>
                </c:pt>
                <c:pt idx="38">
                  <c:v>5.1925068870523417E-3</c:v>
                </c:pt>
                <c:pt idx="39">
                  <c:v>5.1891735537190082E-3</c:v>
                </c:pt>
                <c:pt idx="40">
                  <c:v>5.1858953168044076E-3</c:v>
                </c:pt>
                <c:pt idx="41">
                  <c:v>5.18267217630854E-3</c:v>
                </c:pt>
                <c:pt idx="42">
                  <c:v>5.1795041322314052E-3</c:v>
                </c:pt>
                <c:pt idx="43">
                  <c:v>5.1763911845730025E-3</c:v>
                </c:pt>
                <c:pt idx="44">
                  <c:v>5.1733333333333336E-3</c:v>
                </c:pt>
                <c:pt idx="45">
                  <c:v>5.1703305785123967E-3</c:v>
                </c:pt>
                <c:pt idx="46">
                  <c:v>5.1673829201101928E-3</c:v>
                </c:pt>
                <c:pt idx="47">
                  <c:v>5.1644903581267217E-3</c:v>
                </c:pt>
                <c:pt idx="48">
                  <c:v>5.1616528925619836E-3</c:v>
                </c:pt>
                <c:pt idx="49">
                  <c:v>5.1588705234159775E-3</c:v>
                </c:pt>
                <c:pt idx="50">
                  <c:v>5.1561432506887052E-3</c:v>
                </c:pt>
                <c:pt idx="51">
                  <c:v>5.153471074380165E-3</c:v>
                </c:pt>
                <c:pt idx="52">
                  <c:v>5.1508539944903585E-3</c:v>
                </c:pt>
                <c:pt idx="53">
                  <c:v>5.1482920110192841E-3</c:v>
                </c:pt>
                <c:pt idx="54">
                  <c:v>5.1457851239669417E-3</c:v>
                </c:pt>
                <c:pt idx="55">
                  <c:v>5.1433333333333331E-3</c:v>
                </c:pt>
                <c:pt idx="56">
                  <c:v>5.1409366391184574E-3</c:v>
                </c:pt>
                <c:pt idx="57">
                  <c:v>5.1385950413223138E-3</c:v>
                </c:pt>
                <c:pt idx="58">
                  <c:v>5.1363085399449039E-3</c:v>
                </c:pt>
                <c:pt idx="59">
                  <c:v>5.1340771349862261E-3</c:v>
                </c:pt>
                <c:pt idx="60">
                  <c:v>5.1319008264462812E-3</c:v>
                </c:pt>
                <c:pt idx="61">
                  <c:v>5.1297796143250692E-3</c:v>
                </c:pt>
                <c:pt idx="62">
                  <c:v>5.1277134986225893E-3</c:v>
                </c:pt>
                <c:pt idx="63">
                  <c:v>5.1257024793388431E-3</c:v>
                </c:pt>
                <c:pt idx="64">
                  <c:v>5.123746556473829E-3</c:v>
                </c:pt>
                <c:pt idx="65">
                  <c:v>5.1218457300275478E-3</c:v>
                </c:pt>
                <c:pt idx="66">
                  <c:v>5.1199999999999996E-3</c:v>
                </c:pt>
                <c:pt idx="67">
                  <c:v>5.1182093663911842E-3</c:v>
                </c:pt>
                <c:pt idx="68">
                  <c:v>5.1164738292011017E-3</c:v>
                </c:pt>
                <c:pt idx="69">
                  <c:v>5.1147933884297522E-3</c:v>
                </c:pt>
                <c:pt idx="70">
                  <c:v>5.1131680440771347E-3</c:v>
                </c:pt>
                <c:pt idx="71">
                  <c:v>5.111597796143251E-3</c:v>
                </c:pt>
                <c:pt idx="72">
                  <c:v>5.1100826446280993E-3</c:v>
                </c:pt>
                <c:pt idx="73">
                  <c:v>5.1086225895316806E-3</c:v>
                </c:pt>
                <c:pt idx="74">
                  <c:v>5.1072176308539947E-3</c:v>
                </c:pt>
                <c:pt idx="75">
                  <c:v>5.105867768595041E-3</c:v>
                </c:pt>
                <c:pt idx="76">
                  <c:v>5.1045730027548209E-3</c:v>
                </c:pt>
                <c:pt idx="77">
                  <c:v>5.103333333333333E-3</c:v>
                </c:pt>
                <c:pt idx="78">
                  <c:v>5.1021487603305788E-3</c:v>
                </c:pt>
                <c:pt idx="79">
                  <c:v>5.1010192837465567E-3</c:v>
                </c:pt>
                <c:pt idx="80">
                  <c:v>5.0999449035812675E-3</c:v>
                </c:pt>
                <c:pt idx="81">
                  <c:v>5.0989256198347103E-3</c:v>
                </c:pt>
                <c:pt idx="82">
                  <c:v>5.0979614325068869E-3</c:v>
                </c:pt>
                <c:pt idx="83">
                  <c:v>5.0970523415977964E-3</c:v>
                </c:pt>
                <c:pt idx="84">
                  <c:v>5.096198347107438E-3</c:v>
                </c:pt>
                <c:pt idx="85">
                  <c:v>5.0953994490358125E-3</c:v>
                </c:pt>
                <c:pt idx="86">
                  <c:v>5.0946556473829199E-3</c:v>
                </c:pt>
                <c:pt idx="87">
                  <c:v>5.0939669421487602E-3</c:v>
                </c:pt>
                <c:pt idx="88">
                  <c:v>5.0933333333333334E-3</c:v>
                </c:pt>
                <c:pt idx="89">
                  <c:v>5.0927548209366387E-3</c:v>
                </c:pt>
                <c:pt idx="90">
                  <c:v>5.0922314049586777E-3</c:v>
                </c:pt>
                <c:pt idx="91">
                  <c:v>5.0917630853994488E-3</c:v>
                </c:pt>
                <c:pt idx="92">
                  <c:v>5.0913498622589528E-3</c:v>
                </c:pt>
                <c:pt idx="93">
                  <c:v>5.0909917355371898E-3</c:v>
                </c:pt>
                <c:pt idx="94">
                  <c:v>5.0906887052341596E-3</c:v>
                </c:pt>
                <c:pt idx="95">
                  <c:v>5.0904407713498624E-3</c:v>
                </c:pt>
                <c:pt idx="96">
                  <c:v>5.0902479338842972E-3</c:v>
                </c:pt>
                <c:pt idx="97">
                  <c:v>5.0901101928374657E-3</c:v>
                </c:pt>
              </c:numCache>
            </c:numRef>
          </c:xVal>
          <c:yVal>
            <c:numRef>
              <c:f>CDCL!$J$4:$J$103</c:f>
              <c:numCache>
                <c:formatCode>General</c:formatCode>
                <c:ptCount val="100"/>
                <c:pt idx="0">
                  <c:v>-0.01</c:v>
                </c:pt>
                <c:pt idx="1">
                  <c:v>-8.3494949494949504E-3</c:v>
                </c:pt>
                <c:pt idx="2">
                  <c:v>-6.6989898989898988E-3</c:v>
                </c:pt>
                <c:pt idx="3">
                  <c:v>-5.0484848484848481E-3</c:v>
                </c:pt>
                <c:pt idx="4">
                  <c:v>-3.3979797979797974E-3</c:v>
                </c:pt>
                <c:pt idx="5">
                  <c:v>-1.7474747474747476E-3</c:v>
                </c:pt>
                <c:pt idx="6">
                  <c:v>-9.6969696969696068E-5</c:v>
                </c:pt>
                <c:pt idx="7">
                  <c:v>1.5535353535353555E-3</c:v>
                </c:pt>
                <c:pt idx="8">
                  <c:v>3.2040404040404053E-3</c:v>
                </c:pt>
                <c:pt idx="9">
                  <c:v>4.8545454545454551E-3</c:v>
                </c:pt>
                <c:pt idx="10">
                  <c:v>6.505050505050505E-3</c:v>
                </c:pt>
                <c:pt idx="11">
                  <c:v>8.1555555555555565E-3</c:v>
                </c:pt>
                <c:pt idx="12">
                  <c:v>9.8060606060606081E-3</c:v>
                </c:pt>
                <c:pt idx="13">
                  <c:v>1.1456565656565656E-2</c:v>
                </c:pt>
                <c:pt idx="14">
                  <c:v>1.3107070707070711E-2</c:v>
                </c:pt>
                <c:pt idx="15">
                  <c:v>1.4757575757575759E-2</c:v>
                </c:pt>
                <c:pt idx="16">
                  <c:v>1.6408080808080809E-2</c:v>
                </c:pt>
                <c:pt idx="17">
                  <c:v>1.8058585858585864E-2</c:v>
                </c:pt>
                <c:pt idx="18">
                  <c:v>1.9709090909090912E-2</c:v>
                </c:pt>
                <c:pt idx="19">
                  <c:v>2.135959595959596E-2</c:v>
                </c:pt>
                <c:pt idx="20">
                  <c:v>2.3010101010101008E-2</c:v>
                </c:pt>
                <c:pt idx="21">
                  <c:v>2.4660606060606063E-2</c:v>
                </c:pt>
                <c:pt idx="22">
                  <c:v>2.6311111111111112E-2</c:v>
                </c:pt>
                <c:pt idx="23">
                  <c:v>2.7961616161616167E-2</c:v>
                </c:pt>
                <c:pt idx="24">
                  <c:v>2.9612121212121215E-2</c:v>
                </c:pt>
                <c:pt idx="25">
                  <c:v>3.126262626262627E-2</c:v>
                </c:pt>
                <c:pt idx="26">
                  <c:v>3.2913131313131311E-2</c:v>
                </c:pt>
                <c:pt idx="27">
                  <c:v>3.4563636363636366E-2</c:v>
                </c:pt>
                <c:pt idx="28">
                  <c:v>3.6214141414141421E-2</c:v>
                </c:pt>
                <c:pt idx="29">
                  <c:v>3.7864646464646469E-2</c:v>
                </c:pt>
                <c:pt idx="30">
                  <c:v>3.9515151515151517E-2</c:v>
                </c:pt>
                <c:pt idx="31">
                  <c:v>4.1165656565656565E-2</c:v>
                </c:pt>
                <c:pt idx="32">
                  <c:v>4.281616161616162E-2</c:v>
                </c:pt>
                <c:pt idx="33">
                  <c:v>4.4466666666666675E-2</c:v>
                </c:pt>
                <c:pt idx="34">
                  <c:v>4.6117171717171723E-2</c:v>
                </c:pt>
                <c:pt idx="35">
                  <c:v>4.7767676767676771E-2</c:v>
                </c:pt>
                <c:pt idx="36">
                  <c:v>4.9418181818181819E-2</c:v>
                </c:pt>
                <c:pt idx="37">
                  <c:v>5.1068686868686874E-2</c:v>
                </c:pt>
                <c:pt idx="38">
                  <c:v>5.2719191919191923E-2</c:v>
                </c:pt>
                <c:pt idx="39">
                  <c:v>5.4369696969696964E-2</c:v>
                </c:pt>
                <c:pt idx="40">
                  <c:v>5.6020202020202019E-2</c:v>
                </c:pt>
                <c:pt idx="41">
                  <c:v>5.7670707070707074E-2</c:v>
                </c:pt>
                <c:pt idx="42">
                  <c:v>5.9321212121212129E-2</c:v>
                </c:pt>
                <c:pt idx="43">
                  <c:v>6.0971717171717184E-2</c:v>
                </c:pt>
                <c:pt idx="44">
                  <c:v>6.2622222222222232E-2</c:v>
                </c:pt>
                <c:pt idx="45">
                  <c:v>6.4272727272727287E-2</c:v>
                </c:pt>
                <c:pt idx="46">
                  <c:v>6.5923232323232342E-2</c:v>
                </c:pt>
                <c:pt idx="47">
                  <c:v>6.7573737373737383E-2</c:v>
                </c:pt>
                <c:pt idx="48">
                  <c:v>6.9224242424242438E-2</c:v>
                </c:pt>
                <c:pt idx="49">
                  <c:v>7.0874747474747479E-2</c:v>
                </c:pt>
                <c:pt idx="50">
                  <c:v>7.2525252525252548E-2</c:v>
                </c:pt>
                <c:pt idx="51">
                  <c:v>7.4175757575757589E-2</c:v>
                </c:pt>
                <c:pt idx="52">
                  <c:v>7.582626262626263E-2</c:v>
                </c:pt>
                <c:pt idx="53">
                  <c:v>7.7476767676767699E-2</c:v>
                </c:pt>
                <c:pt idx="54">
                  <c:v>7.9127272727272741E-2</c:v>
                </c:pt>
                <c:pt idx="55">
                  <c:v>8.0777777777777782E-2</c:v>
                </c:pt>
                <c:pt idx="56">
                  <c:v>8.2428282828282851E-2</c:v>
                </c:pt>
                <c:pt idx="57">
                  <c:v>8.4078787878787892E-2</c:v>
                </c:pt>
                <c:pt idx="58">
                  <c:v>8.5729292929292947E-2</c:v>
                </c:pt>
                <c:pt idx="59">
                  <c:v>8.7379797979797988E-2</c:v>
                </c:pt>
                <c:pt idx="60">
                  <c:v>8.9030303030303043E-2</c:v>
                </c:pt>
                <c:pt idx="61">
                  <c:v>9.0680808080808098E-2</c:v>
                </c:pt>
                <c:pt idx="62">
                  <c:v>9.2331313131313139E-2</c:v>
                </c:pt>
                <c:pt idx="63">
                  <c:v>9.3981818181818208E-2</c:v>
                </c:pt>
                <c:pt idx="64">
                  <c:v>9.5632323232323249E-2</c:v>
                </c:pt>
                <c:pt idx="65">
                  <c:v>9.728282828282829E-2</c:v>
                </c:pt>
                <c:pt idx="66">
                  <c:v>9.8933333333333359E-2</c:v>
                </c:pt>
                <c:pt idx="67">
                  <c:v>0.1005838383838384</c:v>
                </c:pt>
                <c:pt idx="68">
                  <c:v>0.10223434343434346</c:v>
                </c:pt>
                <c:pt idx="69">
                  <c:v>0.1038848484848485</c:v>
                </c:pt>
                <c:pt idx="70">
                  <c:v>0.10553535353535355</c:v>
                </c:pt>
                <c:pt idx="71">
                  <c:v>0.10718585858585861</c:v>
                </c:pt>
                <c:pt idx="72">
                  <c:v>0.10883636363636365</c:v>
                </c:pt>
                <c:pt idx="73">
                  <c:v>0.11048686868686872</c:v>
                </c:pt>
                <c:pt idx="74">
                  <c:v>0.11213737373737376</c:v>
                </c:pt>
                <c:pt idx="75">
                  <c:v>0.1137878787878788</c:v>
                </c:pt>
                <c:pt idx="76">
                  <c:v>0.11543838383838385</c:v>
                </c:pt>
                <c:pt idx="77">
                  <c:v>0.1170888888888889</c:v>
                </c:pt>
                <c:pt idx="78">
                  <c:v>0.11873939393939394</c:v>
                </c:pt>
                <c:pt idx="79">
                  <c:v>0.12038989898989901</c:v>
                </c:pt>
                <c:pt idx="80">
                  <c:v>0.12204040404040405</c:v>
                </c:pt>
                <c:pt idx="81">
                  <c:v>0.12369090909090912</c:v>
                </c:pt>
                <c:pt idx="82">
                  <c:v>0.12534141414141414</c:v>
                </c:pt>
                <c:pt idx="83">
                  <c:v>0.12699191919191918</c:v>
                </c:pt>
                <c:pt idx="84">
                  <c:v>0.12864242424242425</c:v>
                </c:pt>
                <c:pt idx="85">
                  <c:v>0.13029292929292929</c:v>
                </c:pt>
                <c:pt idx="86">
                  <c:v>0.13194343434343436</c:v>
                </c:pt>
                <c:pt idx="87">
                  <c:v>0.1335939393939394</c:v>
                </c:pt>
                <c:pt idx="88">
                  <c:v>0.13524444444444444</c:v>
                </c:pt>
                <c:pt idx="89">
                  <c:v>0.13689494949494951</c:v>
                </c:pt>
                <c:pt idx="90">
                  <c:v>0.13854545454545455</c:v>
                </c:pt>
                <c:pt idx="91">
                  <c:v>0.14019595959595962</c:v>
                </c:pt>
                <c:pt idx="92">
                  <c:v>0.14184646464646467</c:v>
                </c:pt>
                <c:pt idx="93">
                  <c:v>0.14349696969696971</c:v>
                </c:pt>
                <c:pt idx="94">
                  <c:v>0.14514747474747475</c:v>
                </c:pt>
                <c:pt idx="95">
                  <c:v>0.14679797979797982</c:v>
                </c:pt>
                <c:pt idx="96">
                  <c:v>0.14844848484848486</c:v>
                </c:pt>
                <c:pt idx="97">
                  <c:v>0.1500989898989899</c:v>
                </c:pt>
                <c:pt idx="98">
                  <c:v>0.15174949494949494</c:v>
                </c:pt>
                <c:pt idx="99">
                  <c:v>0.15340000000000001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BD-4886-BD54-0C0C54271E09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CDCL!$L$4:$L$103</c:f>
              <c:numCache>
                <c:formatCode>General</c:formatCode>
                <c:ptCount val="100"/>
                <c:pt idx="0">
                  <c:v>5.4299999999999999E-3</c:v>
                </c:pt>
                <c:pt idx="1">
                  <c:v>5.4231660034690333E-3</c:v>
                </c:pt>
                <c:pt idx="2">
                  <c:v>5.4164013876135085E-3</c:v>
                </c:pt>
                <c:pt idx="3">
                  <c:v>5.4097061524334255E-3</c:v>
                </c:pt>
                <c:pt idx="4">
                  <c:v>5.4030802979287825E-3</c:v>
                </c:pt>
                <c:pt idx="5">
                  <c:v>5.3965238240995814E-3</c:v>
                </c:pt>
                <c:pt idx="6">
                  <c:v>5.3900367309458221E-3</c:v>
                </c:pt>
                <c:pt idx="7">
                  <c:v>5.3836190184675028E-3</c:v>
                </c:pt>
                <c:pt idx="8">
                  <c:v>5.3772706866646262E-3</c:v>
                </c:pt>
                <c:pt idx="9">
                  <c:v>5.3709917355371896E-3</c:v>
                </c:pt>
                <c:pt idx="10">
                  <c:v>5.3647821650851957E-3</c:v>
                </c:pt>
                <c:pt idx="11">
                  <c:v>5.3586419753086419E-3</c:v>
                </c:pt>
                <c:pt idx="12">
                  <c:v>5.3525711662075299E-3</c:v>
                </c:pt>
                <c:pt idx="13">
                  <c:v>5.3465697377818588E-3</c:v>
                </c:pt>
                <c:pt idx="14">
                  <c:v>5.3406376900316296E-3</c:v>
                </c:pt>
                <c:pt idx="15">
                  <c:v>5.3347750229568412E-3</c:v>
                </c:pt>
                <c:pt idx="16">
                  <c:v>5.3289817365574938E-3</c:v>
                </c:pt>
                <c:pt idx="17">
                  <c:v>5.3232578308335882E-3</c:v>
                </c:pt>
                <c:pt idx="18">
                  <c:v>5.3176033057851235E-3</c:v>
                </c:pt>
                <c:pt idx="19">
                  <c:v>5.3120181614121006E-3</c:v>
                </c:pt>
                <c:pt idx="20">
                  <c:v>5.3065023977145187E-3</c:v>
                </c:pt>
                <c:pt idx="21">
                  <c:v>5.3010560146923786E-3</c:v>
                </c:pt>
                <c:pt idx="22">
                  <c:v>5.2956790123456785E-3</c:v>
                </c:pt>
                <c:pt idx="23">
                  <c:v>5.2903713906744211E-3</c:v>
                </c:pt>
                <c:pt idx="24">
                  <c:v>5.2851331496786037E-3</c:v>
                </c:pt>
                <c:pt idx="25">
                  <c:v>5.2799642893582291E-3</c:v>
                </c:pt>
                <c:pt idx="26">
                  <c:v>5.2748648097132944E-3</c:v>
                </c:pt>
                <c:pt idx="27">
                  <c:v>5.2698347107438016E-3</c:v>
                </c:pt>
                <c:pt idx="28">
                  <c:v>5.2648739924497498E-3</c:v>
                </c:pt>
                <c:pt idx="29">
                  <c:v>5.2599826548311397E-3</c:v>
                </c:pt>
                <c:pt idx="30">
                  <c:v>5.2551606978879705E-3</c:v>
                </c:pt>
                <c:pt idx="31">
                  <c:v>5.2504081216202423E-3</c:v>
                </c:pt>
                <c:pt idx="32">
                  <c:v>5.2457249260279559E-3</c:v>
                </c:pt>
                <c:pt idx="33">
                  <c:v>5.2411111111111113E-3</c:v>
                </c:pt>
                <c:pt idx="34">
                  <c:v>5.2365666768697068E-3</c:v>
                </c:pt>
                <c:pt idx="35">
                  <c:v>5.232091623303744E-3</c:v>
                </c:pt>
                <c:pt idx="36">
                  <c:v>5.2276859504132231E-3</c:v>
                </c:pt>
                <c:pt idx="37">
                  <c:v>5.2233496581981431E-3</c:v>
                </c:pt>
                <c:pt idx="38">
                  <c:v>5.219082746658504E-3</c:v>
                </c:pt>
                <c:pt idx="39">
                  <c:v>5.2148852157943067E-3</c:v>
                </c:pt>
                <c:pt idx="40">
                  <c:v>5.2107570656055504E-3</c:v>
                </c:pt>
                <c:pt idx="41">
                  <c:v>5.206698296092235E-3</c:v>
                </c:pt>
                <c:pt idx="42">
                  <c:v>5.2027089072543614E-3</c:v>
                </c:pt>
                <c:pt idx="43">
                  <c:v>5.1987888990919296E-3</c:v>
                </c:pt>
                <c:pt idx="44">
                  <c:v>5.1949382716049378E-3</c:v>
                </c:pt>
                <c:pt idx="45">
                  <c:v>5.1911570247933879E-3</c:v>
                </c:pt>
                <c:pt idx="46">
                  <c:v>5.1874451586572798E-3</c:v>
                </c:pt>
                <c:pt idx="47">
                  <c:v>5.1838026731966125E-3</c:v>
                </c:pt>
                <c:pt idx="48">
                  <c:v>5.1802295684113863E-3</c:v>
                </c:pt>
                <c:pt idx="49">
                  <c:v>5.1767258443016018E-3</c:v>
                </c:pt>
                <c:pt idx="50">
                  <c:v>5.1732915008672583E-3</c:v>
                </c:pt>
                <c:pt idx="51">
                  <c:v>5.1699265381083565E-3</c:v>
                </c:pt>
                <c:pt idx="52">
                  <c:v>5.1666309560248957E-3</c:v>
                </c:pt>
                <c:pt idx="53">
                  <c:v>5.1634047546168758E-3</c:v>
                </c:pt>
                <c:pt idx="54">
                  <c:v>5.1602479338842978E-3</c:v>
                </c:pt>
                <c:pt idx="55">
                  <c:v>5.1571604938271606E-3</c:v>
                </c:pt>
                <c:pt idx="56">
                  <c:v>5.1541424344454644E-3</c:v>
                </c:pt>
                <c:pt idx="57">
                  <c:v>5.15119375573921E-3</c:v>
                </c:pt>
                <c:pt idx="58">
                  <c:v>5.1483144577083974E-3</c:v>
                </c:pt>
                <c:pt idx="59">
                  <c:v>5.1455045403530249E-3</c:v>
                </c:pt>
                <c:pt idx="60">
                  <c:v>5.1427640036730941E-3</c:v>
                </c:pt>
                <c:pt idx="61">
                  <c:v>5.1400928476686052E-3</c:v>
                </c:pt>
                <c:pt idx="62">
                  <c:v>5.1374910723395572E-3</c:v>
                </c:pt>
                <c:pt idx="63">
                  <c:v>5.1349586776859501E-3</c:v>
                </c:pt>
                <c:pt idx="64">
                  <c:v>5.1324956637077849E-3</c:v>
                </c:pt>
                <c:pt idx="65">
                  <c:v>5.1301020304050605E-3</c:v>
                </c:pt>
                <c:pt idx="66">
                  <c:v>5.127777777777778E-3</c:v>
                </c:pt>
                <c:pt idx="67">
                  <c:v>5.1255229058259364E-3</c:v>
                </c:pt>
                <c:pt idx="68">
                  <c:v>5.1233374145495357E-3</c:v>
                </c:pt>
                <c:pt idx="69">
                  <c:v>5.1212213039485768E-3</c:v>
                </c:pt>
                <c:pt idx="70">
                  <c:v>5.1191745740230589E-3</c:v>
                </c:pt>
                <c:pt idx="71">
                  <c:v>5.1171972247729819E-3</c:v>
                </c:pt>
                <c:pt idx="72">
                  <c:v>5.1152892561983467E-3</c:v>
                </c:pt>
                <c:pt idx="73">
                  <c:v>5.1134506682991533E-3</c:v>
                </c:pt>
                <c:pt idx="74">
                  <c:v>5.1116814610753999E-3</c:v>
                </c:pt>
                <c:pt idx="75">
                  <c:v>5.1099816345270893E-3</c:v>
                </c:pt>
                <c:pt idx="76">
                  <c:v>5.1083511886542187E-3</c:v>
                </c:pt>
                <c:pt idx="77">
                  <c:v>5.1067901234567899E-3</c:v>
                </c:pt>
                <c:pt idx="78">
                  <c:v>5.1052984389348029E-3</c:v>
                </c:pt>
                <c:pt idx="79">
                  <c:v>5.1038761350882559E-3</c:v>
                </c:pt>
                <c:pt idx="80">
                  <c:v>5.1025232119171508E-3</c:v>
                </c:pt>
                <c:pt idx="81">
                  <c:v>5.1012396694214875E-3</c:v>
                </c:pt>
                <c:pt idx="82">
                  <c:v>5.1000255076012651E-3</c:v>
                </c:pt>
                <c:pt idx="83">
                  <c:v>5.0988807264564836E-3</c:v>
                </c:pt>
                <c:pt idx="84">
                  <c:v>5.0978053259871439E-3</c:v>
                </c:pt>
                <c:pt idx="85">
                  <c:v>5.0967993061932452E-3</c:v>
                </c:pt>
                <c:pt idx="86">
                  <c:v>5.0958626670747883E-3</c:v>
                </c:pt>
                <c:pt idx="87">
                  <c:v>5.0949954086317722E-3</c:v>
                </c:pt>
                <c:pt idx="88">
                  <c:v>5.0941975308641972E-3</c:v>
                </c:pt>
                <c:pt idx="89">
                  <c:v>5.0934690337720639E-3</c:v>
                </c:pt>
                <c:pt idx="90">
                  <c:v>5.0928099173553716E-3</c:v>
                </c:pt>
                <c:pt idx="91">
                  <c:v>5.092220181614121E-3</c:v>
                </c:pt>
                <c:pt idx="92">
                  <c:v>5.0916998265483114E-3</c:v>
                </c:pt>
                <c:pt idx="93">
                  <c:v>5.0912488521579428E-3</c:v>
                </c:pt>
                <c:pt idx="94">
                  <c:v>5.0908672584430159E-3</c:v>
                </c:pt>
                <c:pt idx="95">
                  <c:v>5.09055504540353E-3</c:v>
                </c:pt>
                <c:pt idx="96">
                  <c:v>5.0903122130394858E-3</c:v>
                </c:pt>
                <c:pt idx="97">
                  <c:v>5.0901387613508826E-3</c:v>
                </c:pt>
                <c:pt idx="98">
                  <c:v>5.0900346903377204E-3</c:v>
                </c:pt>
                <c:pt idx="99">
                  <c:v>5.0899999999999999E-3</c:v>
                </c:pt>
              </c:numCache>
            </c:numRef>
          </c:xVal>
          <c:yVal>
            <c:numRef>
              <c:f>CDCL!$M$4:$M$103</c:f>
              <c:numCache>
                <c:formatCode>General</c:formatCode>
                <c:ptCount val="100"/>
                <c:pt idx="0">
                  <c:v>0.60029999999999994</c:v>
                </c:pt>
                <c:pt idx="1">
                  <c:v>0.59578585858585853</c:v>
                </c:pt>
                <c:pt idx="2">
                  <c:v>0.59127171717171711</c:v>
                </c:pt>
                <c:pt idx="3">
                  <c:v>0.5867575757575757</c:v>
                </c:pt>
                <c:pt idx="4">
                  <c:v>0.58224343434343429</c:v>
                </c:pt>
                <c:pt idx="5">
                  <c:v>0.57772929292929287</c:v>
                </c:pt>
                <c:pt idx="6">
                  <c:v>0.57321515151515146</c:v>
                </c:pt>
                <c:pt idx="7">
                  <c:v>0.56870101010101004</c:v>
                </c:pt>
                <c:pt idx="8">
                  <c:v>0.56418686868686863</c:v>
                </c:pt>
                <c:pt idx="9">
                  <c:v>0.55967272727272721</c:v>
                </c:pt>
                <c:pt idx="10">
                  <c:v>0.5551585858585858</c:v>
                </c:pt>
                <c:pt idx="11">
                  <c:v>0.55064444444444438</c:v>
                </c:pt>
                <c:pt idx="12">
                  <c:v>0.54613030303030297</c:v>
                </c:pt>
                <c:pt idx="13">
                  <c:v>0.54161616161616155</c:v>
                </c:pt>
                <c:pt idx="14">
                  <c:v>0.53710202020202014</c:v>
                </c:pt>
                <c:pt idx="15">
                  <c:v>0.53258787878787872</c:v>
                </c:pt>
                <c:pt idx="16">
                  <c:v>0.52807373737373731</c:v>
                </c:pt>
                <c:pt idx="17">
                  <c:v>0.52355959595959589</c:v>
                </c:pt>
                <c:pt idx="18">
                  <c:v>0.51904545454545448</c:v>
                </c:pt>
                <c:pt idx="19">
                  <c:v>0.51453131313131306</c:v>
                </c:pt>
                <c:pt idx="20">
                  <c:v>0.51001717171717165</c:v>
                </c:pt>
                <c:pt idx="21">
                  <c:v>0.50550303030303023</c:v>
                </c:pt>
                <c:pt idx="22">
                  <c:v>0.50098888888888882</c:v>
                </c:pt>
                <c:pt idx="23">
                  <c:v>0.4964747474747474</c:v>
                </c:pt>
                <c:pt idx="24">
                  <c:v>0.49196060606060599</c:v>
                </c:pt>
                <c:pt idx="25">
                  <c:v>0.48744646464646457</c:v>
                </c:pt>
                <c:pt idx="26">
                  <c:v>0.48293232323232316</c:v>
                </c:pt>
                <c:pt idx="27">
                  <c:v>0.4784181818181818</c:v>
                </c:pt>
                <c:pt idx="28">
                  <c:v>0.47390404040404033</c:v>
                </c:pt>
                <c:pt idx="29">
                  <c:v>0.46938989898989891</c:v>
                </c:pt>
                <c:pt idx="30">
                  <c:v>0.4648757575757575</c:v>
                </c:pt>
                <c:pt idx="31">
                  <c:v>0.46036161616161608</c:v>
                </c:pt>
                <c:pt idx="32">
                  <c:v>0.45584747474747467</c:v>
                </c:pt>
                <c:pt idx="33">
                  <c:v>0.45133333333333331</c:v>
                </c:pt>
                <c:pt idx="34">
                  <c:v>0.44681919191919184</c:v>
                </c:pt>
                <c:pt idx="35">
                  <c:v>0.44230505050505042</c:v>
                </c:pt>
                <c:pt idx="36">
                  <c:v>0.43779090909090901</c:v>
                </c:pt>
                <c:pt idx="37">
                  <c:v>0.43327676767676759</c:v>
                </c:pt>
                <c:pt idx="38">
                  <c:v>0.42876262626262618</c:v>
                </c:pt>
                <c:pt idx="39">
                  <c:v>0.42424848484848482</c:v>
                </c:pt>
                <c:pt idx="40">
                  <c:v>0.4197343434343434</c:v>
                </c:pt>
                <c:pt idx="41">
                  <c:v>0.41522020202020199</c:v>
                </c:pt>
                <c:pt idx="42">
                  <c:v>0.41070606060606052</c:v>
                </c:pt>
                <c:pt idx="43">
                  <c:v>0.4061919191919191</c:v>
                </c:pt>
                <c:pt idx="44">
                  <c:v>0.40167777777777774</c:v>
                </c:pt>
                <c:pt idx="45">
                  <c:v>0.39716363636363633</c:v>
                </c:pt>
                <c:pt idx="46">
                  <c:v>0.39264949494949491</c:v>
                </c:pt>
                <c:pt idx="47">
                  <c:v>0.3881353535353535</c:v>
                </c:pt>
                <c:pt idx="48">
                  <c:v>0.38362121212121203</c:v>
                </c:pt>
                <c:pt idx="49">
                  <c:v>0.37910707070707067</c:v>
                </c:pt>
                <c:pt idx="50">
                  <c:v>0.37459292929292926</c:v>
                </c:pt>
                <c:pt idx="51">
                  <c:v>0.37007878787878784</c:v>
                </c:pt>
                <c:pt idx="52">
                  <c:v>0.36556464646464643</c:v>
                </c:pt>
                <c:pt idx="53">
                  <c:v>0.36105050505050507</c:v>
                </c:pt>
                <c:pt idx="54">
                  <c:v>0.35653636363636365</c:v>
                </c:pt>
                <c:pt idx="55">
                  <c:v>0.35202222222222218</c:v>
                </c:pt>
                <c:pt idx="56">
                  <c:v>0.34750808080808077</c:v>
                </c:pt>
                <c:pt idx="57">
                  <c:v>0.34299393939393935</c:v>
                </c:pt>
                <c:pt idx="58">
                  <c:v>0.33847979797979794</c:v>
                </c:pt>
                <c:pt idx="59">
                  <c:v>0.33396565656565652</c:v>
                </c:pt>
                <c:pt idx="60">
                  <c:v>0.32945151515151511</c:v>
                </c:pt>
                <c:pt idx="61">
                  <c:v>0.32493737373737369</c:v>
                </c:pt>
                <c:pt idx="62">
                  <c:v>0.32042323232323228</c:v>
                </c:pt>
                <c:pt idx="63">
                  <c:v>0.31590909090909086</c:v>
                </c:pt>
                <c:pt idx="64">
                  <c:v>0.31139494949494945</c:v>
                </c:pt>
                <c:pt idx="65">
                  <c:v>0.30688080808080803</c:v>
                </c:pt>
                <c:pt idx="66">
                  <c:v>0.30236666666666667</c:v>
                </c:pt>
                <c:pt idx="67">
                  <c:v>0.29785252525252526</c:v>
                </c:pt>
                <c:pt idx="68">
                  <c:v>0.29333838383838379</c:v>
                </c:pt>
                <c:pt idx="69">
                  <c:v>0.28882424242424237</c:v>
                </c:pt>
                <c:pt idx="70">
                  <c:v>0.28431010101010096</c:v>
                </c:pt>
                <c:pt idx="71">
                  <c:v>0.27979595959595954</c:v>
                </c:pt>
                <c:pt idx="72">
                  <c:v>0.27528181818181813</c:v>
                </c:pt>
                <c:pt idx="73">
                  <c:v>0.27076767676767671</c:v>
                </c:pt>
                <c:pt idx="74">
                  <c:v>0.2662535353535353</c:v>
                </c:pt>
                <c:pt idx="75">
                  <c:v>0.26173939393939388</c:v>
                </c:pt>
                <c:pt idx="76">
                  <c:v>0.25722525252525247</c:v>
                </c:pt>
                <c:pt idx="77">
                  <c:v>0.25271111111111111</c:v>
                </c:pt>
                <c:pt idx="78">
                  <c:v>0.24819696969696969</c:v>
                </c:pt>
                <c:pt idx="79">
                  <c:v>0.24368282828282828</c:v>
                </c:pt>
                <c:pt idx="80">
                  <c:v>0.23916868686868686</c:v>
                </c:pt>
                <c:pt idx="81">
                  <c:v>0.23465454545454545</c:v>
                </c:pt>
                <c:pt idx="82">
                  <c:v>0.23014040404040403</c:v>
                </c:pt>
                <c:pt idx="83">
                  <c:v>0.22562626262626262</c:v>
                </c:pt>
                <c:pt idx="84">
                  <c:v>0.22111212121212115</c:v>
                </c:pt>
                <c:pt idx="85">
                  <c:v>0.21659797979797973</c:v>
                </c:pt>
                <c:pt idx="86">
                  <c:v>0.21208383838383832</c:v>
                </c:pt>
                <c:pt idx="87">
                  <c:v>0.2075696969696969</c:v>
                </c:pt>
                <c:pt idx="88">
                  <c:v>0.20305555555555554</c:v>
                </c:pt>
                <c:pt idx="89">
                  <c:v>0.19854141414141413</c:v>
                </c:pt>
                <c:pt idx="90">
                  <c:v>0.19402727272727271</c:v>
                </c:pt>
                <c:pt idx="91">
                  <c:v>0.1895131313131313</c:v>
                </c:pt>
                <c:pt idx="92">
                  <c:v>0.18499898989898989</c:v>
                </c:pt>
                <c:pt idx="93">
                  <c:v>0.18048484848484847</c:v>
                </c:pt>
                <c:pt idx="94">
                  <c:v>0.17597070707070706</c:v>
                </c:pt>
                <c:pt idx="95">
                  <c:v>0.17145656565656564</c:v>
                </c:pt>
                <c:pt idx="96">
                  <c:v>0.16694242424242417</c:v>
                </c:pt>
                <c:pt idx="97">
                  <c:v>0.16242828282828276</c:v>
                </c:pt>
                <c:pt idx="98">
                  <c:v>0.1579141414141414</c:v>
                </c:pt>
                <c:pt idx="99">
                  <c:v>0.15339999999999998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7BD-4886-BD54-0C0C54271E09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CDCL!$O$4:$O$103</c:f>
              <c:numCache>
                <c:formatCode>General</c:formatCode>
                <c:ptCount val="100"/>
                <c:pt idx="0">
                  <c:v>8.868052384102959E-3</c:v>
                </c:pt>
                <c:pt idx="1">
                  <c:v>8.8067420268918405E-3</c:v>
                </c:pt>
                <c:pt idx="2">
                  <c:v>8.7459597407959118E-3</c:v>
                </c:pt>
                <c:pt idx="3">
                  <c:v>8.6857055258151745E-3</c:v>
                </c:pt>
                <c:pt idx="4">
                  <c:v>8.6259793819496323E-3</c:v>
                </c:pt>
                <c:pt idx="5">
                  <c:v>8.566781309199278E-3</c:v>
                </c:pt>
                <c:pt idx="6">
                  <c:v>8.5081113075641205E-3</c:v>
                </c:pt>
                <c:pt idx="7">
                  <c:v>8.4499693770441545E-3</c:v>
                </c:pt>
                <c:pt idx="8">
                  <c:v>8.3923555176393799E-3</c:v>
                </c:pt>
                <c:pt idx="9">
                  <c:v>8.3352697293497986E-3</c:v>
                </c:pt>
                <c:pt idx="10">
                  <c:v>8.2787120121754088E-3</c:v>
                </c:pt>
                <c:pt idx="11">
                  <c:v>8.2226823661162105E-3</c:v>
                </c:pt>
                <c:pt idx="12">
                  <c:v>8.1671807911722072E-3</c:v>
                </c:pt>
                <c:pt idx="13">
                  <c:v>8.1122072873433936E-3</c:v>
                </c:pt>
                <c:pt idx="14">
                  <c:v>8.0577618546297716E-3</c:v>
                </c:pt>
                <c:pt idx="15">
                  <c:v>8.0038444930313445E-3</c:v>
                </c:pt>
                <c:pt idx="16">
                  <c:v>7.9504552025481089E-3</c:v>
                </c:pt>
                <c:pt idx="17">
                  <c:v>7.8975939831800665E-3</c:v>
                </c:pt>
                <c:pt idx="18">
                  <c:v>7.8452608349272139E-3</c:v>
                </c:pt>
                <c:pt idx="19">
                  <c:v>7.7934557577895563E-3</c:v>
                </c:pt>
                <c:pt idx="20">
                  <c:v>7.7421787517670902E-3</c:v>
                </c:pt>
                <c:pt idx="21">
                  <c:v>7.6914298168598155E-3</c:v>
                </c:pt>
                <c:pt idx="22">
                  <c:v>7.6412089530677341E-3</c:v>
                </c:pt>
                <c:pt idx="23">
                  <c:v>7.5915161603908451E-3</c:v>
                </c:pt>
                <c:pt idx="24">
                  <c:v>7.5423514388291485E-3</c:v>
                </c:pt>
                <c:pt idx="25">
                  <c:v>7.4937147883826433E-3</c:v>
                </c:pt>
                <c:pt idx="26">
                  <c:v>7.4456062090513305E-3</c:v>
                </c:pt>
                <c:pt idx="27">
                  <c:v>7.3980257008352101E-3</c:v>
                </c:pt>
                <c:pt idx="28">
                  <c:v>7.350973263734282E-3</c:v>
                </c:pt>
                <c:pt idx="29">
                  <c:v>7.3044488977485481E-3</c:v>
                </c:pt>
                <c:pt idx="30">
                  <c:v>7.2584526028780039E-3</c:v>
                </c:pt>
                <c:pt idx="31">
                  <c:v>7.2129843791226538E-3</c:v>
                </c:pt>
                <c:pt idx="32">
                  <c:v>7.1680442264824961E-3</c:v>
                </c:pt>
                <c:pt idx="33">
                  <c:v>7.123632144957529E-3</c:v>
                </c:pt>
                <c:pt idx="34">
                  <c:v>7.0797481345477552E-3</c:v>
                </c:pt>
                <c:pt idx="35">
                  <c:v>7.0363921952531737E-3</c:v>
                </c:pt>
                <c:pt idx="36">
                  <c:v>6.9935643270737854E-3</c:v>
                </c:pt>
                <c:pt idx="37">
                  <c:v>6.9512645300095878E-3</c:v>
                </c:pt>
                <c:pt idx="38">
                  <c:v>6.9094928040605826E-3</c:v>
                </c:pt>
                <c:pt idx="39">
                  <c:v>6.8682491492267714E-3</c:v>
                </c:pt>
                <c:pt idx="40">
                  <c:v>6.8275335655081509E-3</c:v>
                </c:pt>
                <c:pt idx="41">
                  <c:v>6.7873460529047237E-3</c:v>
                </c:pt>
                <c:pt idx="42">
                  <c:v>6.7476866114164888E-3</c:v>
                </c:pt>
                <c:pt idx="43">
                  <c:v>6.7085552410434445E-3</c:v>
                </c:pt>
                <c:pt idx="44">
                  <c:v>6.6699519417855952E-3</c:v>
                </c:pt>
                <c:pt idx="45">
                  <c:v>6.6318767136429365E-3</c:v>
                </c:pt>
                <c:pt idx="46">
                  <c:v>6.5943295566154702E-3</c:v>
                </c:pt>
                <c:pt idx="47">
                  <c:v>6.5573104707031971E-3</c:v>
                </c:pt>
                <c:pt idx="48">
                  <c:v>6.5208194559061156E-3</c:v>
                </c:pt>
                <c:pt idx="49">
                  <c:v>6.4848565122242272E-3</c:v>
                </c:pt>
                <c:pt idx="50">
                  <c:v>6.4494216396575313E-3</c:v>
                </c:pt>
                <c:pt idx="51">
                  <c:v>6.4145148382060259E-3</c:v>
                </c:pt>
                <c:pt idx="52">
                  <c:v>6.3801361078697147E-3</c:v>
                </c:pt>
                <c:pt idx="53">
                  <c:v>6.346285448648595E-3</c:v>
                </c:pt>
                <c:pt idx="54">
                  <c:v>6.3129628605426676E-3</c:v>
                </c:pt>
                <c:pt idx="55">
                  <c:v>6.2801683435519335E-3</c:v>
                </c:pt>
                <c:pt idx="56">
                  <c:v>6.2479018976763891E-3</c:v>
                </c:pt>
                <c:pt idx="57">
                  <c:v>6.2161635229160397E-3</c:v>
                </c:pt>
                <c:pt idx="58">
                  <c:v>6.1849532192708818E-3</c:v>
                </c:pt>
                <c:pt idx="59">
                  <c:v>6.1542709867409163E-3</c:v>
                </c:pt>
                <c:pt idx="60">
                  <c:v>6.1241168253261431E-3</c:v>
                </c:pt>
                <c:pt idx="61">
                  <c:v>6.0944907350265623E-3</c:v>
                </c:pt>
                <c:pt idx="62">
                  <c:v>6.0653927158421739E-3</c:v>
                </c:pt>
                <c:pt idx="63">
                  <c:v>6.036822767772977E-3</c:v>
                </c:pt>
                <c:pt idx="64">
                  <c:v>6.0087808908189724E-3</c:v>
                </c:pt>
                <c:pt idx="65">
                  <c:v>5.981267084980162E-3</c:v>
                </c:pt>
                <c:pt idx="66">
                  <c:v>5.9542813502565422E-3</c:v>
                </c:pt>
                <c:pt idx="67">
                  <c:v>5.9278236866481147E-3</c:v>
                </c:pt>
                <c:pt idx="68">
                  <c:v>5.9018940941548805E-3</c:v>
                </c:pt>
                <c:pt idx="69">
                  <c:v>5.8764925727768378E-3</c:v>
                </c:pt>
                <c:pt idx="70">
                  <c:v>5.8516191225139883E-3</c:v>
                </c:pt>
                <c:pt idx="71">
                  <c:v>5.8272737433663312E-3</c:v>
                </c:pt>
                <c:pt idx="72">
                  <c:v>5.8034564353338647E-3</c:v>
                </c:pt>
                <c:pt idx="73">
                  <c:v>5.7801671984165914E-3</c:v>
                </c:pt>
                <c:pt idx="74">
                  <c:v>5.7574060326145114E-3</c:v>
                </c:pt>
                <c:pt idx="75">
                  <c:v>5.7351729379276229E-3</c:v>
                </c:pt>
                <c:pt idx="76">
                  <c:v>5.7134679143559268E-3</c:v>
                </c:pt>
                <c:pt idx="77">
                  <c:v>5.692290961899423E-3</c:v>
                </c:pt>
                <c:pt idx="78">
                  <c:v>5.6716420805581116E-3</c:v>
                </c:pt>
                <c:pt idx="79">
                  <c:v>5.6515212703319925E-3</c:v>
                </c:pt>
                <c:pt idx="80">
                  <c:v>5.6319285312210659E-3</c:v>
                </c:pt>
                <c:pt idx="81">
                  <c:v>5.6128638632253315E-3</c:v>
                </c:pt>
                <c:pt idx="82">
                  <c:v>5.5943272663447896E-3</c:v>
                </c:pt>
                <c:pt idx="83">
                  <c:v>5.57631874057944E-3</c:v>
                </c:pt>
                <c:pt idx="84">
                  <c:v>5.558838285929282E-3</c:v>
                </c:pt>
                <c:pt idx="85">
                  <c:v>5.5418859023943171E-3</c:v>
                </c:pt>
                <c:pt idx="86">
                  <c:v>5.5254615899745447E-3</c:v>
                </c:pt>
                <c:pt idx="87">
                  <c:v>5.5095653486699646E-3</c:v>
                </c:pt>
                <c:pt idx="88">
                  <c:v>5.4941971784805759E-3</c:v>
                </c:pt>
                <c:pt idx="89">
                  <c:v>5.4793570794063797E-3</c:v>
                </c:pt>
                <c:pt idx="90">
                  <c:v>5.4650450514473767E-3</c:v>
                </c:pt>
                <c:pt idx="91">
                  <c:v>5.4512610946035661E-3</c:v>
                </c:pt>
                <c:pt idx="92">
                  <c:v>5.4380052088749461E-3</c:v>
                </c:pt>
                <c:pt idx="93">
                  <c:v>5.4252773942615202E-3</c:v>
                </c:pt>
                <c:pt idx="94">
                  <c:v>5.4130776507632858E-3</c:v>
                </c:pt>
                <c:pt idx="95">
                  <c:v>5.4014059783802446E-3</c:v>
                </c:pt>
                <c:pt idx="96">
                  <c:v>5.3902623771123941E-3</c:v>
                </c:pt>
                <c:pt idx="97">
                  <c:v>5.3796468469597377E-3</c:v>
                </c:pt>
                <c:pt idx="98">
                  <c:v>5.3695593879222719E-3</c:v>
                </c:pt>
                <c:pt idx="99">
                  <c:v>5.3600000000000002E-3</c:v>
                </c:pt>
              </c:numCache>
            </c:numRef>
          </c:xVal>
          <c:yVal>
            <c:numRef>
              <c:f>CDCL!$P$4:$P$103</c:f>
              <c:numCache>
                <c:formatCode>General</c:formatCode>
                <c:ptCount val="100"/>
                <c:pt idx="0">
                  <c:v>-5.5500000000000001E-2</c:v>
                </c:pt>
                <c:pt idx="1">
                  <c:v>-5.5040404040404042E-2</c:v>
                </c:pt>
                <c:pt idx="2">
                  <c:v>-5.4580808080808084E-2</c:v>
                </c:pt>
                <c:pt idx="3">
                  <c:v>-5.4121212121212119E-2</c:v>
                </c:pt>
                <c:pt idx="4">
                  <c:v>-5.366161616161616E-2</c:v>
                </c:pt>
                <c:pt idx="5">
                  <c:v>-5.3202020202020202E-2</c:v>
                </c:pt>
                <c:pt idx="6">
                  <c:v>-5.2742424242424243E-2</c:v>
                </c:pt>
                <c:pt idx="7">
                  <c:v>-5.2282828282828285E-2</c:v>
                </c:pt>
                <c:pt idx="8">
                  <c:v>-5.1823232323232327E-2</c:v>
                </c:pt>
                <c:pt idx="9">
                  <c:v>-5.1363636363636361E-2</c:v>
                </c:pt>
                <c:pt idx="10">
                  <c:v>-5.0904040404040403E-2</c:v>
                </c:pt>
                <c:pt idx="11">
                  <c:v>-5.0444444444444445E-2</c:v>
                </c:pt>
                <c:pt idx="12">
                  <c:v>-4.9984848484848486E-2</c:v>
                </c:pt>
                <c:pt idx="13">
                  <c:v>-4.9525252525252528E-2</c:v>
                </c:pt>
                <c:pt idx="14">
                  <c:v>-4.9065656565656562E-2</c:v>
                </c:pt>
                <c:pt idx="15">
                  <c:v>-4.8606060606060604E-2</c:v>
                </c:pt>
                <c:pt idx="16">
                  <c:v>-4.8146464646464646E-2</c:v>
                </c:pt>
                <c:pt idx="17">
                  <c:v>-4.7686868686868687E-2</c:v>
                </c:pt>
                <c:pt idx="18">
                  <c:v>-4.7227272727272729E-2</c:v>
                </c:pt>
                <c:pt idx="19">
                  <c:v>-4.676767676767677E-2</c:v>
                </c:pt>
                <c:pt idx="20">
                  <c:v>-4.6308080808080812E-2</c:v>
                </c:pt>
                <c:pt idx="21">
                  <c:v>-4.5848484848484847E-2</c:v>
                </c:pt>
                <c:pt idx="22">
                  <c:v>-4.5388888888888888E-2</c:v>
                </c:pt>
                <c:pt idx="23">
                  <c:v>-4.492929292929293E-2</c:v>
                </c:pt>
                <c:pt idx="24">
                  <c:v>-4.4469696969696972E-2</c:v>
                </c:pt>
                <c:pt idx="25">
                  <c:v>-4.4010101010101013E-2</c:v>
                </c:pt>
                <c:pt idx="26">
                  <c:v>-4.3550505050505048E-2</c:v>
                </c:pt>
                <c:pt idx="27">
                  <c:v>-4.3090909090909096E-2</c:v>
                </c:pt>
                <c:pt idx="28">
                  <c:v>-4.2631313131313131E-2</c:v>
                </c:pt>
                <c:pt idx="29">
                  <c:v>-4.2171717171717173E-2</c:v>
                </c:pt>
                <c:pt idx="30">
                  <c:v>-4.1712121212121214E-2</c:v>
                </c:pt>
                <c:pt idx="31">
                  <c:v>-4.1252525252525256E-2</c:v>
                </c:pt>
                <c:pt idx="32">
                  <c:v>-4.0792929292929297E-2</c:v>
                </c:pt>
                <c:pt idx="33">
                  <c:v>-4.0333333333333332E-2</c:v>
                </c:pt>
                <c:pt idx="34">
                  <c:v>-3.9873737373737374E-2</c:v>
                </c:pt>
                <c:pt idx="35">
                  <c:v>-3.9414141414141415E-2</c:v>
                </c:pt>
                <c:pt idx="36">
                  <c:v>-3.8954545454545457E-2</c:v>
                </c:pt>
                <c:pt idx="37">
                  <c:v>-3.8494949494949499E-2</c:v>
                </c:pt>
                <c:pt idx="38">
                  <c:v>-3.8035353535353533E-2</c:v>
                </c:pt>
                <c:pt idx="39">
                  <c:v>-3.7575757575757582E-2</c:v>
                </c:pt>
                <c:pt idx="40">
                  <c:v>-3.7116161616161616E-2</c:v>
                </c:pt>
                <c:pt idx="41">
                  <c:v>-3.6656565656565658E-2</c:v>
                </c:pt>
                <c:pt idx="42">
                  <c:v>-3.61969696969697E-2</c:v>
                </c:pt>
                <c:pt idx="43">
                  <c:v>-3.5737373737373734E-2</c:v>
                </c:pt>
                <c:pt idx="44">
                  <c:v>-3.5277777777777783E-2</c:v>
                </c:pt>
                <c:pt idx="45">
                  <c:v>-3.4818181818181818E-2</c:v>
                </c:pt>
                <c:pt idx="46">
                  <c:v>-3.4358585858585859E-2</c:v>
                </c:pt>
                <c:pt idx="47">
                  <c:v>-3.3898989898989901E-2</c:v>
                </c:pt>
                <c:pt idx="48">
                  <c:v>-3.3439393939393935E-2</c:v>
                </c:pt>
                <c:pt idx="49">
                  <c:v>-3.2979797979797984E-2</c:v>
                </c:pt>
                <c:pt idx="50">
                  <c:v>-3.2520202020202019E-2</c:v>
                </c:pt>
                <c:pt idx="51">
                  <c:v>-3.206060606060606E-2</c:v>
                </c:pt>
                <c:pt idx="52">
                  <c:v>-3.1601010101010102E-2</c:v>
                </c:pt>
                <c:pt idx="53">
                  <c:v>-3.1141414141414143E-2</c:v>
                </c:pt>
                <c:pt idx="54">
                  <c:v>-3.0681818181818185E-2</c:v>
                </c:pt>
                <c:pt idx="55">
                  <c:v>-3.0222222222222223E-2</c:v>
                </c:pt>
                <c:pt idx="56">
                  <c:v>-2.9762626262626261E-2</c:v>
                </c:pt>
                <c:pt idx="57">
                  <c:v>-2.9303030303030303E-2</c:v>
                </c:pt>
                <c:pt idx="58">
                  <c:v>-2.8843434343434345E-2</c:v>
                </c:pt>
                <c:pt idx="59">
                  <c:v>-2.8383838383838386E-2</c:v>
                </c:pt>
                <c:pt idx="60">
                  <c:v>-2.7924242424242424E-2</c:v>
                </c:pt>
                <c:pt idx="61">
                  <c:v>-2.7464646464646466E-2</c:v>
                </c:pt>
                <c:pt idx="62">
                  <c:v>-2.7005050505050508E-2</c:v>
                </c:pt>
                <c:pt idx="63">
                  <c:v>-2.6545454545454549E-2</c:v>
                </c:pt>
                <c:pt idx="64">
                  <c:v>-2.6085858585858587E-2</c:v>
                </c:pt>
                <c:pt idx="65">
                  <c:v>-2.5626262626262625E-2</c:v>
                </c:pt>
                <c:pt idx="66">
                  <c:v>-2.5166666666666667E-2</c:v>
                </c:pt>
                <c:pt idx="67">
                  <c:v>-2.4707070707070709E-2</c:v>
                </c:pt>
                <c:pt idx="68">
                  <c:v>-2.4247474747474747E-2</c:v>
                </c:pt>
                <c:pt idx="69">
                  <c:v>-2.3787878787878788E-2</c:v>
                </c:pt>
                <c:pt idx="70">
                  <c:v>-2.332828282828283E-2</c:v>
                </c:pt>
                <c:pt idx="71">
                  <c:v>-2.2868686868686872E-2</c:v>
                </c:pt>
                <c:pt idx="72">
                  <c:v>-2.2409090909090913E-2</c:v>
                </c:pt>
                <c:pt idx="73">
                  <c:v>-2.1949494949494948E-2</c:v>
                </c:pt>
                <c:pt idx="74">
                  <c:v>-2.148989898989899E-2</c:v>
                </c:pt>
                <c:pt idx="75">
                  <c:v>-2.1030303030303031E-2</c:v>
                </c:pt>
                <c:pt idx="76">
                  <c:v>-2.0570707070707073E-2</c:v>
                </c:pt>
                <c:pt idx="77">
                  <c:v>-2.0111111111111114E-2</c:v>
                </c:pt>
                <c:pt idx="78">
                  <c:v>-1.9651515151515156E-2</c:v>
                </c:pt>
                <c:pt idx="79">
                  <c:v>-1.9191919191919191E-2</c:v>
                </c:pt>
                <c:pt idx="80">
                  <c:v>-1.8732323232323239E-2</c:v>
                </c:pt>
                <c:pt idx="81">
                  <c:v>-1.8272727272727274E-2</c:v>
                </c:pt>
                <c:pt idx="82">
                  <c:v>-1.7813131313131315E-2</c:v>
                </c:pt>
                <c:pt idx="83">
                  <c:v>-1.7353535353535357E-2</c:v>
                </c:pt>
                <c:pt idx="84">
                  <c:v>-1.6893939393939392E-2</c:v>
                </c:pt>
                <c:pt idx="85">
                  <c:v>-1.643434343434344E-2</c:v>
                </c:pt>
                <c:pt idx="86">
                  <c:v>-1.5974747474747475E-2</c:v>
                </c:pt>
                <c:pt idx="87">
                  <c:v>-1.5515151515151517E-2</c:v>
                </c:pt>
                <c:pt idx="88">
                  <c:v>-1.5055555555555558E-2</c:v>
                </c:pt>
                <c:pt idx="89">
                  <c:v>-1.4595959595959593E-2</c:v>
                </c:pt>
                <c:pt idx="90">
                  <c:v>-1.4136363636363641E-2</c:v>
                </c:pt>
                <c:pt idx="91">
                  <c:v>-1.3676767676767676E-2</c:v>
                </c:pt>
                <c:pt idx="92">
                  <c:v>-1.3217171717171718E-2</c:v>
                </c:pt>
                <c:pt idx="93">
                  <c:v>-1.2757575757575759E-2</c:v>
                </c:pt>
                <c:pt idx="94">
                  <c:v>-1.2297979797979794E-2</c:v>
                </c:pt>
                <c:pt idx="95">
                  <c:v>-1.1838383838383842E-2</c:v>
                </c:pt>
                <c:pt idx="96">
                  <c:v>-1.1378787878787877E-2</c:v>
                </c:pt>
                <c:pt idx="97">
                  <c:v>-1.0919191919191919E-2</c:v>
                </c:pt>
                <c:pt idx="98">
                  <c:v>-1.0459595959595967E-2</c:v>
                </c:pt>
                <c:pt idx="99">
                  <c:v>-1.0000000000000002E-2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7BD-4886-BD54-0C0C54271E09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CDCL!$R$4:$R$103</c:f>
              <c:numCache>
                <c:formatCode>General</c:formatCode>
                <c:ptCount val="100"/>
                <c:pt idx="0">
                  <c:v>5.4299999999999999E-3</c:v>
                </c:pt>
                <c:pt idx="1">
                  <c:v>5.4338167476507349E-3</c:v>
                </c:pt>
                <c:pt idx="2">
                  <c:v>5.4394548018008044E-3</c:v>
                </c:pt>
                <c:pt idx="3">
                  <c:v>5.4469141624502128E-3</c:v>
                </c:pt>
                <c:pt idx="4">
                  <c:v>5.4561948295989574E-3</c:v>
                </c:pt>
                <c:pt idx="5">
                  <c:v>5.46729680324704E-3</c:v>
                </c:pt>
                <c:pt idx="6">
                  <c:v>5.4802200833944572E-3</c:v>
                </c:pt>
                <c:pt idx="7">
                  <c:v>5.4949646700412115E-3</c:v>
                </c:pt>
                <c:pt idx="8">
                  <c:v>5.5115305631873047E-3</c:v>
                </c:pt>
                <c:pt idx="9">
                  <c:v>5.5299177628327341E-3</c:v>
                </c:pt>
                <c:pt idx="10">
                  <c:v>5.5501262689774972E-3</c:v>
                </c:pt>
                <c:pt idx="11">
                  <c:v>5.5721560816216001E-3</c:v>
                </c:pt>
                <c:pt idx="12">
                  <c:v>5.5960072007650392E-3</c:v>
                </c:pt>
                <c:pt idx="13">
                  <c:v>5.6216796264078137E-3</c:v>
                </c:pt>
                <c:pt idx="14">
                  <c:v>5.6491733585499271E-3</c:v>
                </c:pt>
                <c:pt idx="15">
                  <c:v>5.6784883971913768E-3</c:v>
                </c:pt>
                <c:pt idx="16">
                  <c:v>5.7096247423321653E-3</c:v>
                </c:pt>
                <c:pt idx="17">
                  <c:v>5.7425823939722849E-3</c:v>
                </c:pt>
                <c:pt idx="18">
                  <c:v>5.7773613521117451E-3</c:v>
                </c:pt>
                <c:pt idx="19">
                  <c:v>5.8139616167505433E-3</c:v>
                </c:pt>
                <c:pt idx="20">
                  <c:v>5.8523831878886786E-3</c:v>
                </c:pt>
                <c:pt idx="21">
                  <c:v>5.892626065526145E-3</c:v>
                </c:pt>
                <c:pt idx="22">
                  <c:v>5.9346902496629529E-3</c:v>
                </c:pt>
                <c:pt idx="23">
                  <c:v>5.9785757402990988E-3</c:v>
                </c:pt>
                <c:pt idx="24">
                  <c:v>6.0242825374345757E-3</c:v>
                </c:pt>
                <c:pt idx="25">
                  <c:v>6.0718106410693942E-3</c:v>
                </c:pt>
                <c:pt idx="26">
                  <c:v>6.1211600512035506E-3</c:v>
                </c:pt>
                <c:pt idx="27">
                  <c:v>6.1723307678370433E-3</c:v>
                </c:pt>
                <c:pt idx="28">
                  <c:v>6.2253227909698661E-3</c:v>
                </c:pt>
                <c:pt idx="29">
                  <c:v>6.2801361206020322E-3</c:v>
                </c:pt>
                <c:pt idx="30">
                  <c:v>6.3367707567335363E-3</c:v>
                </c:pt>
                <c:pt idx="31">
                  <c:v>6.3952266993643767E-3</c:v>
                </c:pt>
                <c:pt idx="32">
                  <c:v>6.4555039484945455E-3</c:v>
                </c:pt>
                <c:pt idx="33">
                  <c:v>6.5176025041240601E-3</c:v>
                </c:pt>
                <c:pt idx="34">
                  <c:v>6.5815223662529111E-3</c:v>
                </c:pt>
                <c:pt idx="35">
                  <c:v>6.6472635348810904E-3</c:v>
                </c:pt>
                <c:pt idx="36">
                  <c:v>6.7148260100086147E-3</c:v>
                </c:pt>
                <c:pt idx="37">
                  <c:v>6.7842097916354762E-3</c:v>
                </c:pt>
                <c:pt idx="38">
                  <c:v>6.8554148797616747E-3</c:v>
                </c:pt>
                <c:pt idx="39">
                  <c:v>6.9284412743872001E-3</c:v>
                </c:pt>
                <c:pt idx="40">
                  <c:v>7.0032889755120729E-3</c:v>
                </c:pt>
                <c:pt idx="41">
                  <c:v>7.079957983136282E-3</c:v>
                </c:pt>
                <c:pt idx="42">
                  <c:v>7.1584482972598274E-3</c:v>
                </c:pt>
                <c:pt idx="43">
                  <c:v>7.2387599178826995E-3</c:v>
                </c:pt>
                <c:pt idx="44">
                  <c:v>7.3208928450049201E-3</c:v>
                </c:pt>
                <c:pt idx="45">
                  <c:v>7.404847078626476E-3</c:v>
                </c:pt>
                <c:pt idx="46">
                  <c:v>7.4906226187473586E-3</c:v>
                </c:pt>
                <c:pt idx="47">
                  <c:v>7.5782194653675888E-3</c:v>
                </c:pt>
                <c:pt idx="48">
                  <c:v>7.6676376184871553E-3</c:v>
                </c:pt>
                <c:pt idx="49">
                  <c:v>7.7588770781060589E-3</c:v>
                </c:pt>
                <c:pt idx="50">
                  <c:v>7.8519378442242875E-3</c:v>
                </c:pt>
                <c:pt idx="51">
                  <c:v>7.9468199168418654E-3</c:v>
                </c:pt>
                <c:pt idx="52">
                  <c:v>8.0435232959587821E-3</c:v>
                </c:pt>
                <c:pt idx="53">
                  <c:v>8.1420479815750325E-3</c:v>
                </c:pt>
                <c:pt idx="54">
                  <c:v>8.2423939736906079E-3</c:v>
                </c:pt>
                <c:pt idx="55">
                  <c:v>8.3445612723055326E-3</c:v>
                </c:pt>
                <c:pt idx="56">
                  <c:v>8.4485498774197944E-3</c:v>
                </c:pt>
                <c:pt idx="57">
                  <c:v>8.5543597890333795E-3</c:v>
                </c:pt>
                <c:pt idx="58">
                  <c:v>8.6619910071463156E-3</c:v>
                </c:pt>
                <c:pt idx="59">
                  <c:v>8.7714435317585888E-3</c:v>
                </c:pt>
                <c:pt idx="60">
                  <c:v>8.8827173628701992E-3</c:v>
                </c:pt>
                <c:pt idx="61">
                  <c:v>8.9958125004811294E-3</c:v>
                </c:pt>
                <c:pt idx="62">
                  <c:v>9.1107289445914123E-3</c:v>
                </c:pt>
                <c:pt idx="63">
                  <c:v>9.2274666952010323E-3</c:v>
                </c:pt>
                <c:pt idx="64">
                  <c:v>9.3460257523099895E-3</c:v>
                </c:pt>
                <c:pt idx="65">
                  <c:v>9.4664061159182682E-3</c:v>
                </c:pt>
                <c:pt idx="66">
                  <c:v>9.5886077860258996E-3</c:v>
                </c:pt>
                <c:pt idx="67">
                  <c:v>9.7126307626328665E-3</c:v>
                </c:pt>
                <c:pt idx="68">
                  <c:v>9.8384750457391548E-3</c:v>
                </c:pt>
                <c:pt idx="69">
                  <c:v>9.9661406353447959E-3</c:v>
                </c:pt>
                <c:pt idx="70">
                  <c:v>1.0095627531449774E-2</c:v>
                </c:pt>
                <c:pt idx="71">
                  <c:v>1.0226935734054088E-2</c:v>
                </c:pt>
                <c:pt idx="72">
                  <c:v>1.0360065243157725E-2</c:v>
                </c:pt>
                <c:pt idx="73">
                  <c:v>1.0495016058760714E-2</c:v>
                </c:pt>
                <c:pt idx="74">
                  <c:v>1.0631788180863038E-2</c:v>
                </c:pt>
                <c:pt idx="75">
                  <c:v>1.07703816094647E-2</c:v>
                </c:pt>
                <c:pt idx="76">
                  <c:v>1.0910796344565682E-2</c:v>
                </c:pt>
                <c:pt idx="77">
                  <c:v>1.1053032386166018E-2</c:v>
                </c:pt>
                <c:pt idx="78">
                  <c:v>1.1197089734265692E-2</c:v>
                </c:pt>
                <c:pt idx="79">
                  <c:v>1.1342968388864682E-2</c:v>
                </c:pt>
                <c:pt idx="80">
                  <c:v>1.149066834996303E-2</c:v>
                </c:pt>
                <c:pt idx="81">
                  <c:v>1.1640189617560715E-2</c:v>
                </c:pt>
                <c:pt idx="82">
                  <c:v>1.1791532191657735E-2</c:v>
                </c:pt>
                <c:pt idx="83">
                  <c:v>1.1944696072254072E-2</c:v>
                </c:pt>
                <c:pt idx="84">
                  <c:v>1.2099681259349765E-2</c:v>
                </c:pt>
                <c:pt idx="85">
                  <c:v>1.2256487752944795E-2</c:v>
                </c:pt>
                <c:pt idx="86">
                  <c:v>1.2415115553039166E-2</c:v>
                </c:pt>
                <c:pt idx="87">
                  <c:v>1.2575564659632849E-2</c:v>
                </c:pt>
                <c:pt idx="88">
                  <c:v>1.2737835072725892E-2</c:v>
                </c:pt>
                <c:pt idx="89">
                  <c:v>1.2901926792318269E-2</c:v>
                </c:pt>
                <c:pt idx="90">
                  <c:v>1.3067839818409964E-2</c:v>
                </c:pt>
                <c:pt idx="91">
                  <c:v>1.3235574151001015E-2</c:v>
                </c:pt>
                <c:pt idx="92">
                  <c:v>1.3405129790091405E-2</c:v>
                </c:pt>
                <c:pt idx="93">
                  <c:v>1.3576506735681131E-2</c:v>
                </c:pt>
                <c:pt idx="94">
                  <c:v>1.3749704987770173E-2</c:v>
                </c:pt>
                <c:pt idx="95">
                  <c:v>1.3924724546358571E-2</c:v>
                </c:pt>
                <c:pt idx="96">
                  <c:v>1.4101565411446308E-2</c:v>
                </c:pt>
                <c:pt idx="97">
                  <c:v>1.428022758303338E-2</c:v>
                </c:pt>
                <c:pt idx="98">
                  <c:v>1.446071106111977E-2</c:v>
                </c:pt>
                <c:pt idx="99">
                  <c:v>1.4643015845705517E-2</c:v>
                </c:pt>
              </c:numCache>
            </c:numRef>
          </c:xVal>
          <c:yVal>
            <c:numRef>
              <c:f>CDCL!$S$4:$S$103</c:f>
              <c:numCache>
                <c:formatCode>General</c:formatCode>
                <c:ptCount val="100"/>
                <c:pt idx="0">
                  <c:v>0.60029999999999994</c:v>
                </c:pt>
                <c:pt idx="1">
                  <c:v>0.60115353535353533</c:v>
                </c:pt>
                <c:pt idx="2">
                  <c:v>0.6020070707070706</c:v>
                </c:pt>
                <c:pt idx="3">
                  <c:v>0.60286060606060599</c:v>
                </c:pt>
                <c:pt idx="4">
                  <c:v>0.60371414141414137</c:v>
                </c:pt>
                <c:pt idx="5">
                  <c:v>0.60456767676767675</c:v>
                </c:pt>
                <c:pt idx="6">
                  <c:v>0.60542121212121203</c:v>
                </c:pt>
                <c:pt idx="7">
                  <c:v>0.60627474747474741</c:v>
                </c:pt>
                <c:pt idx="8">
                  <c:v>0.60712828282828279</c:v>
                </c:pt>
                <c:pt idx="9">
                  <c:v>0.60798181818181818</c:v>
                </c:pt>
                <c:pt idx="10">
                  <c:v>0.60883535353535345</c:v>
                </c:pt>
                <c:pt idx="11">
                  <c:v>0.60968888888888884</c:v>
                </c:pt>
                <c:pt idx="12">
                  <c:v>0.61054242424242422</c:v>
                </c:pt>
                <c:pt idx="13">
                  <c:v>0.61139595959595949</c:v>
                </c:pt>
                <c:pt idx="14">
                  <c:v>0.61224949494949488</c:v>
                </c:pt>
                <c:pt idx="15">
                  <c:v>0.61310303030303026</c:v>
                </c:pt>
                <c:pt idx="16">
                  <c:v>0.61395656565656564</c:v>
                </c:pt>
                <c:pt idx="17">
                  <c:v>0.61481010101010092</c:v>
                </c:pt>
                <c:pt idx="18">
                  <c:v>0.6156636363636363</c:v>
                </c:pt>
                <c:pt idx="19">
                  <c:v>0.61651717171717169</c:v>
                </c:pt>
                <c:pt idx="20">
                  <c:v>0.61737070707070707</c:v>
                </c:pt>
                <c:pt idx="21">
                  <c:v>0.61822424242424234</c:v>
                </c:pt>
                <c:pt idx="22">
                  <c:v>0.61907777777777773</c:v>
                </c:pt>
                <c:pt idx="23">
                  <c:v>0.61993131313131311</c:v>
                </c:pt>
                <c:pt idx="24">
                  <c:v>0.62078484848484838</c:v>
                </c:pt>
                <c:pt idx="25">
                  <c:v>0.62163838383838377</c:v>
                </c:pt>
                <c:pt idx="26">
                  <c:v>0.62249191919191915</c:v>
                </c:pt>
                <c:pt idx="27">
                  <c:v>0.62334545454545454</c:v>
                </c:pt>
                <c:pt idx="28">
                  <c:v>0.62419898989898981</c:v>
                </c:pt>
                <c:pt idx="29">
                  <c:v>0.62505252525252519</c:v>
                </c:pt>
                <c:pt idx="30">
                  <c:v>0.62590606060606058</c:v>
                </c:pt>
                <c:pt idx="31">
                  <c:v>0.62675959595959596</c:v>
                </c:pt>
                <c:pt idx="32">
                  <c:v>0.62761313131313123</c:v>
                </c:pt>
                <c:pt idx="33">
                  <c:v>0.62846666666666662</c:v>
                </c:pt>
                <c:pt idx="34">
                  <c:v>0.629320202020202</c:v>
                </c:pt>
                <c:pt idx="35">
                  <c:v>0.63017373737373727</c:v>
                </c:pt>
                <c:pt idx="36">
                  <c:v>0.63102727272727266</c:v>
                </c:pt>
                <c:pt idx="37">
                  <c:v>0.63188080808080804</c:v>
                </c:pt>
                <c:pt idx="38">
                  <c:v>0.63273434343434343</c:v>
                </c:pt>
                <c:pt idx="39">
                  <c:v>0.6335878787878787</c:v>
                </c:pt>
                <c:pt idx="40">
                  <c:v>0.63444141414141408</c:v>
                </c:pt>
                <c:pt idx="41">
                  <c:v>0.63529494949494947</c:v>
                </c:pt>
                <c:pt idx="42">
                  <c:v>0.63614848484848485</c:v>
                </c:pt>
                <c:pt idx="43">
                  <c:v>0.63700202020202012</c:v>
                </c:pt>
                <c:pt idx="44">
                  <c:v>0.63785555555555551</c:v>
                </c:pt>
                <c:pt idx="45">
                  <c:v>0.63870909090909089</c:v>
                </c:pt>
                <c:pt idx="46">
                  <c:v>0.63956262626262617</c:v>
                </c:pt>
                <c:pt idx="47">
                  <c:v>0.64041616161616155</c:v>
                </c:pt>
                <c:pt idx="48">
                  <c:v>0.64126969696969693</c:v>
                </c:pt>
                <c:pt idx="49">
                  <c:v>0.64212323232323232</c:v>
                </c:pt>
                <c:pt idx="50">
                  <c:v>0.64297676767676759</c:v>
                </c:pt>
                <c:pt idx="51">
                  <c:v>0.64383030303030298</c:v>
                </c:pt>
                <c:pt idx="52">
                  <c:v>0.64468383838383836</c:v>
                </c:pt>
                <c:pt idx="53">
                  <c:v>0.64553737373737374</c:v>
                </c:pt>
                <c:pt idx="54">
                  <c:v>0.64639090909090902</c:v>
                </c:pt>
                <c:pt idx="55">
                  <c:v>0.6472444444444444</c:v>
                </c:pt>
                <c:pt idx="56">
                  <c:v>0.64809797979797978</c:v>
                </c:pt>
                <c:pt idx="57">
                  <c:v>0.64895151515151506</c:v>
                </c:pt>
                <c:pt idx="58">
                  <c:v>0.64980505050505044</c:v>
                </c:pt>
                <c:pt idx="59">
                  <c:v>0.65065858585858583</c:v>
                </c:pt>
                <c:pt idx="60">
                  <c:v>0.65151212121212121</c:v>
                </c:pt>
                <c:pt idx="61">
                  <c:v>0.65236565656565648</c:v>
                </c:pt>
                <c:pt idx="62">
                  <c:v>0.65321919191919187</c:v>
                </c:pt>
                <c:pt idx="63">
                  <c:v>0.65407272727272725</c:v>
                </c:pt>
                <c:pt idx="64">
                  <c:v>0.65492626262626263</c:v>
                </c:pt>
                <c:pt idx="65">
                  <c:v>0.65577979797979791</c:v>
                </c:pt>
                <c:pt idx="66">
                  <c:v>0.65663333333333329</c:v>
                </c:pt>
                <c:pt idx="67">
                  <c:v>0.65748686868686868</c:v>
                </c:pt>
                <c:pt idx="68">
                  <c:v>0.65834040404040395</c:v>
                </c:pt>
                <c:pt idx="69">
                  <c:v>0.65919393939393933</c:v>
                </c:pt>
                <c:pt idx="70">
                  <c:v>0.66004747474747472</c:v>
                </c:pt>
                <c:pt idx="71">
                  <c:v>0.6609010101010101</c:v>
                </c:pt>
                <c:pt idx="72">
                  <c:v>0.66175454545454537</c:v>
                </c:pt>
                <c:pt idx="73">
                  <c:v>0.66260808080808076</c:v>
                </c:pt>
                <c:pt idx="74">
                  <c:v>0.66346161616161614</c:v>
                </c:pt>
                <c:pt idx="75">
                  <c:v>0.66431515151515153</c:v>
                </c:pt>
                <c:pt idx="76">
                  <c:v>0.6651686868686868</c:v>
                </c:pt>
                <c:pt idx="77">
                  <c:v>0.66602222222222218</c:v>
                </c:pt>
                <c:pt idx="78">
                  <c:v>0.66687575757575757</c:v>
                </c:pt>
                <c:pt idx="79">
                  <c:v>0.66772929292929284</c:v>
                </c:pt>
                <c:pt idx="80">
                  <c:v>0.66858282828282822</c:v>
                </c:pt>
                <c:pt idx="81">
                  <c:v>0.66943636363636361</c:v>
                </c:pt>
                <c:pt idx="82">
                  <c:v>0.67028989898989899</c:v>
                </c:pt>
                <c:pt idx="83">
                  <c:v>0.67114343434343426</c:v>
                </c:pt>
                <c:pt idx="84">
                  <c:v>0.67199696969696965</c:v>
                </c:pt>
                <c:pt idx="85">
                  <c:v>0.67285050505050503</c:v>
                </c:pt>
                <c:pt idx="86">
                  <c:v>0.67370404040404042</c:v>
                </c:pt>
                <c:pt idx="87">
                  <c:v>0.67455757575757569</c:v>
                </c:pt>
                <c:pt idx="88">
                  <c:v>0.67541111111111107</c:v>
                </c:pt>
                <c:pt idx="89">
                  <c:v>0.67626464646464646</c:v>
                </c:pt>
                <c:pt idx="90">
                  <c:v>0.67711818181818173</c:v>
                </c:pt>
                <c:pt idx="91">
                  <c:v>0.67797171717171711</c:v>
                </c:pt>
                <c:pt idx="92">
                  <c:v>0.6788252525252525</c:v>
                </c:pt>
                <c:pt idx="93">
                  <c:v>0.67967878787878788</c:v>
                </c:pt>
                <c:pt idx="94">
                  <c:v>0.68053232323232316</c:v>
                </c:pt>
                <c:pt idx="95">
                  <c:v>0.68138585858585854</c:v>
                </c:pt>
                <c:pt idx="96">
                  <c:v>0.68223939393939392</c:v>
                </c:pt>
                <c:pt idx="97">
                  <c:v>0.68309292929292931</c:v>
                </c:pt>
                <c:pt idx="98">
                  <c:v>0.68394646464646458</c:v>
                </c:pt>
                <c:pt idx="99">
                  <c:v>0.68479999999999996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7BD-4886-BD54-0C0C54271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871039"/>
        <c:axId val="474868639"/>
      </c:scatterChart>
      <c:valAx>
        <c:axId val="474871039"/>
        <c:scaling>
          <c:orientation val="minMax"/>
          <c:max val="7.5000000000000011E-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868639"/>
        <c:crosses val="autoZero"/>
        <c:crossBetween val="midCat"/>
      </c:valAx>
      <c:valAx>
        <c:axId val="474868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8710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CDCL!$D$3</c:f>
              <c:strCache>
                <c:ptCount val="1"/>
                <c:pt idx="0">
                  <c:v>Cl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CDCL!$A$4:$A$1000</c:f>
              <c:numCache>
                <c:formatCode>General</c:formatCode>
                <c:ptCount val="997"/>
                <c:pt idx="0">
                  <c:v>-1.65</c:v>
                </c:pt>
                <c:pt idx="1">
                  <c:v>-1.6</c:v>
                </c:pt>
                <c:pt idx="2">
                  <c:v>-1.55</c:v>
                </c:pt>
                <c:pt idx="3">
                  <c:v>-1.5</c:v>
                </c:pt>
                <c:pt idx="4">
                  <c:v>-1.45</c:v>
                </c:pt>
                <c:pt idx="5">
                  <c:v>-1.4</c:v>
                </c:pt>
                <c:pt idx="6">
                  <c:v>-1.35</c:v>
                </c:pt>
                <c:pt idx="7">
                  <c:v>-1.3</c:v>
                </c:pt>
                <c:pt idx="8">
                  <c:v>-1.25</c:v>
                </c:pt>
                <c:pt idx="9">
                  <c:v>-1.2</c:v>
                </c:pt>
                <c:pt idx="10">
                  <c:v>-1.1499999999999999</c:v>
                </c:pt>
                <c:pt idx="11">
                  <c:v>-1.1000000000000001</c:v>
                </c:pt>
                <c:pt idx="12">
                  <c:v>-1.05</c:v>
                </c:pt>
                <c:pt idx="13">
                  <c:v>-1</c:v>
                </c:pt>
                <c:pt idx="14">
                  <c:v>-0.95</c:v>
                </c:pt>
                <c:pt idx="15">
                  <c:v>-0.9</c:v>
                </c:pt>
                <c:pt idx="16">
                  <c:v>-0.85</c:v>
                </c:pt>
                <c:pt idx="17">
                  <c:v>-0.8</c:v>
                </c:pt>
                <c:pt idx="18">
                  <c:v>-0.75</c:v>
                </c:pt>
                <c:pt idx="19">
                  <c:v>-0.7</c:v>
                </c:pt>
                <c:pt idx="20">
                  <c:v>-0.65</c:v>
                </c:pt>
                <c:pt idx="21">
                  <c:v>-0.6</c:v>
                </c:pt>
                <c:pt idx="22">
                  <c:v>-0.55000000000000004</c:v>
                </c:pt>
                <c:pt idx="23">
                  <c:v>-0.5</c:v>
                </c:pt>
                <c:pt idx="24">
                  <c:v>-0.45</c:v>
                </c:pt>
                <c:pt idx="25">
                  <c:v>-0.4</c:v>
                </c:pt>
                <c:pt idx="26">
                  <c:v>-0.35</c:v>
                </c:pt>
                <c:pt idx="27">
                  <c:v>-0.3</c:v>
                </c:pt>
                <c:pt idx="28">
                  <c:v>-0.25</c:v>
                </c:pt>
                <c:pt idx="29">
                  <c:v>-0.2</c:v>
                </c:pt>
                <c:pt idx="30">
                  <c:v>-0.15</c:v>
                </c:pt>
                <c:pt idx="31">
                  <c:v>-0.1</c:v>
                </c:pt>
                <c:pt idx="32">
                  <c:v>-0.05</c:v>
                </c:pt>
                <c:pt idx="33">
                  <c:v>0</c:v>
                </c:pt>
                <c:pt idx="34">
                  <c:v>0.05</c:v>
                </c:pt>
                <c:pt idx="35">
                  <c:v>0.1</c:v>
                </c:pt>
                <c:pt idx="36">
                  <c:v>0.15</c:v>
                </c:pt>
                <c:pt idx="37">
                  <c:v>0.2</c:v>
                </c:pt>
                <c:pt idx="38">
                  <c:v>0.25</c:v>
                </c:pt>
                <c:pt idx="39">
                  <c:v>0.3</c:v>
                </c:pt>
                <c:pt idx="40">
                  <c:v>0.35</c:v>
                </c:pt>
                <c:pt idx="41">
                  <c:v>0.4</c:v>
                </c:pt>
                <c:pt idx="42">
                  <c:v>0.45</c:v>
                </c:pt>
                <c:pt idx="43">
                  <c:v>0.5</c:v>
                </c:pt>
                <c:pt idx="44">
                  <c:v>0.55000000000000004</c:v>
                </c:pt>
                <c:pt idx="45">
                  <c:v>0.6</c:v>
                </c:pt>
                <c:pt idx="46">
                  <c:v>0.65</c:v>
                </c:pt>
                <c:pt idx="47">
                  <c:v>0.7</c:v>
                </c:pt>
                <c:pt idx="48">
                  <c:v>0.75</c:v>
                </c:pt>
                <c:pt idx="49">
                  <c:v>0.8</c:v>
                </c:pt>
                <c:pt idx="50">
                  <c:v>0.85</c:v>
                </c:pt>
                <c:pt idx="51">
                  <c:v>0.9</c:v>
                </c:pt>
                <c:pt idx="52">
                  <c:v>0.95</c:v>
                </c:pt>
                <c:pt idx="53">
                  <c:v>1</c:v>
                </c:pt>
                <c:pt idx="54">
                  <c:v>1.05</c:v>
                </c:pt>
                <c:pt idx="55">
                  <c:v>1.1000000000000001</c:v>
                </c:pt>
                <c:pt idx="56">
                  <c:v>1.1499999999999999</c:v>
                </c:pt>
                <c:pt idx="57">
                  <c:v>1.2</c:v>
                </c:pt>
                <c:pt idx="58">
                  <c:v>1.25</c:v>
                </c:pt>
                <c:pt idx="59">
                  <c:v>1.3</c:v>
                </c:pt>
                <c:pt idx="60">
                  <c:v>1.35</c:v>
                </c:pt>
                <c:pt idx="61">
                  <c:v>1.4</c:v>
                </c:pt>
                <c:pt idx="62">
                  <c:v>1.45</c:v>
                </c:pt>
                <c:pt idx="63">
                  <c:v>1.5</c:v>
                </c:pt>
                <c:pt idx="64">
                  <c:v>1.55</c:v>
                </c:pt>
                <c:pt idx="65">
                  <c:v>1.6</c:v>
                </c:pt>
              </c:numCache>
            </c:numRef>
          </c:xVal>
          <c:yVal>
            <c:numRef>
              <c:f>CDCL!$D$4:$D$1000</c:f>
              <c:numCache>
                <c:formatCode>General</c:formatCode>
                <c:ptCount val="997"/>
                <c:pt idx="0">
                  <c:v>-5.5500000000000001E-2</c:v>
                </c:pt>
                <c:pt idx="1">
                  <c:v>-4.4900000000000002E-2</c:v>
                </c:pt>
                <c:pt idx="2">
                  <c:v>-3.3700000000000001E-2</c:v>
                </c:pt>
                <c:pt idx="3">
                  <c:v>-2.1999999999999999E-2</c:v>
                </c:pt>
                <c:pt idx="4">
                  <c:v>-0.01</c:v>
                </c:pt>
                <c:pt idx="5">
                  <c:v>2.0999999999999999E-3</c:v>
                </c:pt>
                <c:pt idx="6">
                  <c:v>1.4200000000000001E-2</c:v>
                </c:pt>
                <c:pt idx="7">
                  <c:v>2.6100000000000002E-2</c:v>
                </c:pt>
                <c:pt idx="8">
                  <c:v>3.7999999999999999E-2</c:v>
                </c:pt>
                <c:pt idx="9">
                  <c:v>4.9799999999999997E-2</c:v>
                </c:pt>
                <c:pt idx="10">
                  <c:v>6.1600000000000002E-2</c:v>
                </c:pt>
                <c:pt idx="11">
                  <c:v>7.3300000000000004E-2</c:v>
                </c:pt>
                <c:pt idx="12">
                  <c:v>8.4900000000000003E-2</c:v>
                </c:pt>
                <c:pt idx="13">
                  <c:v>9.64E-2</c:v>
                </c:pt>
                <c:pt idx="14">
                  <c:v>0.1079</c:v>
                </c:pt>
                <c:pt idx="15">
                  <c:v>0.1193</c:v>
                </c:pt>
                <c:pt idx="16">
                  <c:v>0.13070000000000001</c:v>
                </c:pt>
                <c:pt idx="17">
                  <c:v>0.1421</c:v>
                </c:pt>
                <c:pt idx="18">
                  <c:v>0.15340000000000001</c:v>
                </c:pt>
                <c:pt idx="19">
                  <c:v>0.1646</c:v>
                </c:pt>
                <c:pt idx="20">
                  <c:v>0.1759</c:v>
                </c:pt>
                <c:pt idx="21">
                  <c:v>0.18709999999999999</c:v>
                </c:pt>
                <c:pt idx="22">
                  <c:v>0.1983</c:v>
                </c:pt>
                <c:pt idx="23">
                  <c:v>0.2094</c:v>
                </c:pt>
                <c:pt idx="24">
                  <c:v>0.2205</c:v>
                </c:pt>
                <c:pt idx="25">
                  <c:v>0.23169999999999999</c:v>
                </c:pt>
                <c:pt idx="26">
                  <c:v>0.24279999999999999</c:v>
                </c:pt>
                <c:pt idx="27">
                  <c:v>0.25390000000000001</c:v>
                </c:pt>
                <c:pt idx="28">
                  <c:v>0.26490000000000002</c:v>
                </c:pt>
                <c:pt idx="29">
                  <c:v>0.27600000000000002</c:v>
                </c:pt>
                <c:pt idx="30">
                  <c:v>0.28710000000000002</c:v>
                </c:pt>
                <c:pt idx="31">
                  <c:v>0.29770000000000002</c:v>
                </c:pt>
                <c:pt idx="32">
                  <c:v>0.30869999999999997</c:v>
                </c:pt>
                <c:pt idx="33">
                  <c:v>0.3196</c:v>
                </c:pt>
                <c:pt idx="34">
                  <c:v>0.3306</c:v>
                </c:pt>
                <c:pt idx="35">
                  <c:v>0.34150000000000003</c:v>
                </c:pt>
                <c:pt idx="36">
                  <c:v>0.35260000000000002</c:v>
                </c:pt>
                <c:pt idx="37">
                  <c:v>0.36359999999999998</c:v>
                </c:pt>
                <c:pt idx="38">
                  <c:v>0.37469999999999998</c:v>
                </c:pt>
                <c:pt idx="39">
                  <c:v>0.38579999999999998</c:v>
                </c:pt>
                <c:pt idx="40">
                  <c:v>0.39689999999999998</c:v>
                </c:pt>
                <c:pt idx="41">
                  <c:v>0.40799999999999997</c:v>
                </c:pt>
                <c:pt idx="42">
                  <c:v>0.41909999999999997</c:v>
                </c:pt>
                <c:pt idx="43">
                  <c:v>0.43030000000000002</c:v>
                </c:pt>
                <c:pt idx="44">
                  <c:v>0.44130000000000003</c:v>
                </c:pt>
                <c:pt idx="45">
                  <c:v>0.45219999999999999</c:v>
                </c:pt>
                <c:pt idx="46">
                  <c:v>0.46339999999999998</c:v>
                </c:pt>
                <c:pt idx="47">
                  <c:v>0.47470000000000001</c:v>
                </c:pt>
                <c:pt idx="48">
                  <c:v>0.48599999999999999</c:v>
                </c:pt>
                <c:pt idx="49">
                  <c:v>0.49719999999999998</c:v>
                </c:pt>
                <c:pt idx="50">
                  <c:v>0.50860000000000005</c:v>
                </c:pt>
                <c:pt idx="51">
                  <c:v>0.51990000000000003</c:v>
                </c:pt>
                <c:pt idx="52">
                  <c:v>0.53129999999999999</c:v>
                </c:pt>
                <c:pt idx="53">
                  <c:v>0.54269999999999996</c:v>
                </c:pt>
                <c:pt idx="54">
                  <c:v>0.55410000000000004</c:v>
                </c:pt>
                <c:pt idx="55">
                  <c:v>0.5655</c:v>
                </c:pt>
                <c:pt idx="56">
                  <c:v>0.57699999999999996</c:v>
                </c:pt>
                <c:pt idx="57">
                  <c:v>0.58860000000000001</c:v>
                </c:pt>
                <c:pt idx="58">
                  <c:v>0.60029999999999994</c:v>
                </c:pt>
                <c:pt idx="59">
                  <c:v>0.61209999999999998</c:v>
                </c:pt>
                <c:pt idx="60">
                  <c:v>0.624</c:v>
                </c:pt>
                <c:pt idx="61">
                  <c:v>0.63590000000000002</c:v>
                </c:pt>
                <c:pt idx="62">
                  <c:v>0.64800000000000002</c:v>
                </c:pt>
                <c:pt idx="63">
                  <c:v>0.66010000000000002</c:v>
                </c:pt>
                <c:pt idx="64">
                  <c:v>0.6724</c:v>
                </c:pt>
                <c:pt idx="65">
                  <c:v>0.68479999999999996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0C-4D18-BE9B-AD0DD3015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8813760"/>
        <c:axId val="1467257952"/>
      </c:scatterChart>
      <c:valAx>
        <c:axId val="1468813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257952"/>
        <c:crosses val="autoZero"/>
        <c:crossBetween val="midCat"/>
      </c:valAx>
      <c:valAx>
        <c:axId val="146725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8813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A_CDCL!$B$4:$B$247</c:f>
              <c:numCache>
                <c:formatCode>General</c:formatCode>
                <c:ptCount val="244"/>
                <c:pt idx="0">
                  <c:v>4.3190195456654382E-2</c:v>
                </c:pt>
                <c:pt idx="1">
                  <c:v>3.5554644290606577E-2</c:v>
                </c:pt>
                <c:pt idx="2">
                  <c:v>1.9138409845302063E-2</c:v>
                </c:pt>
                <c:pt idx="3">
                  <c:v>1.1785420586652435E-2</c:v>
                </c:pt>
                <c:pt idx="4">
                  <c:v>8.2455191001896532E-3</c:v>
                </c:pt>
                <c:pt idx="5">
                  <c:v>7.2182240680638199E-3</c:v>
                </c:pt>
                <c:pt idx="6">
                  <c:v>7.6200759452090504E-3</c:v>
                </c:pt>
                <c:pt idx="7">
                  <c:v>8.9967821945829245E-3</c:v>
                </c:pt>
                <c:pt idx="8">
                  <c:v>1.1470827009322176E-2</c:v>
                </c:pt>
                <c:pt idx="9">
                  <c:v>1.5359555802028328E-2</c:v>
                </c:pt>
                <c:pt idx="10">
                  <c:v>2.0702413116195677E-2</c:v>
                </c:pt>
                <c:pt idx="11">
                  <c:v>2.6143265183919254E-2</c:v>
                </c:pt>
                <c:pt idx="12">
                  <c:v>3.0960901950587098E-2</c:v>
                </c:pt>
                <c:pt idx="13">
                  <c:v>3.5549364645016623E-2</c:v>
                </c:pt>
                <c:pt idx="14">
                  <c:v>4.0125973062419426E-2</c:v>
                </c:pt>
                <c:pt idx="15">
                  <c:v>4.4879754135912386E-2</c:v>
                </c:pt>
                <c:pt idx="16">
                  <c:v>4.9595358602603098E-2</c:v>
                </c:pt>
                <c:pt idx="17">
                  <c:v>5.455355178226292E-2</c:v>
                </c:pt>
                <c:pt idx="18">
                  <c:v>6.0202518576720584E-2</c:v>
                </c:pt>
                <c:pt idx="19">
                  <c:v>6.650177308177159E-2</c:v>
                </c:pt>
                <c:pt idx="20">
                  <c:v>7.3439174054494821E-2</c:v>
                </c:pt>
              </c:numCache>
            </c:numRef>
          </c:xVal>
          <c:yVal>
            <c:numRef>
              <c:f>A_CDCL!$D$4:$D$247</c:f>
              <c:numCache>
                <c:formatCode>General</c:formatCode>
                <c:ptCount val="244"/>
                <c:pt idx="0">
                  <c:v>-0.61515143659682869</c:v>
                </c:pt>
                <c:pt idx="1">
                  <c:v>-0.54912653299205594</c:v>
                </c:pt>
                <c:pt idx="2">
                  <c:v>-0.33434268742018264</c:v>
                </c:pt>
                <c:pt idx="3">
                  <c:v>-0.20213026633774617</c:v>
                </c:pt>
                <c:pt idx="4">
                  <c:v>-8.4055123244073687E-2</c:v>
                </c:pt>
                <c:pt idx="5">
                  <c:v>1.739892501101991E-2</c:v>
                </c:pt>
                <c:pt idx="6">
                  <c:v>0.1091760866930164</c:v>
                </c:pt>
                <c:pt idx="7">
                  <c:v>0.20035010755904623</c:v>
                </c:pt>
                <c:pt idx="8">
                  <c:v>0.29731929723682954</c:v>
                </c:pt>
                <c:pt idx="9">
                  <c:v>0.40330313875096513</c:v>
                </c:pt>
                <c:pt idx="10">
                  <c:v>0.51326688932859799</c:v>
                </c:pt>
                <c:pt idx="11">
                  <c:v>0.6032766589152686</c:v>
                </c:pt>
                <c:pt idx="12">
                  <c:v>0.66968592004923744</c:v>
                </c:pt>
                <c:pt idx="13">
                  <c:v>0.72302253315135301</c:v>
                </c:pt>
                <c:pt idx="14">
                  <c:v>0.76919703481296997</c:v>
                </c:pt>
                <c:pt idx="15">
                  <c:v>0.81039647990513808</c:v>
                </c:pt>
                <c:pt idx="16">
                  <c:v>0.84886805086738626</c:v>
                </c:pt>
                <c:pt idx="17">
                  <c:v>0.88934268987867038</c:v>
                </c:pt>
                <c:pt idx="18">
                  <c:v>0.92813432604656521</c:v>
                </c:pt>
                <c:pt idx="19">
                  <c:v>0.96574597915855454</c:v>
                </c:pt>
                <c:pt idx="20">
                  <c:v>1.0030694528238138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A-4C5E-A8E5-910A09CB1503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A_CDCL!$I$4:$I$101</c:f>
              <c:numCache>
                <c:formatCode>General</c:formatCode>
                <c:ptCount val="98"/>
                <c:pt idx="0">
                  <c:v>0</c:v>
                </c:pt>
                <c:pt idx="1">
                  <c:v>1.4508623012025011E-4</c:v>
                </c:pt>
                <c:pt idx="2">
                  <c:v>2.8869950358953282E-4</c:v>
                </c:pt>
                <c:pt idx="3">
                  <c:v>4.30839820407849E-4</c:v>
                </c:pt>
                <c:pt idx="4">
                  <c:v>5.7150718057519777E-4</c:v>
                </c:pt>
                <c:pt idx="5">
                  <c:v>7.1070158409158347E-4</c:v>
                </c:pt>
                <c:pt idx="6">
                  <c:v>8.4842303095699744E-4</c:v>
                </c:pt>
                <c:pt idx="7">
                  <c:v>9.8467152117144487E-4</c:v>
                </c:pt>
                <c:pt idx="8">
                  <c:v>1.1194470547349258E-3</c:v>
                </c:pt>
                <c:pt idx="9">
                  <c:v>1.2527496316474401E-3</c:v>
                </c:pt>
                <c:pt idx="10">
                  <c:v>1.3845792519089871E-3</c:v>
                </c:pt>
                <c:pt idx="11">
                  <c:v>1.5149359155195666E-3</c:v>
                </c:pt>
                <c:pt idx="12">
                  <c:v>1.6438196224791797E-3</c:v>
                </c:pt>
                <c:pt idx="13">
                  <c:v>1.771230372787827E-3</c:v>
                </c:pt>
                <c:pt idx="14">
                  <c:v>1.8971681664455061E-3</c:v>
                </c:pt>
                <c:pt idx="15">
                  <c:v>2.0216330034522178E-3</c:v>
                </c:pt>
                <c:pt idx="16">
                  <c:v>2.1446248838079621E-3</c:v>
                </c:pt>
                <c:pt idx="17">
                  <c:v>2.2661438075127415E-3</c:v>
                </c:pt>
                <c:pt idx="18">
                  <c:v>2.3861897745665528E-3</c:v>
                </c:pt>
                <c:pt idx="19">
                  <c:v>2.5047627849693957E-3</c:v>
                </c:pt>
                <c:pt idx="20">
                  <c:v>2.621862838721273E-3</c:v>
                </c:pt>
                <c:pt idx="21">
                  <c:v>2.7374899358221828E-3</c:v>
                </c:pt>
                <c:pt idx="22">
                  <c:v>2.8516440762721262E-3</c:v>
                </c:pt>
                <c:pt idx="23">
                  <c:v>2.9643252600711012E-3</c:v>
                </c:pt>
                <c:pt idx="24">
                  <c:v>3.0755334872191115E-3</c:v>
                </c:pt>
                <c:pt idx="25">
                  <c:v>3.1852687577161535E-3</c:v>
                </c:pt>
                <c:pt idx="26">
                  <c:v>3.2935310715622289E-3</c:v>
                </c:pt>
                <c:pt idx="27">
                  <c:v>3.4003204287573374E-3</c:v>
                </c:pt>
                <c:pt idx="28">
                  <c:v>3.5056368293014785E-3</c:v>
                </c:pt>
                <c:pt idx="29">
                  <c:v>3.6094802731946522E-3</c:v>
                </c:pt>
                <c:pt idx="30">
                  <c:v>3.7118507604368589E-3</c:v>
                </c:pt>
                <c:pt idx="31">
                  <c:v>3.8127482910280982E-3</c:v>
                </c:pt>
                <c:pt idx="32">
                  <c:v>3.9121728649683715E-3</c:v>
                </c:pt>
                <c:pt idx="33">
                  <c:v>4.0101244822576768E-3</c:v>
                </c:pt>
                <c:pt idx="34">
                  <c:v>4.1066031428960165E-3</c:v>
                </c:pt>
                <c:pt idx="35">
                  <c:v>4.2016088468833888E-3</c:v>
                </c:pt>
                <c:pt idx="36">
                  <c:v>4.2951415942197937E-3</c:v>
                </c:pt>
                <c:pt idx="37">
                  <c:v>4.3872013849052321E-3</c:v>
                </c:pt>
                <c:pt idx="38">
                  <c:v>4.4777882189397031E-3</c:v>
                </c:pt>
                <c:pt idx="39">
                  <c:v>4.5669020963232066E-3</c:v>
                </c:pt>
                <c:pt idx="40">
                  <c:v>4.6545430170557428E-3</c:v>
                </c:pt>
                <c:pt idx="41">
                  <c:v>4.7407109811373133E-3</c:v>
                </c:pt>
                <c:pt idx="42">
                  <c:v>4.8254059885679164E-3</c:v>
                </c:pt>
                <c:pt idx="43">
                  <c:v>4.9086280393475512E-3</c:v>
                </c:pt>
                <c:pt idx="44">
                  <c:v>4.9903771334762204E-3</c:v>
                </c:pt>
                <c:pt idx="45">
                  <c:v>5.070653270953923E-3</c:v>
                </c:pt>
                <c:pt idx="46">
                  <c:v>5.1494564517806582E-3</c:v>
                </c:pt>
                <c:pt idx="47">
                  <c:v>5.2267866759564251E-3</c:v>
                </c:pt>
                <c:pt idx="48">
                  <c:v>5.3026439434812264E-3</c:v>
                </c:pt>
                <c:pt idx="49">
                  <c:v>5.3770282543550603E-3</c:v>
                </c:pt>
                <c:pt idx="50">
                  <c:v>5.4499396085779276E-3</c:v>
                </c:pt>
                <c:pt idx="51">
                  <c:v>5.5213780061498276E-3</c:v>
                </c:pt>
                <c:pt idx="52">
                  <c:v>5.591343447070761E-3</c:v>
                </c:pt>
                <c:pt idx="53">
                  <c:v>5.6598359313407261E-3</c:v>
                </c:pt>
                <c:pt idx="54">
                  <c:v>5.7268554589597247E-3</c:v>
                </c:pt>
                <c:pt idx="55">
                  <c:v>5.7924020299277568E-3</c:v>
                </c:pt>
                <c:pt idx="56">
                  <c:v>5.8564756442448214E-3</c:v>
                </c:pt>
                <c:pt idx="57">
                  <c:v>5.9190763019109187E-3</c:v>
                </c:pt>
                <c:pt idx="58">
                  <c:v>5.9802040029260494E-3</c:v>
                </c:pt>
                <c:pt idx="59">
                  <c:v>6.0398587472902136E-3</c:v>
                </c:pt>
                <c:pt idx="60">
                  <c:v>6.0980405350034104E-3</c:v>
                </c:pt>
                <c:pt idx="61">
                  <c:v>6.1547493660656406E-3</c:v>
                </c:pt>
                <c:pt idx="62">
                  <c:v>6.2099852404769035E-3</c:v>
                </c:pt>
                <c:pt idx="63">
                  <c:v>6.2637481582371989E-3</c:v>
                </c:pt>
                <c:pt idx="64">
                  <c:v>6.3160381193465278E-3</c:v>
                </c:pt>
                <c:pt idx="65">
                  <c:v>6.3668551238048893E-3</c:v>
                </c:pt>
                <c:pt idx="66">
                  <c:v>6.4161991716122843E-3</c:v>
                </c:pt>
                <c:pt idx="67">
                  <c:v>6.4640702627687119E-3</c:v>
                </c:pt>
                <c:pt idx="68">
                  <c:v>6.5104683972741729E-3</c:v>
                </c:pt>
                <c:pt idx="69">
                  <c:v>6.5553935751286666E-3</c:v>
                </c:pt>
                <c:pt idx="70">
                  <c:v>6.5988457963321936E-3</c:v>
                </c:pt>
                <c:pt idx="71">
                  <c:v>6.6408250608847525E-3</c:v>
                </c:pt>
                <c:pt idx="72">
                  <c:v>6.6813313687863456E-3</c:v>
                </c:pt>
                <c:pt idx="73">
                  <c:v>6.7203647200369714E-3</c:v>
                </c:pt>
                <c:pt idx="74">
                  <c:v>6.7579251146366297E-3</c:v>
                </c:pt>
                <c:pt idx="75">
                  <c:v>6.7940125525853216E-3</c:v>
                </c:pt>
                <c:pt idx="76">
                  <c:v>6.8286270338830468E-3</c:v>
                </c:pt>
                <c:pt idx="77">
                  <c:v>6.8617685585298039E-3</c:v>
                </c:pt>
                <c:pt idx="78">
                  <c:v>6.8934371265255943E-3</c:v>
                </c:pt>
                <c:pt idx="79">
                  <c:v>6.9236327378704183E-3</c:v>
                </c:pt>
                <c:pt idx="80">
                  <c:v>6.9523553925642748E-3</c:v>
                </c:pt>
                <c:pt idx="81">
                  <c:v>6.9796050906071648E-3</c:v>
                </c:pt>
                <c:pt idx="82">
                  <c:v>7.0053818319990874E-3</c:v>
                </c:pt>
                <c:pt idx="83">
                  <c:v>7.0296856167400426E-3</c:v>
                </c:pt>
                <c:pt idx="84">
                  <c:v>7.0525164448300313E-3</c:v>
                </c:pt>
                <c:pt idx="85">
                  <c:v>7.0738743162690534E-3</c:v>
                </c:pt>
                <c:pt idx="86">
                  <c:v>7.0937592310571073E-3</c:v>
                </c:pt>
                <c:pt idx="87">
                  <c:v>7.1121711891941955E-3</c:v>
                </c:pt>
                <c:pt idx="88">
                  <c:v>7.1291101906803154E-3</c:v>
                </c:pt>
                <c:pt idx="89">
                  <c:v>7.1445762355154697E-3</c:v>
                </c:pt>
                <c:pt idx="90">
                  <c:v>7.1585693236996557E-3</c:v>
                </c:pt>
                <c:pt idx="91">
                  <c:v>7.171089455232876E-3</c:v>
                </c:pt>
                <c:pt idx="92">
                  <c:v>7.182136630115128E-3</c:v>
                </c:pt>
                <c:pt idx="93">
                  <c:v>7.1917108483464135E-3</c:v>
                </c:pt>
                <c:pt idx="94">
                  <c:v>7.1998121099267325E-3</c:v>
                </c:pt>
                <c:pt idx="95">
                  <c:v>7.2064404148560841E-3</c:v>
                </c:pt>
                <c:pt idx="96">
                  <c:v>7.2115957631344683E-3</c:v>
                </c:pt>
                <c:pt idx="97">
                  <c:v>7.2152781547618859E-3</c:v>
                </c:pt>
              </c:numCache>
            </c:numRef>
          </c:xVal>
          <c:yVal>
            <c:numRef>
              <c:f>A_CDCL!$J$4:$J$103</c:f>
              <c:numCache>
                <c:formatCode>General</c:formatCode>
                <c:ptCount val="100"/>
                <c:pt idx="0">
                  <c:v>0</c:v>
                </c:pt>
                <c:pt idx="1">
                  <c:v>1.7574671728302939E-4</c:v>
                </c:pt>
                <c:pt idx="2">
                  <c:v>3.5149343456605879E-4</c:v>
                </c:pt>
                <c:pt idx="3">
                  <c:v>5.2724015184908821E-4</c:v>
                </c:pt>
                <c:pt idx="4">
                  <c:v>7.0298686913211758E-4</c:v>
                </c:pt>
                <c:pt idx="5">
                  <c:v>8.7873358641514705E-4</c:v>
                </c:pt>
                <c:pt idx="6">
                  <c:v>1.0544803036981764E-3</c:v>
                </c:pt>
                <c:pt idx="7">
                  <c:v>1.2302270209812057E-3</c:v>
                </c:pt>
                <c:pt idx="8">
                  <c:v>1.4059737382642352E-3</c:v>
                </c:pt>
                <c:pt idx="9">
                  <c:v>1.5817204555472646E-3</c:v>
                </c:pt>
                <c:pt idx="10">
                  <c:v>1.7574671728302941E-3</c:v>
                </c:pt>
                <c:pt idx="11">
                  <c:v>1.9332138901133231E-3</c:v>
                </c:pt>
                <c:pt idx="12">
                  <c:v>2.1089606073963528E-3</c:v>
                </c:pt>
                <c:pt idx="13">
                  <c:v>2.2847073246793823E-3</c:v>
                </c:pt>
                <c:pt idx="14">
                  <c:v>2.4604540419624113E-3</c:v>
                </c:pt>
                <c:pt idx="15">
                  <c:v>2.6362007592454408E-3</c:v>
                </c:pt>
                <c:pt idx="16">
                  <c:v>2.8119474765284703E-3</c:v>
                </c:pt>
                <c:pt idx="17">
                  <c:v>2.9876941938114998E-3</c:v>
                </c:pt>
                <c:pt idx="18">
                  <c:v>3.1634409110945293E-3</c:v>
                </c:pt>
                <c:pt idx="19">
                  <c:v>3.3391876283775587E-3</c:v>
                </c:pt>
                <c:pt idx="20">
                  <c:v>3.5149343456605882E-3</c:v>
                </c:pt>
                <c:pt idx="21">
                  <c:v>3.6906810629436168E-3</c:v>
                </c:pt>
                <c:pt idx="22">
                  <c:v>3.8664277802266463E-3</c:v>
                </c:pt>
                <c:pt idx="23">
                  <c:v>4.0421744975096758E-3</c:v>
                </c:pt>
                <c:pt idx="24">
                  <c:v>4.2179212147927057E-3</c:v>
                </c:pt>
                <c:pt idx="25">
                  <c:v>4.3936679320757347E-3</c:v>
                </c:pt>
                <c:pt idx="26">
                  <c:v>4.5694146493587646E-3</c:v>
                </c:pt>
                <c:pt idx="27">
                  <c:v>4.7451613666417937E-3</c:v>
                </c:pt>
                <c:pt idx="28">
                  <c:v>4.9209080839248227E-3</c:v>
                </c:pt>
                <c:pt idx="29">
                  <c:v>5.0966548012078517E-3</c:v>
                </c:pt>
                <c:pt idx="30">
                  <c:v>5.2724015184908817E-3</c:v>
                </c:pt>
                <c:pt idx="31">
                  <c:v>5.4481482357739107E-3</c:v>
                </c:pt>
                <c:pt idx="32">
                  <c:v>5.6238949530569406E-3</c:v>
                </c:pt>
                <c:pt idx="33">
                  <c:v>5.7996416703399696E-3</c:v>
                </c:pt>
                <c:pt idx="34">
                  <c:v>5.9753883876229996E-3</c:v>
                </c:pt>
                <c:pt idx="35">
                  <c:v>6.1511351049060286E-3</c:v>
                </c:pt>
                <c:pt idx="36">
                  <c:v>6.3268818221890585E-3</c:v>
                </c:pt>
                <c:pt idx="37">
                  <c:v>6.5026285394720875E-3</c:v>
                </c:pt>
                <c:pt idx="38">
                  <c:v>6.6783752567551175E-3</c:v>
                </c:pt>
                <c:pt idx="39">
                  <c:v>6.8541219740381465E-3</c:v>
                </c:pt>
                <c:pt idx="40">
                  <c:v>7.0298686913211764E-3</c:v>
                </c:pt>
                <c:pt idx="41">
                  <c:v>7.2056154086042046E-3</c:v>
                </c:pt>
                <c:pt idx="42">
                  <c:v>7.3813621258872336E-3</c:v>
                </c:pt>
                <c:pt idx="43">
                  <c:v>7.5571088431702635E-3</c:v>
                </c:pt>
                <c:pt idx="44">
                  <c:v>7.7328555604532926E-3</c:v>
                </c:pt>
                <c:pt idx="45">
                  <c:v>7.9086022777363225E-3</c:v>
                </c:pt>
                <c:pt idx="46">
                  <c:v>8.0843489950193515E-3</c:v>
                </c:pt>
                <c:pt idx="47">
                  <c:v>8.2600957123023806E-3</c:v>
                </c:pt>
                <c:pt idx="48">
                  <c:v>8.4358424295854113E-3</c:v>
                </c:pt>
                <c:pt idx="49">
                  <c:v>8.6115891468684404E-3</c:v>
                </c:pt>
                <c:pt idx="50">
                  <c:v>8.7873358641514694E-3</c:v>
                </c:pt>
                <c:pt idx="51">
                  <c:v>8.9630825814344985E-3</c:v>
                </c:pt>
                <c:pt idx="52">
                  <c:v>9.1388292987175292E-3</c:v>
                </c:pt>
                <c:pt idx="53">
                  <c:v>9.3145760160005583E-3</c:v>
                </c:pt>
                <c:pt idx="54">
                  <c:v>9.4903227332835873E-3</c:v>
                </c:pt>
                <c:pt idx="55">
                  <c:v>9.6660694505666164E-3</c:v>
                </c:pt>
                <c:pt idx="56">
                  <c:v>9.8418161678496454E-3</c:v>
                </c:pt>
                <c:pt idx="57">
                  <c:v>1.0017562885132674E-2</c:v>
                </c:pt>
                <c:pt idx="58">
                  <c:v>1.0193309602415703E-2</c:v>
                </c:pt>
                <c:pt idx="59">
                  <c:v>1.0369056319698734E-2</c:v>
                </c:pt>
                <c:pt idx="60">
                  <c:v>1.0544803036981763E-2</c:v>
                </c:pt>
                <c:pt idx="61">
                  <c:v>1.0720549754264794E-2</c:v>
                </c:pt>
                <c:pt idx="62">
                  <c:v>1.0896296471547821E-2</c:v>
                </c:pt>
                <c:pt idx="63">
                  <c:v>1.1072043188830852E-2</c:v>
                </c:pt>
                <c:pt idx="64">
                  <c:v>1.1247789906113881E-2</c:v>
                </c:pt>
                <c:pt idx="65">
                  <c:v>1.142353662339691E-2</c:v>
                </c:pt>
                <c:pt idx="66">
                  <c:v>1.1599283340679939E-2</c:v>
                </c:pt>
                <c:pt idx="67">
                  <c:v>1.1775030057962968E-2</c:v>
                </c:pt>
                <c:pt idx="68">
                  <c:v>1.1950776775245999E-2</c:v>
                </c:pt>
                <c:pt idx="69">
                  <c:v>1.2126523492529026E-2</c:v>
                </c:pt>
                <c:pt idx="70">
                  <c:v>1.2302270209812057E-2</c:v>
                </c:pt>
                <c:pt idx="71">
                  <c:v>1.2478016927095086E-2</c:v>
                </c:pt>
                <c:pt idx="72">
                  <c:v>1.2653763644378117E-2</c:v>
                </c:pt>
                <c:pt idx="73">
                  <c:v>1.2829510361661144E-2</c:v>
                </c:pt>
                <c:pt idx="74">
                  <c:v>1.3005257078944175E-2</c:v>
                </c:pt>
                <c:pt idx="75">
                  <c:v>1.3181003796227204E-2</c:v>
                </c:pt>
                <c:pt idx="76">
                  <c:v>1.3356750513510235E-2</c:v>
                </c:pt>
                <c:pt idx="77">
                  <c:v>1.3532497230793262E-2</c:v>
                </c:pt>
                <c:pt idx="78">
                  <c:v>1.3708243948076293E-2</c:v>
                </c:pt>
                <c:pt idx="79">
                  <c:v>1.3883990665359322E-2</c:v>
                </c:pt>
                <c:pt idx="80">
                  <c:v>1.4059737382642353E-2</c:v>
                </c:pt>
                <c:pt idx="81">
                  <c:v>1.423548409992538E-2</c:v>
                </c:pt>
                <c:pt idx="82">
                  <c:v>1.4411230817208409E-2</c:v>
                </c:pt>
                <c:pt idx="83">
                  <c:v>1.458697753449144E-2</c:v>
                </c:pt>
                <c:pt idx="84">
                  <c:v>1.4762724251774467E-2</c:v>
                </c:pt>
                <c:pt idx="85">
                  <c:v>1.4938470969057498E-2</c:v>
                </c:pt>
                <c:pt idx="86">
                  <c:v>1.5114217686340527E-2</c:v>
                </c:pt>
                <c:pt idx="87">
                  <c:v>1.5289964403623558E-2</c:v>
                </c:pt>
                <c:pt idx="88">
                  <c:v>1.5465711120906585E-2</c:v>
                </c:pt>
                <c:pt idx="89">
                  <c:v>1.5641457838189616E-2</c:v>
                </c:pt>
                <c:pt idx="90">
                  <c:v>1.5817204555472645E-2</c:v>
                </c:pt>
                <c:pt idx="91">
                  <c:v>1.5992951272755674E-2</c:v>
                </c:pt>
                <c:pt idx="92">
                  <c:v>1.6168697990038703E-2</c:v>
                </c:pt>
                <c:pt idx="93">
                  <c:v>1.6344444707321736E-2</c:v>
                </c:pt>
                <c:pt idx="94">
                  <c:v>1.6520191424604761E-2</c:v>
                </c:pt>
                <c:pt idx="95">
                  <c:v>1.6695938141887794E-2</c:v>
                </c:pt>
                <c:pt idx="96">
                  <c:v>1.6871684859170823E-2</c:v>
                </c:pt>
                <c:pt idx="97">
                  <c:v>1.7047431576453848E-2</c:v>
                </c:pt>
                <c:pt idx="98">
                  <c:v>1.7223178293736881E-2</c:v>
                </c:pt>
                <c:pt idx="99">
                  <c:v>1.739892501101991E-2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8A-4C5E-A8E5-910A09CB1503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A_CDCL!$L$4:$L$103</c:f>
              <c:numCache>
                <c:formatCode>General</c:formatCode>
                <c:ptCount val="100"/>
                <c:pt idx="0">
                  <c:v>0</c:v>
                </c:pt>
                <c:pt idx="1">
                  <c:v>1.4508623012025011E-4</c:v>
                </c:pt>
                <c:pt idx="2">
                  <c:v>2.8869950358953282E-4</c:v>
                </c:pt>
                <c:pt idx="3">
                  <c:v>4.30839820407849E-4</c:v>
                </c:pt>
                <c:pt idx="4">
                  <c:v>5.7150718057519777E-4</c:v>
                </c:pt>
                <c:pt idx="5">
                  <c:v>7.1070158409158347E-4</c:v>
                </c:pt>
                <c:pt idx="6">
                  <c:v>8.4842303095699744E-4</c:v>
                </c:pt>
                <c:pt idx="7">
                  <c:v>9.8467152117144487E-4</c:v>
                </c:pt>
                <c:pt idx="8">
                  <c:v>1.1194470547349258E-3</c:v>
                </c:pt>
                <c:pt idx="9">
                  <c:v>1.2527496316474401E-3</c:v>
                </c:pt>
                <c:pt idx="10">
                  <c:v>1.3845792519089871E-3</c:v>
                </c:pt>
                <c:pt idx="11">
                  <c:v>1.5149359155195666E-3</c:v>
                </c:pt>
                <c:pt idx="12">
                  <c:v>1.6438196224791797E-3</c:v>
                </c:pt>
                <c:pt idx="13">
                  <c:v>1.771230372787827E-3</c:v>
                </c:pt>
                <c:pt idx="14">
                  <c:v>1.8971681664455061E-3</c:v>
                </c:pt>
                <c:pt idx="15">
                  <c:v>2.0216330034522178E-3</c:v>
                </c:pt>
                <c:pt idx="16">
                  <c:v>2.1446248838079621E-3</c:v>
                </c:pt>
                <c:pt idx="17">
                  <c:v>2.2661438075127415E-3</c:v>
                </c:pt>
                <c:pt idx="18">
                  <c:v>2.3861897745665528E-3</c:v>
                </c:pt>
                <c:pt idx="19">
                  <c:v>2.5047627849693957E-3</c:v>
                </c:pt>
                <c:pt idx="20">
                  <c:v>2.621862838721273E-3</c:v>
                </c:pt>
                <c:pt idx="21">
                  <c:v>2.7374899358221828E-3</c:v>
                </c:pt>
                <c:pt idx="22">
                  <c:v>2.8516440762721262E-3</c:v>
                </c:pt>
                <c:pt idx="23">
                  <c:v>2.9643252600711012E-3</c:v>
                </c:pt>
                <c:pt idx="24">
                  <c:v>3.0755334872191115E-3</c:v>
                </c:pt>
                <c:pt idx="25">
                  <c:v>3.1852687577161535E-3</c:v>
                </c:pt>
                <c:pt idx="26">
                  <c:v>3.2935310715622289E-3</c:v>
                </c:pt>
                <c:pt idx="27">
                  <c:v>3.4003204287573374E-3</c:v>
                </c:pt>
                <c:pt idx="28">
                  <c:v>3.5056368293014785E-3</c:v>
                </c:pt>
                <c:pt idx="29">
                  <c:v>3.6094802731946522E-3</c:v>
                </c:pt>
                <c:pt idx="30">
                  <c:v>3.7118507604368589E-3</c:v>
                </c:pt>
                <c:pt idx="31">
                  <c:v>3.8127482910280982E-3</c:v>
                </c:pt>
                <c:pt idx="32">
                  <c:v>3.9121728649683715E-3</c:v>
                </c:pt>
                <c:pt idx="33">
                  <c:v>4.0101244822576768E-3</c:v>
                </c:pt>
                <c:pt idx="34">
                  <c:v>4.1066031428960165E-3</c:v>
                </c:pt>
                <c:pt idx="35">
                  <c:v>4.2016088468833888E-3</c:v>
                </c:pt>
                <c:pt idx="36">
                  <c:v>4.2951415942197937E-3</c:v>
                </c:pt>
                <c:pt idx="37">
                  <c:v>4.3872013849052321E-3</c:v>
                </c:pt>
                <c:pt idx="38">
                  <c:v>4.4777882189397031E-3</c:v>
                </c:pt>
                <c:pt idx="39">
                  <c:v>4.5669020963232066E-3</c:v>
                </c:pt>
                <c:pt idx="40">
                  <c:v>4.6545430170557428E-3</c:v>
                </c:pt>
                <c:pt idx="41">
                  <c:v>4.7407109811373133E-3</c:v>
                </c:pt>
                <c:pt idx="42">
                  <c:v>4.8254059885679164E-3</c:v>
                </c:pt>
                <c:pt idx="43">
                  <c:v>4.9086280393475512E-3</c:v>
                </c:pt>
                <c:pt idx="44">
                  <c:v>4.9903771334762204E-3</c:v>
                </c:pt>
                <c:pt idx="45">
                  <c:v>5.070653270953923E-3</c:v>
                </c:pt>
                <c:pt idx="46">
                  <c:v>5.1494564517806582E-3</c:v>
                </c:pt>
                <c:pt idx="47">
                  <c:v>5.2267866759564251E-3</c:v>
                </c:pt>
                <c:pt idx="48">
                  <c:v>5.3026439434812264E-3</c:v>
                </c:pt>
                <c:pt idx="49">
                  <c:v>5.3770282543550603E-3</c:v>
                </c:pt>
                <c:pt idx="50">
                  <c:v>5.4499396085779276E-3</c:v>
                </c:pt>
                <c:pt idx="51">
                  <c:v>5.5213780061498276E-3</c:v>
                </c:pt>
                <c:pt idx="52">
                  <c:v>5.591343447070761E-3</c:v>
                </c:pt>
                <c:pt idx="53">
                  <c:v>5.6598359313407261E-3</c:v>
                </c:pt>
                <c:pt idx="54">
                  <c:v>5.7268554589597247E-3</c:v>
                </c:pt>
                <c:pt idx="55">
                  <c:v>5.7924020299277568E-3</c:v>
                </c:pt>
                <c:pt idx="56">
                  <c:v>5.8564756442448214E-3</c:v>
                </c:pt>
                <c:pt idx="57">
                  <c:v>5.9190763019109187E-3</c:v>
                </c:pt>
                <c:pt idx="58">
                  <c:v>5.9802040029260494E-3</c:v>
                </c:pt>
                <c:pt idx="59">
                  <c:v>6.0398587472902136E-3</c:v>
                </c:pt>
                <c:pt idx="60">
                  <c:v>6.0980405350034104E-3</c:v>
                </c:pt>
                <c:pt idx="61">
                  <c:v>6.1547493660656406E-3</c:v>
                </c:pt>
                <c:pt idx="62">
                  <c:v>6.2099852404769035E-3</c:v>
                </c:pt>
                <c:pt idx="63">
                  <c:v>6.2637481582371989E-3</c:v>
                </c:pt>
                <c:pt idx="64">
                  <c:v>6.3160381193465278E-3</c:v>
                </c:pt>
                <c:pt idx="65">
                  <c:v>6.3668551238048893E-3</c:v>
                </c:pt>
                <c:pt idx="66">
                  <c:v>6.4161991716122843E-3</c:v>
                </c:pt>
                <c:pt idx="67">
                  <c:v>6.4640702627687119E-3</c:v>
                </c:pt>
                <c:pt idx="68">
                  <c:v>6.5104683972741729E-3</c:v>
                </c:pt>
                <c:pt idx="69">
                  <c:v>6.5553935751286666E-3</c:v>
                </c:pt>
                <c:pt idx="70">
                  <c:v>6.5988457963321936E-3</c:v>
                </c:pt>
                <c:pt idx="71">
                  <c:v>6.6408250608847525E-3</c:v>
                </c:pt>
                <c:pt idx="72">
                  <c:v>6.6813313687863456E-3</c:v>
                </c:pt>
                <c:pt idx="73">
                  <c:v>6.7203647200369714E-3</c:v>
                </c:pt>
                <c:pt idx="74">
                  <c:v>6.7579251146366297E-3</c:v>
                </c:pt>
                <c:pt idx="75">
                  <c:v>6.7940125525853216E-3</c:v>
                </c:pt>
                <c:pt idx="76">
                  <c:v>6.8286270338830468E-3</c:v>
                </c:pt>
                <c:pt idx="77">
                  <c:v>6.8617685585298039E-3</c:v>
                </c:pt>
                <c:pt idx="78">
                  <c:v>6.8934371265255943E-3</c:v>
                </c:pt>
                <c:pt idx="79">
                  <c:v>6.9236327378704183E-3</c:v>
                </c:pt>
                <c:pt idx="80">
                  <c:v>6.9523553925642748E-3</c:v>
                </c:pt>
                <c:pt idx="81">
                  <c:v>6.9796050906071648E-3</c:v>
                </c:pt>
                <c:pt idx="82">
                  <c:v>7.0053818319990874E-3</c:v>
                </c:pt>
                <c:pt idx="83">
                  <c:v>7.0296856167400426E-3</c:v>
                </c:pt>
                <c:pt idx="84">
                  <c:v>7.0525164448300313E-3</c:v>
                </c:pt>
                <c:pt idx="85">
                  <c:v>7.0738743162690534E-3</c:v>
                </c:pt>
                <c:pt idx="86">
                  <c:v>7.0937592310571073E-3</c:v>
                </c:pt>
                <c:pt idx="87">
                  <c:v>7.1121711891941955E-3</c:v>
                </c:pt>
                <c:pt idx="88">
                  <c:v>7.1291101906803154E-3</c:v>
                </c:pt>
                <c:pt idx="89">
                  <c:v>7.1445762355154697E-3</c:v>
                </c:pt>
                <c:pt idx="90">
                  <c:v>7.1585693236996557E-3</c:v>
                </c:pt>
                <c:pt idx="91">
                  <c:v>7.171089455232876E-3</c:v>
                </c:pt>
                <c:pt idx="92">
                  <c:v>7.182136630115128E-3</c:v>
                </c:pt>
                <c:pt idx="93">
                  <c:v>7.1917108483464135E-3</c:v>
                </c:pt>
                <c:pt idx="94">
                  <c:v>7.1998121099267325E-3</c:v>
                </c:pt>
                <c:pt idx="95">
                  <c:v>7.2064404148560841E-3</c:v>
                </c:pt>
                <c:pt idx="96">
                  <c:v>7.2115957631344683E-3</c:v>
                </c:pt>
                <c:pt idx="97">
                  <c:v>7.2152781547618859E-3</c:v>
                </c:pt>
                <c:pt idx="98">
                  <c:v>7.2174875897383362E-3</c:v>
                </c:pt>
                <c:pt idx="99">
                  <c:v>7.2182240680638199E-3</c:v>
                </c:pt>
              </c:numCache>
            </c:numRef>
          </c:xVal>
          <c:yVal>
            <c:numRef>
              <c:f>A_CDCL!$M$4:$M$103</c:f>
              <c:numCache>
                <c:formatCode>General</c:formatCode>
                <c:ptCount val="100"/>
                <c:pt idx="0">
                  <c:v>0</c:v>
                </c:pt>
                <c:pt idx="1">
                  <c:v>1.7574671728302939E-4</c:v>
                </c:pt>
                <c:pt idx="2">
                  <c:v>3.5149343456605879E-4</c:v>
                </c:pt>
                <c:pt idx="3">
                  <c:v>5.2724015184908821E-4</c:v>
                </c:pt>
                <c:pt idx="4">
                  <c:v>7.0298686913211758E-4</c:v>
                </c:pt>
                <c:pt idx="5">
                  <c:v>8.7873358641514705E-4</c:v>
                </c:pt>
                <c:pt idx="6">
                  <c:v>1.0544803036981764E-3</c:v>
                </c:pt>
                <c:pt idx="7">
                  <c:v>1.2302270209812057E-3</c:v>
                </c:pt>
                <c:pt idx="8">
                  <c:v>1.4059737382642352E-3</c:v>
                </c:pt>
                <c:pt idx="9">
                  <c:v>1.5817204555472646E-3</c:v>
                </c:pt>
                <c:pt idx="10">
                  <c:v>1.7574671728302941E-3</c:v>
                </c:pt>
                <c:pt idx="11">
                  <c:v>1.9332138901133231E-3</c:v>
                </c:pt>
                <c:pt idx="12">
                  <c:v>2.1089606073963528E-3</c:v>
                </c:pt>
                <c:pt idx="13">
                  <c:v>2.2847073246793823E-3</c:v>
                </c:pt>
                <c:pt idx="14">
                  <c:v>2.4604540419624113E-3</c:v>
                </c:pt>
                <c:pt idx="15">
                  <c:v>2.6362007592454408E-3</c:v>
                </c:pt>
                <c:pt idx="16">
                  <c:v>2.8119474765284703E-3</c:v>
                </c:pt>
                <c:pt idx="17">
                  <c:v>2.9876941938114998E-3</c:v>
                </c:pt>
                <c:pt idx="18">
                  <c:v>3.1634409110945293E-3</c:v>
                </c:pt>
                <c:pt idx="19">
                  <c:v>3.3391876283775587E-3</c:v>
                </c:pt>
                <c:pt idx="20">
                  <c:v>3.5149343456605882E-3</c:v>
                </c:pt>
                <c:pt idx="21">
                  <c:v>3.6906810629436168E-3</c:v>
                </c:pt>
                <c:pt idx="22">
                  <c:v>3.8664277802266463E-3</c:v>
                </c:pt>
                <c:pt idx="23">
                  <c:v>4.0421744975096758E-3</c:v>
                </c:pt>
                <c:pt idx="24">
                  <c:v>4.2179212147927057E-3</c:v>
                </c:pt>
                <c:pt idx="25">
                  <c:v>4.3936679320757347E-3</c:v>
                </c:pt>
                <c:pt idx="26">
                  <c:v>4.5694146493587646E-3</c:v>
                </c:pt>
                <c:pt idx="27">
                  <c:v>4.7451613666417937E-3</c:v>
                </c:pt>
                <c:pt idx="28">
                  <c:v>4.9209080839248227E-3</c:v>
                </c:pt>
                <c:pt idx="29">
                  <c:v>5.0966548012078517E-3</c:v>
                </c:pt>
                <c:pt idx="30">
                  <c:v>5.2724015184908817E-3</c:v>
                </c:pt>
                <c:pt idx="31">
                  <c:v>5.4481482357739107E-3</c:v>
                </c:pt>
                <c:pt idx="32">
                  <c:v>5.6238949530569406E-3</c:v>
                </c:pt>
                <c:pt idx="33">
                  <c:v>5.7996416703399696E-3</c:v>
                </c:pt>
                <c:pt idx="34">
                  <c:v>5.9753883876229996E-3</c:v>
                </c:pt>
                <c:pt idx="35">
                  <c:v>6.1511351049060286E-3</c:v>
                </c:pt>
                <c:pt idx="36">
                  <c:v>6.3268818221890585E-3</c:v>
                </c:pt>
                <c:pt idx="37">
                  <c:v>6.5026285394720875E-3</c:v>
                </c:pt>
                <c:pt idx="38">
                  <c:v>6.6783752567551175E-3</c:v>
                </c:pt>
                <c:pt idx="39">
                  <c:v>6.8541219740381465E-3</c:v>
                </c:pt>
                <c:pt idx="40">
                  <c:v>7.0298686913211764E-3</c:v>
                </c:pt>
                <c:pt idx="41">
                  <c:v>7.2056154086042046E-3</c:v>
                </c:pt>
                <c:pt idx="42">
                  <c:v>7.3813621258872336E-3</c:v>
                </c:pt>
                <c:pt idx="43">
                  <c:v>7.5571088431702635E-3</c:v>
                </c:pt>
                <c:pt idx="44">
                  <c:v>7.7328555604532926E-3</c:v>
                </c:pt>
                <c:pt idx="45">
                  <c:v>7.9086022777363225E-3</c:v>
                </c:pt>
                <c:pt idx="46">
                  <c:v>8.0843489950193515E-3</c:v>
                </c:pt>
                <c:pt idx="47">
                  <c:v>8.2600957123023806E-3</c:v>
                </c:pt>
                <c:pt idx="48">
                  <c:v>8.4358424295854113E-3</c:v>
                </c:pt>
                <c:pt idx="49">
                  <c:v>8.6115891468684404E-3</c:v>
                </c:pt>
                <c:pt idx="50">
                  <c:v>8.7873358641514694E-3</c:v>
                </c:pt>
                <c:pt idx="51">
                  <c:v>8.9630825814344985E-3</c:v>
                </c:pt>
                <c:pt idx="52">
                  <c:v>9.1388292987175292E-3</c:v>
                </c:pt>
                <c:pt idx="53">
                  <c:v>9.3145760160005583E-3</c:v>
                </c:pt>
                <c:pt idx="54">
                  <c:v>9.4903227332835873E-3</c:v>
                </c:pt>
                <c:pt idx="55">
                  <c:v>9.6660694505666164E-3</c:v>
                </c:pt>
                <c:pt idx="56">
                  <c:v>9.8418161678496454E-3</c:v>
                </c:pt>
                <c:pt idx="57">
                  <c:v>1.0017562885132674E-2</c:v>
                </c:pt>
                <c:pt idx="58">
                  <c:v>1.0193309602415703E-2</c:v>
                </c:pt>
                <c:pt idx="59">
                  <c:v>1.0369056319698734E-2</c:v>
                </c:pt>
                <c:pt idx="60">
                  <c:v>1.0544803036981763E-2</c:v>
                </c:pt>
                <c:pt idx="61">
                  <c:v>1.0720549754264794E-2</c:v>
                </c:pt>
                <c:pt idx="62">
                  <c:v>1.0896296471547821E-2</c:v>
                </c:pt>
                <c:pt idx="63">
                  <c:v>1.1072043188830852E-2</c:v>
                </c:pt>
                <c:pt idx="64">
                  <c:v>1.1247789906113881E-2</c:v>
                </c:pt>
                <c:pt idx="65">
                  <c:v>1.142353662339691E-2</c:v>
                </c:pt>
                <c:pt idx="66">
                  <c:v>1.1599283340679939E-2</c:v>
                </c:pt>
                <c:pt idx="67">
                  <c:v>1.1775030057962968E-2</c:v>
                </c:pt>
                <c:pt idx="68">
                  <c:v>1.1950776775245999E-2</c:v>
                </c:pt>
                <c:pt idx="69">
                  <c:v>1.2126523492529026E-2</c:v>
                </c:pt>
                <c:pt idx="70">
                  <c:v>1.2302270209812057E-2</c:v>
                </c:pt>
                <c:pt idx="71">
                  <c:v>1.2478016927095086E-2</c:v>
                </c:pt>
                <c:pt idx="72">
                  <c:v>1.2653763644378117E-2</c:v>
                </c:pt>
                <c:pt idx="73">
                  <c:v>1.2829510361661144E-2</c:v>
                </c:pt>
                <c:pt idx="74">
                  <c:v>1.3005257078944175E-2</c:v>
                </c:pt>
                <c:pt idx="75">
                  <c:v>1.3181003796227204E-2</c:v>
                </c:pt>
                <c:pt idx="76">
                  <c:v>1.3356750513510235E-2</c:v>
                </c:pt>
                <c:pt idx="77">
                  <c:v>1.3532497230793262E-2</c:v>
                </c:pt>
                <c:pt idx="78">
                  <c:v>1.3708243948076293E-2</c:v>
                </c:pt>
                <c:pt idx="79">
                  <c:v>1.3883990665359322E-2</c:v>
                </c:pt>
                <c:pt idx="80">
                  <c:v>1.4059737382642353E-2</c:v>
                </c:pt>
                <c:pt idx="81">
                  <c:v>1.423548409992538E-2</c:v>
                </c:pt>
                <c:pt idx="82">
                  <c:v>1.4411230817208409E-2</c:v>
                </c:pt>
                <c:pt idx="83">
                  <c:v>1.458697753449144E-2</c:v>
                </c:pt>
                <c:pt idx="84">
                  <c:v>1.4762724251774467E-2</c:v>
                </c:pt>
                <c:pt idx="85">
                  <c:v>1.4938470969057498E-2</c:v>
                </c:pt>
                <c:pt idx="86">
                  <c:v>1.5114217686340527E-2</c:v>
                </c:pt>
                <c:pt idx="87">
                  <c:v>1.5289964403623558E-2</c:v>
                </c:pt>
                <c:pt idx="88">
                  <c:v>1.5465711120906585E-2</c:v>
                </c:pt>
                <c:pt idx="89">
                  <c:v>1.5641457838189616E-2</c:v>
                </c:pt>
                <c:pt idx="90">
                  <c:v>1.5817204555472645E-2</c:v>
                </c:pt>
                <c:pt idx="91">
                  <c:v>1.5992951272755674E-2</c:v>
                </c:pt>
                <c:pt idx="92">
                  <c:v>1.6168697990038703E-2</c:v>
                </c:pt>
                <c:pt idx="93">
                  <c:v>1.6344444707321736E-2</c:v>
                </c:pt>
                <c:pt idx="94">
                  <c:v>1.6520191424604761E-2</c:v>
                </c:pt>
                <c:pt idx="95">
                  <c:v>1.6695938141887794E-2</c:v>
                </c:pt>
                <c:pt idx="96">
                  <c:v>1.6871684859170823E-2</c:v>
                </c:pt>
                <c:pt idx="97">
                  <c:v>1.7047431576453848E-2</c:v>
                </c:pt>
                <c:pt idx="98">
                  <c:v>1.7223178293736881E-2</c:v>
                </c:pt>
                <c:pt idx="99">
                  <c:v>1.739892501101991E-2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08A-4C5E-A8E5-910A09CB1503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A_CDCL!$O$4:$O$103</c:f>
              <c:numCache>
                <c:formatCode>General</c:formatCode>
                <c:ptCount val="100"/>
                <c:pt idx="0">
                  <c:v>-28.862760813196854</c:v>
                </c:pt>
                <c:pt idx="1">
                  <c:v>-28.575947433185835</c:v>
                </c:pt>
                <c:pt idx="2">
                  <c:v>-28.289037529531839</c:v>
                </c:pt>
                <c:pt idx="3">
                  <c:v>-28.002031102234859</c:v>
                </c:pt>
                <c:pt idx="4">
                  <c:v>-27.714928151294899</c:v>
                </c:pt>
                <c:pt idx="5">
                  <c:v>-27.427728676711958</c:v>
                </c:pt>
                <c:pt idx="6">
                  <c:v>-27.140432678486029</c:v>
                </c:pt>
                <c:pt idx="7">
                  <c:v>-26.853040156617119</c:v>
                </c:pt>
                <c:pt idx="8">
                  <c:v>-26.565551111105229</c:v>
                </c:pt>
                <c:pt idx="9">
                  <c:v>-26.277965541950351</c:v>
                </c:pt>
                <c:pt idx="10">
                  <c:v>-25.990283449152503</c:v>
                </c:pt>
                <c:pt idx="11">
                  <c:v>-25.702504832711664</c:v>
                </c:pt>
                <c:pt idx="12">
                  <c:v>-25.414629692627841</c:v>
                </c:pt>
                <c:pt idx="13">
                  <c:v>-25.126658028901048</c:v>
                </c:pt>
                <c:pt idx="14">
                  <c:v>-24.838589841531263</c:v>
                </c:pt>
                <c:pt idx="15">
                  <c:v>-24.550425130518498</c:v>
                </c:pt>
                <c:pt idx="16">
                  <c:v>-24.262163895862749</c:v>
                </c:pt>
                <c:pt idx="17">
                  <c:v>-23.973806137564019</c:v>
                </c:pt>
                <c:pt idx="18">
                  <c:v>-23.685351855622304</c:v>
                </c:pt>
                <c:pt idx="19">
                  <c:v>-23.396801050037613</c:v>
                </c:pt>
                <c:pt idx="20">
                  <c:v>-23.108153720809938</c:v>
                </c:pt>
                <c:pt idx="21">
                  <c:v>-22.819409867939278</c:v>
                </c:pt>
                <c:pt idx="22">
                  <c:v>-22.530569491425638</c:v>
                </c:pt>
                <c:pt idx="23">
                  <c:v>-22.241632591269017</c:v>
                </c:pt>
                <c:pt idx="24">
                  <c:v>-21.952599167469412</c:v>
                </c:pt>
                <c:pt idx="25">
                  <c:v>-21.663469220026826</c:v>
                </c:pt>
                <c:pt idx="26">
                  <c:v>-21.374242748941256</c:v>
                </c:pt>
                <c:pt idx="27">
                  <c:v>-21.084919754212706</c:v>
                </c:pt>
                <c:pt idx="28">
                  <c:v>-20.795500235841171</c:v>
                </c:pt>
                <c:pt idx="29">
                  <c:v>-20.505984193826656</c:v>
                </c:pt>
                <c:pt idx="30">
                  <c:v>-20.216371628169163</c:v>
                </c:pt>
                <c:pt idx="31">
                  <c:v>-19.92666253886868</c:v>
                </c:pt>
                <c:pt idx="32">
                  <c:v>-19.636856925925219</c:v>
                </c:pt>
                <c:pt idx="33">
                  <c:v>-19.346954789338774</c:v>
                </c:pt>
                <c:pt idx="34">
                  <c:v>-19.056956129109345</c:v>
                </c:pt>
                <c:pt idx="35">
                  <c:v>-18.766860945236942</c:v>
                </c:pt>
                <c:pt idx="36">
                  <c:v>-18.476669237721552</c:v>
                </c:pt>
                <c:pt idx="37">
                  <c:v>-18.186381006563177</c:v>
                </c:pt>
                <c:pt idx="38">
                  <c:v>-17.895996251761826</c:v>
                </c:pt>
                <c:pt idx="39">
                  <c:v>-17.605514973317486</c:v>
                </c:pt>
                <c:pt idx="40">
                  <c:v>-17.314937171230167</c:v>
                </c:pt>
                <c:pt idx="41">
                  <c:v>-17.024262845499869</c:v>
                </c:pt>
                <c:pt idx="42">
                  <c:v>-16.733491996126585</c:v>
                </c:pt>
                <c:pt idx="43">
                  <c:v>-16.442624623110319</c:v>
                </c:pt>
                <c:pt idx="44">
                  <c:v>-16.151660726451073</c:v>
                </c:pt>
                <c:pt idx="45">
                  <c:v>-15.860600306148845</c:v>
                </c:pt>
                <c:pt idx="46">
                  <c:v>-15.569443362203636</c:v>
                </c:pt>
                <c:pt idx="47">
                  <c:v>-15.278189894615439</c:v>
                </c:pt>
                <c:pt idx="48">
                  <c:v>-14.986839903384263</c:v>
                </c:pt>
                <c:pt idx="49">
                  <c:v>-14.695393388510105</c:v>
                </c:pt>
                <c:pt idx="50">
                  <c:v>-14.403850349992965</c:v>
                </c:pt>
                <c:pt idx="51">
                  <c:v>-14.112210787832844</c:v>
                </c:pt>
                <c:pt idx="52">
                  <c:v>-13.82047470202974</c:v>
                </c:pt>
                <c:pt idx="53">
                  <c:v>-13.528642092583654</c:v>
                </c:pt>
                <c:pt idx="54">
                  <c:v>-13.236712959494586</c:v>
                </c:pt>
                <c:pt idx="55">
                  <c:v>-12.944687302762535</c:v>
                </c:pt>
                <c:pt idx="56">
                  <c:v>-12.652565122387502</c:v>
                </c:pt>
                <c:pt idx="57">
                  <c:v>-12.360346418369485</c:v>
                </c:pt>
                <c:pt idx="58">
                  <c:v>-12.068031190708489</c:v>
                </c:pt>
                <c:pt idx="59">
                  <c:v>-11.775619439404508</c:v>
                </c:pt>
                <c:pt idx="60">
                  <c:v>-11.483111164457549</c:v>
                </c:pt>
                <c:pt idx="61">
                  <c:v>-11.190506365867606</c:v>
                </c:pt>
                <c:pt idx="62">
                  <c:v>-10.89780504363468</c:v>
                </c:pt>
                <c:pt idx="63">
                  <c:v>-10.605007197758772</c:v>
                </c:pt>
                <c:pt idx="64">
                  <c:v>-10.312112828239885</c:v>
                </c:pt>
                <c:pt idx="65">
                  <c:v>-10.019121935078013</c:v>
                </c:pt>
                <c:pt idx="66">
                  <c:v>-9.726034518273158</c:v>
                </c:pt>
                <c:pt idx="67">
                  <c:v>-9.432850577825322</c:v>
                </c:pt>
                <c:pt idx="68">
                  <c:v>-9.1395701137345018</c:v>
                </c:pt>
                <c:pt idx="69">
                  <c:v>-8.8461931260007063</c:v>
                </c:pt>
                <c:pt idx="70">
                  <c:v>-8.5527196146239213</c:v>
                </c:pt>
                <c:pt idx="71">
                  <c:v>-8.2591495796041556</c:v>
                </c:pt>
                <c:pt idx="72">
                  <c:v>-7.9654830209414076</c:v>
                </c:pt>
                <c:pt idx="73">
                  <c:v>-7.6717199386356798</c:v>
                </c:pt>
                <c:pt idx="74">
                  <c:v>-7.3778603326869678</c:v>
                </c:pt>
                <c:pt idx="75">
                  <c:v>-7.083904203095277</c:v>
                </c:pt>
                <c:pt idx="76">
                  <c:v>-6.7898515498606002</c:v>
                </c:pt>
                <c:pt idx="77">
                  <c:v>-6.4957023729829428</c:v>
                </c:pt>
                <c:pt idx="78">
                  <c:v>-6.2014566724623013</c:v>
                </c:pt>
                <c:pt idx="79">
                  <c:v>-5.9071144482986808</c:v>
                </c:pt>
                <c:pt idx="80">
                  <c:v>-5.6126757004920771</c:v>
                </c:pt>
                <c:pt idx="81">
                  <c:v>-5.3181404290424892</c:v>
                </c:pt>
                <c:pt idx="82">
                  <c:v>-5.0235086339499251</c:v>
                </c:pt>
                <c:pt idx="83">
                  <c:v>-4.7287803152143724</c:v>
                </c:pt>
                <c:pt idx="84">
                  <c:v>-4.4339554728358435</c:v>
                </c:pt>
                <c:pt idx="85">
                  <c:v>-4.1390341068143268</c:v>
                </c:pt>
                <c:pt idx="86">
                  <c:v>-3.8440162171498282</c:v>
                </c:pt>
                <c:pt idx="87">
                  <c:v>-3.5489018038423481</c:v>
                </c:pt>
                <c:pt idx="88">
                  <c:v>-3.25369086689189</c:v>
                </c:pt>
                <c:pt idx="89">
                  <c:v>-2.9583834062984455</c:v>
                </c:pt>
                <c:pt idx="90">
                  <c:v>-2.662979422062024</c:v>
                </c:pt>
                <c:pt idx="91">
                  <c:v>-2.3674789141826147</c:v>
                </c:pt>
                <c:pt idx="92">
                  <c:v>-2.0718818826602279</c:v>
                </c:pt>
                <c:pt idx="93">
                  <c:v>-1.7761883274948544</c:v>
                </c:pt>
                <c:pt idx="94">
                  <c:v>-1.4803982486864993</c:v>
                </c:pt>
                <c:pt idx="95">
                  <c:v>-1.1845116462351617</c:v>
                </c:pt>
                <c:pt idx="96">
                  <c:v>-0.88852852014084682</c:v>
                </c:pt>
                <c:pt idx="97">
                  <c:v>-0.59244887040355021</c:v>
                </c:pt>
                <c:pt idx="98">
                  <c:v>-0.29627269702326625</c:v>
                </c:pt>
                <c:pt idx="99">
                  <c:v>0</c:v>
                </c:pt>
              </c:numCache>
            </c:numRef>
          </c:xVal>
          <c:yVal>
            <c:numRef>
              <c:f>A_CDCL!$P$4:$P$103</c:f>
              <c:numCache>
                <c:formatCode>General</c:formatCode>
                <c:ptCount val="100"/>
                <c:pt idx="0">
                  <c:v>-0.61515143659682869</c:v>
                </c:pt>
                <c:pt idx="1">
                  <c:v>-0.60893778572211321</c:v>
                </c:pt>
                <c:pt idx="2">
                  <c:v>-0.60272413484739784</c:v>
                </c:pt>
                <c:pt idx="3">
                  <c:v>-0.59651048397268236</c:v>
                </c:pt>
                <c:pt idx="4">
                  <c:v>-0.59029683309796688</c:v>
                </c:pt>
                <c:pt idx="5">
                  <c:v>-0.58408318222325151</c:v>
                </c:pt>
                <c:pt idx="6">
                  <c:v>-0.57786953134853603</c:v>
                </c:pt>
                <c:pt idx="7">
                  <c:v>-0.57165588047382065</c:v>
                </c:pt>
                <c:pt idx="8">
                  <c:v>-0.56544222959910517</c:v>
                </c:pt>
                <c:pt idx="9">
                  <c:v>-0.55922857872438969</c:v>
                </c:pt>
                <c:pt idx="10">
                  <c:v>-0.55301492784967432</c:v>
                </c:pt>
                <c:pt idx="11">
                  <c:v>-0.54680127697495884</c:v>
                </c:pt>
                <c:pt idx="12">
                  <c:v>-0.54058762610024336</c:v>
                </c:pt>
                <c:pt idx="13">
                  <c:v>-0.53437397522552799</c:v>
                </c:pt>
                <c:pt idx="14">
                  <c:v>-0.5281603243508125</c:v>
                </c:pt>
                <c:pt idx="15">
                  <c:v>-0.52194667347609713</c:v>
                </c:pt>
                <c:pt idx="16">
                  <c:v>-0.51573302260138165</c:v>
                </c:pt>
                <c:pt idx="17">
                  <c:v>-0.50951937172666617</c:v>
                </c:pt>
                <c:pt idx="18">
                  <c:v>-0.50330572085195069</c:v>
                </c:pt>
                <c:pt idx="19">
                  <c:v>-0.49709206997723532</c:v>
                </c:pt>
                <c:pt idx="20">
                  <c:v>-0.49087841910251984</c:v>
                </c:pt>
                <c:pt idx="21">
                  <c:v>-0.48466476822780447</c:v>
                </c:pt>
                <c:pt idx="22">
                  <c:v>-0.47845111735308898</c:v>
                </c:pt>
                <c:pt idx="23">
                  <c:v>-0.47223746647837356</c:v>
                </c:pt>
                <c:pt idx="24">
                  <c:v>-0.46602381560365813</c:v>
                </c:pt>
                <c:pt idx="25">
                  <c:v>-0.45981016472894265</c:v>
                </c:pt>
                <c:pt idx="26">
                  <c:v>-0.45359651385422722</c:v>
                </c:pt>
                <c:pt idx="27">
                  <c:v>-0.4473828629795118</c:v>
                </c:pt>
                <c:pt idx="28">
                  <c:v>-0.44116921210479632</c:v>
                </c:pt>
                <c:pt idx="29">
                  <c:v>-0.43495556123008089</c:v>
                </c:pt>
                <c:pt idx="30">
                  <c:v>-0.42874191035536546</c:v>
                </c:pt>
                <c:pt idx="31">
                  <c:v>-0.42252825948064998</c:v>
                </c:pt>
                <c:pt idx="32">
                  <c:v>-0.41631460860593461</c:v>
                </c:pt>
                <c:pt idx="33">
                  <c:v>-0.41010095773121913</c:v>
                </c:pt>
                <c:pt idx="34">
                  <c:v>-0.40388730685650365</c:v>
                </c:pt>
                <c:pt idx="35">
                  <c:v>-0.39767365598178828</c:v>
                </c:pt>
                <c:pt idx="36">
                  <c:v>-0.39146000510707279</c:v>
                </c:pt>
                <c:pt idx="37">
                  <c:v>-0.38524635423235731</c:v>
                </c:pt>
                <c:pt idx="38">
                  <c:v>-0.37903270335764194</c:v>
                </c:pt>
                <c:pt idx="39">
                  <c:v>-0.37281905248292646</c:v>
                </c:pt>
                <c:pt idx="40">
                  <c:v>-0.36660540160821103</c:v>
                </c:pt>
                <c:pt idx="41">
                  <c:v>-0.36039175073349561</c:v>
                </c:pt>
                <c:pt idx="42">
                  <c:v>-0.35417809985878018</c:v>
                </c:pt>
                <c:pt idx="43">
                  <c:v>-0.3479644489840647</c:v>
                </c:pt>
                <c:pt idx="44">
                  <c:v>-0.34175079810934927</c:v>
                </c:pt>
                <c:pt idx="45">
                  <c:v>-0.33553714723463385</c:v>
                </c:pt>
                <c:pt idx="46">
                  <c:v>-0.32932349635991842</c:v>
                </c:pt>
                <c:pt idx="47">
                  <c:v>-0.32310984548520294</c:v>
                </c:pt>
                <c:pt idx="48">
                  <c:v>-0.31689619461048751</c:v>
                </c:pt>
                <c:pt idx="49">
                  <c:v>-0.31068254373577209</c:v>
                </c:pt>
                <c:pt idx="50">
                  <c:v>-0.30446889286105661</c:v>
                </c:pt>
                <c:pt idx="51">
                  <c:v>-0.29825524198634118</c:v>
                </c:pt>
                <c:pt idx="52">
                  <c:v>-0.29204159111162575</c:v>
                </c:pt>
                <c:pt idx="53">
                  <c:v>-0.28582794023691027</c:v>
                </c:pt>
                <c:pt idx="54">
                  <c:v>-0.2796142893621949</c:v>
                </c:pt>
                <c:pt idx="55">
                  <c:v>-0.27340063848747942</c:v>
                </c:pt>
                <c:pt idx="56">
                  <c:v>-0.26718698761276399</c:v>
                </c:pt>
                <c:pt idx="57">
                  <c:v>-0.26097333673804851</c:v>
                </c:pt>
                <c:pt idx="58">
                  <c:v>-0.25475968586333309</c:v>
                </c:pt>
                <c:pt idx="59">
                  <c:v>-0.2485460349886176</c:v>
                </c:pt>
                <c:pt idx="60">
                  <c:v>-0.24233238411390223</c:v>
                </c:pt>
                <c:pt idx="61">
                  <c:v>-0.23611873323918675</c:v>
                </c:pt>
                <c:pt idx="62">
                  <c:v>-0.22990508236447132</c:v>
                </c:pt>
                <c:pt idx="63">
                  <c:v>-0.22369143148975584</c:v>
                </c:pt>
                <c:pt idx="64">
                  <c:v>-0.21747778061504047</c:v>
                </c:pt>
                <c:pt idx="65">
                  <c:v>-0.21126412974032505</c:v>
                </c:pt>
                <c:pt idx="66">
                  <c:v>-0.20505047886560956</c:v>
                </c:pt>
                <c:pt idx="67">
                  <c:v>-0.19883682799089414</c:v>
                </c:pt>
                <c:pt idx="68">
                  <c:v>-0.19262317711617866</c:v>
                </c:pt>
                <c:pt idx="69">
                  <c:v>-0.18640952624146329</c:v>
                </c:pt>
                <c:pt idx="70">
                  <c:v>-0.1801958753667478</c:v>
                </c:pt>
                <c:pt idx="71">
                  <c:v>-0.17398222449203238</c:v>
                </c:pt>
                <c:pt idx="72">
                  <c:v>-0.1677685736173169</c:v>
                </c:pt>
                <c:pt idx="73">
                  <c:v>-0.16155492274260147</c:v>
                </c:pt>
                <c:pt idx="74">
                  <c:v>-0.15534127186788599</c:v>
                </c:pt>
                <c:pt idx="75">
                  <c:v>-0.14912762099317062</c:v>
                </c:pt>
                <c:pt idx="76">
                  <c:v>-0.14291397011845514</c:v>
                </c:pt>
                <c:pt idx="77">
                  <c:v>-0.13670031924373971</c:v>
                </c:pt>
                <c:pt idx="78">
                  <c:v>-0.13048666836902423</c:v>
                </c:pt>
                <c:pt idx="79">
                  <c:v>-0.1242730174943088</c:v>
                </c:pt>
                <c:pt idx="80">
                  <c:v>-0.11805936661959338</c:v>
                </c:pt>
                <c:pt idx="81">
                  <c:v>-0.11184571574487789</c:v>
                </c:pt>
                <c:pt idx="82">
                  <c:v>-0.10563206487016252</c:v>
                </c:pt>
                <c:pt idx="83">
                  <c:v>-9.9418413995447041E-2</c:v>
                </c:pt>
                <c:pt idx="84">
                  <c:v>-9.3204763120731671E-2</c:v>
                </c:pt>
                <c:pt idx="85">
                  <c:v>-8.6991112246016189E-2</c:v>
                </c:pt>
                <c:pt idx="86">
                  <c:v>-8.0777461371300707E-2</c:v>
                </c:pt>
                <c:pt idx="87">
                  <c:v>-7.4563810496585226E-2</c:v>
                </c:pt>
                <c:pt idx="88">
                  <c:v>-6.8350159621869855E-2</c:v>
                </c:pt>
                <c:pt idx="89">
                  <c:v>-6.2136508747154373E-2</c:v>
                </c:pt>
                <c:pt idx="90">
                  <c:v>-5.5922857872439002E-2</c:v>
                </c:pt>
                <c:pt idx="91">
                  <c:v>-4.9709206997723521E-2</c:v>
                </c:pt>
                <c:pt idx="92">
                  <c:v>-4.349555612300815E-2</c:v>
                </c:pt>
                <c:pt idx="93">
                  <c:v>-3.7281905248292668E-2</c:v>
                </c:pt>
                <c:pt idx="94">
                  <c:v>-3.1068254373577187E-2</c:v>
                </c:pt>
                <c:pt idx="95">
                  <c:v>-2.4854603498861705E-2</c:v>
                </c:pt>
                <c:pt idx="96">
                  <c:v>-1.8640952624146334E-2</c:v>
                </c:pt>
                <c:pt idx="97">
                  <c:v>-1.2427301749430963E-2</c:v>
                </c:pt>
                <c:pt idx="98">
                  <c:v>-6.2136508747154817E-3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08A-4C5E-A8E5-910A09CB1503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A_CDCL!$R$4:$R$103</c:f>
              <c:numCache>
                <c:formatCode>General</c:formatCode>
                <c:ptCount val="100"/>
                <c:pt idx="0">
                  <c:v>0</c:v>
                </c:pt>
                <c:pt idx="1">
                  <c:v>-0.48305432908777207</c:v>
                </c:pt>
                <c:pt idx="2">
                  <c:v>-0.96585201387210873</c:v>
                </c:pt>
                <c:pt idx="3">
                  <c:v>-1.4483930543530097</c:v>
                </c:pt>
                <c:pt idx="4">
                  <c:v>-1.9306774505304756</c:v>
                </c:pt>
                <c:pt idx="5">
                  <c:v>-2.4127052024045059</c:v>
                </c:pt>
                <c:pt idx="6">
                  <c:v>-2.8944763099751007</c:v>
                </c:pt>
                <c:pt idx="7">
                  <c:v>-3.3759907732422603</c:v>
                </c:pt>
                <c:pt idx="8">
                  <c:v>-3.8572485922059845</c:v>
                </c:pt>
                <c:pt idx="9">
                  <c:v>-4.3382497668662738</c:v>
                </c:pt>
                <c:pt idx="10">
                  <c:v>-4.8189942972231261</c:v>
                </c:pt>
                <c:pt idx="11">
                  <c:v>-5.2994821832765444</c:v>
                </c:pt>
                <c:pt idx="12">
                  <c:v>-5.779713425026527</c:v>
                </c:pt>
                <c:pt idx="13">
                  <c:v>-6.259688022473072</c:v>
                </c:pt>
                <c:pt idx="14">
                  <c:v>-6.7394059756161839</c:v>
                </c:pt>
                <c:pt idx="15">
                  <c:v>-7.218867284455861</c:v>
                </c:pt>
                <c:pt idx="16">
                  <c:v>-7.6980719489921015</c:v>
                </c:pt>
                <c:pt idx="17">
                  <c:v>-8.1770199692249061</c:v>
                </c:pt>
                <c:pt idx="18">
                  <c:v>-8.6557113451542769</c:v>
                </c:pt>
                <c:pt idx="19">
                  <c:v>-9.1341460767802101</c:v>
                </c:pt>
                <c:pt idx="20">
                  <c:v>-9.6123241641027093</c:v>
                </c:pt>
                <c:pt idx="21">
                  <c:v>-10.090245607121773</c:v>
                </c:pt>
                <c:pt idx="22">
                  <c:v>-10.5679104058374</c:v>
                </c:pt>
                <c:pt idx="23">
                  <c:v>-11.045318560249592</c:v>
                </c:pt>
                <c:pt idx="24">
                  <c:v>-11.52247007035835</c:v>
                </c:pt>
                <c:pt idx="25">
                  <c:v>-11.999364936163671</c:v>
                </c:pt>
                <c:pt idx="26">
                  <c:v>-12.476003157665556</c:v>
                </c:pt>
                <c:pt idx="27">
                  <c:v>-12.95238473486401</c:v>
                </c:pt>
                <c:pt idx="28">
                  <c:v>-13.428509667759023</c:v>
                </c:pt>
                <c:pt idx="29">
                  <c:v>-13.904377956350606</c:v>
                </c:pt>
                <c:pt idx="30">
                  <c:v>-14.379989600638746</c:v>
                </c:pt>
                <c:pt idx="31">
                  <c:v>-14.855344600623459</c:v>
                </c:pt>
                <c:pt idx="32">
                  <c:v>-15.330442956304733</c:v>
                </c:pt>
                <c:pt idx="33">
                  <c:v>-15.805284667682571</c:v>
                </c:pt>
                <c:pt idx="34">
                  <c:v>-16.279869734756975</c:v>
                </c:pt>
                <c:pt idx="35">
                  <c:v>-16.754198157527942</c:v>
                </c:pt>
                <c:pt idx="36">
                  <c:v>-17.228269935995474</c:v>
                </c:pt>
                <c:pt idx="37">
                  <c:v>-17.702085070159573</c:v>
                </c:pt>
                <c:pt idx="38">
                  <c:v>-18.17564356002023</c:v>
                </c:pt>
                <c:pt idx="39">
                  <c:v>-18.648945405577457</c:v>
                </c:pt>
                <c:pt idx="40">
                  <c:v>-19.12199060683125</c:v>
                </c:pt>
                <c:pt idx="41">
                  <c:v>-19.594779163781602</c:v>
                </c:pt>
                <c:pt idx="42">
                  <c:v>-20.067311076428521</c:v>
                </c:pt>
                <c:pt idx="43">
                  <c:v>-20.539586344772005</c:v>
                </c:pt>
                <c:pt idx="44">
                  <c:v>-21.011604968812055</c:v>
                </c:pt>
                <c:pt idx="45">
                  <c:v>-21.483366948548664</c:v>
                </c:pt>
                <c:pt idx="46">
                  <c:v>-21.954872283981846</c:v>
                </c:pt>
                <c:pt idx="47">
                  <c:v>-22.426120975111591</c:v>
                </c:pt>
                <c:pt idx="48">
                  <c:v>-22.897113021937891</c:v>
                </c:pt>
                <c:pt idx="49">
                  <c:v>-23.36784842446076</c:v>
                </c:pt>
                <c:pt idx="50">
                  <c:v>-23.838327182680199</c:v>
                </c:pt>
                <c:pt idx="51">
                  <c:v>-24.308549296596205</c:v>
                </c:pt>
                <c:pt idx="52">
                  <c:v>-24.778514766208762</c:v>
                </c:pt>
                <c:pt idx="53">
                  <c:v>-25.248223591517895</c:v>
                </c:pt>
                <c:pt idx="54">
                  <c:v>-25.717675772523588</c:v>
                </c:pt>
                <c:pt idx="55">
                  <c:v>-26.18687130922585</c:v>
                </c:pt>
                <c:pt idx="56">
                  <c:v>-26.655810201624668</c:v>
                </c:pt>
                <c:pt idx="57">
                  <c:v>-27.124492449720062</c:v>
                </c:pt>
                <c:pt idx="58">
                  <c:v>-27.592918053512012</c:v>
                </c:pt>
                <c:pt idx="59">
                  <c:v>-28.061087013000524</c:v>
                </c:pt>
                <c:pt idx="60">
                  <c:v>-28.528999328185613</c:v>
                </c:pt>
                <c:pt idx="61">
                  <c:v>-28.996654999067257</c:v>
                </c:pt>
                <c:pt idx="62">
                  <c:v>-29.464054025645471</c:v>
                </c:pt>
                <c:pt idx="63">
                  <c:v>-29.931196407920243</c:v>
                </c:pt>
                <c:pt idx="64">
                  <c:v>-30.398082145891582</c:v>
                </c:pt>
                <c:pt idx="65">
                  <c:v>-30.864711239559483</c:v>
                </c:pt>
                <c:pt idx="66">
                  <c:v>-31.331083688923957</c:v>
                </c:pt>
                <c:pt idx="67">
                  <c:v>-31.797199493984991</c:v>
                </c:pt>
                <c:pt idx="68">
                  <c:v>-32.263058654742586</c:v>
                </c:pt>
                <c:pt idx="69">
                  <c:v>-32.728661171196748</c:v>
                </c:pt>
                <c:pt idx="70">
                  <c:v>-33.194007043347476</c:v>
                </c:pt>
                <c:pt idx="71">
                  <c:v>-33.659096271194777</c:v>
                </c:pt>
                <c:pt idx="72">
                  <c:v>-34.123928854738629</c:v>
                </c:pt>
                <c:pt idx="73">
                  <c:v>-34.588504793979048</c:v>
                </c:pt>
                <c:pt idx="74">
                  <c:v>-35.05282408891604</c:v>
                </c:pt>
                <c:pt idx="75">
                  <c:v>-35.516886739549584</c:v>
                </c:pt>
                <c:pt idx="76">
                  <c:v>-35.980692745879693</c:v>
                </c:pt>
                <c:pt idx="77">
                  <c:v>-36.444242107906376</c:v>
                </c:pt>
                <c:pt idx="78">
                  <c:v>-36.907534825629625</c:v>
                </c:pt>
                <c:pt idx="79">
                  <c:v>-37.370570899049426</c:v>
                </c:pt>
                <c:pt idx="80">
                  <c:v>-37.833350328165807</c:v>
                </c:pt>
                <c:pt idx="81">
                  <c:v>-38.29587311297874</c:v>
                </c:pt>
                <c:pt idx="82">
                  <c:v>-38.758139253488245</c:v>
                </c:pt>
                <c:pt idx="83">
                  <c:v>-39.22014874969431</c:v>
                </c:pt>
                <c:pt idx="84">
                  <c:v>-39.681901601596941</c:v>
                </c:pt>
                <c:pt idx="85">
                  <c:v>-40.143397809196131</c:v>
                </c:pt>
                <c:pt idx="86">
                  <c:v>-40.604637372491901</c:v>
                </c:pt>
                <c:pt idx="87">
                  <c:v>-41.065620291484215</c:v>
                </c:pt>
                <c:pt idx="88">
                  <c:v>-41.52634656617311</c:v>
                </c:pt>
                <c:pt idx="89">
                  <c:v>-41.986816196558564</c:v>
                </c:pt>
                <c:pt idx="90">
                  <c:v>-42.447029182640584</c:v>
                </c:pt>
                <c:pt idx="91">
                  <c:v>-42.906985524419163</c:v>
                </c:pt>
                <c:pt idx="92">
                  <c:v>-43.366685221894315</c:v>
                </c:pt>
                <c:pt idx="93">
                  <c:v>-43.826128275066019</c:v>
                </c:pt>
                <c:pt idx="94">
                  <c:v>-44.28531468393431</c:v>
                </c:pt>
                <c:pt idx="95">
                  <c:v>-44.744244448499146</c:v>
                </c:pt>
                <c:pt idx="96">
                  <c:v>-45.202917568760547</c:v>
                </c:pt>
                <c:pt idx="97">
                  <c:v>-45.661334044718515</c:v>
                </c:pt>
                <c:pt idx="98">
                  <c:v>-46.119493876373056</c:v>
                </c:pt>
                <c:pt idx="99">
                  <c:v>-46.577397063724156</c:v>
                </c:pt>
              </c:numCache>
            </c:numRef>
          </c:xVal>
          <c:yVal>
            <c:numRef>
              <c:f>A_CDCL!$S$4:$S$103</c:f>
              <c:numCache>
                <c:formatCode>General</c:formatCode>
                <c:ptCount val="100"/>
                <c:pt idx="0">
                  <c:v>0</c:v>
                </c:pt>
                <c:pt idx="1">
                  <c:v>1.0132014674988019E-2</c:v>
                </c:pt>
                <c:pt idx="2">
                  <c:v>2.0264029349976037E-2</c:v>
                </c:pt>
                <c:pt idx="3">
                  <c:v>3.0396044024964052E-2</c:v>
                </c:pt>
                <c:pt idx="4">
                  <c:v>4.0528058699952074E-2</c:v>
                </c:pt>
                <c:pt idx="5">
                  <c:v>5.0660073374940093E-2</c:v>
                </c:pt>
                <c:pt idx="6">
                  <c:v>6.0792088049928104E-2</c:v>
                </c:pt>
                <c:pt idx="7">
                  <c:v>7.0924102724916116E-2</c:v>
                </c:pt>
                <c:pt idx="8">
                  <c:v>8.1056117399904148E-2</c:v>
                </c:pt>
                <c:pt idx="9">
                  <c:v>9.1188132074892167E-2</c:v>
                </c:pt>
                <c:pt idx="10">
                  <c:v>0.10132014674988019</c:v>
                </c:pt>
                <c:pt idx="11">
                  <c:v>0.1114521614248682</c:v>
                </c:pt>
                <c:pt idx="12">
                  <c:v>0.12158417609985621</c:v>
                </c:pt>
                <c:pt idx="13">
                  <c:v>0.13171619077484423</c:v>
                </c:pt>
                <c:pt idx="14">
                  <c:v>0.14184820544983223</c:v>
                </c:pt>
                <c:pt idx="15">
                  <c:v>0.15198022012482026</c:v>
                </c:pt>
                <c:pt idx="16">
                  <c:v>0.1621122347998083</c:v>
                </c:pt>
                <c:pt idx="17">
                  <c:v>0.1722442494747963</c:v>
                </c:pt>
                <c:pt idx="18">
                  <c:v>0.18237626414978433</c:v>
                </c:pt>
                <c:pt idx="19">
                  <c:v>0.19250827882477234</c:v>
                </c:pt>
                <c:pt idx="20">
                  <c:v>0.20264029349976037</c:v>
                </c:pt>
                <c:pt idx="21">
                  <c:v>0.21277230817474838</c:v>
                </c:pt>
                <c:pt idx="22">
                  <c:v>0.22290432284973641</c:v>
                </c:pt>
                <c:pt idx="23">
                  <c:v>0.23303633752472441</c:v>
                </c:pt>
                <c:pt idx="24">
                  <c:v>0.24316835219971242</c:v>
                </c:pt>
                <c:pt idx="25">
                  <c:v>0.25330036687470042</c:v>
                </c:pt>
                <c:pt idx="26">
                  <c:v>0.26343238154968845</c:v>
                </c:pt>
                <c:pt idx="27">
                  <c:v>0.27356439622467649</c:v>
                </c:pt>
                <c:pt idx="28">
                  <c:v>0.28369641089966446</c:v>
                </c:pt>
                <c:pt idx="29">
                  <c:v>0.29382842557465255</c:v>
                </c:pt>
                <c:pt idx="30">
                  <c:v>0.30396044024964053</c:v>
                </c:pt>
                <c:pt idx="31">
                  <c:v>0.31409245492462856</c:v>
                </c:pt>
                <c:pt idx="32">
                  <c:v>0.32422446959961659</c:v>
                </c:pt>
                <c:pt idx="33">
                  <c:v>0.33435648427460463</c:v>
                </c:pt>
                <c:pt idx="34">
                  <c:v>0.3444884989495926</c:v>
                </c:pt>
                <c:pt idx="35">
                  <c:v>0.35462051362458064</c:v>
                </c:pt>
                <c:pt idx="36">
                  <c:v>0.36475252829956867</c:v>
                </c:pt>
                <c:pt idx="37">
                  <c:v>0.3748845429745567</c:v>
                </c:pt>
                <c:pt idx="38">
                  <c:v>0.38501655764954468</c:v>
                </c:pt>
                <c:pt idx="39">
                  <c:v>0.39514857232453271</c:v>
                </c:pt>
                <c:pt idx="40">
                  <c:v>0.40528058699952074</c:v>
                </c:pt>
                <c:pt idx="41">
                  <c:v>0.41541260167450872</c:v>
                </c:pt>
                <c:pt idx="42">
                  <c:v>0.42554461634949675</c:v>
                </c:pt>
                <c:pt idx="43">
                  <c:v>0.43567663102448478</c:v>
                </c:pt>
                <c:pt idx="44">
                  <c:v>0.44580864569947282</c:v>
                </c:pt>
                <c:pt idx="45">
                  <c:v>0.45594066037446079</c:v>
                </c:pt>
                <c:pt idx="46">
                  <c:v>0.46607267504944883</c:v>
                </c:pt>
                <c:pt idx="47">
                  <c:v>0.47620468972443686</c:v>
                </c:pt>
                <c:pt idx="48">
                  <c:v>0.48633670439942484</c:v>
                </c:pt>
                <c:pt idx="49">
                  <c:v>0.49646871907441287</c:v>
                </c:pt>
                <c:pt idx="50">
                  <c:v>0.50660073374940084</c:v>
                </c:pt>
                <c:pt idx="51">
                  <c:v>0.51673274842438899</c:v>
                </c:pt>
                <c:pt idx="52">
                  <c:v>0.52686476309937691</c:v>
                </c:pt>
                <c:pt idx="53">
                  <c:v>0.53699677777436494</c:v>
                </c:pt>
                <c:pt idx="54">
                  <c:v>0.54712879244935297</c:v>
                </c:pt>
                <c:pt idx="55">
                  <c:v>0.55726080712434101</c:v>
                </c:pt>
                <c:pt idx="56">
                  <c:v>0.56739282179932893</c:v>
                </c:pt>
                <c:pt idx="57">
                  <c:v>0.57752483647431707</c:v>
                </c:pt>
                <c:pt idx="58">
                  <c:v>0.5876568511493051</c:v>
                </c:pt>
                <c:pt idx="59">
                  <c:v>0.59778886582429303</c:v>
                </c:pt>
                <c:pt idx="60">
                  <c:v>0.60792088049928106</c:v>
                </c:pt>
                <c:pt idx="61">
                  <c:v>0.61805289517426909</c:v>
                </c:pt>
                <c:pt idx="62">
                  <c:v>0.62818490984925712</c:v>
                </c:pt>
                <c:pt idx="63">
                  <c:v>0.63831692452424516</c:v>
                </c:pt>
                <c:pt idx="64">
                  <c:v>0.64844893919923319</c:v>
                </c:pt>
                <c:pt idx="65">
                  <c:v>0.65858095387422111</c:v>
                </c:pt>
                <c:pt idx="66">
                  <c:v>0.66871296854920925</c:v>
                </c:pt>
                <c:pt idx="67">
                  <c:v>0.67884498322419717</c:v>
                </c:pt>
                <c:pt idx="68">
                  <c:v>0.68897699789918521</c:v>
                </c:pt>
                <c:pt idx="69">
                  <c:v>0.69910901257417324</c:v>
                </c:pt>
                <c:pt idx="70">
                  <c:v>0.70924102724916127</c:v>
                </c:pt>
                <c:pt idx="71">
                  <c:v>0.7193730419241493</c:v>
                </c:pt>
                <c:pt idx="72">
                  <c:v>0.72950505659913734</c:v>
                </c:pt>
                <c:pt idx="73">
                  <c:v>0.73963707127412526</c:v>
                </c:pt>
                <c:pt idx="74">
                  <c:v>0.7497690859491134</c:v>
                </c:pt>
                <c:pt idx="75">
                  <c:v>0.75990110062410132</c:v>
                </c:pt>
                <c:pt idx="76">
                  <c:v>0.77003311529908935</c:v>
                </c:pt>
                <c:pt idx="77">
                  <c:v>0.78016512997407739</c:v>
                </c:pt>
                <c:pt idx="78">
                  <c:v>0.79029714464906542</c:v>
                </c:pt>
                <c:pt idx="79">
                  <c:v>0.80042915932405334</c:v>
                </c:pt>
                <c:pt idx="80">
                  <c:v>0.81056117399904148</c:v>
                </c:pt>
                <c:pt idx="81">
                  <c:v>0.82069318867402941</c:v>
                </c:pt>
                <c:pt idx="82">
                  <c:v>0.83082520334901744</c:v>
                </c:pt>
                <c:pt idx="83">
                  <c:v>0.84095721802400547</c:v>
                </c:pt>
                <c:pt idx="84">
                  <c:v>0.8510892326989935</c:v>
                </c:pt>
                <c:pt idx="85">
                  <c:v>0.86122124737398154</c:v>
                </c:pt>
                <c:pt idx="86">
                  <c:v>0.87135326204896957</c:v>
                </c:pt>
                <c:pt idx="87">
                  <c:v>0.88148527672395749</c:v>
                </c:pt>
                <c:pt idx="88">
                  <c:v>0.89161729139894563</c:v>
                </c:pt>
                <c:pt idx="89">
                  <c:v>0.90174930607393355</c:v>
                </c:pt>
                <c:pt idx="90">
                  <c:v>0.91188132074892159</c:v>
                </c:pt>
                <c:pt idx="91">
                  <c:v>0.92201333542390962</c:v>
                </c:pt>
                <c:pt idx="92">
                  <c:v>0.93214535009889765</c:v>
                </c:pt>
                <c:pt idx="93">
                  <c:v>0.94227736477388557</c:v>
                </c:pt>
                <c:pt idx="94">
                  <c:v>0.95240937944887372</c:v>
                </c:pt>
                <c:pt idx="95">
                  <c:v>0.96254139412386164</c:v>
                </c:pt>
                <c:pt idx="96">
                  <c:v>0.97267340879884967</c:v>
                </c:pt>
                <c:pt idx="97">
                  <c:v>0.9828054234738377</c:v>
                </c:pt>
                <c:pt idx="98">
                  <c:v>0.99293743814882574</c:v>
                </c:pt>
                <c:pt idx="99">
                  <c:v>1.0030694528238138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08A-4C5E-A8E5-910A09CB1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871039"/>
        <c:axId val="474868639"/>
      </c:scatterChart>
      <c:valAx>
        <c:axId val="474871039"/>
        <c:scaling>
          <c:orientation val="minMax"/>
          <c:max val="7.5000000000000011E-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868639"/>
        <c:crosses val="autoZero"/>
        <c:crossBetween val="midCat"/>
      </c:valAx>
      <c:valAx>
        <c:axId val="474868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8710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A_CDCL!$D$3</c:f>
              <c:strCache>
                <c:ptCount val="1"/>
                <c:pt idx="0">
                  <c:v>Cl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A_CDCL!$A$4:$A$1000</c:f>
              <c:numCache>
                <c:formatCode>General</c:formatCode>
                <c:ptCount val="997"/>
                <c:pt idx="0">
                  <c:v>-3</c:v>
                </c:pt>
                <c:pt idx="1">
                  <c:v>-2.7</c:v>
                </c:pt>
                <c:pt idx="2">
                  <c:v>-2.4</c:v>
                </c:pt>
                <c:pt idx="3">
                  <c:v>-2.1</c:v>
                </c:pt>
                <c:pt idx="4">
                  <c:v>-1.8</c:v>
                </c:pt>
                <c:pt idx="5">
                  <c:v>-1.5</c:v>
                </c:pt>
                <c:pt idx="6">
                  <c:v>-1.2000000000000002</c:v>
                </c:pt>
                <c:pt idx="7">
                  <c:v>-0.89999999999999991</c:v>
                </c:pt>
                <c:pt idx="8">
                  <c:v>-0.60000000000000009</c:v>
                </c:pt>
                <c:pt idx="9">
                  <c:v>-0.30000000000000027</c:v>
                </c:pt>
                <c:pt idx="10">
                  <c:v>0</c:v>
                </c:pt>
                <c:pt idx="11">
                  <c:v>0.29999999999999982</c:v>
                </c:pt>
                <c:pt idx="12">
                  <c:v>0.59999999999999964</c:v>
                </c:pt>
                <c:pt idx="13">
                  <c:v>0.89999999999999991</c:v>
                </c:pt>
                <c:pt idx="14">
                  <c:v>1.2000000000000002</c:v>
                </c:pt>
                <c:pt idx="15">
                  <c:v>1.5</c:v>
                </c:pt>
                <c:pt idx="16">
                  <c:v>1.7999999999999998</c:v>
                </c:pt>
                <c:pt idx="17">
                  <c:v>2.0999999999999996</c:v>
                </c:pt>
                <c:pt idx="18">
                  <c:v>2.3999999999999995</c:v>
                </c:pt>
                <c:pt idx="19">
                  <c:v>2.7</c:v>
                </c:pt>
                <c:pt idx="20">
                  <c:v>3</c:v>
                </c:pt>
              </c:numCache>
            </c:numRef>
          </c:xVal>
          <c:yVal>
            <c:numRef>
              <c:f>A_CDCL!$D$4:$D$1000</c:f>
              <c:numCache>
                <c:formatCode>General</c:formatCode>
                <c:ptCount val="997"/>
                <c:pt idx="0">
                  <c:v>-0.61515143659682869</c:v>
                </c:pt>
                <c:pt idx="1">
                  <c:v>-0.54912653299205594</c:v>
                </c:pt>
                <c:pt idx="2">
                  <c:v>-0.33434268742018264</c:v>
                </c:pt>
                <c:pt idx="3">
                  <c:v>-0.20213026633774617</c:v>
                </c:pt>
                <c:pt idx="4">
                  <c:v>-8.4055123244073687E-2</c:v>
                </c:pt>
                <c:pt idx="5">
                  <c:v>1.739892501101991E-2</c:v>
                </c:pt>
                <c:pt idx="6">
                  <c:v>0.1091760866930164</c:v>
                </c:pt>
                <c:pt idx="7">
                  <c:v>0.20035010755904623</c:v>
                </c:pt>
                <c:pt idx="8">
                  <c:v>0.29731929723682954</c:v>
                </c:pt>
                <c:pt idx="9">
                  <c:v>0.40330313875096513</c:v>
                </c:pt>
                <c:pt idx="10">
                  <c:v>0.51326688932859799</c:v>
                </c:pt>
                <c:pt idx="11">
                  <c:v>0.6032766589152686</c:v>
                </c:pt>
                <c:pt idx="12">
                  <c:v>0.66968592004923744</c:v>
                </c:pt>
                <c:pt idx="13">
                  <c:v>0.72302253315135301</c:v>
                </c:pt>
                <c:pt idx="14">
                  <c:v>0.76919703481296997</c:v>
                </c:pt>
                <c:pt idx="15">
                  <c:v>0.81039647990513808</c:v>
                </c:pt>
                <c:pt idx="16">
                  <c:v>0.84886805086738626</c:v>
                </c:pt>
                <c:pt idx="17">
                  <c:v>0.88934268987867038</c:v>
                </c:pt>
                <c:pt idx="18">
                  <c:v>0.92813432604656521</c:v>
                </c:pt>
                <c:pt idx="19">
                  <c:v>0.96574597915855454</c:v>
                </c:pt>
                <c:pt idx="20">
                  <c:v>1.0030694528238138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01-4A41-97CC-04ABA33961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8813760"/>
        <c:axId val="1467257952"/>
      </c:scatterChart>
      <c:valAx>
        <c:axId val="1468813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257952"/>
        <c:crosses val="autoZero"/>
        <c:crossBetween val="midCat"/>
      </c:valAx>
      <c:valAx>
        <c:axId val="146725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8813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2791416746887829"/>
                  <c:y val="0.4754232267432502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'A_CDCL(Re)'!$A$3:$A$12</c:f>
              <c:numCache>
                <c:formatCode>0.00E+00</c:formatCode>
                <c:ptCount val="10"/>
                <c:pt idx="0">
                  <c:v>10437218.364</c:v>
                </c:pt>
                <c:pt idx="1">
                  <c:v>20874436.728</c:v>
                </c:pt>
                <c:pt idx="2">
                  <c:v>41748873.456</c:v>
                </c:pt>
              </c:numCache>
            </c:numRef>
          </c:xVal>
          <c:yVal>
            <c:numRef>
              <c:f>'CDCL(Re)'!#REF!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'CDCL(Re)'!#REF!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BFFD-4B29-AD7E-D2493B712F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0082911"/>
        <c:axId val="1600096351"/>
      </c:scatterChart>
      <c:valAx>
        <c:axId val="1600082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96351"/>
        <c:crosses val="autoZero"/>
        <c:crossBetween val="midCat"/>
      </c:valAx>
      <c:valAx>
        <c:axId val="1600096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82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'A_CDCL(Re)'!$I$1</c:f>
              <c:strCache>
                <c:ptCount val="1"/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8.43390027339571E-2"/>
                  <c:y val="-0.383191960274984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'A_CDCL(Re)'!$A$3:$A$10</c:f>
              <c:numCache>
                <c:formatCode>0.00E+00</c:formatCode>
                <c:ptCount val="8"/>
                <c:pt idx="0">
                  <c:v>10437218.364</c:v>
                </c:pt>
                <c:pt idx="1">
                  <c:v>20874436.728</c:v>
                </c:pt>
                <c:pt idx="2">
                  <c:v>41748873.456</c:v>
                </c:pt>
              </c:numCache>
            </c:numRef>
          </c:xVal>
          <c:yVal>
            <c:numRef>
              <c:f>'A_CDCL(Re)'!$I$3:$I$10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8E7-4A42-B987-9CF6720D07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5867951"/>
        <c:axId val="1615854991"/>
      </c:scatterChart>
      <c:valAx>
        <c:axId val="16158679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854991"/>
        <c:crosses val="autoZero"/>
        <c:crossBetween val="midCat"/>
      </c:valAx>
      <c:valAx>
        <c:axId val="1615854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8679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'A_CDCL(Re)'!$C$1</c:f>
              <c:strCache>
                <c:ptCount val="1"/>
                <c:pt idx="0">
                  <c:v>CD2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'A_CDCL(Re)'!$A$2:$A$5</c:f>
              <c:numCache>
                <c:formatCode>0.00E+00</c:formatCode>
                <c:ptCount val="4"/>
                <c:pt idx="0">
                  <c:v>5218609.182</c:v>
                </c:pt>
                <c:pt idx="1">
                  <c:v>10437218.364</c:v>
                </c:pt>
                <c:pt idx="2">
                  <c:v>20874436.728</c:v>
                </c:pt>
                <c:pt idx="3">
                  <c:v>41748873.456</c:v>
                </c:pt>
              </c:numCache>
            </c:numRef>
          </c:xVal>
          <c:yVal>
            <c:numRef>
              <c:f>'A_CDCL(Re)'!$C$2:$C$5</c:f>
              <c:numCache>
                <c:formatCode>General</c:formatCode>
                <c:ptCount val="4"/>
                <c:pt idx="0">
                  <c:v>9.1960625648235799E-3</c:v>
                </c:pt>
                <c:pt idx="1">
                  <c:v>8.4405247829155913E-3</c:v>
                </c:pt>
                <c:pt idx="2">
                  <c:v>7.7866809736125047E-3</c:v>
                </c:pt>
                <c:pt idx="3">
                  <c:v>7.2182240680638199E-3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38-4038-8447-82767831ED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020272"/>
        <c:axId val="103020752"/>
      </c:scatterChart>
      <c:valAx>
        <c:axId val="103020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020752"/>
        <c:crosses val="autoZero"/>
        <c:crossBetween val="midCat"/>
      </c:valAx>
      <c:valAx>
        <c:axId val="10302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020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2231404007926798E-2"/>
          <c:y val="2.5723407491559668E-2"/>
          <c:w val="0.95722838926075227"/>
          <c:h val="0.9327766837240025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Variables!$N$4:$N$12</c:f>
              <c:numCache>
                <c:formatCode>General</c:formatCode>
                <c:ptCount val="9"/>
                <c:pt idx="0">
                  <c:v>0</c:v>
                </c:pt>
                <c:pt idx="1">
                  <c:v>8.3815909783602507</c:v>
                </c:pt>
                <c:pt idx="2">
                  <c:v>8.3815909783602507</c:v>
                </c:pt>
                <c:pt idx="3">
                  <c:v>0</c:v>
                </c:pt>
                <c:pt idx="4">
                  <c:v>0</c:v>
                </c:pt>
                <c:pt idx="5">
                  <c:v>-8.3815909783602507</c:v>
                </c:pt>
                <c:pt idx="6">
                  <c:v>-8.3815909783602507</c:v>
                </c:pt>
                <c:pt idx="7">
                  <c:v>0</c:v>
                </c:pt>
              </c:numCache>
            </c:numRef>
          </c:xVal>
          <c:yVal>
            <c:numRef>
              <c:f>Variables!$O$4:$O$12</c:f>
              <c:numCache>
                <c:formatCode>General</c:formatCode>
                <c:ptCount val="9"/>
                <c:pt idx="0">
                  <c:v>0</c:v>
                </c:pt>
                <c:pt idx="1">
                  <c:v>5.7133631937457006</c:v>
                </c:pt>
                <c:pt idx="2">
                  <c:v>7.3008902062376499</c:v>
                </c:pt>
                <c:pt idx="3">
                  <c:v>6.6146958853831244</c:v>
                </c:pt>
                <c:pt idx="4">
                  <c:v>0</c:v>
                </c:pt>
                <c:pt idx="5">
                  <c:v>5.7133631937457006</c:v>
                </c:pt>
                <c:pt idx="6">
                  <c:v>7.3008902062376499</c:v>
                </c:pt>
                <c:pt idx="7">
                  <c:v>6.6146958853831244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6-4B19-BD62-114D14CA9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2505199"/>
        <c:axId val="1142488879"/>
      </c:scatterChart>
      <c:valAx>
        <c:axId val="1142505199"/>
        <c:scaling>
          <c:orientation val="minMax"/>
          <c:max val="9"/>
          <c:min val="-9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2488879"/>
        <c:crosses val="autoZero"/>
        <c:crossBetween val="midCat"/>
      </c:valAx>
      <c:valAx>
        <c:axId val="1142488879"/>
        <c:scaling>
          <c:orientation val="maxMin"/>
          <c:max val="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25051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'CDCL(Re)'!$B$1</c:f>
              <c:strCache>
                <c:ptCount val="1"/>
                <c:pt idx="0">
                  <c:v>CL1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2403008087938851"/>
                  <c:y val="-0.1315224579978350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'CDCL(Re)'!$A$2:$A$13</c:f>
              <c:numCache>
                <c:formatCode>0.00E+00</c:formatCode>
                <c:ptCount val="12"/>
                <c:pt idx="0">
                  <c:v>3000000</c:v>
                </c:pt>
                <c:pt idx="1">
                  <c:v>5000000</c:v>
                </c:pt>
                <c:pt idx="2">
                  <c:v>10000000</c:v>
                </c:pt>
                <c:pt idx="3">
                  <c:v>20000000</c:v>
                </c:pt>
                <c:pt idx="4">
                  <c:v>40000000</c:v>
                </c:pt>
                <c:pt idx="5">
                  <c:v>60000000</c:v>
                </c:pt>
              </c:numCache>
            </c:numRef>
          </c:xVal>
          <c:yVal>
            <c:numRef>
              <c:f>'CDCL(Re)'!$B$2:$B$12</c:f>
              <c:numCache>
                <c:formatCode>General</c:formatCode>
                <c:ptCount val="11"/>
                <c:pt idx="0">
                  <c:v>-7.4000000000000003E-3</c:v>
                </c:pt>
                <c:pt idx="1">
                  <c:v>-2.8E-3</c:v>
                </c:pt>
                <c:pt idx="2">
                  <c:v>-8.9999999999999993E-3</c:v>
                </c:pt>
                <c:pt idx="3">
                  <c:v>-4.4000000000000003E-3</c:v>
                </c:pt>
                <c:pt idx="4">
                  <c:v>-2.0000000000000001E-4</c:v>
                </c:pt>
                <c:pt idx="5">
                  <c:v>-0.01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45-4955-9E61-AD090DF4A9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0082911"/>
        <c:axId val="1600096351"/>
      </c:scatterChart>
      <c:valAx>
        <c:axId val="1600082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96351"/>
        <c:crosses val="autoZero"/>
        <c:crossBetween val="midCat"/>
      </c:valAx>
      <c:valAx>
        <c:axId val="1600096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82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'CDCL(Re)'!$C$1</c:f>
              <c:strCache>
                <c:ptCount val="1"/>
                <c:pt idx="0">
                  <c:v>CD1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8733237123494612"/>
                  <c:y val="-0.2401356572001533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'CDCL(Re)'!$A$2:$A$13</c:f>
              <c:numCache>
                <c:formatCode>0.00E+00</c:formatCode>
                <c:ptCount val="12"/>
                <c:pt idx="0">
                  <c:v>3000000</c:v>
                </c:pt>
                <c:pt idx="1">
                  <c:v>5000000</c:v>
                </c:pt>
                <c:pt idx="2">
                  <c:v>10000000</c:v>
                </c:pt>
                <c:pt idx="3">
                  <c:v>20000000</c:v>
                </c:pt>
                <c:pt idx="4">
                  <c:v>40000000</c:v>
                </c:pt>
                <c:pt idx="5">
                  <c:v>60000000</c:v>
                </c:pt>
              </c:numCache>
            </c:numRef>
          </c:xVal>
          <c:yVal>
            <c:numRef>
              <c:f>'CDCL(Re)'!$C$2:$C$12</c:f>
              <c:numCache>
                <c:formatCode>General</c:formatCode>
                <c:ptCount val="11"/>
                <c:pt idx="0">
                  <c:v>9.8999999999999991E-3</c:v>
                </c:pt>
                <c:pt idx="1">
                  <c:v>9.6299999999999997E-3</c:v>
                </c:pt>
                <c:pt idx="2">
                  <c:v>9.2499999999999995E-3</c:v>
                </c:pt>
                <c:pt idx="3">
                  <c:v>8.5299999999999994E-3</c:v>
                </c:pt>
                <c:pt idx="4">
                  <c:v>7.3600000000000002E-3</c:v>
                </c:pt>
                <c:pt idx="5">
                  <c:v>6.3700000000000007E-3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6-43A2-808C-ECA4CD2D5E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1331551"/>
        <c:axId val="1609938751"/>
      </c:scatterChart>
      <c:valAx>
        <c:axId val="1691331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938751"/>
        <c:crosses val="autoZero"/>
        <c:crossBetween val="midCat"/>
      </c:valAx>
      <c:valAx>
        <c:axId val="1609938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1331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'CDCL(Re)'!$D$1</c:f>
              <c:strCache>
                <c:ptCount val="1"/>
                <c:pt idx="0">
                  <c:v>CL2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2461856418891035"/>
                  <c:y val="-0.3185456998757641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'CDCL(Re)'!$A$2:$A$13</c:f>
              <c:numCache>
                <c:formatCode>0.00E+00</c:formatCode>
                <c:ptCount val="12"/>
                <c:pt idx="0">
                  <c:v>3000000</c:v>
                </c:pt>
                <c:pt idx="1">
                  <c:v>5000000</c:v>
                </c:pt>
                <c:pt idx="2">
                  <c:v>10000000</c:v>
                </c:pt>
                <c:pt idx="3">
                  <c:v>20000000</c:v>
                </c:pt>
                <c:pt idx="4">
                  <c:v>40000000</c:v>
                </c:pt>
                <c:pt idx="5">
                  <c:v>60000000</c:v>
                </c:pt>
              </c:numCache>
            </c:numRef>
          </c:xVal>
          <c:yVal>
            <c:numRef>
              <c:f>'CDCL(Re)'!$D$2:$D$12</c:f>
              <c:numCache>
                <c:formatCode>General</c:formatCode>
                <c:ptCount val="11"/>
                <c:pt idx="0">
                  <c:v>0.28660000000000002</c:v>
                </c:pt>
                <c:pt idx="1">
                  <c:v>0.26169999999999999</c:v>
                </c:pt>
                <c:pt idx="2">
                  <c:v>0.2266</c:v>
                </c:pt>
                <c:pt idx="3">
                  <c:v>0.1895</c:v>
                </c:pt>
                <c:pt idx="4">
                  <c:v>0.13919999999999999</c:v>
                </c:pt>
                <c:pt idx="5">
                  <c:v>0.15340000000000001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7E-4460-A295-0D4D4B3F32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8372479"/>
        <c:axId val="1598362879"/>
      </c:scatterChart>
      <c:valAx>
        <c:axId val="15983724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8362879"/>
        <c:crosses val="autoZero"/>
        <c:crossBetween val="midCat"/>
      </c:valAx>
      <c:valAx>
        <c:axId val="1598362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83724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'CDCL(Re)'!$E$1</c:f>
              <c:strCache>
                <c:ptCount val="1"/>
                <c:pt idx="0">
                  <c:v>CD2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24084534887684494"/>
                  <c:y val="0.2421682307898611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'CDCL(Re)'!$A$2:$A$13</c:f>
              <c:numCache>
                <c:formatCode>0.00E+00</c:formatCode>
                <c:ptCount val="12"/>
                <c:pt idx="0">
                  <c:v>3000000</c:v>
                </c:pt>
                <c:pt idx="1">
                  <c:v>5000000</c:v>
                </c:pt>
                <c:pt idx="2">
                  <c:v>10000000</c:v>
                </c:pt>
                <c:pt idx="3">
                  <c:v>20000000</c:v>
                </c:pt>
                <c:pt idx="4">
                  <c:v>40000000</c:v>
                </c:pt>
                <c:pt idx="5">
                  <c:v>60000000</c:v>
                </c:pt>
              </c:numCache>
            </c:numRef>
          </c:xVal>
          <c:yVal>
            <c:numRef>
              <c:f>'CDCL(Re)'!$E$2:$E$12</c:f>
              <c:numCache>
                <c:formatCode>General</c:formatCode>
                <c:ptCount val="11"/>
                <c:pt idx="0">
                  <c:v>8.9499999999999996E-3</c:v>
                </c:pt>
                <c:pt idx="1">
                  <c:v>8.8500000000000002E-3</c:v>
                </c:pt>
                <c:pt idx="2">
                  <c:v>8.6E-3</c:v>
                </c:pt>
                <c:pt idx="3">
                  <c:v>8.0999999999999996E-3</c:v>
                </c:pt>
                <c:pt idx="4">
                  <c:v>7.1000000000000004E-3</c:v>
                </c:pt>
                <c:pt idx="5">
                  <c:v>6.1000000000000004E-3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13-4EF3-AE9A-867AD51842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9374671"/>
        <c:axId val="1609381391"/>
      </c:scatterChart>
      <c:valAx>
        <c:axId val="1609374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381391"/>
        <c:crosses val="autoZero"/>
        <c:crossBetween val="midCat"/>
      </c:valAx>
      <c:valAx>
        <c:axId val="160938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3746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'CDCL(Re)'!$G$1</c:f>
              <c:strCache>
                <c:ptCount val="1"/>
                <c:pt idx="0">
                  <c:v>CD3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3.7626473161443054E-2"/>
                  <c:y val="0.1970943467967456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'CDCL(Re)'!$A$2:$A$13</c:f>
              <c:numCache>
                <c:formatCode>0.00E+00</c:formatCode>
                <c:ptCount val="12"/>
                <c:pt idx="0">
                  <c:v>3000000</c:v>
                </c:pt>
                <c:pt idx="1">
                  <c:v>5000000</c:v>
                </c:pt>
                <c:pt idx="2">
                  <c:v>10000000</c:v>
                </c:pt>
                <c:pt idx="3">
                  <c:v>20000000</c:v>
                </c:pt>
                <c:pt idx="4">
                  <c:v>40000000</c:v>
                </c:pt>
                <c:pt idx="5">
                  <c:v>60000000</c:v>
                </c:pt>
              </c:numCache>
            </c:numRef>
          </c:xVal>
          <c:yVal>
            <c:numRef>
              <c:f>'CDCL(Re)'!$G$2:$G$12</c:f>
              <c:numCache>
                <c:formatCode>General</c:formatCode>
                <c:ptCount val="11"/>
                <c:pt idx="0">
                  <c:v>9.7699999999999992E-3</c:v>
                </c:pt>
                <c:pt idx="1">
                  <c:v>9.5700000000000004E-3</c:v>
                </c:pt>
                <c:pt idx="2">
                  <c:v>9.1500000000000001E-3</c:v>
                </c:pt>
                <c:pt idx="3">
                  <c:v>8.539999999999999E-3</c:v>
                </c:pt>
                <c:pt idx="4">
                  <c:v>7.4800000000000005E-3</c:v>
                </c:pt>
                <c:pt idx="5">
                  <c:v>6.4400000000000004E-3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45-4563-A182-3902B263A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8685215"/>
        <c:axId val="1698674655"/>
      </c:scatterChart>
      <c:valAx>
        <c:axId val="16986852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8674655"/>
        <c:crosses val="autoZero"/>
        <c:crossBetween val="midCat"/>
      </c:valAx>
      <c:valAx>
        <c:axId val="1698674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86852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'CDCL(Re)'!$F$1</c:f>
              <c:strCache>
                <c:ptCount val="1"/>
                <c:pt idx="0">
                  <c:v>CL3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25993905560566538"/>
                  <c:y val="0.1595435469999806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'CDCL(Re)'!$A$2:$A$13</c:f>
              <c:numCache>
                <c:formatCode>0.00E+00</c:formatCode>
                <c:ptCount val="12"/>
                <c:pt idx="0">
                  <c:v>3000000</c:v>
                </c:pt>
                <c:pt idx="1">
                  <c:v>5000000</c:v>
                </c:pt>
                <c:pt idx="2">
                  <c:v>10000000</c:v>
                </c:pt>
                <c:pt idx="3">
                  <c:v>20000000</c:v>
                </c:pt>
                <c:pt idx="4">
                  <c:v>40000000</c:v>
                </c:pt>
                <c:pt idx="5">
                  <c:v>60000000</c:v>
                </c:pt>
              </c:numCache>
            </c:numRef>
          </c:xVal>
          <c:yVal>
            <c:numRef>
              <c:f>'CDCL(Re)'!$F$2:$F$12</c:f>
              <c:numCache>
                <c:formatCode>General</c:formatCode>
                <c:ptCount val="11"/>
                <c:pt idx="0">
                  <c:v>0.59570000000000001</c:v>
                </c:pt>
                <c:pt idx="1">
                  <c:v>0.60719999999999996</c:v>
                </c:pt>
                <c:pt idx="2">
                  <c:v>0.60980000000000001</c:v>
                </c:pt>
                <c:pt idx="3">
                  <c:v>0.60970000000000002</c:v>
                </c:pt>
                <c:pt idx="4">
                  <c:v>0.60719999999999996</c:v>
                </c:pt>
                <c:pt idx="5">
                  <c:v>0.60029999999999994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98-412C-A75F-C0DB7B076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0896975"/>
        <c:axId val="1609385231"/>
      </c:scatterChart>
      <c:valAx>
        <c:axId val="1600896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385231"/>
        <c:crosses val="autoZero"/>
        <c:crossBetween val="midCat"/>
      </c:valAx>
      <c:valAx>
        <c:axId val="1609385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8969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2791416746887829"/>
                  <c:y val="0.4754232267432502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'CDCL(Re)'!$A$3:$A$13</c:f>
              <c:numCache>
                <c:formatCode>0.00E+00</c:formatCode>
                <c:ptCount val="11"/>
                <c:pt idx="0">
                  <c:v>5000000</c:v>
                </c:pt>
                <c:pt idx="1">
                  <c:v>10000000</c:v>
                </c:pt>
                <c:pt idx="2">
                  <c:v>20000000</c:v>
                </c:pt>
                <c:pt idx="3">
                  <c:v>40000000</c:v>
                </c:pt>
                <c:pt idx="4">
                  <c:v>60000000</c:v>
                </c:pt>
              </c:numCache>
            </c:numRef>
          </c:xVal>
          <c:yVal>
            <c:numRef>
              <c:f>'CDCL(Re)'!#REF!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'CDCL(Re)'!#REF!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8748-4A43-88E4-D841E27C0D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0082911"/>
        <c:axId val="1600096351"/>
      </c:scatterChart>
      <c:valAx>
        <c:axId val="1600082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96351"/>
        <c:crosses val="autoZero"/>
        <c:crossBetween val="midCat"/>
      </c:valAx>
      <c:valAx>
        <c:axId val="1600096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82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'CDCL(Re)'!$I$1</c:f>
              <c:strCache>
                <c:ptCount val="1"/>
                <c:pt idx="0">
                  <c:v>CLAF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8.43390027339571E-2"/>
                  <c:y val="-0.383191960274984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'CDCL(Re)'!$A$3:$A$11</c:f>
              <c:numCache>
                <c:formatCode>0.00E+00</c:formatCode>
                <c:ptCount val="9"/>
                <c:pt idx="0">
                  <c:v>5000000</c:v>
                </c:pt>
                <c:pt idx="1">
                  <c:v>10000000</c:v>
                </c:pt>
                <c:pt idx="2">
                  <c:v>20000000</c:v>
                </c:pt>
                <c:pt idx="3">
                  <c:v>40000000</c:v>
                </c:pt>
                <c:pt idx="4">
                  <c:v>60000000</c:v>
                </c:pt>
              </c:numCache>
            </c:numRef>
          </c:xVal>
          <c:yVal>
            <c:numRef>
              <c:f>'CDCL(Re)'!$I$3:$I$10</c:f>
              <c:numCache>
                <c:formatCode>General</c:formatCode>
                <c:ptCount val="8"/>
                <c:pt idx="0">
                  <c:v>0.92921657518387979</c:v>
                </c:pt>
                <c:pt idx="1">
                  <c:v>0.92921657518387979</c:v>
                </c:pt>
                <c:pt idx="2">
                  <c:v>0.92921657518387979</c:v>
                </c:pt>
                <c:pt idx="3">
                  <c:v>0.92921657518387979</c:v>
                </c:pt>
                <c:pt idx="4">
                  <c:v>0.92921657518387979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C2-4AF5-9FB2-BEB624FF4F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5867951"/>
        <c:axId val="1615854991"/>
      </c:scatterChart>
      <c:valAx>
        <c:axId val="16158679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854991"/>
        <c:crosses val="autoZero"/>
        <c:crossBetween val="midCat"/>
      </c:valAx>
      <c:valAx>
        <c:axId val="1615854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8679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0</xdr:colOff>
      <xdr:row>1</xdr:row>
      <xdr:rowOff>4760</xdr:rowOff>
    </xdr:from>
    <xdr:to>
      <xdr:col>28</xdr:col>
      <xdr:colOff>609599</xdr:colOff>
      <xdr:row>31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E2FE8F-EDA4-4F7D-922B-80A3ED1CFD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238125</xdr:colOff>
      <xdr:row>36</xdr:row>
      <xdr:rowOff>71437</xdr:rowOff>
    </xdr:from>
    <xdr:to>
      <xdr:col>28</xdr:col>
      <xdr:colOff>542925</xdr:colOff>
      <xdr:row>50</xdr:row>
      <xdr:rowOff>147637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E9EE7C5-4FCB-0636-0F14-0E3B6D8548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0</xdr:colOff>
      <xdr:row>1</xdr:row>
      <xdr:rowOff>4760</xdr:rowOff>
    </xdr:from>
    <xdr:to>
      <xdr:col>28</xdr:col>
      <xdr:colOff>609599</xdr:colOff>
      <xdr:row>31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661E9F9-3BB5-4FC8-89BA-7216DC0368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238125</xdr:colOff>
      <xdr:row>36</xdr:row>
      <xdr:rowOff>71437</xdr:rowOff>
    </xdr:from>
    <xdr:to>
      <xdr:col>28</xdr:col>
      <xdr:colOff>542925</xdr:colOff>
      <xdr:row>50</xdr:row>
      <xdr:rowOff>147637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D9E552E-C01B-46E1-9950-8D00444F44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38100</xdr:colOff>
      <xdr:row>3</xdr:row>
      <xdr:rowOff>66675</xdr:rowOff>
    </xdr:from>
    <xdr:to>
      <xdr:col>27</xdr:col>
      <xdr:colOff>28575</xdr:colOff>
      <xdr:row>14</xdr:row>
      <xdr:rowOff>52388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ADCE9A2-CE8B-4639-9E6D-5DB1B068FE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52387</xdr:colOff>
      <xdr:row>14</xdr:row>
      <xdr:rowOff>147637</xdr:rowOff>
    </xdr:from>
    <xdr:to>
      <xdr:col>27</xdr:col>
      <xdr:colOff>28575</xdr:colOff>
      <xdr:row>25</xdr:row>
      <xdr:rowOff>47625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B744E5FD-1B9C-46BA-997E-E9EEF5A49A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536575</xdr:colOff>
      <xdr:row>4</xdr:row>
      <xdr:rowOff>95250</xdr:rowOff>
    </xdr:from>
    <xdr:to>
      <xdr:col>13</xdr:col>
      <xdr:colOff>231775</xdr:colOff>
      <xdr:row>19</xdr:row>
      <xdr:rowOff>76200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4E83D30A-7DC3-7DC2-32BB-8179B9E232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17675</xdr:colOff>
      <xdr:row>1</xdr:row>
      <xdr:rowOff>15840</xdr:rowOff>
    </xdr:from>
    <xdr:to>
      <xdr:col>27</xdr:col>
      <xdr:colOff>623165</xdr:colOff>
      <xdr:row>60</xdr:row>
      <xdr:rowOff>45357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67A4D06-61F8-08AB-43F1-4BAE7BBA7E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28575</xdr:colOff>
      <xdr:row>1</xdr:row>
      <xdr:rowOff>0</xdr:rowOff>
    </xdr:from>
    <xdr:to>
      <xdr:col>15</xdr:col>
      <xdr:colOff>19050</xdr:colOff>
      <xdr:row>10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B71494E-2872-0C36-604A-56705D6D73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66674</xdr:colOff>
      <xdr:row>1</xdr:row>
      <xdr:rowOff>0</xdr:rowOff>
    </xdr:from>
    <xdr:to>
      <xdr:col>19</xdr:col>
      <xdr:colOff>590549</xdr:colOff>
      <xdr:row>10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770413E-EFE8-BA75-A40D-142DFADAB7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38100</xdr:colOff>
      <xdr:row>10</xdr:row>
      <xdr:rowOff>90487</xdr:rowOff>
    </xdr:from>
    <xdr:to>
      <xdr:col>15</xdr:col>
      <xdr:colOff>19050</xdr:colOff>
      <xdr:row>21</xdr:row>
      <xdr:rowOff>9525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4256D3D-B65D-FCCB-9900-EDDF942FAD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95250</xdr:colOff>
      <xdr:row>10</xdr:row>
      <xdr:rowOff>90486</xdr:rowOff>
    </xdr:from>
    <xdr:to>
      <xdr:col>19</xdr:col>
      <xdr:colOff>590550</xdr:colOff>
      <xdr:row>20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279CDD6-207C-44D1-22FA-702D64588E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104775</xdr:colOff>
      <xdr:row>21</xdr:row>
      <xdr:rowOff>52387</xdr:rowOff>
    </xdr:from>
    <xdr:to>
      <xdr:col>19</xdr:col>
      <xdr:colOff>581025</xdr:colOff>
      <xdr:row>31</xdr:row>
      <xdr:rowOff>57150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84DE342-B415-5BFE-5211-EA5A36FEDF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28574</xdr:colOff>
      <xdr:row>21</xdr:row>
      <xdr:rowOff>61912</xdr:rowOff>
    </xdr:from>
    <xdr:to>
      <xdr:col>15</xdr:col>
      <xdr:colOff>57149</xdr:colOff>
      <xdr:row>31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D86E280-518A-A6B8-9A48-64C7B12658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38100</xdr:colOff>
      <xdr:row>3</xdr:row>
      <xdr:rowOff>66675</xdr:rowOff>
    </xdr:from>
    <xdr:to>
      <xdr:col>27</xdr:col>
      <xdr:colOff>28575</xdr:colOff>
      <xdr:row>14</xdr:row>
      <xdr:rowOff>52388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DC1DD7D1-D252-4795-981E-0714E49DDE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22</xdr:col>
      <xdr:colOff>52387</xdr:colOff>
      <xdr:row>14</xdr:row>
      <xdr:rowOff>147637</xdr:rowOff>
    </xdr:from>
    <xdr:to>
      <xdr:col>27</xdr:col>
      <xdr:colOff>28575</xdr:colOff>
      <xdr:row>25</xdr:row>
      <xdr:rowOff>47625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7D2189DC-782C-10B5-BE12-E96DC160B0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homas Sheridan" id="{C11C23B8-CB5D-42BA-AE8D-C435545CC870}" userId="4487364ff61c488f" providerId="Windows Live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12" xr16:uid="{54512741-9BC1-415B-90CD-F8F3BFFB9610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9" xr16:uid="{70051973-DDA5-42FB-B5A3-6817DC023ED9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8" xr16:uid="{2310FB47-C9BE-4BCD-B212-7F70F87DF97C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7" xr16:uid="{5E626DA1-B71D-4518-ACD8-887ED03C41E0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8" xr16:uid="{32924950-C2B6-4466-A3DF-A3D7DA2F331E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7" xr16:uid="{256965EB-0326-4850-9ABF-9E613CE7943E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4" xr16:uid="{9C1D235A-1AB6-4CB7-82FF-41C8D8FC3B04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1" xr16:uid="{4EE3C64C-A497-45FD-A298-BDC298923841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AC53C253-50A3-4668-97C8-ECAABA457AE0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5" xr16:uid="{19C3D463-B252-4E55-87E9-7B4FF77E1C11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3" xr16:uid="{1F6DEB45-3449-40E8-A21D-A849F2CFF071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0" xr16:uid="{00149619-50EF-4650-8207-7BB7A34667F7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1DC7261B-E1E4-4690-925D-85E51E2C6513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073C50DD-EBBD-4A87-9EBA-0BFF665BAF82}" autoFormatId="16" applyNumberFormats="0" applyBorderFormats="0" applyFontFormats="0" applyPatternFormats="0" applyAlignmentFormats="0" applyWidthHeightFormats="0">
  <queryTableRefresh nextId="5">
    <queryTableFields count="4">
      <queryTableField id="1" name="alpha" tableColumnId="1"/>
      <queryTableField id="2" name="CL" tableColumnId="2"/>
      <queryTableField id="3" name="CD" tableColumnId="3"/>
      <queryTableField id="4" name="CM" tableColumnId="4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2" xr16:uid="{B435B0D1-DF43-4D4A-8BF4-8D9254AA095C}" autoFormatId="16" applyNumberFormats="0" applyBorderFormats="0" applyFontFormats="0" applyPatternFormats="0" applyAlignmentFormats="0" applyWidthHeightFormats="0">
  <queryTableRefresh nextId="5">
    <queryTableFields count="4">
      <queryTableField id="1" name="alpha" tableColumnId="1"/>
      <queryTableField id="2" name="CL" tableColumnId="2"/>
      <queryTableField id="3" name="CD" tableColumnId="3"/>
      <queryTableField id="4" name="CM" tableColumnId="4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3" xr16:uid="{38E701E1-4646-4C12-8026-64BCD3A3359E}" autoFormatId="16" applyNumberFormats="0" applyBorderFormats="0" applyFontFormats="0" applyPatternFormats="0" applyAlignmentFormats="0" applyWidthHeightFormats="0">
  <queryTableRefresh nextId="5">
    <queryTableFields count="4">
      <queryTableField id="1" name="alpha" tableColumnId="1"/>
      <queryTableField id="2" name="CL" tableColumnId="2"/>
      <queryTableField id="3" name="CD" tableColumnId="3"/>
      <queryTableField id="4" name="CM" tableColumnId="4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4" xr16:uid="{013DC70E-DA6E-411E-8109-349C83A6B883}" autoFormatId="16" applyNumberFormats="0" applyBorderFormats="0" applyFontFormats="0" applyPatternFormats="0" applyAlignmentFormats="0" applyWidthHeightFormats="0">
  <queryTableRefresh nextId="5">
    <queryTableFields count="4">
      <queryTableField id="1" name="alpha" tableColumnId="1"/>
      <queryTableField id="2" name="CL" tableColumnId="2"/>
      <queryTableField id="3" name="CD" tableColumnId="3"/>
      <queryTableField id="4" name="CM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4B15645-54D1-4066-A2AB-33EF9AF9AA0E}" name="T1_Re200_000_M0_84_N5_0_XtrTop_5__XtrBot_5" displayName="T1_Re200_000_M0_84_N5_0_XtrTop_5__XtrBot_5" ref="A1:L57" tableType="queryTable" totalsRowShown="0">
  <autoFilter ref="A1:L57" xr:uid="{54B15645-54D1-4066-A2AB-33EF9AF9AA0E}"/>
  <tableColumns count="12">
    <tableColumn id="1" xr3:uid="{6BF7524C-9B06-4496-9065-F08E7B4EABCD}" uniqueName="1" name="alpha" queryTableFieldId="1"/>
    <tableColumn id="2" xr3:uid="{D8D2BE8F-4772-4E45-82B9-0291BAA42626}" uniqueName="2" name="CL" queryTableFieldId="2"/>
    <tableColumn id="3" xr3:uid="{1EB0A299-37B0-4247-9493-6C57B2951D2F}" uniqueName="3" name="CD" queryTableFieldId="3"/>
    <tableColumn id="4" xr3:uid="{7A13FD83-32B7-44F2-A92F-BC7C51E7CAE4}" uniqueName="4" name="CDp" queryTableFieldId="4"/>
    <tableColumn id="5" xr3:uid="{5BF7507A-67A5-4DA8-AD98-60FA32E895F5}" uniqueName="5" name="Cm" queryTableFieldId="5"/>
    <tableColumn id="6" xr3:uid="{4A3B524F-94C4-4909-92FB-D150DC33E8CA}" uniqueName="6" name="Top Xtr" queryTableFieldId="6"/>
    <tableColumn id="7" xr3:uid="{486DA360-43B3-4BD7-87AE-AE883F2C79C2}" uniqueName="7" name="Bot Xtr" queryTableFieldId="7"/>
    <tableColumn id="8" xr3:uid="{8EF80812-BFAF-45BD-9501-E3AD05B12C5F}" uniqueName="8" name="Cpmin" queryTableFieldId="8"/>
    <tableColumn id="9" xr3:uid="{940970EB-844A-49FA-9E0E-AC85A9B31605}" uniqueName="9" name="Chinge" queryTableFieldId="9"/>
    <tableColumn id="10" xr3:uid="{6240CE2F-4A25-4EA1-995C-7CD82AEA31DD}" uniqueName="10" name="XCp" queryTableFieldId="10"/>
    <tableColumn id="11" xr3:uid="{4E49BB3F-90CA-4B1F-997C-1E216E6C0C17}" uniqueName="11" name="Column11" queryTableFieldId="11"/>
    <tableColumn id="12" xr3:uid="{90AA7441-0039-4D31-949F-B08A2CD6E106}" uniqueName="12" name="Column12" queryTableFieldId="1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9CB7A64-4573-4A4F-812C-836E3C49F42C}" name="T1_Re160_000_M0_84_N5_0_XtrTop_5__XtrBot_5" displayName="T1_Re160_000_M0_84_N5_0_XtrTop_5__XtrBot_5" ref="A1:L60" tableType="queryTable" totalsRowShown="0">
  <autoFilter ref="A1:L60" xr:uid="{B9CB7A64-4573-4A4F-812C-836E3C49F42C}"/>
  <tableColumns count="12">
    <tableColumn id="1" xr3:uid="{FAAB94FC-F3B1-4727-83CB-433E3725AE92}" uniqueName="1" name="alpha" queryTableFieldId="1"/>
    <tableColumn id="2" xr3:uid="{6A7B47EF-A31E-4F67-84D3-DC2E490B3576}" uniqueName="2" name="CL" queryTableFieldId="2"/>
    <tableColumn id="3" xr3:uid="{DD3B1653-E799-4F2D-9915-FDDFF2CBAA5A}" uniqueName="3" name="CD" queryTableFieldId="3"/>
    <tableColumn id="4" xr3:uid="{93EAD8BF-5B61-494B-A535-838F80E46627}" uniqueName="4" name="CDp" queryTableFieldId="4"/>
    <tableColumn id="5" xr3:uid="{2B50A433-7A0D-4CE3-842C-CB7BD0E622A3}" uniqueName="5" name="Cm" queryTableFieldId="5"/>
    <tableColumn id="6" xr3:uid="{5531131B-5321-4BB3-9149-F2EE1F400DCB}" uniqueName="6" name="Top Xtr" queryTableFieldId="6"/>
    <tableColumn id="7" xr3:uid="{37402863-CDE0-485A-B90D-1F90BABB31FF}" uniqueName="7" name="Bot Xtr" queryTableFieldId="7"/>
    <tableColumn id="8" xr3:uid="{10CD87EB-DB73-4BD8-BC69-57AC2DE4632E}" uniqueName="8" name="Cpmin" queryTableFieldId="8"/>
    <tableColumn id="9" xr3:uid="{37E621A3-6D08-45F0-91D1-26FEDCDCB64B}" uniqueName="9" name="Chinge" queryTableFieldId="9"/>
    <tableColumn id="10" xr3:uid="{546679B2-3AB4-436C-8F83-FBE480E28357}" uniqueName="10" name="XCp" queryTableFieldId="10"/>
    <tableColumn id="11" xr3:uid="{A676009C-B205-4666-BCB7-7C7C58B32ED9}" uniqueName="11" name="Column11" queryTableFieldId="11"/>
    <tableColumn id="12" xr3:uid="{FB38B45B-1646-4E6F-9502-B78B22400691}" uniqueName="12" name="Column12" queryTableFieldId="1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8B40310-D0FA-4F03-98E2-0EE98820A3C7}" name="T1_Re120_000_M0_84_N5_0_XtrTop_5__XtrBot_5" displayName="T1_Re120_000_M0_84_N5_0_XtrTop_5__XtrBot_5" ref="A1:L62" tableType="queryTable" totalsRowShown="0">
  <autoFilter ref="A1:L62" xr:uid="{B8B40310-D0FA-4F03-98E2-0EE98820A3C7}"/>
  <tableColumns count="12">
    <tableColumn id="1" xr3:uid="{EFCE8120-1266-4424-B158-1C2BA67C5298}" uniqueName="1" name="alpha" queryTableFieldId="1"/>
    <tableColumn id="2" xr3:uid="{0FE2B028-7D25-438E-B1D1-58B1F5E9735F}" uniqueName="2" name="CL" queryTableFieldId="2"/>
    <tableColumn id="3" xr3:uid="{7000605D-2F8D-4C25-8BAA-D398549BAAD5}" uniqueName="3" name="CD" queryTableFieldId="3"/>
    <tableColumn id="4" xr3:uid="{D265BB84-B890-4C8B-B47C-C703D66AD130}" uniqueName="4" name="CDp" queryTableFieldId="4"/>
    <tableColumn id="5" xr3:uid="{3B73AEF9-DB9D-418D-8E5A-0A34DF85D5D8}" uniqueName="5" name="Cm" queryTableFieldId="5"/>
    <tableColumn id="6" xr3:uid="{93684C4A-173E-45F7-9302-9F31A2C1D6CA}" uniqueName="6" name="Top Xtr" queryTableFieldId="6"/>
    <tableColumn id="7" xr3:uid="{18540D67-31F7-4404-8EFE-C9A246FE47CF}" uniqueName="7" name="Bot Xtr" queryTableFieldId="7"/>
    <tableColumn id="8" xr3:uid="{A7CC6D5D-DF37-4F0C-A8A6-360D8C308C26}" uniqueName="8" name="Cpmin" queryTableFieldId="8"/>
    <tableColumn id="9" xr3:uid="{69BEF20C-3823-4A45-900F-AE7C8C756249}" uniqueName="9" name="Chinge" queryTableFieldId="9"/>
    <tableColumn id="10" xr3:uid="{8BE316C3-C8D1-4060-84E1-8CC7485879C0}" uniqueName="10" name="XCp" queryTableFieldId="10"/>
    <tableColumn id="11" xr3:uid="{E58C69C2-A44F-4D55-8FF7-47DFBAA0101D}" uniqueName="11" name="Column11" queryTableFieldId="11"/>
    <tableColumn id="12" xr3:uid="{85588EEC-DB7E-4756-B898-7A9C5FB3FA94}" uniqueName="12" name="Column12" queryTableFieldId="1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9EF957-4F86-4C52-9777-BBBE41F85F0D}" name="T1_Re100_000_M0_84_N5_0_XtrTop_5__XtrBot_5" displayName="T1_Re100_000_M0_84_N5_0_XtrTop_5__XtrBot_5" ref="A1:L69" tableType="queryTable" totalsRowShown="0">
  <autoFilter ref="A1:L69" xr:uid="{249EF957-4F86-4C52-9777-BBBE41F85F0D}"/>
  <tableColumns count="12">
    <tableColumn id="1" xr3:uid="{D86F6596-F4B9-49E2-A14E-9C457BE6F7D6}" uniqueName="1" name="alpha" queryTableFieldId="1"/>
    <tableColumn id="2" xr3:uid="{3FF3182A-1ACA-434F-9D99-E5D36B063572}" uniqueName="2" name="CL" queryTableFieldId="2"/>
    <tableColumn id="3" xr3:uid="{51984151-CAAD-4691-91C8-1EE0820A5385}" uniqueName="3" name="CD" queryTableFieldId="3"/>
    <tableColumn id="4" xr3:uid="{58660D3B-8D88-4ED7-BC2C-6C441F03FF32}" uniqueName="4" name="CDp" queryTableFieldId="4"/>
    <tableColumn id="5" xr3:uid="{396D3421-41B1-4955-9D0A-EC0C17257078}" uniqueName="5" name="Cm" queryTableFieldId="5"/>
    <tableColumn id="6" xr3:uid="{7C1F0D1A-5889-4F96-85EE-5B32C4E3B3AE}" uniqueName="6" name="Top Xtr" queryTableFieldId="6"/>
    <tableColumn id="7" xr3:uid="{B3A6425B-E28A-4D28-A0CA-86F8B6A9ED23}" uniqueName="7" name="Bot Xtr" queryTableFieldId="7"/>
    <tableColumn id="8" xr3:uid="{0495DA52-9245-4D90-8608-2C30E4185BC2}" uniqueName="8" name="Cpmin" queryTableFieldId="8"/>
    <tableColumn id="9" xr3:uid="{D73BA8B9-7699-4CA5-A279-0AA7489309BD}" uniqueName="9" name="Chinge" queryTableFieldId="9"/>
    <tableColumn id="10" xr3:uid="{13F66558-6200-4FD3-B702-6F8A17312AA0}" uniqueName="10" name="XCp" queryTableFieldId="10"/>
    <tableColumn id="11" xr3:uid="{8FBB5082-3F76-43D4-A797-6C9189FAEDC5}" uniqueName="11" name="Column11" queryTableFieldId="11"/>
    <tableColumn id="12" xr3:uid="{1FF7AF95-9826-4514-A300-502CF208244F}" uniqueName="12" name="Column12" queryTableFieldId="1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86CFBE4-7C3A-4DAB-87D0-5C82997299E5}" name="T1_Re80_000_M0_84_N5_0_XtrTop_5__XtrBot_5" displayName="T1_Re80_000_M0_84_N5_0_XtrTop_5__XtrBot_5" ref="A1:L70" tableType="queryTable" totalsRowShown="0">
  <autoFilter ref="A1:L70" xr:uid="{986CFBE4-7C3A-4DAB-87D0-5C82997299E5}"/>
  <tableColumns count="12">
    <tableColumn id="1" xr3:uid="{452B89E2-CC79-4E0A-8739-A196C7392644}" uniqueName="1" name="alpha" queryTableFieldId="1"/>
    <tableColumn id="2" xr3:uid="{AE8BCCC3-A6E5-4981-A2CB-C25F11898A2C}" uniqueName="2" name="CL" queryTableFieldId="2"/>
    <tableColumn id="3" xr3:uid="{5215A2A9-73B4-4D00-9A16-C871A0E43220}" uniqueName="3" name="CD" queryTableFieldId="3"/>
    <tableColumn id="4" xr3:uid="{B02042D8-DBD1-4E05-96BA-08098E14C92A}" uniqueName="4" name="CDp" queryTableFieldId="4"/>
    <tableColumn id="5" xr3:uid="{5830B7DD-E337-47D5-86F5-9346E7460366}" uniqueName="5" name="Cm" queryTableFieldId="5"/>
    <tableColumn id="6" xr3:uid="{1B67CC27-57D5-4931-ACC0-EA13E45ABA56}" uniqueName="6" name="Top Xtr" queryTableFieldId="6"/>
    <tableColumn id="7" xr3:uid="{E4CB9EB3-3106-49B3-BC79-6D3E0C89151C}" uniqueName="7" name="Bot Xtr" queryTableFieldId="7"/>
    <tableColumn id="8" xr3:uid="{568EE509-22A1-4DBC-9909-8B068CB7D47C}" uniqueName="8" name="Cpmin" queryTableFieldId="8"/>
    <tableColumn id="9" xr3:uid="{873F607E-739F-4A07-A2EE-BAAF3204DB68}" uniqueName="9" name="Chinge" queryTableFieldId="9"/>
    <tableColumn id="10" xr3:uid="{747361B3-8CB3-4EA4-834E-05AAF460A849}" uniqueName="10" name="XCp" queryTableFieldId="10"/>
    <tableColumn id="11" xr3:uid="{EB89D3E0-D91D-4476-AEFE-56E5277878E5}" uniqueName="11" name="Column11" queryTableFieldId="11"/>
    <tableColumn id="12" xr3:uid="{BB384D4D-FFCB-43EB-BF8F-912FA5917DB1}" uniqueName="12" name="Column12" queryTableFieldId="1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53D156F-CC49-48A7-8475-769278FFD9CE}" name="T1_Re60_000_M0_84_N5_0_XtrTop_5__XtrBot_5" displayName="T1_Re60_000_M0_84_N5_0_XtrTop_5__XtrBot_5" ref="A1:L69" tableType="queryTable" totalsRowShown="0">
  <autoFilter ref="A1:L69" xr:uid="{253D156F-CC49-48A7-8475-769278FFD9CE}"/>
  <tableColumns count="12">
    <tableColumn id="1" xr3:uid="{0C338738-F63B-4A98-8231-1746BDFFFDE0}" uniqueName="1" name="alpha" queryTableFieldId="1"/>
    <tableColumn id="2" xr3:uid="{5E711572-B594-4A43-8261-605CCE8E99FD}" uniqueName="2" name="CL" queryTableFieldId="2"/>
    <tableColumn id="3" xr3:uid="{277D69A7-B2BE-440F-AA12-64BD0FD3F5EA}" uniqueName="3" name="CD" queryTableFieldId="3"/>
    <tableColumn id="4" xr3:uid="{33C65E22-5E1E-44FC-924B-C77DDC327FB9}" uniqueName="4" name="CDp" queryTableFieldId="4"/>
    <tableColumn id="5" xr3:uid="{9329D2C9-76A4-46F3-BB7E-3FE04E53EE52}" uniqueName="5" name="Cm" queryTableFieldId="5"/>
    <tableColumn id="6" xr3:uid="{F7D5F611-EF12-436E-8D58-3A97A113DB2D}" uniqueName="6" name="Top Xtr" queryTableFieldId="6"/>
    <tableColumn id="7" xr3:uid="{12EB9F63-7D11-4081-AE2E-5D7EFD056079}" uniqueName="7" name="Bot Xtr" queryTableFieldId="7"/>
    <tableColumn id="8" xr3:uid="{5FEBED00-FCEE-40B7-B692-D97863EAD7EC}" uniqueName="8" name="Cpmin" queryTableFieldId="8"/>
    <tableColumn id="9" xr3:uid="{FB76BD35-5237-4028-9AC4-EC2F7DC13B0E}" uniqueName="9" name="Chinge" queryTableFieldId="9"/>
    <tableColumn id="10" xr3:uid="{D8E6D08A-9161-4FF7-8188-DB8BF99DE3F7}" uniqueName="10" name="XCp" queryTableFieldId="10"/>
    <tableColumn id="11" xr3:uid="{88794D3B-4682-499F-8679-F72BD64FFC7F}" uniqueName="11" name="Column11" queryTableFieldId="11"/>
    <tableColumn id="12" xr3:uid="{A9C150CF-FCBD-4EAD-BC24-EA7163D515B9}" uniqueName="12" name="Column12" queryTableFieldId="12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4DAA871-94AF-4B9B-A050-A1B98654E75E}" name="T1_Re40_000_M0_84_N5_0_XtrTop_5__XtrBot_5" displayName="T1_Re40_000_M0_84_N5_0_XtrTop_5__XtrBot_5" ref="A1:L79" tableType="queryTable" totalsRowShown="0">
  <autoFilter ref="A1:L79" xr:uid="{D4DAA871-94AF-4B9B-A050-A1B98654E75E}"/>
  <tableColumns count="12">
    <tableColumn id="1" xr3:uid="{DE06899A-F214-4149-A972-635471886943}" uniqueName="1" name="alpha" queryTableFieldId="1"/>
    <tableColumn id="2" xr3:uid="{565F9204-0831-490A-B223-5CB04D26B331}" uniqueName="2" name="CL" queryTableFieldId="2"/>
    <tableColumn id="3" xr3:uid="{B79A39FF-3C5E-45A1-8C01-CF93ED5B5AC3}" uniqueName="3" name="CD" queryTableFieldId="3"/>
    <tableColumn id="4" xr3:uid="{D4555F19-0DC7-4509-B952-CDA826C16BA9}" uniqueName="4" name="CDp" queryTableFieldId="4"/>
    <tableColumn id="5" xr3:uid="{C1CD0295-B0FE-42BD-949E-F695E95449B3}" uniqueName="5" name="Cm" queryTableFieldId="5"/>
    <tableColumn id="6" xr3:uid="{DC76A404-4953-44F7-851A-556274CF6EDA}" uniqueName="6" name="Top Xtr" queryTableFieldId="6"/>
    <tableColumn id="7" xr3:uid="{4F5EBFAF-8152-4507-B852-5064151BE0B3}" uniqueName="7" name="Bot Xtr" queryTableFieldId="7"/>
    <tableColumn id="8" xr3:uid="{4D34EE99-F9F7-4ABB-8D5A-B9F3E575B985}" uniqueName="8" name="Cpmin" queryTableFieldId="8"/>
    <tableColumn id="9" xr3:uid="{D3D30248-293A-4514-97F7-3B6FBEE6746E}" uniqueName="9" name="Chinge" queryTableFieldId="9"/>
    <tableColumn id="10" xr3:uid="{99AA2A4A-373C-42BD-9E9C-C9303110F26D}" uniqueName="10" name="XCp" queryTableFieldId="10"/>
    <tableColumn id="11" xr3:uid="{7B3B91EE-7E20-4008-9DC5-98D19AE84859}" uniqueName="11" name="Column11" queryTableFieldId="11"/>
    <tableColumn id="12" xr3:uid="{3D6C9B98-6DBB-4104-9A8C-D984999A49F0}" uniqueName="12" name="Column12" queryTableFieldId="12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BA975CA-52C8-433E-896A-263B412A559A}" name="T1_Re20_000_M0_84_N5_0_XtrTop_5__XtrBot_5" displayName="T1_Re20_000_M0_84_N5_0_XtrTop_5__XtrBot_5" ref="A1:L107" tableType="queryTable" totalsRowShown="0">
  <autoFilter ref="A1:L107" xr:uid="{1BA975CA-52C8-433E-896A-263B412A559A}"/>
  <tableColumns count="12">
    <tableColumn id="1" xr3:uid="{EF5FA5A2-1ABA-4AB2-B7E9-41D56EF203D3}" uniqueName="1" name="alpha" queryTableFieldId="1"/>
    <tableColumn id="2" xr3:uid="{C4B5DB4B-2CC6-4C4B-B4F3-8F3167D3B3C6}" uniqueName="2" name="CL" queryTableFieldId="2"/>
    <tableColumn id="3" xr3:uid="{99C1980F-85E0-4C0F-A60C-00CC5DE3F048}" uniqueName="3" name="CD" queryTableFieldId="3"/>
    <tableColumn id="4" xr3:uid="{9269F5EF-E5EE-4899-8CD9-F6F94D241FAB}" uniqueName="4" name="CDp" queryTableFieldId="4"/>
    <tableColumn id="5" xr3:uid="{DFFA97FD-5BB7-40D1-A9AF-D8A3088D3434}" uniqueName="5" name="Cm" queryTableFieldId="5"/>
    <tableColumn id="6" xr3:uid="{CE591BA3-4BD2-49FC-8333-0A8425460B99}" uniqueName="6" name="Top Xtr" queryTableFieldId="6"/>
    <tableColumn id="7" xr3:uid="{9727FE01-04DE-4D10-95BD-CB57D2D636A8}" uniqueName="7" name="Bot Xtr" queryTableFieldId="7"/>
    <tableColumn id="8" xr3:uid="{7B058070-BFED-4E1D-B624-5A18F2603702}" uniqueName="8" name="Cpmin" queryTableFieldId="8"/>
    <tableColumn id="9" xr3:uid="{922D1911-755E-4F54-AD40-49DD38A9C596}" uniqueName="9" name="Chinge" queryTableFieldId="9"/>
    <tableColumn id="10" xr3:uid="{060B5FF6-B01E-4DEA-9A57-E1F06AEAE6F6}" uniqueName="10" name="XCp" queryTableFieldId="10"/>
    <tableColumn id="11" xr3:uid="{4BA2D3A4-C8DF-4CCB-9C50-5018FE44E143}" uniqueName="11" name="Column11" queryTableFieldId="11"/>
    <tableColumn id="12" xr3:uid="{BBF7238F-AA23-45E1-9103-B2305206DC52}" uniqueName="12" name="Column12" queryTableFieldId="12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D7F3495-75CE-4368-A2B2-20C0A9FA5342}" name="T1_Re10_000_M0_84_N5_0_XtrTop_5__XtrBot_5" displayName="T1_Re10_000_M0_84_N5_0_XtrTop_5__XtrBot_5" ref="A1:L115" tableType="queryTable" totalsRowShown="0">
  <autoFilter ref="A1:L115" xr:uid="{8D7F3495-75CE-4368-A2B2-20C0A9FA5342}"/>
  <tableColumns count="12">
    <tableColumn id="1" xr3:uid="{00E810EF-D2B1-42B4-B204-76EC6AE2C205}" uniqueName="1" name="alpha" queryTableFieldId="1"/>
    <tableColumn id="2" xr3:uid="{70C9FA2F-3633-41FE-89C6-BAAF43A3E535}" uniqueName="2" name="CL" queryTableFieldId="2"/>
    <tableColumn id="3" xr3:uid="{CFE28878-884C-4089-9F3F-4426883A4750}" uniqueName="3" name="CD" queryTableFieldId="3"/>
    <tableColumn id="4" xr3:uid="{D97976DC-632C-4A2A-8842-B60510C1AFF8}" uniqueName="4" name="CDp" queryTableFieldId="4"/>
    <tableColumn id="5" xr3:uid="{29380125-68DB-4731-9D1A-BFFBAEA2A8C7}" uniqueName="5" name="Cm" queryTableFieldId="5"/>
    <tableColumn id="6" xr3:uid="{57762D14-5C77-4484-9905-57DA6373A1DF}" uniqueName="6" name="Top Xtr" queryTableFieldId="6"/>
    <tableColumn id="7" xr3:uid="{180B66A5-C365-42C0-B701-3B982C1FFEC3}" uniqueName="7" name="Bot Xtr" queryTableFieldId="7"/>
    <tableColumn id="8" xr3:uid="{D69B4961-B858-44F6-B402-EAC5829D6F11}" uniqueName="8" name="Cpmin" queryTableFieldId="8"/>
    <tableColumn id="9" xr3:uid="{0974E642-024B-447F-8F95-CBBB406950D1}" uniqueName="9" name="Chinge" queryTableFieldId="9"/>
    <tableColumn id="10" xr3:uid="{FA6AF31E-5D0E-4528-A9A5-701F96602B0B}" uniqueName="10" name="XCp" queryTableFieldId="10"/>
    <tableColumn id="11" xr3:uid="{43D4E45E-3F88-424A-9AFF-BE11DA391C78}" uniqueName="11" name="Column11" queryTableFieldId="11"/>
    <tableColumn id="12" xr3:uid="{A2E5D090-E4E3-4A27-BC9F-CB3690AE3D70}" uniqueName="12" name="Column12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F47DAC3-912F-4A68-BAF9-F868CC7B4F58}" name="T1_Re5_000_M0_84_N5_0_XtrTop_5__XtrBot_5" displayName="T1_Re5_000_M0_84_N5_0_XtrTop_5__XtrBot_5" ref="A1:L172" tableType="queryTable" totalsRowShown="0">
  <autoFilter ref="A1:L172" xr:uid="{0F47DAC3-912F-4A68-BAF9-F868CC7B4F58}"/>
  <tableColumns count="12">
    <tableColumn id="1" xr3:uid="{8FDAED38-4B30-41A2-8E60-E827A43C0878}" uniqueName="1" name="alpha" queryTableFieldId="1"/>
    <tableColumn id="2" xr3:uid="{2D2496BE-786F-40B6-AB5A-48D9D233C4FD}" uniqueName="2" name="CL" queryTableFieldId="2"/>
    <tableColumn id="3" xr3:uid="{D627BE44-9FF4-4527-8568-EDFC9835A039}" uniqueName="3" name="CD" queryTableFieldId="3"/>
    <tableColumn id="4" xr3:uid="{DA865BB6-F71D-4D1E-99F0-1AAAA75F6763}" uniqueName="4" name="CDp" queryTableFieldId="4"/>
    <tableColumn id="5" xr3:uid="{89012802-CFE8-4B2D-8397-6AD9D91EAB45}" uniqueName="5" name="Cm" queryTableFieldId="5"/>
    <tableColumn id="6" xr3:uid="{8809C486-A8A8-4160-AC5E-251988A2484A}" uniqueName="6" name="Top Xtr" queryTableFieldId="6"/>
    <tableColumn id="7" xr3:uid="{B5C44D59-05F2-4E8F-A190-A5E823DC7C3A}" uniqueName="7" name="Bot Xtr" queryTableFieldId="7"/>
    <tableColumn id="8" xr3:uid="{89F92E9A-BCB1-4D53-8FE9-04F1F09E471F}" uniqueName="8" name="Cpmin" queryTableFieldId="8"/>
    <tableColumn id="9" xr3:uid="{18E1ACFE-713B-4842-9654-EFF5F1427A35}" uniqueName="9" name="Chinge" queryTableFieldId="9"/>
    <tableColumn id="10" xr3:uid="{E205F0D8-8C8A-4F15-B89E-924C3B2422D7}" uniqueName="10" name="XCp" queryTableFieldId="10"/>
    <tableColumn id="11" xr3:uid="{50E76F0D-50F2-4C38-B18A-099D48DCAE7C}" uniqueName="11" name="Column11" queryTableFieldId="11"/>
    <tableColumn id="12" xr3:uid="{F0114F65-26C8-4192-A68B-CFE641420B50}" uniqueName="12" name="Column12" queryTableFieldId="12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2A5BCE1-01C8-4385-951D-F085E48354C1}" name="T1_Re3_000_M0_84_N5_0_XtrTop_5__XtrBot_5" displayName="T1_Re3_000_M0_84_N5_0_XtrTop_5__XtrBot_5" ref="A1:L203" tableType="queryTable" totalsRowShown="0">
  <autoFilter ref="A1:L203" xr:uid="{F2A5BCE1-01C8-4385-951D-F085E48354C1}"/>
  <tableColumns count="12">
    <tableColumn id="1" xr3:uid="{033C7F56-5638-4FD0-8369-4968AA99A8CA}" uniqueName="1" name="alpha" queryTableFieldId="1"/>
    <tableColumn id="2" xr3:uid="{A57DD59F-254D-471C-B562-7612BEDEE2E4}" uniqueName="2" name="CL" queryTableFieldId="2"/>
    <tableColumn id="3" xr3:uid="{37E92E9C-D076-4615-9800-BE9C51D3F9F1}" uniqueName="3" name="CD" queryTableFieldId="3"/>
    <tableColumn id="4" xr3:uid="{F7A9D68F-E9F8-4F8A-B910-3270785F5BD6}" uniqueName="4" name="CDp" queryTableFieldId="4"/>
    <tableColumn id="5" xr3:uid="{FAAE4A2E-F246-43BE-8617-2789BC401AF4}" uniqueName="5" name="Cm" queryTableFieldId="5"/>
    <tableColumn id="6" xr3:uid="{2F43E06E-FDBE-4164-8728-066E24C4B5BC}" uniqueName="6" name="Top Xtr" queryTableFieldId="6"/>
    <tableColumn id="7" xr3:uid="{5380BBEF-F5F2-4969-8ADF-24D55D06D02B}" uniqueName="7" name="Bot Xtr" queryTableFieldId="7"/>
    <tableColumn id="8" xr3:uid="{FF32E657-5806-4C08-AE20-BED87E5570F6}" uniqueName="8" name="Cpmin" queryTableFieldId="8"/>
    <tableColumn id="9" xr3:uid="{FCBB947B-3205-4F26-96F4-C30741B880FE}" uniqueName="9" name="Chinge" queryTableFieldId="9"/>
    <tableColumn id="10" xr3:uid="{A1E23468-66FB-46A5-88BD-2F50B7871BAD}" uniqueName="10" name="XCp" queryTableFieldId="10"/>
    <tableColumn id="11" xr3:uid="{889FA60F-BE77-47A4-A26B-234A81C5822E}" uniqueName="11" name="Column11" queryTableFieldId="11"/>
    <tableColumn id="12" xr3:uid="{EDE90CE8-C75E-4AB6-A9A2-283EFD2DAF8F}" uniqueName="12" name="Column12" queryTableFieldId="12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7729895-1499-43DD-B659-2653A527A231}" name="T1_Re2_000_M0_84_N5_0_XtrTop_5__XtrBot_5" displayName="T1_Re2_000_M0_84_N5_0_XtrTop_5__XtrBot_5" ref="A1:L204" tableType="queryTable" totalsRowShown="0">
  <autoFilter ref="A1:L204" xr:uid="{97729895-1499-43DD-B659-2653A527A231}"/>
  <tableColumns count="12">
    <tableColumn id="1" xr3:uid="{E0BCFCD8-E76C-43BA-AA1C-2F2F41586547}" uniqueName="1" name="alpha" queryTableFieldId="1"/>
    <tableColumn id="2" xr3:uid="{79F4A4DC-D18F-4E74-B217-649BD8B1707F}" uniqueName="2" name="CL" queryTableFieldId="2"/>
    <tableColumn id="3" xr3:uid="{6354D1E9-082D-42E0-BCC3-C506B09AB3B2}" uniqueName="3" name="CD" queryTableFieldId="3"/>
    <tableColumn id="4" xr3:uid="{623CA244-AEAC-448E-8BCD-C2E931E0CBD0}" uniqueName="4" name="CDp" queryTableFieldId="4"/>
    <tableColumn id="5" xr3:uid="{EC6B9AAE-FC5A-4E8C-9FC9-7B0D11C5EE56}" uniqueName="5" name="Cm" queryTableFieldId="5"/>
    <tableColumn id="6" xr3:uid="{331F68DC-1506-4CE9-9E38-F3D22BE51EDB}" uniqueName="6" name="Top Xtr" queryTableFieldId="6"/>
    <tableColumn id="7" xr3:uid="{A5244A06-449B-47D5-AD17-CCF59697B3F4}" uniqueName="7" name="Bot Xtr" queryTableFieldId="7"/>
    <tableColumn id="8" xr3:uid="{822410BF-1849-4CC2-A575-B2F91D52AAEC}" uniqueName="8" name="Cpmin" queryTableFieldId="8"/>
    <tableColumn id="9" xr3:uid="{407EF867-A37F-476C-BCD5-4796F91E11BC}" uniqueName="9" name="Chinge" queryTableFieldId="9"/>
    <tableColumn id="10" xr3:uid="{A8FE7D35-9DD9-4B7C-B676-5450E90E854D}" uniqueName="10" name="XCp" queryTableFieldId="10"/>
    <tableColumn id="11" xr3:uid="{DACC7FE0-A9A0-47DB-8B04-5C5EA6837AA6}" uniqueName="11" name="Column11" queryTableFieldId="11"/>
    <tableColumn id="12" xr3:uid="{250130D0-26CC-4B1F-8F4C-F9E330942640}" uniqueName="12" name="Column12" queryTableFieldId="12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7CA6B6B-9688-430F-A689-8C3796B84966}" name="T1_Re1_000_M0_84_N5_0_XtrTop_5__XtrBot_5" displayName="T1_Re1_000_M0_84_N5_0_XtrTop_5__XtrBot_5" ref="A1:L204" tableType="queryTable" totalsRowShown="0">
  <autoFilter ref="A1:L204" xr:uid="{F7CA6B6B-9688-430F-A689-8C3796B84966}"/>
  <tableColumns count="12">
    <tableColumn id="1" xr3:uid="{0CFC3C68-98D2-4800-AA61-88832C61CFF5}" uniqueName="1" name="alpha" queryTableFieldId="1"/>
    <tableColumn id="2" xr3:uid="{07E37800-BC18-4665-82C6-B806C53E2B21}" uniqueName="2" name="CL" queryTableFieldId="2"/>
    <tableColumn id="3" xr3:uid="{1916DEF3-FA89-401B-BDC5-7B06A322B274}" uniqueName="3" name="CD" queryTableFieldId="3"/>
    <tableColumn id="4" xr3:uid="{05DE8B3D-9D05-43A7-9569-6F2B36B03942}" uniqueName="4" name="CDp" queryTableFieldId="4"/>
    <tableColumn id="5" xr3:uid="{681AFD50-A655-4A53-9FC3-80F7B135AD9E}" uniqueName="5" name="Cm" queryTableFieldId="5"/>
    <tableColumn id="6" xr3:uid="{84AF75BF-4D62-4A61-B154-259F52BC04A0}" uniqueName="6" name="Top Xtr" queryTableFieldId="6"/>
    <tableColumn id="7" xr3:uid="{AA4001BE-180A-4142-9CC5-088CBA934BCD}" uniqueName="7" name="Bot Xtr" queryTableFieldId="7"/>
    <tableColumn id="8" xr3:uid="{53EC7AB9-D814-4064-9666-1AF0E344677D}" uniqueName="8" name="Cpmin" queryTableFieldId="8"/>
    <tableColumn id="9" xr3:uid="{11CEB505-CCA1-4BEE-A5CC-BDE617E1AC79}" uniqueName="9" name="Chinge" queryTableFieldId="9"/>
    <tableColumn id="10" xr3:uid="{454BE0AF-D930-419B-8E16-65851D00D0B9}" uniqueName="10" name="XCp" queryTableFieldId="10"/>
    <tableColumn id="11" xr3:uid="{95AFB32B-FC62-4921-9906-87CE89485C10}" uniqueName="11" name="Column11" queryTableFieldId="11"/>
    <tableColumn id="12" xr3:uid="{E6571F28-75E9-4794-BB4C-EB71B7A94336}" uniqueName="12" name="Column12" queryTableFieldId="12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E7FC44-4585-49AC-929E-C3746F5B65D7}" name="polar1" displayName="polar1" ref="A1:D22" tableType="queryTable" totalsRowShown="0">
  <autoFilter ref="A1:D22" xr:uid="{83E7FC44-4585-49AC-929E-C3746F5B65D7}"/>
  <tableColumns count="4">
    <tableColumn id="1" xr3:uid="{AD31D839-E2A8-4F47-9CE0-937CB696076F}" uniqueName="1" name="alpha" queryTableFieldId="1"/>
    <tableColumn id="2" xr3:uid="{4BE5BED8-E612-4D78-9658-D2EA4D18C8F2}" uniqueName="2" name="CL" queryTableFieldId="2"/>
    <tableColumn id="3" xr3:uid="{A8B75B98-1F62-4AEC-A5E2-75CAAF79E64E}" uniqueName="3" name="CD" queryTableFieldId="3"/>
    <tableColumn id="4" xr3:uid="{35ABB002-020F-432C-A41D-0C563A9ABD1B}" uniqueName="4" name="CM" queryTableFieldId="4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E3026D4-7685-4FA9-9B27-40C36A7FCF21}" name="polar2" displayName="polar2" ref="A1:D22" tableType="queryTable" totalsRowShown="0">
  <autoFilter ref="A1:D22" xr:uid="{BE3026D4-7685-4FA9-9B27-40C36A7FCF21}"/>
  <tableColumns count="4">
    <tableColumn id="1" xr3:uid="{0AA055A6-AFF7-4CBF-8BB9-D4CCC1029F23}" uniqueName="1" name="alpha" queryTableFieldId="1"/>
    <tableColumn id="2" xr3:uid="{3AFFCF05-11E5-4C4E-84F7-2EC9A47FA0A8}" uniqueName="2" name="CL" queryTableFieldId="2"/>
    <tableColumn id="3" xr3:uid="{20AEE49B-A836-4DC9-AA7C-3680800B0F60}" uniqueName="3" name="CD" queryTableFieldId="3"/>
    <tableColumn id="4" xr3:uid="{EE5E78D3-F2DA-416C-8BF0-8C050123BA6C}" uniqueName="4" name="CM" queryTableFieldId="4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71230499-67CE-41B6-8FB9-D95C8BAAFEA8}" name="polar4" displayName="polar4" ref="A1:D22" tableType="queryTable" totalsRowShown="0">
  <autoFilter ref="A1:D22" xr:uid="{71230499-67CE-41B6-8FB9-D95C8BAAFEA8}"/>
  <tableColumns count="4">
    <tableColumn id="1" xr3:uid="{28D19983-CA11-47E0-A85F-95EE7CB44E28}" uniqueName="1" name="alpha" queryTableFieldId="1"/>
    <tableColumn id="2" xr3:uid="{2FE7AB40-B8C0-4ABD-8E8C-488577EF02BC}" uniqueName="2" name="CL" queryTableFieldId="2"/>
    <tableColumn id="3" xr3:uid="{0F7C8658-7297-4BB8-B500-DEBE3DC08F09}" uniqueName="3" name="CD" queryTableFieldId="3"/>
    <tableColumn id="4" xr3:uid="{F7E549DC-E195-463F-8925-B83EA2F6199F}" uniqueName="4" name="CM" queryTableFieldId="4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4430A513-B6CC-4B69-B88D-B32D7A9BEB3B}" name="polar8" displayName="polar8" ref="A1:D22" tableType="queryTable" totalsRowShown="0">
  <autoFilter ref="A1:D22" xr:uid="{4430A513-B6CC-4B69-B88D-B32D7A9BEB3B}"/>
  <tableColumns count="4">
    <tableColumn id="1" xr3:uid="{BA264DEA-EE9E-422F-B53C-43C5CABAD98A}" uniqueName="1" name="alpha" queryTableFieldId="1"/>
    <tableColumn id="2" xr3:uid="{54B8D0B2-4E53-47CA-8EC9-F95B7A686437}" uniqueName="2" name="CL" queryTableFieldId="2"/>
    <tableColumn id="3" xr3:uid="{8EEE76B3-67FF-4B3F-B7E7-1647C73C4786}" uniqueName="3" name="CD" queryTableFieldId="3"/>
    <tableColumn id="4" xr3:uid="{C955E75E-8A74-4DF8-ADB8-5B6FA566AB0D}" uniqueName="4" name="CM" queryTableFieldId="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19" dT="2025-07-13T04:05:06.30" personId="{C11C23B8-CB5D-42BA-AE8D-C435545CC870}" id="{02C1A877-2FC5-4DAB-9FE1-C0965CFE203E}">
    <text>Default 0.05</text>
  </threadedComment>
  <threadedComment ref="G20" dT="2025-07-13T04:05:13.47" personId="{C11C23B8-CB5D-42BA-AE8D-C435545CC870}" id="{170C91B2-D880-4D03-8787-559C82B60C33}">
    <text>Default 0.2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19" dT="2025-07-13T04:05:06.30" personId="{C11C23B8-CB5D-42BA-AE8D-C435545CC870}" id="{F21D8311-FE19-409F-95BA-82A21FC5EEDE}">
    <text>Default 0.05</text>
  </threadedComment>
  <threadedComment ref="G20" dT="2025-07-13T04:05:13.47" personId="{C11C23B8-CB5D-42BA-AE8D-C435545CC870}" id="{AB873CAA-763D-43CF-A1A4-28B028F20BDE}">
    <text>Default 0.2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microsoft.com/office/2017/10/relationships/threadedComment" Target="../threadedComments/threadedComment1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microsoft.com/office/2017/10/relationships/threadedComment" Target="../threadedComments/threadedComment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82A02-A698-4DEE-A32F-F9BF737AA4F8}">
  <sheetPr codeName="Sheet19"/>
  <dimension ref="A1:L55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-1.45</v>
      </c>
      <c r="B2">
        <v>-4.1000000000000003E-3</v>
      </c>
      <c r="C2">
        <v>4.4000000000000003E-3</v>
      </c>
      <c r="D2">
        <v>9.1E-4</v>
      </c>
      <c r="E2">
        <v>-7.8100000000000003E-2</v>
      </c>
      <c r="F2">
        <v>0.05</v>
      </c>
      <c r="G2">
        <v>7.7999999999999996E-3</v>
      </c>
      <c r="H2">
        <v>-2.9087000000000001</v>
      </c>
      <c r="I2">
        <v>0</v>
      </c>
      <c r="J2">
        <v>0</v>
      </c>
      <c r="K2">
        <v>0</v>
      </c>
      <c r="L2">
        <v>-18.804300000000001</v>
      </c>
    </row>
    <row r="3" spans="1:12" x14ac:dyDescent="0.35">
      <c r="A3">
        <v>-1.4</v>
      </c>
      <c r="B3">
        <v>8.3000000000000001E-3</v>
      </c>
      <c r="C3">
        <v>4.3800000000000002E-3</v>
      </c>
      <c r="D3">
        <v>8.5999999999999998E-4</v>
      </c>
      <c r="E3">
        <v>-7.7799999999999994E-2</v>
      </c>
      <c r="F3">
        <v>0.05</v>
      </c>
      <c r="G3">
        <v>8.3000000000000001E-3</v>
      </c>
      <c r="H3">
        <v>-2.7469000000000001</v>
      </c>
      <c r="I3">
        <v>0</v>
      </c>
      <c r="J3">
        <v>0</v>
      </c>
      <c r="K3">
        <v>0</v>
      </c>
      <c r="L3">
        <v>9.7117000000000004</v>
      </c>
    </row>
    <row r="4" spans="1:12" x14ac:dyDescent="0.35">
      <c r="A4">
        <v>-1.35</v>
      </c>
      <c r="B4">
        <v>2.0500000000000001E-2</v>
      </c>
      <c r="C4">
        <v>4.3600000000000002E-3</v>
      </c>
      <c r="D4">
        <v>8.4000000000000003E-4</v>
      </c>
      <c r="E4">
        <v>-7.7600000000000002E-2</v>
      </c>
      <c r="F4">
        <v>0.05</v>
      </c>
      <c r="G4">
        <v>8.6E-3</v>
      </c>
      <c r="H4">
        <v>-2.59</v>
      </c>
      <c r="I4">
        <v>0</v>
      </c>
      <c r="J4">
        <v>0</v>
      </c>
      <c r="K4">
        <v>0</v>
      </c>
      <c r="L4">
        <v>4.0494000000000003</v>
      </c>
    </row>
    <row r="5" spans="1:12" x14ac:dyDescent="0.35">
      <c r="A5">
        <v>-1.3</v>
      </c>
      <c r="B5">
        <v>3.2599999999999997E-2</v>
      </c>
      <c r="C5">
        <v>4.3499999999999997E-3</v>
      </c>
      <c r="D5">
        <v>8.1999999999999998E-4</v>
      </c>
      <c r="E5">
        <v>-7.7399999999999997E-2</v>
      </c>
      <c r="F5">
        <v>0.05</v>
      </c>
      <c r="G5">
        <v>8.8000000000000005E-3</v>
      </c>
      <c r="H5">
        <v>-2.4401000000000002</v>
      </c>
      <c r="I5">
        <v>0</v>
      </c>
      <c r="J5">
        <v>0</v>
      </c>
      <c r="K5">
        <v>0</v>
      </c>
      <c r="L5">
        <v>2.6311</v>
      </c>
    </row>
    <row r="6" spans="1:12" x14ac:dyDescent="0.35">
      <c r="A6">
        <v>-1.25</v>
      </c>
      <c r="B6">
        <v>4.4600000000000001E-2</v>
      </c>
      <c r="C6">
        <v>4.3499999999999997E-3</v>
      </c>
      <c r="D6">
        <v>8.0999999999999996E-4</v>
      </c>
      <c r="E6">
        <v>-7.7200000000000005E-2</v>
      </c>
      <c r="F6">
        <v>0.05</v>
      </c>
      <c r="G6">
        <v>8.8999999999999999E-3</v>
      </c>
      <c r="H6">
        <v>-2.2985000000000002</v>
      </c>
      <c r="I6">
        <v>0</v>
      </c>
      <c r="J6">
        <v>0</v>
      </c>
      <c r="K6">
        <v>0</v>
      </c>
      <c r="L6">
        <v>1.986</v>
      </c>
    </row>
    <row r="7" spans="1:12" x14ac:dyDescent="0.35">
      <c r="A7">
        <v>-1.2</v>
      </c>
      <c r="B7">
        <v>5.6500000000000002E-2</v>
      </c>
      <c r="C7">
        <v>4.3400000000000001E-3</v>
      </c>
      <c r="D7">
        <v>8.0000000000000004E-4</v>
      </c>
      <c r="E7">
        <v>-7.7100000000000002E-2</v>
      </c>
      <c r="F7">
        <v>0.05</v>
      </c>
      <c r="G7">
        <v>9.1000000000000004E-3</v>
      </c>
      <c r="H7">
        <v>-2.1644000000000001</v>
      </c>
      <c r="I7">
        <v>0</v>
      </c>
      <c r="J7">
        <v>0</v>
      </c>
      <c r="K7">
        <v>0</v>
      </c>
      <c r="L7">
        <v>1.6172</v>
      </c>
    </row>
    <row r="8" spans="1:12" x14ac:dyDescent="0.35">
      <c r="A8">
        <v>-1.1499999999999999</v>
      </c>
      <c r="B8">
        <v>6.83E-2</v>
      </c>
      <c r="C8">
        <v>4.3400000000000001E-3</v>
      </c>
      <c r="D8">
        <v>7.9000000000000001E-4</v>
      </c>
      <c r="E8">
        <v>-7.6899999999999996E-2</v>
      </c>
      <c r="F8">
        <v>0.05</v>
      </c>
      <c r="G8">
        <v>9.1999999999999998E-3</v>
      </c>
      <c r="H8">
        <v>-2.0371999999999999</v>
      </c>
      <c r="I8">
        <v>0</v>
      </c>
      <c r="J8">
        <v>0</v>
      </c>
      <c r="K8">
        <v>0</v>
      </c>
      <c r="L8">
        <v>1.3784000000000001</v>
      </c>
    </row>
    <row r="9" spans="1:12" x14ac:dyDescent="0.35">
      <c r="A9">
        <v>-1.1000000000000001</v>
      </c>
      <c r="B9">
        <v>8.0100000000000005E-2</v>
      </c>
      <c r="C9">
        <v>4.3299999999999996E-3</v>
      </c>
      <c r="D9">
        <v>7.7999999999999999E-4</v>
      </c>
      <c r="E9">
        <v>-7.6799999999999993E-2</v>
      </c>
      <c r="F9">
        <v>0.05</v>
      </c>
      <c r="G9">
        <v>9.2999999999999992E-3</v>
      </c>
      <c r="H9">
        <v>-1.9162999999999999</v>
      </c>
      <c r="I9">
        <v>0</v>
      </c>
      <c r="J9">
        <v>0</v>
      </c>
      <c r="K9">
        <v>0</v>
      </c>
      <c r="L9">
        <v>1.2113</v>
      </c>
    </row>
    <row r="10" spans="1:12" x14ac:dyDescent="0.35">
      <c r="A10">
        <v>-1</v>
      </c>
      <c r="B10">
        <v>0.1031</v>
      </c>
      <c r="C10">
        <v>4.3499999999999997E-3</v>
      </c>
      <c r="D10">
        <v>7.6000000000000004E-4</v>
      </c>
      <c r="E10">
        <v>-7.6600000000000001E-2</v>
      </c>
      <c r="F10">
        <v>3.3599999999999998E-2</v>
      </c>
      <c r="G10">
        <v>9.4000000000000004E-3</v>
      </c>
      <c r="H10">
        <v>-1.6935</v>
      </c>
      <c r="I10">
        <v>0</v>
      </c>
      <c r="J10">
        <v>0</v>
      </c>
      <c r="K10">
        <v>0</v>
      </c>
      <c r="L10">
        <v>0.99409999999999998</v>
      </c>
    </row>
    <row r="11" spans="1:12" x14ac:dyDescent="0.35">
      <c r="A11">
        <v>-0.95</v>
      </c>
      <c r="B11">
        <v>0.1147</v>
      </c>
      <c r="C11">
        <v>4.3400000000000001E-3</v>
      </c>
      <c r="D11">
        <v>7.6000000000000004E-4</v>
      </c>
      <c r="E11">
        <v>-7.6499999999999999E-2</v>
      </c>
      <c r="F11">
        <v>3.2899999999999999E-2</v>
      </c>
      <c r="G11">
        <v>9.4999999999999998E-3</v>
      </c>
      <c r="H11">
        <v>-1.5886</v>
      </c>
      <c r="I11">
        <v>0</v>
      </c>
      <c r="J11">
        <v>0</v>
      </c>
      <c r="K11">
        <v>0</v>
      </c>
      <c r="L11">
        <v>0.91849999999999998</v>
      </c>
    </row>
    <row r="12" spans="1:12" x14ac:dyDescent="0.35">
      <c r="A12">
        <v>-0.9</v>
      </c>
      <c r="B12">
        <v>0.12609999999999999</v>
      </c>
      <c r="C12">
        <v>4.3499999999999997E-3</v>
      </c>
      <c r="D12">
        <v>7.6000000000000004E-4</v>
      </c>
      <c r="E12">
        <v>-7.6399999999999996E-2</v>
      </c>
      <c r="F12">
        <v>3.2300000000000002E-2</v>
      </c>
      <c r="G12">
        <v>9.4999999999999998E-3</v>
      </c>
      <c r="H12">
        <v>-1.4882</v>
      </c>
      <c r="I12">
        <v>0</v>
      </c>
      <c r="J12">
        <v>0</v>
      </c>
      <c r="K12">
        <v>0</v>
      </c>
      <c r="L12">
        <v>0.85709999999999997</v>
      </c>
    </row>
    <row r="13" spans="1:12" x14ac:dyDescent="0.35">
      <c r="A13">
        <v>-0.85</v>
      </c>
      <c r="B13">
        <v>0.1376</v>
      </c>
      <c r="C13">
        <v>4.3499999999999997E-3</v>
      </c>
      <c r="D13">
        <v>7.5000000000000002E-4</v>
      </c>
      <c r="E13">
        <v>-7.6399999999999996E-2</v>
      </c>
      <c r="F13">
        <v>3.1600000000000003E-2</v>
      </c>
      <c r="G13">
        <v>9.5999999999999992E-3</v>
      </c>
      <c r="H13">
        <v>-1.3920999999999999</v>
      </c>
      <c r="I13">
        <v>0</v>
      </c>
      <c r="J13">
        <v>0</v>
      </c>
      <c r="K13">
        <v>0</v>
      </c>
      <c r="L13">
        <v>0.80610000000000004</v>
      </c>
    </row>
    <row r="14" spans="1:12" x14ac:dyDescent="0.35">
      <c r="A14">
        <v>-0.8</v>
      </c>
      <c r="B14">
        <v>0.14899999999999999</v>
      </c>
      <c r="C14">
        <v>4.3499999999999997E-3</v>
      </c>
      <c r="D14">
        <v>7.5000000000000002E-4</v>
      </c>
      <c r="E14">
        <v>-7.6300000000000007E-2</v>
      </c>
      <c r="F14">
        <v>3.1E-2</v>
      </c>
      <c r="G14">
        <v>9.5999999999999992E-3</v>
      </c>
      <c r="H14">
        <v>-1.2999000000000001</v>
      </c>
      <c r="I14">
        <v>0</v>
      </c>
      <c r="J14">
        <v>0</v>
      </c>
      <c r="K14">
        <v>0</v>
      </c>
      <c r="L14">
        <v>0.76319999999999999</v>
      </c>
    </row>
    <row r="15" spans="1:12" x14ac:dyDescent="0.35">
      <c r="A15">
        <v>-0.75</v>
      </c>
      <c r="B15">
        <v>0.1603</v>
      </c>
      <c r="C15">
        <v>4.3499999999999997E-3</v>
      </c>
      <c r="D15">
        <v>7.5000000000000002E-4</v>
      </c>
      <c r="E15">
        <v>-7.6300000000000007E-2</v>
      </c>
      <c r="F15">
        <v>3.04E-2</v>
      </c>
      <c r="G15">
        <v>9.5999999999999992E-3</v>
      </c>
      <c r="H15">
        <v>-1.2115</v>
      </c>
      <c r="I15">
        <v>0</v>
      </c>
      <c r="J15">
        <v>0</v>
      </c>
      <c r="K15">
        <v>0</v>
      </c>
      <c r="L15">
        <v>0.72660000000000002</v>
      </c>
    </row>
    <row r="16" spans="1:12" x14ac:dyDescent="0.35">
      <c r="A16">
        <v>-0.7</v>
      </c>
      <c r="B16">
        <v>0.1716</v>
      </c>
      <c r="C16">
        <v>4.3499999999999997E-3</v>
      </c>
      <c r="D16">
        <v>7.5000000000000002E-4</v>
      </c>
      <c r="E16">
        <v>-7.6300000000000007E-2</v>
      </c>
      <c r="F16">
        <v>2.9700000000000001E-2</v>
      </c>
      <c r="G16">
        <v>9.7000000000000003E-3</v>
      </c>
      <c r="H16">
        <v>-1.1266</v>
      </c>
      <c r="I16">
        <v>0</v>
      </c>
      <c r="J16">
        <v>0</v>
      </c>
      <c r="K16">
        <v>0</v>
      </c>
      <c r="L16">
        <v>0.69489999999999996</v>
      </c>
    </row>
    <row r="17" spans="1:12" x14ac:dyDescent="0.35">
      <c r="A17">
        <v>-0.65</v>
      </c>
      <c r="B17">
        <v>0.18290000000000001</v>
      </c>
      <c r="C17">
        <v>4.3499999999999997E-3</v>
      </c>
      <c r="D17">
        <v>7.5000000000000002E-4</v>
      </c>
      <c r="E17">
        <v>-7.6300000000000007E-2</v>
      </c>
      <c r="F17">
        <v>2.9100000000000001E-2</v>
      </c>
      <c r="G17">
        <v>9.7000000000000003E-3</v>
      </c>
      <c r="H17">
        <v>-1.0449999999999999</v>
      </c>
      <c r="I17">
        <v>0</v>
      </c>
      <c r="J17">
        <v>0</v>
      </c>
      <c r="K17">
        <v>0</v>
      </c>
      <c r="L17">
        <v>0.6673</v>
      </c>
    </row>
    <row r="18" spans="1:12" x14ac:dyDescent="0.35">
      <c r="A18">
        <v>-0.6</v>
      </c>
      <c r="B18">
        <v>0.19420000000000001</v>
      </c>
      <c r="C18">
        <v>4.3499999999999997E-3</v>
      </c>
      <c r="D18">
        <v>7.5000000000000002E-4</v>
      </c>
      <c r="E18">
        <v>-7.6300000000000007E-2</v>
      </c>
      <c r="F18">
        <v>2.8500000000000001E-2</v>
      </c>
      <c r="G18">
        <v>9.7999999999999997E-3</v>
      </c>
      <c r="H18">
        <v>-0.9667</v>
      </c>
      <c r="I18">
        <v>0</v>
      </c>
      <c r="J18">
        <v>0</v>
      </c>
      <c r="K18">
        <v>0</v>
      </c>
      <c r="L18">
        <v>0.64300000000000002</v>
      </c>
    </row>
    <row r="19" spans="1:12" x14ac:dyDescent="0.35">
      <c r="A19">
        <v>-0.55000000000000004</v>
      </c>
      <c r="B19">
        <v>0.20549999999999999</v>
      </c>
      <c r="C19">
        <v>4.3499999999999997E-3</v>
      </c>
      <c r="D19">
        <v>7.5000000000000002E-4</v>
      </c>
      <c r="E19">
        <v>-7.6300000000000007E-2</v>
      </c>
      <c r="F19">
        <v>3.0599999999999999E-2</v>
      </c>
      <c r="G19">
        <v>9.7999999999999997E-3</v>
      </c>
      <c r="H19">
        <v>-0.89180000000000004</v>
      </c>
      <c r="I19">
        <v>0</v>
      </c>
      <c r="J19">
        <v>0</v>
      </c>
      <c r="K19">
        <v>0</v>
      </c>
      <c r="L19">
        <v>0.62139999999999995</v>
      </c>
    </row>
    <row r="20" spans="1:12" x14ac:dyDescent="0.35">
      <c r="A20">
        <v>-0.5</v>
      </c>
      <c r="B20">
        <v>0.2167</v>
      </c>
      <c r="C20">
        <v>4.3499999999999997E-3</v>
      </c>
      <c r="D20">
        <v>7.5000000000000002E-4</v>
      </c>
      <c r="E20">
        <v>-7.6300000000000007E-2</v>
      </c>
      <c r="F20">
        <v>3.0700000000000002E-2</v>
      </c>
      <c r="G20">
        <v>9.7999999999999997E-3</v>
      </c>
      <c r="H20">
        <v>-0.81879999999999997</v>
      </c>
      <c r="I20">
        <v>0</v>
      </c>
      <c r="J20">
        <v>0</v>
      </c>
      <c r="K20">
        <v>0</v>
      </c>
      <c r="L20">
        <v>0.60209999999999997</v>
      </c>
    </row>
    <row r="21" spans="1:12" x14ac:dyDescent="0.35">
      <c r="A21">
        <v>-0.45</v>
      </c>
      <c r="B21">
        <v>0.22789999999999999</v>
      </c>
      <c r="C21">
        <v>4.3499999999999997E-3</v>
      </c>
      <c r="D21">
        <v>7.5000000000000002E-4</v>
      </c>
      <c r="E21">
        <v>-7.6300000000000007E-2</v>
      </c>
      <c r="F21">
        <v>3.0200000000000001E-2</v>
      </c>
      <c r="G21">
        <v>9.9000000000000008E-3</v>
      </c>
      <c r="H21">
        <v>-0.74870000000000003</v>
      </c>
      <c r="I21">
        <v>0</v>
      </c>
      <c r="J21">
        <v>0</v>
      </c>
      <c r="K21">
        <v>0</v>
      </c>
      <c r="L21">
        <v>0.58479999999999999</v>
      </c>
    </row>
    <row r="22" spans="1:12" x14ac:dyDescent="0.35">
      <c r="A22">
        <v>-0.4</v>
      </c>
      <c r="B22">
        <v>0.23910000000000001</v>
      </c>
      <c r="C22">
        <v>4.3600000000000002E-3</v>
      </c>
      <c r="D22">
        <v>7.5000000000000002E-4</v>
      </c>
      <c r="E22">
        <v>-7.6300000000000007E-2</v>
      </c>
      <c r="F22">
        <v>2.9499999999999998E-2</v>
      </c>
      <c r="G22">
        <v>9.9000000000000008E-3</v>
      </c>
      <c r="H22">
        <v>-0.68110000000000004</v>
      </c>
      <c r="I22">
        <v>0</v>
      </c>
      <c r="J22">
        <v>0</v>
      </c>
      <c r="K22">
        <v>0</v>
      </c>
      <c r="L22">
        <v>0.56910000000000005</v>
      </c>
    </row>
    <row r="23" spans="1:12" x14ac:dyDescent="0.35">
      <c r="A23">
        <v>-0.35</v>
      </c>
      <c r="B23">
        <v>0.25030000000000002</v>
      </c>
      <c r="C23">
        <v>4.3600000000000002E-3</v>
      </c>
      <c r="D23">
        <v>7.5000000000000002E-4</v>
      </c>
      <c r="E23">
        <v>-7.6300000000000007E-2</v>
      </c>
      <c r="F23">
        <v>2.87E-2</v>
      </c>
      <c r="G23">
        <v>9.9000000000000008E-3</v>
      </c>
      <c r="H23">
        <v>-0.6159</v>
      </c>
      <c r="I23">
        <v>0</v>
      </c>
      <c r="J23">
        <v>0</v>
      </c>
      <c r="K23">
        <v>0</v>
      </c>
      <c r="L23">
        <v>0.55489999999999995</v>
      </c>
    </row>
    <row r="24" spans="1:12" x14ac:dyDescent="0.35">
      <c r="A24">
        <v>-0.3</v>
      </c>
      <c r="B24">
        <v>0.26140000000000002</v>
      </c>
      <c r="C24">
        <v>4.3600000000000002E-3</v>
      </c>
      <c r="D24">
        <v>7.6000000000000004E-4</v>
      </c>
      <c r="E24">
        <v>-7.6300000000000007E-2</v>
      </c>
      <c r="F24">
        <v>2.7900000000000001E-2</v>
      </c>
      <c r="G24">
        <v>9.9000000000000008E-3</v>
      </c>
      <c r="H24">
        <v>-0.55300000000000005</v>
      </c>
      <c r="I24">
        <v>0</v>
      </c>
      <c r="J24">
        <v>0</v>
      </c>
      <c r="K24">
        <v>0</v>
      </c>
      <c r="L24">
        <v>0.54190000000000005</v>
      </c>
    </row>
    <row r="25" spans="1:12" x14ac:dyDescent="0.35">
      <c r="A25">
        <v>-0.25</v>
      </c>
      <c r="B25">
        <v>0.27260000000000001</v>
      </c>
      <c r="C25">
        <v>4.3699999999999998E-3</v>
      </c>
      <c r="D25">
        <v>7.6000000000000004E-4</v>
      </c>
      <c r="E25">
        <v>-7.6300000000000007E-2</v>
      </c>
      <c r="F25">
        <v>2.6700000000000002E-2</v>
      </c>
      <c r="G25">
        <v>0.01</v>
      </c>
      <c r="H25">
        <v>-0.51729999999999998</v>
      </c>
      <c r="I25">
        <v>0</v>
      </c>
      <c r="J25">
        <v>0</v>
      </c>
      <c r="K25">
        <v>0</v>
      </c>
      <c r="L25">
        <v>0.53</v>
      </c>
    </row>
    <row r="26" spans="1:12" x14ac:dyDescent="0.35">
      <c r="A26">
        <v>-0.2</v>
      </c>
      <c r="B26">
        <v>0.28370000000000001</v>
      </c>
      <c r="C26">
        <v>4.3699999999999998E-3</v>
      </c>
      <c r="D26">
        <v>7.6000000000000004E-4</v>
      </c>
      <c r="E26">
        <v>-7.6399999999999996E-2</v>
      </c>
      <c r="F26">
        <v>2.41E-2</v>
      </c>
      <c r="G26">
        <v>0.01</v>
      </c>
      <c r="H26">
        <v>-0.52229999999999999</v>
      </c>
      <c r="I26">
        <v>0</v>
      </c>
      <c r="J26">
        <v>0</v>
      </c>
      <c r="K26">
        <v>0</v>
      </c>
      <c r="L26">
        <v>0.51910000000000001</v>
      </c>
    </row>
    <row r="27" spans="1:12" x14ac:dyDescent="0.35">
      <c r="A27">
        <v>-0.15</v>
      </c>
      <c r="B27">
        <v>0.2949</v>
      </c>
      <c r="C27">
        <v>4.3699999999999998E-3</v>
      </c>
      <c r="D27">
        <v>7.6999999999999996E-4</v>
      </c>
      <c r="E27">
        <v>-7.6399999999999996E-2</v>
      </c>
      <c r="F27">
        <v>2.3400000000000001E-2</v>
      </c>
      <c r="G27">
        <v>0.01</v>
      </c>
      <c r="H27">
        <v>-0.52729999999999999</v>
      </c>
      <c r="I27">
        <v>0</v>
      </c>
      <c r="J27">
        <v>0</v>
      </c>
      <c r="K27">
        <v>0</v>
      </c>
      <c r="L27">
        <v>0.50890000000000002</v>
      </c>
    </row>
    <row r="28" spans="1:12" x14ac:dyDescent="0.35">
      <c r="A28">
        <v>-0.1</v>
      </c>
      <c r="B28">
        <v>0.30599999999999999</v>
      </c>
      <c r="C28">
        <v>4.3800000000000002E-3</v>
      </c>
      <c r="D28">
        <v>7.6999999999999996E-4</v>
      </c>
      <c r="E28">
        <v>-7.6399999999999996E-2</v>
      </c>
      <c r="F28">
        <v>2.3300000000000001E-2</v>
      </c>
      <c r="G28">
        <v>0.01</v>
      </c>
      <c r="H28">
        <v>-0.5323</v>
      </c>
      <c r="I28">
        <v>0</v>
      </c>
      <c r="J28">
        <v>0</v>
      </c>
      <c r="K28">
        <v>0</v>
      </c>
      <c r="L28">
        <v>0.49959999999999999</v>
      </c>
    </row>
    <row r="29" spans="1:12" x14ac:dyDescent="0.35">
      <c r="A29">
        <v>0.05</v>
      </c>
      <c r="B29">
        <v>0.33939999999999998</v>
      </c>
      <c r="C29">
        <v>4.3899999999999998E-3</v>
      </c>
      <c r="D29">
        <v>7.9000000000000001E-4</v>
      </c>
      <c r="E29">
        <v>-7.6499999999999999E-2</v>
      </c>
      <c r="F29">
        <v>2.3199999999999998E-2</v>
      </c>
      <c r="G29">
        <v>1.01E-2</v>
      </c>
      <c r="H29">
        <v>-0.54790000000000005</v>
      </c>
      <c r="I29">
        <v>0</v>
      </c>
      <c r="J29">
        <v>0</v>
      </c>
      <c r="K29">
        <v>0</v>
      </c>
      <c r="L29">
        <v>0.47510000000000002</v>
      </c>
    </row>
    <row r="30" spans="1:12" x14ac:dyDescent="0.35">
      <c r="A30">
        <v>0.1</v>
      </c>
      <c r="B30">
        <v>0.35060000000000002</v>
      </c>
      <c r="C30">
        <v>4.4000000000000003E-3</v>
      </c>
      <c r="D30">
        <v>7.9000000000000001E-4</v>
      </c>
      <c r="E30">
        <v>-7.6499999999999999E-2</v>
      </c>
      <c r="F30">
        <v>2.3099999999999999E-2</v>
      </c>
      <c r="G30">
        <v>1.0699999999999999E-2</v>
      </c>
      <c r="H30">
        <v>-0.55320000000000003</v>
      </c>
      <c r="I30">
        <v>0</v>
      </c>
      <c r="J30">
        <v>0</v>
      </c>
      <c r="K30">
        <v>0</v>
      </c>
      <c r="L30">
        <v>0.46800000000000003</v>
      </c>
    </row>
    <row r="31" spans="1:12" x14ac:dyDescent="0.35">
      <c r="A31">
        <v>0.15</v>
      </c>
      <c r="B31">
        <v>0.36170000000000002</v>
      </c>
      <c r="C31">
        <v>4.4000000000000003E-3</v>
      </c>
      <c r="D31">
        <v>8.0000000000000004E-4</v>
      </c>
      <c r="E31">
        <v>-7.6499999999999999E-2</v>
      </c>
      <c r="F31">
        <v>2.3099999999999999E-2</v>
      </c>
      <c r="G31">
        <v>1.1299999999999999E-2</v>
      </c>
      <c r="H31">
        <v>-0.55859999999999999</v>
      </c>
      <c r="I31">
        <v>0</v>
      </c>
      <c r="J31">
        <v>0</v>
      </c>
      <c r="K31">
        <v>0</v>
      </c>
      <c r="L31">
        <v>0.46129999999999999</v>
      </c>
    </row>
    <row r="32" spans="1:12" x14ac:dyDescent="0.35">
      <c r="A32">
        <v>0.2</v>
      </c>
      <c r="B32">
        <v>0.37290000000000001</v>
      </c>
      <c r="C32">
        <v>4.4099999999999999E-3</v>
      </c>
      <c r="D32">
        <v>8.0999999999999996E-4</v>
      </c>
      <c r="E32">
        <v>-7.6600000000000001E-2</v>
      </c>
      <c r="F32">
        <v>2.3E-2</v>
      </c>
      <c r="G32">
        <v>1.2E-2</v>
      </c>
      <c r="H32">
        <v>-0.56399999999999995</v>
      </c>
      <c r="I32">
        <v>0</v>
      </c>
      <c r="J32">
        <v>0</v>
      </c>
      <c r="K32">
        <v>0</v>
      </c>
      <c r="L32">
        <v>0.45500000000000002</v>
      </c>
    </row>
    <row r="33" spans="1:12" x14ac:dyDescent="0.35">
      <c r="A33">
        <v>0.25</v>
      </c>
      <c r="B33">
        <v>0.38400000000000001</v>
      </c>
      <c r="C33">
        <v>4.4200000000000003E-3</v>
      </c>
      <c r="D33">
        <v>8.1999999999999998E-4</v>
      </c>
      <c r="E33">
        <v>-7.6600000000000001E-2</v>
      </c>
      <c r="F33">
        <v>2.1299999999999999E-2</v>
      </c>
      <c r="G33">
        <v>1.2699999999999999E-2</v>
      </c>
      <c r="H33">
        <v>-0.56940000000000002</v>
      </c>
      <c r="I33">
        <v>0</v>
      </c>
      <c r="J33">
        <v>0</v>
      </c>
      <c r="K33">
        <v>0</v>
      </c>
      <c r="L33">
        <v>0.44900000000000001</v>
      </c>
    </row>
    <row r="34" spans="1:12" x14ac:dyDescent="0.35">
      <c r="A34">
        <v>0.3</v>
      </c>
      <c r="B34">
        <v>0.39500000000000002</v>
      </c>
      <c r="C34">
        <v>4.4400000000000004E-3</v>
      </c>
      <c r="D34">
        <v>8.3000000000000001E-4</v>
      </c>
      <c r="E34">
        <v>-7.6499999999999999E-2</v>
      </c>
      <c r="F34">
        <v>1.49E-2</v>
      </c>
      <c r="G34">
        <v>1.35E-2</v>
      </c>
      <c r="H34">
        <v>-0.57469999999999999</v>
      </c>
      <c r="I34">
        <v>0</v>
      </c>
      <c r="J34">
        <v>0</v>
      </c>
      <c r="K34">
        <v>0</v>
      </c>
      <c r="L34">
        <v>0.44340000000000002</v>
      </c>
    </row>
    <row r="35" spans="1:12" x14ac:dyDescent="0.35">
      <c r="A35">
        <v>0.35</v>
      </c>
      <c r="B35">
        <v>0.40620000000000001</v>
      </c>
      <c r="C35">
        <v>4.4400000000000004E-3</v>
      </c>
      <c r="D35">
        <v>8.4000000000000003E-4</v>
      </c>
      <c r="E35">
        <v>-7.6499999999999999E-2</v>
      </c>
      <c r="F35">
        <v>1.4200000000000001E-2</v>
      </c>
      <c r="G35">
        <v>1.4500000000000001E-2</v>
      </c>
      <c r="H35">
        <v>-0.58030000000000004</v>
      </c>
      <c r="I35">
        <v>0</v>
      </c>
      <c r="J35">
        <v>0</v>
      </c>
      <c r="K35">
        <v>0</v>
      </c>
      <c r="L35">
        <v>0.438</v>
      </c>
    </row>
    <row r="36" spans="1:12" x14ac:dyDescent="0.35">
      <c r="A36">
        <v>0.4</v>
      </c>
      <c r="B36">
        <v>0.41739999999999999</v>
      </c>
      <c r="C36">
        <v>4.45E-3</v>
      </c>
      <c r="D36">
        <v>8.4999999999999995E-4</v>
      </c>
      <c r="E36">
        <v>-7.6499999999999999E-2</v>
      </c>
      <c r="F36">
        <v>1.37E-2</v>
      </c>
      <c r="G36">
        <v>1.54E-2</v>
      </c>
      <c r="H36">
        <v>-0.58589999999999998</v>
      </c>
      <c r="I36">
        <v>0</v>
      </c>
      <c r="J36">
        <v>0</v>
      </c>
      <c r="K36">
        <v>0</v>
      </c>
      <c r="L36">
        <v>0.43290000000000001</v>
      </c>
    </row>
    <row r="37" spans="1:12" x14ac:dyDescent="0.35">
      <c r="A37">
        <v>0.45</v>
      </c>
      <c r="B37">
        <v>0.42859999999999998</v>
      </c>
      <c r="C37">
        <v>4.45E-3</v>
      </c>
      <c r="D37">
        <v>8.5999999999999998E-4</v>
      </c>
      <c r="E37">
        <v>-7.6499999999999999E-2</v>
      </c>
      <c r="F37">
        <v>1.37E-2</v>
      </c>
      <c r="G37">
        <v>1.6400000000000001E-2</v>
      </c>
      <c r="H37">
        <v>-0.63100000000000001</v>
      </c>
      <c r="I37">
        <v>0</v>
      </c>
      <c r="J37">
        <v>0</v>
      </c>
      <c r="K37">
        <v>0</v>
      </c>
      <c r="L37">
        <v>0.42809999999999998</v>
      </c>
    </row>
    <row r="38" spans="1:12" x14ac:dyDescent="0.35">
      <c r="A38">
        <v>0.5</v>
      </c>
      <c r="B38">
        <v>0.43990000000000001</v>
      </c>
      <c r="C38">
        <v>4.4600000000000004E-3</v>
      </c>
      <c r="D38">
        <v>8.7000000000000001E-4</v>
      </c>
      <c r="E38">
        <v>-7.6499999999999999E-2</v>
      </c>
      <c r="F38">
        <v>1.3599999999999999E-2</v>
      </c>
      <c r="G38">
        <v>1.7299999999999999E-2</v>
      </c>
      <c r="H38">
        <v>-0.68640000000000001</v>
      </c>
      <c r="I38">
        <v>0</v>
      </c>
      <c r="J38">
        <v>0</v>
      </c>
      <c r="K38">
        <v>0</v>
      </c>
      <c r="L38">
        <v>0.42349999999999999</v>
      </c>
    </row>
    <row r="39" spans="1:12" x14ac:dyDescent="0.35">
      <c r="A39">
        <v>0.55000000000000004</v>
      </c>
      <c r="B39">
        <v>0.4511</v>
      </c>
      <c r="C39">
        <v>4.47E-3</v>
      </c>
      <c r="D39">
        <v>8.8000000000000003E-4</v>
      </c>
      <c r="E39">
        <v>-7.6499999999999999E-2</v>
      </c>
      <c r="F39">
        <v>1.34E-2</v>
      </c>
      <c r="G39">
        <v>1.83E-2</v>
      </c>
      <c r="H39">
        <v>-0.74350000000000005</v>
      </c>
      <c r="I39">
        <v>0</v>
      </c>
      <c r="J39">
        <v>0</v>
      </c>
      <c r="K39">
        <v>0</v>
      </c>
      <c r="L39">
        <v>0.41909999999999997</v>
      </c>
    </row>
    <row r="40" spans="1:12" x14ac:dyDescent="0.35">
      <c r="A40">
        <v>0.6</v>
      </c>
      <c r="B40">
        <v>0.46239999999999998</v>
      </c>
      <c r="C40">
        <v>4.4799999999999996E-3</v>
      </c>
      <c r="D40">
        <v>8.8999999999999995E-4</v>
      </c>
      <c r="E40">
        <v>-7.6499999999999999E-2</v>
      </c>
      <c r="F40">
        <v>1.3100000000000001E-2</v>
      </c>
      <c r="G40">
        <v>1.8700000000000001E-2</v>
      </c>
      <c r="H40">
        <v>-0.80220000000000002</v>
      </c>
      <c r="I40">
        <v>0</v>
      </c>
      <c r="J40">
        <v>0</v>
      </c>
      <c r="K40">
        <v>0</v>
      </c>
      <c r="L40">
        <v>0.41489999999999999</v>
      </c>
    </row>
    <row r="41" spans="1:12" x14ac:dyDescent="0.35">
      <c r="A41">
        <v>0.65</v>
      </c>
      <c r="B41">
        <v>0.47370000000000001</v>
      </c>
      <c r="C41">
        <v>4.4900000000000001E-3</v>
      </c>
      <c r="D41">
        <v>8.9999999999999998E-4</v>
      </c>
      <c r="E41">
        <v>-7.6399999999999996E-2</v>
      </c>
      <c r="F41">
        <v>1.23E-2</v>
      </c>
      <c r="G41">
        <v>1.89E-2</v>
      </c>
      <c r="H41">
        <v>-0.86209999999999998</v>
      </c>
      <c r="I41">
        <v>0</v>
      </c>
      <c r="J41">
        <v>0</v>
      </c>
      <c r="K41">
        <v>0</v>
      </c>
      <c r="L41">
        <v>0.4108</v>
      </c>
    </row>
    <row r="42" spans="1:12" x14ac:dyDescent="0.35">
      <c r="A42">
        <v>0.7</v>
      </c>
      <c r="B42">
        <v>0.48499999999999999</v>
      </c>
      <c r="C42">
        <v>4.4999999999999997E-3</v>
      </c>
      <c r="D42">
        <v>9.2000000000000003E-4</v>
      </c>
      <c r="E42">
        <v>-7.6399999999999996E-2</v>
      </c>
      <c r="F42">
        <v>1.15E-2</v>
      </c>
      <c r="G42">
        <v>1.9800000000000002E-2</v>
      </c>
      <c r="H42">
        <v>-0.92400000000000004</v>
      </c>
      <c r="I42">
        <v>0</v>
      </c>
      <c r="J42">
        <v>0</v>
      </c>
      <c r="K42">
        <v>0</v>
      </c>
      <c r="L42">
        <v>0.40689999999999998</v>
      </c>
    </row>
    <row r="43" spans="1:12" x14ac:dyDescent="0.35">
      <c r="A43">
        <v>0.75</v>
      </c>
      <c r="B43">
        <v>0.49630000000000002</v>
      </c>
      <c r="C43">
        <v>4.5100000000000001E-3</v>
      </c>
      <c r="D43">
        <v>9.3999999999999997E-4</v>
      </c>
      <c r="E43">
        <v>-7.6300000000000007E-2</v>
      </c>
      <c r="F43">
        <v>1.0699999999999999E-2</v>
      </c>
      <c r="G43">
        <v>2.12E-2</v>
      </c>
      <c r="H43">
        <v>-0.9879</v>
      </c>
      <c r="I43">
        <v>0</v>
      </c>
      <c r="J43">
        <v>0</v>
      </c>
      <c r="K43">
        <v>0</v>
      </c>
      <c r="L43">
        <v>0.4032</v>
      </c>
    </row>
    <row r="44" spans="1:12" x14ac:dyDescent="0.35">
      <c r="A44">
        <v>0.85</v>
      </c>
      <c r="B44">
        <v>0.51910000000000001</v>
      </c>
      <c r="C44">
        <v>4.5300000000000002E-3</v>
      </c>
      <c r="D44">
        <v>9.7000000000000005E-4</v>
      </c>
      <c r="E44">
        <v>-7.6200000000000004E-2</v>
      </c>
      <c r="F44">
        <v>9.2999999999999992E-3</v>
      </c>
      <c r="G44">
        <v>2.93E-2</v>
      </c>
      <c r="H44">
        <v>-1.1228</v>
      </c>
      <c r="I44">
        <v>0</v>
      </c>
      <c r="J44">
        <v>0</v>
      </c>
      <c r="K44">
        <v>0</v>
      </c>
      <c r="L44">
        <v>0.3962</v>
      </c>
    </row>
    <row r="45" spans="1:12" x14ac:dyDescent="0.35">
      <c r="A45">
        <v>0.9</v>
      </c>
      <c r="B45">
        <v>0.53059999999999996</v>
      </c>
      <c r="C45">
        <v>4.5399999999999998E-3</v>
      </c>
      <c r="D45">
        <v>9.7999999999999997E-4</v>
      </c>
      <c r="E45">
        <v>-7.6100000000000001E-2</v>
      </c>
      <c r="F45">
        <v>8.6E-3</v>
      </c>
      <c r="G45">
        <v>2.9899999999999999E-2</v>
      </c>
      <c r="H45">
        <v>-1.1943999999999999</v>
      </c>
      <c r="I45">
        <v>0</v>
      </c>
      <c r="J45">
        <v>0</v>
      </c>
      <c r="K45">
        <v>0</v>
      </c>
      <c r="L45">
        <v>0.39279999999999998</v>
      </c>
    </row>
    <row r="46" spans="1:12" x14ac:dyDescent="0.35">
      <c r="A46">
        <v>0.95</v>
      </c>
      <c r="B46">
        <v>0.54220000000000002</v>
      </c>
      <c r="C46">
        <v>4.5500000000000002E-3</v>
      </c>
      <c r="D46">
        <v>1E-3</v>
      </c>
      <c r="E46">
        <v>-7.6100000000000001E-2</v>
      </c>
      <c r="F46">
        <v>8.0999999999999996E-3</v>
      </c>
      <c r="G46">
        <v>3.3300000000000003E-2</v>
      </c>
      <c r="H46">
        <v>-1.2689999999999999</v>
      </c>
      <c r="I46">
        <v>0</v>
      </c>
      <c r="J46">
        <v>0</v>
      </c>
      <c r="K46">
        <v>0</v>
      </c>
      <c r="L46">
        <v>0.3896</v>
      </c>
    </row>
    <row r="47" spans="1:12" x14ac:dyDescent="0.35">
      <c r="A47">
        <v>1</v>
      </c>
      <c r="B47">
        <v>0.55379999999999996</v>
      </c>
      <c r="C47">
        <v>4.5599999999999998E-3</v>
      </c>
      <c r="D47">
        <v>1.01E-3</v>
      </c>
      <c r="E47">
        <v>-7.5999999999999998E-2</v>
      </c>
      <c r="F47">
        <v>7.4999999999999997E-3</v>
      </c>
      <c r="G47">
        <v>3.6999999999999998E-2</v>
      </c>
      <c r="H47">
        <v>-1.3466</v>
      </c>
      <c r="I47">
        <v>0</v>
      </c>
      <c r="J47">
        <v>0</v>
      </c>
      <c r="K47">
        <v>0</v>
      </c>
      <c r="L47">
        <v>0.38640000000000002</v>
      </c>
    </row>
    <row r="48" spans="1:12" x14ac:dyDescent="0.35">
      <c r="A48">
        <v>1.05</v>
      </c>
      <c r="B48">
        <v>0.5655</v>
      </c>
      <c r="C48">
        <v>4.5700000000000003E-3</v>
      </c>
      <c r="D48">
        <v>1.0300000000000001E-3</v>
      </c>
      <c r="E48">
        <v>-7.5899999999999995E-2</v>
      </c>
      <c r="F48">
        <v>7.1000000000000004E-3</v>
      </c>
      <c r="G48">
        <v>3.9300000000000002E-2</v>
      </c>
      <c r="H48">
        <v>-1.4272</v>
      </c>
      <c r="I48">
        <v>0</v>
      </c>
      <c r="J48">
        <v>0</v>
      </c>
      <c r="K48">
        <v>0</v>
      </c>
      <c r="L48">
        <v>0.38340000000000002</v>
      </c>
    </row>
    <row r="49" spans="1:12" x14ac:dyDescent="0.35">
      <c r="A49">
        <v>1.1000000000000001</v>
      </c>
      <c r="B49">
        <v>0.57720000000000005</v>
      </c>
      <c r="C49">
        <v>4.5799999999999999E-3</v>
      </c>
      <c r="D49">
        <v>1.0499999999999999E-3</v>
      </c>
      <c r="E49">
        <v>-7.5700000000000003E-2</v>
      </c>
      <c r="F49">
        <v>7.0000000000000001E-3</v>
      </c>
      <c r="G49">
        <v>4.0500000000000001E-2</v>
      </c>
      <c r="H49">
        <v>-1.5107999999999999</v>
      </c>
      <c r="I49">
        <v>0</v>
      </c>
      <c r="J49">
        <v>0</v>
      </c>
      <c r="K49">
        <v>0</v>
      </c>
      <c r="L49">
        <v>0.38040000000000002</v>
      </c>
    </row>
    <row r="50" spans="1:12" x14ac:dyDescent="0.35">
      <c r="A50">
        <v>1.1499999999999999</v>
      </c>
      <c r="B50">
        <v>0.58899999999999997</v>
      </c>
      <c r="C50">
        <v>4.5799999999999999E-3</v>
      </c>
      <c r="D50">
        <v>1.07E-3</v>
      </c>
      <c r="E50">
        <v>-7.5600000000000001E-2</v>
      </c>
      <c r="F50">
        <v>6.8999999999999999E-3</v>
      </c>
      <c r="G50">
        <v>0.05</v>
      </c>
      <c r="H50">
        <v>-1.5972999999999999</v>
      </c>
      <c r="I50">
        <v>0</v>
      </c>
      <c r="J50">
        <v>0</v>
      </c>
      <c r="K50">
        <v>0</v>
      </c>
      <c r="L50">
        <v>0.37759999999999999</v>
      </c>
    </row>
    <row r="51" spans="1:12" x14ac:dyDescent="0.35">
      <c r="A51">
        <v>1.2</v>
      </c>
      <c r="B51">
        <v>0.6008</v>
      </c>
      <c r="C51">
        <v>4.5900000000000003E-3</v>
      </c>
      <c r="D51">
        <v>1.08E-3</v>
      </c>
      <c r="E51">
        <v>-7.5499999999999998E-2</v>
      </c>
      <c r="F51">
        <v>6.8999999999999999E-3</v>
      </c>
      <c r="G51">
        <v>0.05</v>
      </c>
      <c r="H51">
        <v>-1.7126999999999999</v>
      </c>
      <c r="I51">
        <v>0</v>
      </c>
      <c r="J51">
        <v>0</v>
      </c>
      <c r="K51">
        <v>0</v>
      </c>
      <c r="L51">
        <v>0.37480000000000002</v>
      </c>
    </row>
    <row r="52" spans="1:12" x14ac:dyDescent="0.35">
      <c r="A52">
        <v>1.25</v>
      </c>
      <c r="B52">
        <v>0.61270000000000002</v>
      </c>
      <c r="C52">
        <v>4.6299999999999996E-3</v>
      </c>
      <c r="D52">
        <v>1.09E-3</v>
      </c>
      <c r="E52">
        <v>-7.5300000000000006E-2</v>
      </c>
      <c r="F52">
        <v>6.7999999999999996E-3</v>
      </c>
      <c r="G52">
        <v>1.8100000000000002E-2</v>
      </c>
      <c r="H52">
        <v>-1.8392999999999999</v>
      </c>
      <c r="I52">
        <v>0</v>
      </c>
      <c r="J52">
        <v>0</v>
      </c>
      <c r="K52">
        <v>0</v>
      </c>
      <c r="L52">
        <v>0.372</v>
      </c>
    </row>
    <row r="53" spans="1:12" x14ac:dyDescent="0.35">
      <c r="A53">
        <v>1.3</v>
      </c>
      <c r="B53">
        <v>0.62470000000000003</v>
      </c>
      <c r="C53">
        <v>4.6499999999999996E-3</v>
      </c>
      <c r="D53">
        <v>1.1100000000000001E-3</v>
      </c>
      <c r="E53">
        <v>-7.51E-2</v>
      </c>
      <c r="F53">
        <v>6.7999999999999996E-3</v>
      </c>
      <c r="G53">
        <v>1.84E-2</v>
      </c>
      <c r="H53">
        <v>-1.9712000000000001</v>
      </c>
      <c r="I53">
        <v>0</v>
      </c>
      <c r="J53">
        <v>0</v>
      </c>
      <c r="K53">
        <v>0</v>
      </c>
      <c r="L53">
        <v>0.36930000000000002</v>
      </c>
    </row>
    <row r="54" spans="1:12" x14ac:dyDescent="0.35">
      <c r="A54">
        <v>1.35</v>
      </c>
      <c r="B54">
        <v>0.63670000000000004</v>
      </c>
      <c r="C54">
        <v>4.6600000000000001E-3</v>
      </c>
      <c r="D54">
        <v>1.1299999999999999E-3</v>
      </c>
      <c r="E54">
        <v>-7.4899999999999994E-2</v>
      </c>
      <c r="F54">
        <v>6.7000000000000002E-3</v>
      </c>
      <c r="G54">
        <v>1.8800000000000001E-2</v>
      </c>
      <c r="H54">
        <v>-2.1114999999999999</v>
      </c>
      <c r="I54">
        <v>0</v>
      </c>
      <c r="J54">
        <v>0</v>
      </c>
      <c r="K54">
        <v>0</v>
      </c>
      <c r="L54">
        <v>0.36670000000000003</v>
      </c>
    </row>
    <row r="55" spans="1:12" x14ac:dyDescent="0.35">
      <c r="A55">
        <v>1.4</v>
      </c>
      <c r="B55">
        <v>0.64890000000000003</v>
      </c>
      <c r="C55">
        <v>4.6699999999999997E-3</v>
      </c>
      <c r="D55">
        <v>1.16E-3</v>
      </c>
      <c r="E55">
        <v>-7.46E-2</v>
      </c>
      <c r="F55">
        <v>6.7000000000000002E-3</v>
      </c>
      <c r="G55">
        <v>2.01E-2</v>
      </c>
      <c r="H55">
        <v>-2.2608999999999999</v>
      </c>
      <c r="I55">
        <v>0</v>
      </c>
      <c r="J55">
        <v>0</v>
      </c>
      <c r="K55">
        <v>0</v>
      </c>
      <c r="L55">
        <v>0.36409999999999998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9D254-7EF4-49D9-BCB5-BAB2D96F73B8}">
  <sheetPr codeName="Sheet20"/>
  <dimension ref="A1:L58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-1.5</v>
      </c>
      <c r="B2">
        <v>-1.7600000000000001E-2</v>
      </c>
      <c r="C2">
        <v>4.6299999999999996E-3</v>
      </c>
      <c r="D2">
        <v>1.07E-3</v>
      </c>
      <c r="E2">
        <v>-7.8200000000000006E-2</v>
      </c>
      <c r="F2">
        <v>0.05</v>
      </c>
      <c r="G2">
        <v>6.7000000000000002E-3</v>
      </c>
      <c r="H2">
        <v>-3.0924</v>
      </c>
      <c r="I2">
        <v>0</v>
      </c>
      <c r="J2">
        <v>0</v>
      </c>
      <c r="K2">
        <v>0</v>
      </c>
      <c r="L2">
        <v>-4.2195999999999998</v>
      </c>
    </row>
    <row r="3" spans="1:12" x14ac:dyDescent="0.35">
      <c r="A3">
        <v>-1.45</v>
      </c>
      <c r="B3">
        <v>-5.1000000000000004E-3</v>
      </c>
      <c r="C3">
        <v>4.5599999999999998E-3</v>
      </c>
      <c r="D3">
        <v>9.7000000000000005E-4</v>
      </c>
      <c r="E3">
        <v>-7.7899999999999997E-2</v>
      </c>
      <c r="F3">
        <v>0.05</v>
      </c>
      <c r="G3">
        <v>7.7000000000000002E-3</v>
      </c>
      <c r="H3">
        <v>-2.8849999999999998</v>
      </c>
      <c r="I3">
        <v>0</v>
      </c>
      <c r="J3">
        <v>0</v>
      </c>
      <c r="K3">
        <v>0</v>
      </c>
      <c r="L3">
        <v>-14.9367</v>
      </c>
    </row>
    <row r="4" spans="1:12" x14ac:dyDescent="0.35">
      <c r="A4">
        <v>-1.4</v>
      </c>
      <c r="B4">
        <v>7.1999999999999998E-3</v>
      </c>
      <c r="C4">
        <v>4.5199999999999997E-3</v>
      </c>
      <c r="D4">
        <v>9.2000000000000003E-4</v>
      </c>
      <c r="E4">
        <v>-7.7600000000000002E-2</v>
      </c>
      <c r="F4">
        <v>0.05</v>
      </c>
      <c r="G4">
        <v>8.2000000000000007E-3</v>
      </c>
      <c r="H4">
        <v>-2.7328000000000001</v>
      </c>
      <c r="I4">
        <v>0</v>
      </c>
      <c r="J4">
        <v>0</v>
      </c>
      <c r="K4">
        <v>0</v>
      </c>
      <c r="L4">
        <v>11.0937</v>
      </c>
    </row>
    <row r="5" spans="1:12" x14ac:dyDescent="0.35">
      <c r="A5">
        <v>-1.35</v>
      </c>
      <c r="B5">
        <v>1.9400000000000001E-2</v>
      </c>
      <c r="C5">
        <v>4.4999999999999997E-3</v>
      </c>
      <c r="D5">
        <v>8.8000000000000003E-4</v>
      </c>
      <c r="E5">
        <v>-7.7399999999999997E-2</v>
      </c>
      <c r="F5">
        <v>0.05</v>
      </c>
      <c r="G5">
        <v>8.5000000000000006E-3</v>
      </c>
      <c r="H5">
        <v>-2.5853999999999999</v>
      </c>
      <c r="I5">
        <v>0</v>
      </c>
      <c r="J5">
        <v>0</v>
      </c>
      <c r="K5">
        <v>0</v>
      </c>
      <c r="L5">
        <v>4.2526000000000002</v>
      </c>
    </row>
    <row r="6" spans="1:12" x14ac:dyDescent="0.35">
      <c r="A6">
        <v>-1.3</v>
      </c>
      <c r="B6">
        <v>3.15E-2</v>
      </c>
      <c r="C6">
        <v>4.4900000000000001E-3</v>
      </c>
      <c r="D6">
        <v>8.5999999999999998E-4</v>
      </c>
      <c r="E6">
        <v>-7.7200000000000005E-2</v>
      </c>
      <c r="F6">
        <v>0.05</v>
      </c>
      <c r="G6">
        <v>8.6999999999999994E-3</v>
      </c>
      <c r="H6">
        <v>-2.4390999999999998</v>
      </c>
      <c r="I6">
        <v>0</v>
      </c>
      <c r="J6">
        <v>0</v>
      </c>
      <c r="K6">
        <v>0</v>
      </c>
      <c r="L6">
        <v>2.7077</v>
      </c>
    </row>
    <row r="7" spans="1:12" x14ac:dyDescent="0.35">
      <c r="A7">
        <v>-1.25</v>
      </c>
      <c r="B7">
        <v>4.3499999999999997E-2</v>
      </c>
      <c r="C7">
        <v>4.4799999999999996E-3</v>
      </c>
      <c r="D7">
        <v>8.4000000000000003E-4</v>
      </c>
      <c r="E7">
        <v>-7.6999999999999999E-2</v>
      </c>
      <c r="F7">
        <v>0.05</v>
      </c>
      <c r="G7">
        <v>8.8999999999999999E-3</v>
      </c>
      <c r="H7">
        <v>-2.2991999999999999</v>
      </c>
      <c r="I7">
        <v>0</v>
      </c>
      <c r="J7">
        <v>0</v>
      </c>
      <c r="K7">
        <v>0</v>
      </c>
      <c r="L7">
        <v>2.0253999999999999</v>
      </c>
    </row>
    <row r="8" spans="1:12" x14ac:dyDescent="0.35">
      <c r="A8">
        <v>-1.2</v>
      </c>
      <c r="B8">
        <v>5.5399999999999998E-2</v>
      </c>
      <c r="C8">
        <v>4.47E-3</v>
      </c>
      <c r="D8">
        <v>8.3000000000000001E-4</v>
      </c>
      <c r="E8">
        <v>-7.6799999999999993E-2</v>
      </c>
      <c r="F8">
        <v>0.05</v>
      </c>
      <c r="G8">
        <v>8.9999999999999993E-3</v>
      </c>
      <c r="H8">
        <v>-2.1659999999999999</v>
      </c>
      <c r="I8">
        <v>0</v>
      </c>
      <c r="J8">
        <v>0</v>
      </c>
      <c r="K8">
        <v>0</v>
      </c>
      <c r="L8">
        <v>1.6409</v>
      </c>
    </row>
    <row r="9" spans="1:12" x14ac:dyDescent="0.35">
      <c r="A9">
        <v>-1.1499999999999999</v>
      </c>
      <c r="B9">
        <v>6.7199999999999996E-2</v>
      </c>
      <c r="C9">
        <v>4.47E-3</v>
      </c>
      <c r="D9">
        <v>8.1999999999999998E-4</v>
      </c>
      <c r="E9">
        <v>-7.6700000000000004E-2</v>
      </c>
      <c r="F9">
        <v>0.05</v>
      </c>
      <c r="G9">
        <v>9.1000000000000004E-3</v>
      </c>
      <c r="H9">
        <v>-2.0394000000000001</v>
      </c>
      <c r="I9">
        <v>0</v>
      </c>
      <c r="J9">
        <v>0</v>
      </c>
      <c r="K9">
        <v>0</v>
      </c>
      <c r="L9">
        <v>1.3940999999999999</v>
      </c>
    </row>
    <row r="10" spans="1:12" x14ac:dyDescent="0.35">
      <c r="A10">
        <v>-1.1000000000000001</v>
      </c>
      <c r="B10">
        <v>7.8899999999999998E-2</v>
      </c>
      <c r="C10">
        <v>4.4600000000000004E-3</v>
      </c>
      <c r="D10">
        <v>8.0999999999999996E-4</v>
      </c>
      <c r="E10">
        <v>-7.6600000000000001E-2</v>
      </c>
      <c r="F10">
        <v>0.05</v>
      </c>
      <c r="G10">
        <v>9.1999999999999998E-3</v>
      </c>
      <c r="H10">
        <v>-1.9188000000000001</v>
      </c>
      <c r="I10">
        <v>0</v>
      </c>
      <c r="J10">
        <v>0</v>
      </c>
      <c r="K10">
        <v>0</v>
      </c>
      <c r="L10">
        <v>1.2222999999999999</v>
      </c>
    </row>
    <row r="11" spans="1:12" x14ac:dyDescent="0.35">
      <c r="A11">
        <v>-1.05</v>
      </c>
      <c r="B11">
        <v>9.06E-2</v>
      </c>
      <c r="C11">
        <v>4.4600000000000004E-3</v>
      </c>
      <c r="D11">
        <v>8.0000000000000004E-4</v>
      </c>
      <c r="E11">
        <v>-7.6499999999999999E-2</v>
      </c>
      <c r="F11">
        <v>0.05</v>
      </c>
      <c r="G11">
        <v>9.2999999999999992E-3</v>
      </c>
      <c r="H11">
        <v>-1.8038000000000001</v>
      </c>
      <c r="I11">
        <v>0</v>
      </c>
      <c r="J11">
        <v>0</v>
      </c>
      <c r="K11">
        <v>0</v>
      </c>
      <c r="L11">
        <v>1.0958000000000001</v>
      </c>
    </row>
    <row r="12" spans="1:12" x14ac:dyDescent="0.35">
      <c r="A12">
        <v>-1</v>
      </c>
      <c r="B12">
        <v>0.1022</v>
      </c>
      <c r="C12">
        <v>4.4600000000000004E-3</v>
      </c>
      <c r="D12">
        <v>8.0000000000000004E-4</v>
      </c>
      <c r="E12">
        <v>-7.6399999999999996E-2</v>
      </c>
      <c r="F12">
        <v>0.05</v>
      </c>
      <c r="G12">
        <v>9.4000000000000004E-3</v>
      </c>
      <c r="H12">
        <v>-1.694</v>
      </c>
      <c r="I12">
        <v>0</v>
      </c>
      <c r="J12">
        <v>0</v>
      </c>
      <c r="K12">
        <v>0</v>
      </c>
      <c r="L12">
        <v>0.99880000000000002</v>
      </c>
    </row>
    <row r="13" spans="1:12" x14ac:dyDescent="0.35">
      <c r="A13">
        <v>-0.95</v>
      </c>
      <c r="B13">
        <v>0.1138</v>
      </c>
      <c r="C13">
        <v>4.45E-3</v>
      </c>
      <c r="D13">
        <v>7.9000000000000001E-4</v>
      </c>
      <c r="E13">
        <v>-7.6300000000000007E-2</v>
      </c>
      <c r="F13">
        <v>0.05</v>
      </c>
      <c r="G13">
        <v>9.4000000000000004E-3</v>
      </c>
      <c r="H13">
        <v>-1.5891</v>
      </c>
      <c r="I13">
        <v>0</v>
      </c>
      <c r="J13">
        <v>0</v>
      </c>
      <c r="K13">
        <v>0</v>
      </c>
      <c r="L13">
        <v>0.92200000000000004</v>
      </c>
    </row>
    <row r="14" spans="1:12" x14ac:dyDescent="0.35">
      <c r="A14">
        <v>-0.9</v>
      </c>
      <c r="B14">
        <v>0.12529999999999999</v>
      </c>
      <c r="C14">
        <v>4.45E-3</v>
      </c>
      <c r="D14">
        <v>7.9000000000000001E-4</v>
      </c>
      <c r="E14">
        <v>-7.6300000000000007E-2</v>
      </c>
      <c r="F14">
        <v>0.05</v>
      </c>
      <c r="G14">
        <v>9.4999999999999998E-3</v>
      </c>
      <c r="H14">
        <v>-1.4885999999999999</v>
      </c>
      <c r="I14">
        <v>0</v>
      </c>
      <c r="J14">
        <v>0</v>
      </c>
      <c r="K14">
        <v>0</v>
      </c>
      <c r="L14">
        <v>0.85980000000000001</v>
      </c>
    </row>
    <row r="15" spans="1:12" x14ac:dyDescent="0.35">
      <c r="A15">
        <v>-0.85</v>
      </c>
      <c r="B15">
        <v>0.13639999999999999</v>
      </c>
      <c r="C15">
        <v>4.47E-3</v>
      </c>
      <c r="D15">
        <v>7.7999999999999999E-4</v>
      </c>
      <c r="E15">
        <v>-7.6100000000000001E-2</v>
      </c>
      <c r="F15">
        <v>3.4099999999999998E-2</v>
      </c>
      <c r="G15">
        <v>9.4999999999999998E-3</v>
      </c>
      <c r="H15">
        <v>-1.3947000000000001</v>
      </c>
      <c r="I15">
        <v>0</v>
      </c>
      <c r="J15">
        <v>0</v>
      </c>
      <c r="K15">
        <v>0</v>
      </c>
      <c r="L15">
        <v>0.80910000000000004</v>
      </c>
    </row>
    <row r="16" spans="1:12" x14ac:dyDescent="0.35">
      <c r="A16">
        <v>-0.8</v>
      </c>
      <c r="B16">
        <v>0.14779999999999999</v>
      </c>
      <c r="C16">
        <v>4.47E-3</v>
      </c>
      <c r="D16">
        <v>7.7999999999999999E-4</v>
      </c>
      <c r="E16">
        <v>-7.6100000000000001E-2</v>
      </c>
      <c r="F16">
        <v>3.32E-2</v>
      </c>
      <c r="G16">
        <v>9.5999999999999992E-3</v>
      </c>
      <c r="H16">
        <v>-1.3026</v>
      </c>
      <c r="I16">
        <v>0</v>
      </c>
      <c r="J16">
        <v>0</v>
      </c>
      <c r="K16">
        <v>0</v>
      </c>
      <c r="L16">
        <v>0.76559999999999995</v>
      </c>
    </row>
    <row r="17" spans="1:12" x14ac:dyDescent="0.35">
      <c r="A17">
        <v>-0.75</v>
      </c>
      <c r="B17">
        <v>0.15909999999999999</v>
      </c>
      <c r="C17">
        <v>4.47E-3</v>
      </c>
      <c r="D17">
        <v>7.7999999999999999E-4</v>
      </c>
      <c r="E17">
        <v>-7.6100000000000001E-2</v>
      </c>
      <c r="F17">
        <v>3.2500000000000001E-2</v>
      </c>
      <c r="G17">
        <v>9.5999999999999992E-3</v>
      </c>
      <c r="H17">
        <v>-1.2142999999999999</v>
      </c>
      <c r="I17">
        <v>0</v>
      </c>
      <c r="J17">
        <v>0</v>
      </c>
      <c r="K17">
        <v>0</v>
      </c>
      <c r="L17">
        <v>0.72860000000000003</v>
      </c>
    </row>
    <row r="18" spans="1:12" x14ac:dyDescent="0.35">
      <c r="A18">
        <v>-0.7</v>
      </c>
      <c r="B18">
        <v>0.1704</v>
      </c>
      <c r="C18">
        <v>4.47E-3</v>
      </c>
      <c r="D18">
        <v>7.6999999999999996E-4</v>
      </c>
      <c r="E18">
        <v>-7.5999999999999998E-2</v>
      </c>
      <c r="F18">
        <v>3.1800000000000002E-2</v>
      </c>
      <c r="G18">
        <v>9.7000000000000003E-3</v>
      </c>
      <c r="H18">
        <v>-1.1294999999999999</v>
      </c>
      <c r="I18">
        <v>0</v>
      </c>
      <c r="J18">
        <v>0</v>
      </c>
      <c r="K18">
        <v>0</v>
      </c>
      <c r="L18">
        <v>0.6966</v>
      </c>
    </row>
    <row r="19" spans="1:12" x14ac:dyDescent="0.35">
      <c r="A19">
        <v>-0.65</v>
      </c>
      <c r="B19">
        <v>0.1817</v>
      </c>
      <c r="C19">
        <v>4.4799999999999996E-3</v>
      </c>
      <c r="D19">
        <v>7.6999999999999996E-4</v>
      </c>
      <c r="E19">
        <v>-7.5999999999999998E-2</v>
      </c>
      <c r="F19">
        <v>3.1099999999999999E-2</v>
      </c>
      <c r="G19">
        <v>9.7000000000000003E-3</v>
      </c>
      <c r="H19">
        <v>-1.048</v>
      </c>
      <c r="I19">
        <v>0</v>
      </c>
      <c r="J19">
        <v>0</v>
      </c>
      <c r="K19">
        <v>0</v>
      </c>
      <c r="L19">
        <v>0.66879999999999995</v>
      </c>
    </row>
    <row r="20" spans="1:12" x14ac:dyDescent="0.35">
      <c r="A20">
        <v>-0.6</v>
      </c>
      <c r="B20">
        <v>0.193</v>
      </c>
      <c r="C20">
        <v>4.4799999999999996E-3</v>
      </c>
      <c r="D20">
        <v>7.6999999999999996E-4</v>
      </c>
      <c r="E20">
        <v>-7.5999999999999998E-2</v>
      </c>
      <c r="F20">
        <v>3.0300000000000001E-2</v>
      </c>
      <c r="G20">
        <v>9.7000000000000003E-3</v>
      </c>
      <c r="H20">
        <v>-0.9698</v>
      </c>
      <c r="I20">
        <v>0</v>
      </c>
      <c r="J20">
        <v>0</v>
      </c>
      <c r="K20">
        <v>0</v>
      </c>
      <c r="L20">
        <v>0.64419999999999999</v>
      </c>
    </row>
    <row r="21" spans="1:12" x14ac:dyDescent="0.35">
      <c r="A21">
        <v>-0.55000000000000004</v>
      </c>
      <c r="B21">
        <v>0.20430000000000001</v>
      </c>
      <c r="C21">
        <v>4.47E-3</v>
      </c>
      <c r="D21">
        <v>7.6999999999999996E-4</v>
      </c>
      <c r="E21">
        <v>-7.5999999999999998E-2</v>
      </c>
      <c r="F21">
        <v>3.2599999999999997E-2</v>
      </c>
      <c r="G21">
        <v>9.7999999999999997E-3</v>
      </c>
      <c r="H21">
        <v>-0.89470000000000005</v>
      </c>
      <c r="I21">
        <v>0</v>
      </c>
      <c r="J21">
        <v>0</v>
      </c>
      <c r="K21">
        <v>0</v>
      </c>
      <c r="L21">
        <v>0.62239999999999995</v>
      </c>
    </row>
    <row r="22" spans="1:12" x14ac:dyDescent="0.35">
      <c r="A22">
        <v>-0.5</v>
      </c>
      <c r="B22">
        <v>0.2155</v>
      </c>
      <c r="C22">
        <v>4.47E-3</v>
      </c>
      <c r="D22">
        <v>7.6999999999999996E-4</v>
      </c>
      <c r="E22">
        <v>-7.5999999999999998E-2</v>
      </c>
      <c r="F22">
        <v>3.2800000000000003E-2</v>
      </c>
      <c r="G22">
        <v>9.7999999999999997E-3</v>
      </c>
      <c r="H22">
        <v>-0.82169999999999999</v>
      </c>
      <c r="I22">
        <v>0</v>
      </c>
      <c r="J22">
        <v>0</v>
      </c>
      <c r="K22">
        <v>0</v>
      </c>
      <c r="L22">
        <v>0.60299999999999998</v>
      </c>
    </row>
    <row r="23" spans="1:12" x14ac:dyDescent="0.35">
      <c r="A23">
        <v>-0.45</v>
      </c>
      <c r="B23">
        <v>0.22670000000000001</v>
      </c>
      <c r="C23">
        <v>4.4799999999999996E-3</v>
      </c>
      <c r="D23">
        <v>7.6999999999999996E-4</v>
      </c>
      <c r="E23">
        <v>-7.5999999999999998E-2</v>
      </c>
      <c r="F23">
        <v>3.2300000000000002E-2</v>
      </c>
      <c r="G23">
        <v>9.9000000000000008E-3</v>
      </c>
      <c r="H23">
        <v>-0.75160000000000005</v>
      </c>
      <c r="I23">
        <v>0</v>
      </c>
      <c r="J23">
        <v>0</v>
      </c>
      <c r="K23">
        <v>0</v>
      </c>
      <c r="L23">
        <v>0.58550000000000002</v>
      </c>
    </row>
    <row r="24" spans="1:12" x14ac:dyDescent="0.35">
      <c r="A24">
        <v>-0.4</v>
      </c>
      <c r="B24">
        <v>0.23780000000000001</v>
      </c>
      <c r="C24">
        <v>4.4799999999999996E-3</v>
      </c>
      <c r="D24">
        <v>7.7999999999999999E-4</v>
      </c>
      <c r="E24">
        <v>-7.5999999999999998E-2</v>
      </c>
      <c r="F24">
        <v>3.15E-2</v>
      </c>
      <c r="G24">
        <v>9.9000000000000008E-3</v>
      </c>
      <c r="H24">
        <v>-0.68410000000000004</v>
      </c>
      <c r="I24">
        <v>0</v>
      </c>
      <c r="J24">
        <v>0</v>
      </c>
      <c r="K24">
        <v>0</v>
      </c>
      <c r="L24">
        <v>0.56979999999999997</v>
      </c>
    </row>
    <row r="25" spans="1:12" x14ac:dyDescent="0.35">
      <c r="A25">
        <v>-0.35</v>
      </c>
      <c r="B25">
        <v>0.249</v>
      </c>
      <c r="C25">
        <v>4.4900000000000001E-3</v>
      </c>
      <c r="D25">
        <v>7.7999999999999999E-4</v>
      </c>
      <c r="E25">
        <v>-7.5999999999999998E-2</v>
      </c>
      <c r="F25">
        <v>3.0700000000000002E-2</v>
      </c>
      <c r="G25">
        <v>9.9000000000000008E-3</v>
      </c>
      <c r="H25">
        <v>-0.61899999999999999</v>
      </c>
      <c r="I25">
        <v>0</v>
      </c>
      <c r="J25">
        <v>0</v>
      </c>
      <c r="K25">
        <v>0</v>
      </c>
      <c r="L25">
        <v>0.5554</v>
      </c>
    </row>
    <row r="26" spans="1:12" x14ac:dyDescent="0.35">
      <c r="A26">
        <v>-0.3</v>
      </c>
      <c r="B26">
        <v>0.2601</v>
      </c>
      <c r="C26">
        <v>4.4900000000000001E-3</v>
      </c>
      <c r="D26">
        <v>7.7999999999999999E-4</v>
      </c>
      <c r="E26">
        <v>-7.6100000000000001E-2</v>
      </c>
      <c r="F26">
        <v>2.9700000000000001E-2</v>
      </c>
      <c r="G26">
        <v>9.9000000000000008E-3</v>
      </c>
      <c r="H26">
        <v>-0.55610000000000004</v>
      </c>
      <c r="I26">
        <v>0</v>
      </c>
      <c r="J26">
        <v>0</v>
      </c>
      <c r="K26">
        <v>0</v>
      </c>
      <c r="L26">
        <v>0.54239999999999999</v>
      </c>
    </row>
    <row r="27" spans="1:12" x14ac:dyDescent="0.35">
      <c r="A27">
        <v>-0.25</v>
      </c>
      <c r="B27">
        <v>0.2712</v>
      </c>
      <c r="C27">
        <v>4.4900000000000001E-3</v>
      </c>
      <c r="D27">
        <v>7.9000000000000001E-4</v>
      </c>
      <c r="E27">
        <v>-7.6100000000000001E-2</v>
      </c>
      <c r="F27">
        <v>2.87E-2</v>
      </c>
      <c r="G27">
        <v>0.01</v>
      </c>
      <c r="H27">
        <v>-0.51659999999999995</v>
      </c>
      <c r="I27">
        <v>0</v>
      </c>
      <c r="J27">
        <v>0</v>
      </c>
      <c r="K27">
        <v>0</v>
      </c>
      <c r="L27">
        <v>0.53039999999999998</v>
      </c>
    </row>
    <row r="28" spans="1:12" x14ac:dyDescent="0.35">
      <c r="A28">
        <v>-0.2</v>
      </c>
      <c r="B28">
        <v>0.2823</v>
      </c>
      <c r="C28">
        <v>4.4999999999999997E-3</v>
      </c>
      <c r="D28">
        <v>7.9000000000000001E-4</v>
      </c>
      <c r="E28">
        <v>-7.6100000000000001E-2</v>
      </c>
      <c r="F28">
        <v>2.75E-2</v>
      </c>
      <c r="G28">
        <v>0.01</v>
      </c>
      <c r="H28">
        <v>-0.52159999999999995</v>
      </c>
      <c r="I28">
        <v>0</v>
      </c>
      <c r="J28">
        <v>0</v>
      </c>
      <c r="K28">
        <v>0</v>
      </c>
      <c r="L28">
        <v>0.51939999999999997</v>
      </c>
    </row>
    <row r="29" spans="1:12" x14ac:dyDescent="0.35">
      <c r="A29">
        <v>-0.15</v>
      </c>
      <c r="B29">
        <v>0.29339999999999999</v>
      </c>
      <c r="C29">
        <v>4.4999999999999997E-3</v>
      </c>
      <c r="D29">
        <v>7.9000000000000001E-4</v>
      </c>
      <c r="E29">
        <v>-7.6100000000000001E-2</v>
      </c>
      <c r="F29">
        <v>2.5100000000000001E-2</v>
      </c>
      <c r="G29">
        <v>0.01</v>
      </c>
      <c r="H29">
        <v>-0.52649999999999997</v>
      </c>
      <c r="I29">
        <v>0</v>
      </c>
      <c r="J29">
        <v>0</v>
      </c>
      <c r="K29">
        <v>0</v>
      </c>
      <c r="L29">
        <v>0.50919999999999999</v>
      </c>
    </row>
    <row r="30" spans="1:12" x14ac:dyDescent="0.35">
      <c r="A30">
        <v>-0.1</v>
      </c>
      <c r="B30">
        <v>0.30449999999999999</v>
      </c>
      <c r="C30">
        <v>4.5100000000000001E-3</v>
      </c>
      <c r="D30">
        <v>8.0000000000000004E-4</v>
      </c>
      <c r="E30">
        <v>-7.6100000000000001E-2</v>
      </c>
      <c r="F30">
        <v>2.3400000000000001E-2</v>
      </c>
      <c r="G30">
        <v>1.01E-2</v>
      </c>
      <c r="H30">
        <v>-0.53159999999999996</v>
      </c>
      <c r="I30">
        <v>0</v>
      </c>
      <c r="J30">
        <v>0</v>
      </c>
      <c r="K30">
        <v>0</v>
      </c>
      <c r="L30">
        <v>0.49980000000000002</v>
      </c>
    </row>
    <row r="31" spans="1:12" x14ac:dyDescent="0.35">
      <c r="A31">
        <v>-0.05</v>
      </c>
      <c r="B31">
        <v>0.31569999999999998</v>
      </c>
      <c r="C31">
        <v>4.5100000000000001E-3</v>
      </c>
      <c r="D31">
        <v>8.0000000000000004E-4</v>
      </c>
      <c r="E31">
        <v>-7.6100000000000001E-2</v>
      </c>
      <c r="F31">
        <v>2.3300000000000001E-2</v>
      </c>
      <c r="G31">
        <v>1.01E-2</v>
      </c>
      <c r="H31">
        <v>-0.53669999999999995</v>
      </c>
      <c r="I31">
        <v>0</v>
      </c>
      <c r="J31">
        <v>0</v>
      </c>
      <c r="K31">
        <v>0</v>
      </c>
      <c r="L31">
        <v>0.49099999999999999</v>
      </c>
    </row>
    <row r="32" spans="1:12" x14ac:dyDescent="0.35">
      <c r="A32">
        <v>0</v>
      </c>
      <c r="B32">
        <v>0.32679999999999998</v>
      </c>
      <c r="C32">
        <v>4.5199999999999997E-3</v>
      </c>
      <c r="D32">
        <v>8.0999999999999996E-4</v>
      </c>
      <c r="E32">
        <v>-7.6200000000000004E-2</v>
      </c>
      <c r="F32">
        <v>2.3300000000000001E-2</v>
      </c>
      <c r="G32">
        <v>1.0200000000000001E-2</v>
      </c>
      <c r="H32">
        <v>-0.54190000000000005</v>
      </c>
      <c r="I32">
        <v>0</v>
      </c>
      <c r="J32">
        <v>0</v>
      </c>
      <c r="K32">
        <v>0</v>
      </c>
      <c r="L32">
        <v>0.4829</v>
      </c>
    </row>
    <row r="33" spans="1:12" x14ac:dyDescent="0.35">
      <c r="A33">
        <v>0.05</v>
      </c>
      <c r="B33">
        <v>0.33789999999999998</v>
      </c>
      <c r="C33">
        <v>4.5199999999999997E-3</v>
      </c>
      <c r="D33">
        <v>8.1999999999999998E-4</v>
      </c>
      <c r="E33">
        <v>-7.6200000000000004E-2</v>
      </c>
      <c r="F33">
        <v>2.3199999999999998E-2</v>
      </c>
      <c r="G33">
        <v>1.0699999999999999E-2</v>
      </c>
      <c r="H33">
        <v>-0.54710000000000003</v>
      </c>
      <c r="I33">
        <v>0</v>
      </c>
      <c r="J33">
        <v>0</v>
      </c>
      <c r="K33">
        <v>0</v>
      </c>
      <c r="L33">
        <v>0.47520000000000001</v>
      </c>
    </row>
    <row r="34" spans="1:12" x14ac:dyDescent="0.35">
      <c r="A34">
        <v>0.1</v>
      </c>
      <c r="B34">
        <v>0.34899999999999998</v>
      </c>
      <c r="C34">
        <v>4.5300000000000002E-3</v>
      </c>
      <c r="D34">
        <v>8.1999999999999998E-4</v>
      </c>
      <c r="E34">
        <v>-7.6200000000000004E-2</v>
      </c>
      <c r="F34">
        <v>2.3199999999999998E-2</v>
      </c>
      <c r="G34">
        <v>1.14E-2</v>
      </c>
      <c r="H34">
        <v>-0.5524</v>
      </c>
      <c r="I34">
        <v>0</v>
      </c>
      <c r="J34">
        <v>0</v>
      </c>
      <c r="K34">
        <v>0</v>
      </c>
      <c r="L34">
        <v>0.46810000000000002</v>
      </c>
    </row>
    <row r="35" spans="1:12" x14ac:dyDescent="0.35">
      <c r="A35">
        <v>0.15</v>
      </c>
      <c r="B35">
        <v>0.36020000000000002</v>
      </c>
      <c r="C35">
        <v>4.5300000000000002E-3</v>
      </c>
      <c r="D35">
        <v>8.3000000000000001E-4</v>
      </c>
      <c r="E35">
        <v>-7.6200000000000004E-2</v>
      </c>
      <c r="F35">
        <v>2.3099999999999999E-2</v>
      </c>
      <c r="G35">
        <v>1.2E-2</v>
      </c>
      <c r="H35">
        <v>-0.55779999999999996</v>
      </c>
      <c r="I35">
        <v>0</v>
      </c>
      <c r="J35">
        <v>0</v>
      </c>
      <c r="K35">
        <v>0</v>
      </c>
      <c r="L35">
        <v>0.46129999999999999</v>
      </c>
    </row>
    <row r="36" spans="1:12" x14ac:dyDescent="0.35">
      <c r="A36">
        <v>0.2</v>
      </c>
      <c r="B36">
        <v>0.37130000000000002</v>
      </c>
      <c r="C36">
        <v>4.5399999999999998E-3</v>
      </c>
      <c r="D36">
        <v>8.4000000000000003E-4</v>
      </c>
      <c r="E36">
        <v>-7.6300000000000007E-2</v>
      </c>
      <c r="F36">
        <v>2.3099999999999999E-2</v>
      </c>
      <c r="G36">
        <v>1.2800000000000001E-2</v>
      </c>
      <c r="H36">
        <v>-0.56320000000000003</v>
      </c>
      <c r="I36">
        <v>0</v>
      </c>
      <c r="J36">
        <v>0</v>
      </c>
      <c r="K36">
        <v>0</v>
      </c>
      <c r="L36">
        <v>0.45500000000000002</v>
      </c>
    </row>
    <row r="37" spans="1:12" x14ac:dyDescent="0.35">
      <c r="A37">
        <v>0.25</v>
      </c>
      <c r="B37">
        <v>0.38250000000000001</v>
      </c>
      <c r="C37">
        <v>4.5399999999999998E-3</v>
      </c>
      <c r="D37">
        <v>8.4000000000000003E-4</v>
      </c>
      <c r="E37">
        <v>-7.6300000000000007E-2</v>
      </c>
      <c r="F37">
        <v>2.3E-2</v>
      </c>
      <c r="G37">
        <v>1.3599999999999999E-2</v>
      </c>
      <c r="H37">
        <v>-0.56859999999999999</v>
      </c>
      <c r="I37">
        <v>0</v>
      </c>
      <c r="J37">
        <v>0</v>
      </c>
      <c r="K37">
        <v>0</v>
      </c>
      <c r="L37">
        <v>0.44900000000000001</v>
      </c>
    </row>
    <row r="38" spans="1:12" x14ac:dyDescent="0.35">
      <c r="A38">
        <v>0.3</v>
      </c>
      <c r="B38">
        <v>0.39350000000000002</v>
      </c>
      <c r="C38">
        <v>4.5599999999999998E-3</v>
      </c>
      <c r="D38">
        <v>8.4999999999999995E-4</v>
      </c>
      <c r="E38">
        <v>-7.6300000000000007E-2</v>
      </c>
      <c r="F38">
        <v>2.1000000000000001E-2</v>
      </c>
      <c r="G38">
        <v>1.4500000000000001E-2</v>
      </c>
      <c r="H38">
        <v>-0.57399999999999995</v>
      </c>
      <c r="I38">
        <v>0</v>
      </c>
      <c r="J38">
        <v>0</v>
      </c>
      <c r="K38">
        <v>0</v>
      </c>
      <c r="L38">
        <v>0.44340000000000002</v>
      </c>
    </row>
    <row r="39" spans="1:12" x14ac:dyDescent="0.35">
      <c r="A39">
        <v>0.35</v>
      </c>
      <c r="B39">
        <v>0.40460000000000002</v>
      </c>
      <c r="C39">
        <v>4.5700000000000003E-3</v>
      </c>
      <c r="D39">
        <v>8.5999999999999998E-4</v>
      </c>
      <c r="E39">
        <v>-7.6200000000000004E-2</v>
      </c>
      <c r="F39">
        <v>1.9199999999999998E-2</v>
      </c>
      <c r="G39">
        <v>1.5599999999999999E-2</v>
      </c>
      <c r="H39">
        <v>-0.57950000000000002</v>
      </c>
      <c r="I39">
        <v>0</v>
      </c>
      <c r="J39">
        <v>0</v>
      </c>
      <c r="K39">
        <v>0</v>
      </c>
      <c r="L39">
        <v>0.438</v>
      </c>
    </row>
    <row r="40" spans="1:12" x14ac:dyDescent="0.35">
      <c r="A40">
        <v>0.4</v>
      </c>
      <c r="B40">
        <v>0.41570000000000001</v>
      </c>
      <c r="C40">
        <v>4.5799999999999999E-3</v>
      </c>
      <c r="D40">
        <v>8.8000000000000003E-4</v>
      </c>
      <c r="E40">
        <v>-7.6200000000000004E-2</v>
      </c>
      <c r="F40">
        <v>1.49E-2</v>
      </c>
      <c r="G40">
        <v>1.66E-2</v>
      </c>
      <c r="H40">
        <v>-0.58509999999999995</v>
      </c>
      <c r="I40">
        <v>0</v>
      </c>
      <c r="J40">
        <v>0</v>
      </c>
      <c r="K40">
        <v>0</v>
      </c>
      <c r="L40">
        <v>0.43290000000000001</v>
      </c>
    </row>
    <row r="41" spans="1:12" x14ac:dyDescent="0.35">
      <c r="A41">
        <v>0.45</v>
      </c>
      <c r="B41">
        <v>0.42699999999999999</v>
      </c>
      <c r="C41">
        <v>4.5799999999999999E-3</v>
      </c>
      <c r="D41">
        <v>8.8999999999999995E-4</v>
      </c>
      <c r="E41">
        <v>-7.6200000000000004E-2</v>
      </c>
      <c r="F41">
        <v>1.38E-2</v>
      </c>
      <c r="G41">
        <v>1.77E-2</v>
      </c>
      <c r="H41">
        <v>-0.62639999999999996</v>
      </c>
      <c r="I41">
        <v>0</v>
      </c>
      <c r="J41">
        <v>0</v>
      </c>
      <c r="K41">
        <v>0</v>
      </c>
      <c r="L41">
        <v>0.42809999999999998</v>
      </c>
    </row>
    <row r="42" spans="1:12" x14ac:dyDescent="0.35">
      <c r="A42">
        <v>0.8</v>
      </c>
      <c r="B42">
        <v>0.50590000000000002</v>
      </c>
      <c r="C42">
        <v>4.6499999999999996E-3</v>
      </c>
      <c r="D42">
        <v>9.7999999999999997E-4</v>
      </c>
      <c r="E42">
        <v>-7.5999999999999998E-2</v>
      </c>
      <c r="F42">
        <v>1.09E-2</v>
      </c>
      <c r="G42">
        <v>2.9399999999999999E-2</v>
      </c>
      <c r="H42">
        <v>-1.0495000000000001</v>
      </c>
      <c r="I42">
        <v>0</v>
      </c>
      <c r="J42">
        <v>0</v>
      </c>
      <c r="K42">
        <v>0</v>
      </c>
      <c r="L42">
        <v>0.39950000000000002</v>
      </c>
    </row>
    <row r="43" spans="1:12" x14ac:dyDescent="0.35">
      <c r="A43">
        <v>0.85</v>
      </c>
      <c r="B43">
        <v>0.51729999999999998</v>
      </c>
      <c r="C43">
        <v>4.6600000000000001E-3</v>
      </c>
      <c r="D43">
        <v>1E-3</v>
      </c>
      <c r="E43">
        <v>-7.5899999999999995E-2</v>
      </c>
      <c r="F43">
        <v>1.01E-2</v>
      </c>
      <c r="G43">
        <v>3.1399999999999997E-2</v>
      </c>
      <c r="H43">
        <v>-1.1177999999999999</v>
      </c>
      <c r="I43">
        <v>0</v>
      </c>
      <c r="J43">
        <v>0</v>
      </c>
      <c r="K43">
        <v>0</v>
      </c>
      <c r="L43">
        <v>0.39600000000000002</v>
      </c>
    </row>
    <row r="44" spans="1:12" x14ac:dyDescent="0.35">
      <c r="A44">
        <v>0.9</v>
      </c>
      <c r="B44">
        <v>0.52880000000000005</v>
      </c>
      <c r="C44">
        <v>4.6699999999999997E-3</v>
      </c>
      <c r="D44">
        <v>1.0200000000000001E-3</v>
      </c>
      <c r="E44">
        <v>-7.5800000000000006E-2</v>
      </c>
      <c r="F44">
        <v>9.4000000000000004E-3</v>
      </c>
      <c r="G44">
        <v>3.4799999999999998E-2</v>
      </c>
      <c r="H44">
        <v>-1.1888000000000001</v>
      </c>
      <c r="I44">
        <v>0</v>
      </c>
      <c r="J44">
        <v>0</v>
      </c>
      <c r="K44">
        <v>0</v>
      </c>
      <c r="L44">
        <v>0.39269999999999999</v>
      </c>
    </row>
    <row r="45" spans="1:12" x14ac:dyDescent="0.35">
      <c r="A45">
        <v>0.95</v>
      </c>
      <c r="B45">
        <v>0.5403</v>
      </c>
      <c r="C45">
        <v>4.6800000000000001E-3</v>
      </c>
      <c r="D45">
        <v>1.0300000000000001E-3</v>
      </c>
      <c r="E45">
        <v>-7.5700000000000003E-2</v>
      </c>
      <c r="F45">
        <v>8.8000000000000005E-3</v>
      </c>
      <c r="G45">
        <v>3.8399999999999997E-2</v>
      </c>
      <c r="H45">
        <v>-1.2625999999999999</v>
      </c>
      <c r="I45">
        <v>0</v>
      </c>
      <c r="J45">
        <v>0</v>
      </c>
      <c r="K45">
        <v>0</v>
      </c>
      <c r="L45">
        <v>0.38950000000000001</v>
      </c>
    </row>
    <row r="46" spans="1:12" x14ac:dyDescent="0.35">
      <c r="A46">
        <v>1</v>
      </c>
      <c r="B46">
        <v>0.55189999999999995</v>
      </c>
      <c r="C46">
        <v>4.6800000000000001E-3</v>
      </c>
      <c r="D46">
        <v>1.0499999999999999E-3</v>
      </c>
      <c r="E46">
        <v>-7.5600000000000001E-2</v>
      </c>
      <c r="F46">
        <v>8.2000000000000007E-3</v>
      </c>
      <c r="G46">
        <v>0.05</v>
      </c>
      <c r="H46">
        <v>-1.3392999999999999</v>
      </c>
      <c r="I46">
        <v>0</v>
      </c>
      <c r="J46">
        <v>0</v>
      </c>
      <c r="K46">
        <v>0</v>
      </c>
      <c r="L46">
        <v>0.38629999999999998</v>
      </c>
    </row>
    <row r="47" spans="1:12" x14ac:dyDescent="0.35">
      <c r="A47">
        <v>1.05</v>
      </c>
      <c r="B47">
        <v>0.5635</v>
      </c>
      <c r="C47">
        <v>4.6899999999999997E-3</v>
      </c>
      <c r="D47">
        <v>1.07E-3</v>
      </c>
      <c r="E47">
        <v>-7.5499999999999998E-2</v>
      </c>
      <c r="F47">
        <v>7.6E-3</v>
      </c>
      <c r="G47">
        <v>0.05</v>
      </c>
      <c r="H47">
        <v>-1.4198999999999999</v>
      </c>
      <c r="I47">
        <v>0</v>
      </c>
      <c r="J47">
        <v>0</v>
      </c>
      <c r="K47">
        <v>0</v>
      </c>
      <c r="L47">
        <v>0.38329999999999997</v>
      </c>
    </row>
    <row r="48" spans="1:12" x14ac:dyDescent="0.35">
      <c r="A48">
        <v>1.1000000000000001</v>
      </c>
      <c r="B48">
        <v>0.57520000000000004</v>
      </c>
      <c r="C48">
        <v>4.7000000000000002E-3</v>
      </c>
      <c r="D48">
        <v>1.09E-3</v>
      </c>
      <c r="E48">
        <v>-7.5399999999999995E-2</v>
      </c>
      <c r="F48">
        <v>7.1000000000000004E-3</v>
      </c>
      <c r="G48">
        <v>0.05</v>
      </c>
      <c r="H48">
        <v>-1.5037</v>
      </c>
      <c r="I48">
        <v>0</v>
      </c>
      <c r="J48">
        <v>0</v>
      </c>
      <c r="K48">
        <v>0</v>
      </c>
      <c r="L48">
        <v>0.38030000000000003</v>
      </c>
    </row>
    <row r="49" spans="1:12" x14ac:dyDescent="0.35">
      <c r="A49">
        <v>1.1499999999999999</v>
      </c>
      <c r="B49">
        <v>0.58699999999999997</v>
      </c>
      <c r="C49">
        <v>4.7200000000000002E-3</v>
      </c>
      <c r="D49">
        <v>1.1000000000000001E-3</v>
      </c>
      <c r="E49">
        <v>-7.5300000000000006E-2</v>
      </c>
      <c r="F49">
        <v>7.0000000000000001E-3</v>
      </c>
      <c r="G49">
        <v>0.05</v>
      </c>
      <c r="H49">
        <v>-1.5906</v>
      </c>
      <c r="I49">
        <v>0</v>
      </c>
      <c r="J49">
        <v>0</v>
      </c>
      <c r="K49">
        <v>0</v>
      </c>
      <c r="L49">
        <v>0.37740000000000001</v>
      </c>
    </row>
    <row r="50" spans="1:12" x14ac:dyDescent="0.35">
      <c r="A50">
        <v>1.2</v>
      </c>
      <c r="B50">
        <v>0.5988</v>
      </c>
      <c r="C50">
        <v>4.7299999999999998E-3</v>
      </c>
      <c r="D50">
        <v>1.1199999999999999E-3</v>
      </c>
      <c r="E50">
        <v>-7.51E-2</v>
      </c>
      <c r="F50">
        <v>6.8999999999999999E-3</v>
      </c>
      <c r="G50">
        <v>0.05</v>
      </c>
      <c r="H50">
        <v>-1.6993</v>
      </c>
      <c r="I50">
        <v>0</v>
      </c>
      <c r="J50">
        <v>0</v>
      </c>
      <c r="K50">
        <v>0</v>
      </c>
      <c r="L50">
        <v>0.37459999999999999</v>
      </c>
    </row>
    <row r="51" spans="1:12" x14ac:dyDescent="0.35">
      <c r="A51">
        <v>1.25</v>
      </c>
      <c r="B51">
        <v>0.61060000000000003</v>
      </c>
      <c r="C51">
        <v>4.7699999999999999E-3</v>
      </c>
      <c r="D51">
        <v>1.14E-3</v>
      </c>
      <c r="E51">
        <v>-7.4899999999999994E-2</v>
      </c>
      <c r="F51">
        <v>6.7999999999999996E-3</v>
      </c>
      <c r="G51">
        <v>2.8899999999999999E-2</v>
      </c>
      <c r="H51">
        <v>-1.8243</v>
      </c>
      <c r="I51">
        <v>0</v>
      </c>
      <c r="J51">
        <v>0</v>
      </c>
      <c r="K51">
        <v>0</v>
      </c>
      <c r="L51">
        <v>0.37180000000000002</v>
      </c>
    </row>
    <row r="52" spans="1:12" x14ac:dyDescent="0.35">
      <c r="A52">
        <v>1.3</v>
      </c>
      <c r="B52">
        <v>0.62260000000000004</v>
      </c>
      <c r="C52">
        <v>4.7800000000000004E-3</v>
      </c>
      <c r="D52">
        <v>1.16E-3</v>
      </c>
      <c r="E52">
        <v>-7.4700000000000003E-2</v>
      </c>
      <c r="F52">
        <v>6.7999999999999996E-3</v>
      </c>
      <c r="G52">
        <v>2.8899999999999999E-2</v>
      </c>
      <c r="H52">
        <v>-1.9548000000000001</v>
      </c>
      <c r="I52">
        <v>0</v>
      </c>
      <c r="J52">
        <v>0</v>
      </c>
      <c r="K52">
        <v>0</v>
      </c>
      <c r="L52">
        <v>0.36919999999999997</v>
      </c>
    </row>
    <row r="53" spans="1:12" x14ac:dyDescent="0.35">
      <c r="A53">
        <v>1.35</v>
      </c>
      <c r="B53">
        <v>0.63460000000000005</v>
      </c>
      <c r="C53">
        <v>4.79E-3</v>
      </c>
      <c r="D53">
        <v>1.1800000000000001E-3</v>
      </c>
      <c r="E53">
        <v>-7.4499999999999997E-2</v>
      </c>
      <c r="F53">
        <v>6.7000000000000002E-3</v>
      </c>
      <c r="G53">
        <v>2.9000000000000001E-2</v>
      </c>
      <c r="H53">
        <v>-2.0939999999999999</v>
      </c>
      <c r="I53">
        <v>0</v>
      </c>
      <c r="J53">
        <v>0</v>
      </c>
      <c r="K53">
        <v>0</v>
      </c>
      <c r="L53">
        <v>0.36649999999999999</v>
      </c>
    </row>
    <row r="54" spans="1:12" x14ac:dyDescent="0.35">
      <c r="A54">
        <v>1.4</v>
      </c>
      <c r="B54">
        <v>0.64670000000000005</v>
      </c>
      <c r="C54">
        <v>4.81E-3</v>
      </c>
      <c r="D54">
        <v>1.1999999999999999E-3</v>
      </c>
      <c r="E54">
        <v>-7.4300000000000005E-2</v>
      </c>
      <c r="F54">
        <v>6.7000000000000002E-3</v>
      </c>
      <c r="G54">
        <v>2.9000000000000001E-2</v>
      </c>
      <c r="H54">
        <v>-2.2421000000000002</v>
      </c>
      <c r="I54">
        <v>0</v>
      </c>
      <c r="J54">
        <v>0</v>
      </c>
      <c r="K54">
        <v>0</v>
      </c>
      <c r="L54">
        <v>0.3639</v>
      </c>
    </row>
    <row r="55" spans="1:12" x14ac:dyDescent="0.35">
      <c r="A55">
        <v>1.45</v>
      </c>
      <c r="B55">
        <v>0.65900000000000003</v>
      </c>
      <c r="C55">
        <v>4.8199999999999996E-3</v>
      </c>
      <c r="D55">
        <v>1.2199999999999999E-3</v>
      </c>
      <c r="E55">
        <v>-7.3999999999999996E-2</v>
      </c>
      <c r="F55">
        <v>6.6E-3</v>
      </c>
      <c r="G55">
        <v>2.9000000000000001E-2</v>
      </c>
      <c r="H55">
        <v>-2.4005999999999998</v>
      </c>
      <c r="I55">
        <v>0</v>
      </c>
      <c r="J55">
        <v>0</v>
      </c>
      <c r="K55">
        <v>0</v>
      </c>
      <c r="L55">
        <v>0.3614</v>
      </c>
    </row>
    <row r="56" spans="1:12" x14ac:dyDescent="0.35">
      <c r="A56">
        <v>1.5</v>
      </c>
      <c r="B56">
        <v>0.67130000000000001</v>
      </c>
      <c r="C56">
        <v>4.8300000000000001E-3</v>
      </c>
      <c r="D56">
        <v>1.25E-3</v>
      </c>
      <c r="E56">
        <v>-7.3800000000000004E-2</v>
      </c>
      <c r="F56">
        <v>6.6E-3</v>
      </c>
      <c r="G56">
        <v>2.9399999999999999E-2</v>
      </c>
      <c r="H56">
        <v>-2.5720999999999998</v>
      </c>
      <c r="I56">
        <v>0</v>
      </c>
      <c r="J56">
        <v>0</v>
      </c>
      <c r="K56">
        <v>0</v>
      </c>
      <c r="L56">
        <v>0.3589</v>
      </c>
    </row>
    <row r="57" spans="1:12" x14ac:dyDescent="0.35">
      <c r="A57">
        <v>1.55</v>
      </c>
      <c r="B57">
        <v>0.68379999999999996</v>
      </c>
      <c r="C57">
        <v>4.8500000000000001E-3</v>
      </c>
      <c r="D57">
        <v>1.2700000000000001E-3</v>
      </c>
      <c r="E57">
        <v>-7.3400000000000007E-2</v>
      </c>
      <c r="F57">
        <v>6.4999999999999997E-3</v>
      </c>
      <c r="G57">
        <v>3.5700000000000003E-2</v>
      </c>
      <c r="H57">
        <v>-2.762</v>
      </c>
      <c r="I57">
        <v>0</v>
      </c>
      <c r="J57">
        <v>0</v>
      </c>
      <c r="K57">
        <v>0</v>
      </c>
      <c r="L57">
        <v>0.35639999999999999</v>
      </c>
    </row>
    <row r="58" spans="1:12" x14ac:dyDescent="0.35">
      <c r="A58">
        <v>1.6</v>
      </c>
      <c r="B58">
        <v>0.69650000000000001</v>
      </c>
      <c r="C58">
        <v>4.8500000000000001E-3</v>
      </c>
      <c r="D58">
        <v>1.31E-3</v>
      </c>
      <c r="E58">
        <v>-7.3099999999999998E-2</v>
      </c>
      <c r="F58">
        <v>6.4000000000000003E-3</v>
      </c>
      <c r="G58">
        <v>0.05</v>
      </c>
      <c r="H58">
        <v>-2.9866000000000001</v>
      </c>
      <c r="I58">
        <v>0</v>
      </c>
      <c r="J58">
        <v>0</v>
      </c>
      <c r="K58">
        <v>0</v>
      </c>
      <c r="L58">
        <v>0.3538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8318D-0D51-49FD-9405-5B306D58503C}">
  <sheetPr codeName="Sheet21"/>
  <dimension ref="A1:L60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-1.65</v>
      </c>
      <c r="B2">
        <v>-5.3100000000000001E-2</v>
      </c>
      <c r="C2">
        <v>5.5900000000000004E-3</v>
      </c>
      <c r="D2">
        <v>2.0999999999999999E-3</v>
      </c>
      <c r="E2">
        <v>-7.8799999999999995E-2</v>
      </c>
      <c r="F2">
        <v>0.05</v>
      </c>
      <c r="G2">
        <v>4.4999999999999997E-3</v>
      </c>
      <c r="H2">
        <v>-3.3111999999999999</v>
      </c>
      <c r="I2">
        <v>0</v>
      </c>
      <c r="J2">
        <v>0</v>
      </c>
      <c r="K2">
        <v>0</v>
      </c>
      <c r="L2">
        <v>-1.2395</v>
      </c>
    </row>
    <row r="3" spans="1:12" x14ac:dyDescent="0.35">
      <c r="A3">
        <v>-1.6</v>
      </c>
      <c r="B3">
        <v>-4.2200000000000001E-2</v>
      </c>
      <c r="C3">
        <v>5.2900000000000004E-3</v>
      </c>
      <c r="D3">
        <v>1.74E-3</v>
      </c>
      <c r="E3">
        <v>-7.85E-2</v>
      </c>
      <c r="F3">
        <v>0.05</v>
      </c>
      <c r="G3">
        <v>4.7000000000000002E-3</v>
      </c>
      <c r="H3">
        <v>-3.2953000000000001</v>
      </c>
      <c r="I3">
        <v>0</v>
      </c>
      <c r="J3">
        <v>0</v>
      </c>
      <c r="K3">
        <v>0</v>
      </c>
      <c r="L3">
        <v>-1.6188</v>
      </c>
    </row>
    <row r="4" spans="1:12" x14ac:dyDescent="0.35">
      <c r="A4">
        <v>-1.55</v>
      </c>
      <c r="B4">
        <v>-3.09E-2</v>
      </c>
      <c r="C4">
        <v>5.0299999999999997E-3</v>
      </c>
      <c r="D4">
        <v>1.42E-3</v>
      </c>
      <c r="E4">
        <v>-7.8200000000000006E-2</v>
      </c>
      <c r="F4">
        <v>0.05</v>
      </c>
      <c r="G4">
        <v>5.3E-3</v>
      </c>
      <c r="H4">
        <v>-3.2387999999999999</v>
      </c>
      <c r="I4">
        <v>0</v>
      </c>
      <c r="J4">
        <v>0</v>
      </c>
      <c r="K4">
        <v>0</v>
      </c>
      <c r="L4">
        <v>-2.2959000000000001</v>
      </c>
    </row>
    <row r="5" spans="1:12" x14ac:dyDescent="0.35">
      <c r="A5">
        <v>-1.5</v>
      </c>
      <c r="B5">
        <v>-1.8800000000000001E-2</v>
      </c>
      <c r="C5">
        <v>4.8500000000000001E-3</v>
      </c>
      <c r="D5">
        <v>1.1900000000000001E-3</v>
      </c>
      <c r="E5">
        <v>-7.7899999999999997E-2</v>
      </c>
      <c r="F5">
        <v>0.05</v>
      </c>
      <c r="G5">
        <v>6.4999999999999997E-3</v>
      </c>
      <c r="H5">
        <v>-3.0739000000000001</v>
      </c>
      <c r="I5">
        <v>0</v>
      </c>
      <c r="J5">
        <v>0</v>
      </c>
      <c r="K5">
        <v>0</v>
      </c>
      <c r="L5">
        <v>-3.9003000000000001</v>
      </c>
    </row>
    <row r="6" spans="1:12" x14ac:dyDescent="0.35">
      <c r="A6">
        <v>-1.45</v>
      </c>
      <c r="B6">
        <v>-6.4999999999999997E-3</v>
      </c>
      <c r="C6">
        <v>4.7699999999999999E-3</v>
      </c>
      <c r="D6">
        <v>1.07E-3</v>
      </c>
      <c r="E6">
        <v>-7.7600000000000002E-2</v>
      </c>
      <c r="F6">
        <v>0.05</v>
      </c>
      <c r="G6">
        <v>7.4999999999999997E-3</v>
      </c>
      <c r="H6">
        <v>-2.8532999999999999</v>
      </c>
      <c r="I6">
        <v>0</v>
      </c>
      <c r="J6">
        <v>0</v>
      </c>
      <c r="K6">
        <v>0</v>
      </c>
      <c r="L6">
        <v>-11.7232</v>
      </c>
    </row>
    <row r="7" spans="1:12" x14ac:dyDescent="0.35">
      <c r="A7">
        <v>-1.4</v>
      </c>
      <c r="B7">
        <v>5.7999999999999996E-3</v>
      </c>
      <c r="C7">
        <v>4.7200000000000002E-3</v>
      </c>
      <c r="D7">
        <v>1E-3</v>
      </c>
      <c r="E7">
        <v>-7.7299999999999994E-2</v>
      </c>
      <c r="F7">
        <v>0.05</v>
      </c>
      <c r="G7">
        <v>8.0999999999999996E-3</v>
      </c>
      <c r="H7">
        <v>-2.7012999999999998</v>
      </c>
      <c r="I7">
        <v>0</v>
      </c>
      <c r="J7">
        <v>0</v>
      </c>
      <c r="K7">
        <v>0</v>
      </c>
      <c r="L7">
        <v>13.7111</v>
      </c>
    </row>
    <row r="8" spans="1:12" x14ac:dyDescent="0.35">
      <c r="A8">
        <v>-1.35</v>
      </c>
      <c r="B8">
        <v>1.7899999999999999E-2</v>
      </c>
      <c r="C8">
        <v>4.6899999999999997E-3</v>
      </c>
      <c r="D8">
        <v>9.5E-4</v>
      </c>
      <c r="E8">
        <v>-7.7100000000000002E-2</v>
      </c>
      <c r="F8">
        <v>0.05</v>
      </c>
      <c r="G8">
        <v>8.3999999999999995E-3</v>
      </c>
      <c r="H8">
        <v>-2.5720999999999998</v>
      </c>
      <c r="I8">
        <v>0</v>
      </c>
      <c r="J8">
        <v>0</v>
      </c>
      <c r="K8">
        <v>0</v>
      </c>
      <c r="L8">
        <v>4.5640000000000001</v>
      </c>
    </row>
    <row r="9" spans="1:12" x14ac:dyDescent="0.35">
      <c r="A9">
        <v>-1.3</v>
      </c>
      <c r="B9">
        <v>0.03</v>
      </c>
      <c r="C9">
        <v>4.6800000000000001E-3</v>
      </c>
      <c r="D9">
        <v>9.2000000000000003E-4</v>
      </c>
      <c r="E9">
        <v>-7.6899999999999996E-2</v>
      </c>
      <c r="F9">
        <v>0.05</v>
      </c>
      <c r="G9">
        <v>8.6E-3</v>
      </c>
      <c r="H9">
        <v>-2.4339</v>
      </c>
      <c r="I9">
        <v>0</v>
      </c>
      <c r="J9">
        <v>0</v>
      </c>
      <c r="K9">
        <v>0</v>
      </c>
      <c r="L9">
        <v>2.82</v>
      </c>
    </row>
    <row r="10" spans="1:12" x14ac:dyDescent="0.35">
      <c r="A10">
        <v>-1.25</v>
      </c>
      <c r="B10">
        <v>4.2000000000000003E-2</v>
      </c>
      <c r="C10">
        <v>4.6600000000000001E-3</v>
      </c>
      <c r="D10">
        <v>8.8999999999999995E-4</v>
      </c>
      <c r="E10">
        <v>-7.6700000000000004E-2</v>
      </c>
      <c r="F10">
        <v>0.05</v>
      </c>
      <c r="G10">
        <v>8.8000000000000005E-3</v>
      </c>
      <c r="H10">
        <v>-2.2976999999999999</v>
      </c>
      <c r="I10">
        <v>0</v>
      </c>
      <c r="J10">
        <v>0</v>
      </c>
      <c r="K10">
        <v>0</v>
      </c>
      <c r="L10">
        <v>2.0819999999999999</v>
      </c>
    </row>
    <row r="11" spans="1:12" x14ac:dyDescent="0.35">
      <c r="A11">
        <v>-1.2</v>
      </c>
      <c r="B11">
        <v>5.3900000000000003E-2</v>
      </c>
      <c r="C11">
        <v>4.6600000000000001E-3</v>
      </c>
      <c r="D11">
        <v>8.8000000000000003E-4</v>
      </c>
      <c r="E11">
        <v>-7.6499999999999999E-2</v>
      </c>
      <c r="F11">
        <v>0.05</v>
      </c>
      <c r="G11">
        <v>8.8999999999999999E-3</v>
      </c>
      <c r="H11">
        <v>-2.1665999999999999</v>
      </c>
      <c r="I11">
        <v>0</v>
      </c>
      <c r="J11">
        <v>0</v>
      </c>
      <c r="K11">
        <v>0</v>
      </c>
      <c r="L11">
        <v>1.6745000000000001</v>
      </c>
    </row>
    <row r="12" spans="1:12" x14ac:dyDescent="0.35">
      <c r="A12">
        <v>-1.1499999999999999</v>
      </c>
      <c r="B12">
        <v>6.5699999999999995E-2</v>
      </c>
      <c r="C12">
        <v>4.6499999999999996E-3</v>
      </c>
      <c r="D12">
        <v>8.5999999999999998E-4</v>
      </c>
      <c r="E12">
        <v>-7.6399999999999996E-2</v>
      </c>
      <c r="F12">
        <v>0.05</v>
      </c>
      <c r="G12">
        <v>8.9999999999999993E-3</v>
      </c>
      <c r="H12">
        <v>-2.0411999999999999</v>
      </c>
      <c r="I12">
        <v>0</v>
      </c>
      <c r="J12">
        <v>0</v>
      </c>
      <c r="K12">
        <v>0</v>
      </c>
      <c r="L12">
        <v>1.4160999999999999</v>
      </c>
    </row>
    <row r="13" spans="1:12" x14ac:dyDescent="0.35">
      <c r="A13">
        <v>-1.1000000000000001</v>
      </c>
      <c r="B13">
        <v>7.7399999999999997E-2</v>
      </c>
      <c r="C13">
        <v>4.64E-3</v>
      </c>
      <c r="D13">
        <v>8.4999999999999995E-4</v>
      </c>
      <c r="E13">
        <v>-7.6300000000000007E-2</v>
      </c>
      <c r="F13">
        <v>0.05</v>
      </c>
      <c r="G13">
        <v>9.1000000000000004E-3</v>
      </c>
      <c r="H13">
        <v>-1.9214</v>
      </c>
      <c r="I13">
        <v>0</v>
      </c>
      <c r="J13">
        <v>0</v>
      </c>
      <c r="K13">
        <v>0</v>
      </c>
      <c r="L13">
        <v>1.2377</v>
      </c>
    </row>
    <row r="14" spans="1:12" x14ac:dyDescent="0.35">
      <c r="A14">
        <v>-1.05</v>
      </c>
      <c r="B14">
        <v>8.8999999999999996E-2</v>
      </c>
      <c r="C14">
        <v>4.64E-3</v>
      </c>
      <c r="D14">
        <v>8.4999999999999995E-4</v>
      </c>
      <c r="E14">
        <v>-7.6100000000000001E-2</v>
      </c>
      <c r="F14">
        <v>0.05</v>
      </c>
      <c r="G14">
        <v>9.1999999999999998E-3</v>
      </c>
      <c r="H14">
        <v>-1.8069</v>
      </c>
      <c r="I14">
        <v>0</v>
      </c>
      <c r="J14">
        <v>0</v>
      </c>
      <c r="K14">
        <v>0</v>
      </c>
      <c r="L14">
        <v>1.1071</v>
      </c>
    </row>
    <row r="15" spans="1:12" x14ac:dyDescent="0.35">
      <c r="A15">
        <v>-1</v>
      </c>
      <c r="B15">
        <v>0.10059999999999999</v>
      </c>
      <c r="C15">
        <v>4.6299999999999996E-3</v>
      </c>
      <c r="D15">
        <v>8.4000000000000003E-4</v>
      </c>
      <c r="E15">
        <v>-7.6100000000000001E-2</v>
      </c>
      <c r="F15">
        <v>0.05</v>
      </c>
      <c r="G15">
        <v>9.2999999999999992E-3</v>
      </c>
      <c r="H15">
        <v>-1.6975</v>
      </c>
      <c r="I15">
        <v>0</v>
      </c>
      <c r="J15">
        <v>0</v>
      </c>
      <c r="K15">
        <v>0</v>
      </c>
      <c r="L15">
        <v>1.0074000000000001</v>
      </c>
    </row>
    <row r="16" spans="1:12" x14ac:dyDescent="0.35">
      <c r="A16">
        <v>-0.95</v>
      </c>
      <c r="B16">
        <v>0.11219999999999999</v>
      </c>
      <c r="C16">
        <v>4.6299999999999996E-3</v>
      </c>
      <c r="D16">
        <v>8.3000000000000001E-4</v>
      </c>
      <c r="E16">
        <v>-7.5999999999999998E-2</v>
      </c>
      <c r="F16">
        <v>0.05</v>
      </c>
      <c r="G16">
        <v>9.4000000000000004E-3</v>
      </c>
      <c r="H16">
        <v>-1.5928</v>
      </c>
      <c r="I16">
        <v>0</v>
      </c>
      <c r="J16">
        <v>0</v>
      </c>
      <c r="K16">
        <v>0</v>
      </c>
      <c r="L16">
        <v>0.92869999999999997</v>
      </c>
    </row>
    <row r="17" spans="1:12" x14ac:dyDescent="0.35">
      <c r="A17">
        <v>-0.9</v>
      </c>
      <c r="B17">
        <v>0.1236</v>
      </c>
      <c r="C17">
        <v>4.6299999999999996E-3</v>
      </c>
      <c r="D17">
        <v>8.3000000000000001E-4</v>
      </c>
      <c r="E17">
        <v>-7.5899999999999995E-2</v>
      </c>
      <c r="F17">
        <v>0.05</v>
      </c>
      <c r="G17">
        <v>9.4000000000000004E-3</v>
      </c>
      <c r="H17">
        <v>-1.4925999999999999</v>
      </c>
      <c r="I17">
        <v>0</v>
      </c>
      <c r="J17">
        <v>0</v>
      </c>
      <c r="K17">
        <v>0</v>
      </c>
      <c r="L17">
        <v>0.86509999999999998</v>
      </c>
    </row>
    <row r="18" spans="1:12" x14ac:dyDescent="0.35">
      <c r="A18">
        <v>-0.85</v>
      </c>
      <c r="B18">
        <v>0.1351</v>
      </c>
      <c r="C18">
        <v>4.6299999999999996E-3</v>
      </c>
      <c r="D18">
        <v>8.1999999999999998E-4</v>
      </c>
      <c r="E18">
        <v>-7.5899999999999995E-2</v>
      </c>
      <c r="F18">
        <v>0.05</v>
      </c>
      <c r="G18">
        <v>9.4999999999999998E-3</v>
      </c>
      <c r="H18">
        <v>-1.3965000000000001</v>
      </c>
      <c r="I18">
        <v>0</v>
      </c>
      <c r="J18">
        <v>0</v>
      </c>
      <c r="K18">
        <v>0</v>
      </c>
      <c r="L18">
        <v>0.8125</v>
      </c>
    </row>
    <row r="19" spans="1:12" x14ac:dyDescent="0.35">
      <c r="A19">
        <v>-0.8</v>
      </c>
      <c r="B19">
        <v>0.14649999999999999</v>
      </c>
      <c r="C19">
        <v>4.6299999999999996E-3</v>
      </c>
      <c r="D19">
        <v>8.1999999999999998E-4</v>
      </c>
      <c r="E19">
        <v>-7.5800000000000006E-2</v>
      </c>
      <c r="F19">
        <v>0.05</v>
      </c>
      <c r="G19">
        <v>9.5999999999999992E-3</v>
      </c>
      <c r="H19">
        <v>-1.3044</v>
      </c>
      <c r="I19">
        <v>0</v>
      </c>
      <c r="J19">
        <v>0</v>
      </c>
      <c r="K19">
        <v>0</v>
      </c>
      <c r="L19">
        <v>0.76839999999999997</v>
      </c>
    </row>
    <row r="20" spans="1:12" x14ac:dyDescent="0.35">
      <c r="A20">
        <v>-0.75</v>
      </c>
      <c r="B20">
        <v>0.1578</v>
      </c>
      <c r="C20">
        <v>4.62E-3</v>
      </c>
      <c r="D20">
        <v>8.0999999999999996E-4</v>
      </c>
      <c r="E20">
        <v>-7.5800000000000006E-2</v>
      </c>
      <c r="F20">
        <v>0.05</v>
      </c>
      <c r="G20">
        <v>9.5999999999999992E-3</v>
      </c>
      <c r="H20">
        <v>-1.2159</v>
      </c>
      <c r="I20">
        <v>0</v>
      </c>
      <c r="J20">
        <v>0</v>
      </c>
      <c r="K20">
        <v>0</v>
      </c>
      <c r="L20">
        <v>0.73080000000000001</v>
      </c>
    </row>
    <row r="21" spans="1:12" x14ac:dyDescent="0.35">
      <c r="A21">
        <v>-0.7</v>
      </c>
      <c r="B21">
        <v>0.1691</v>
      </c>
      <c r="C21">
        <v>4.62E-3</v>
      </c>
      <c r="D21">
        <v>8.0999999999999996E-4</v>
      </c>
      <c r="E21">
        <v>-7.5800000000000006E-2</v>
      </c>
      <c r="F21">
        <v>0.05</v>
      </c>
      <c r="G21">
        <v>9.5999999999999992E-3</v>
      </c>
      <c r="H21">
        <v>-1.131</v>
      </c>
      <c r="I21">
        <v>0</v>
      </c>
      <c r="J21">
        <v>0</v>
      </c>
      <c r="K21">
        <v>0</v>
      </c>
      <c r="L21">
        <v>0.69840000000000002</v>
      </c>
    </row>
    <row r="22" spans="1:12" x14ac:dyDescent="0.35">
      <c r="A22">
        <v>-0.65</v>
      </c>
      <c r="B22">
        <v>0.18010000000000001</v>
      </c>
      <c r="C22">
        <v>4.6499999999999996E-3</v>
      </c>
      <c r="D22">
        <v>8.0999999999999996E-4</v>
      </c>
      <c r="E22">
        <v>-7.5700000000000003E-2</v>
      </c>
      <c r="F22">
        <v>3.4500000000000003E-2</v>
      </c>
      <c r="G22">
        <v>9.7000000000000003E-3</v>
      </c>
      <c r="H22">
        <v>-1.0517000000000001</v>
      </c>
      <c r="I22">
        <v>0</v>
      </c>
      <c r="J22">
        <v>0</v>
      </c>
      <c r="K22">
        <v>0</v>
      </c>
      <c r="L22">
        <v>0.67069999999999996</v>
      </c>
    </row>
    <row r="23" spans="1:12" x14ac:dyDescent="0.35">
      <c r="A23">
        <v>-0.6</v>
      </c>
      <c r="B23">
        <v>0.1913</v>
      </c>
      <c r="C23">
        <v>4.6499999999999996E-3</v>
      </c>
      <c r="D23">
        <v>8.0999999999999996E-4</v>
      </c>
      <c r="E23">
        <v>-7.5700000000000003E-2</v>
      </c>
      <c r="F23">
        <v>3.3099999999999997E-2</v>
      </c>
      <c r="G23">
        <v>9.7000000000000003E-3</v>
      </c>
      <c r="H23">
        <v>-0.97350000000000003</v>
      </c>
      <c r="I23">
        <v>0</v>
      </c>
      <c r="J23">
        <v>0</v>
      </c>
      <c r="K23">
        <v>0</v>
      </c>
      <c r="L23">
        <v>0.64580000000000004</v>
      </c>
    </row>
    <row r="24" spans="1:12" x14ac:dyDescent="0.35">
      <c r="A24">
        <v>-0.55000000000000004</v>
      </c>
      <c r="B24">
        <v>0.2029</v>
      </c>
      <c r="C24">
        <v>4.62E-3</v>
      </c>
      <c r="D24">
        <v>8.0999999999999996E-4</v>
      </c>
      <c r="E24">
        <v>-7.5700000000000003E-2</v>
      </c>
      <c r="F24">
        <v>0.05</v>
      </c>
      <c r="G24">
        <v>9.7999999999999997E-3</v>
      </c>
      <c r="H24">
        <v>-0.89690000000000003</v>
      </c>
      <c r="I24">
        <v>0</v>
      </c>
      <c r="J24">
        <v>0</v>
      </c>
      <c r="K24">
        <v>0</v>
      </c>
      <c r="L24">
        <v>0.62350000000000005</v>
      </c>
    </row>
    <row r="25" spans="1:12" x14ac:dyDescent="0.35">
      <c r="A25">
        <v>-0.5</v>
      </c>
      <c r="B25">
        <v>0.21410000000000001</v>
      </c>
      <c r="C25">
        <v>4.62E-3</v>
      </c>
      <c r="D25">
        <v>8.0999999999999996E-4</v>
      </c>
      <c r="E25">
        <v>-7.5700000000000003E-2</v>
      </c>
      <c r="F25">
        <v>0.05</v>
      </c>
      <c r="G25">
        <v>9.7999999999999997E-3</v>
      </c>
      <c r="H25">
        <v>-0.82399999999999995</v>
      </c>
      <c r="I25">
        <v>0</v>
      </c>
      <c r="J25">
        <v>0</v>
      </c>
      <c r="K25">
        <v>0</v>
      </c>
      <c r="L25">
        <v>0.60389999999999999</v>
      </c>
    </row>
    <row r="26" spans="1:12" x14ac:dyDescent="0.35">
      <c r="A26">
        <v>-0.45</v>
      </c>
      <c r="B26">
        <v>0.2253</v>
      </c>
      <c r="C26">
        <v>4.62E-3</v>
      </c>
      <c r="D26">
        <v>8.0999999999999996E-4</v>
      </c>
      <c r="E26">
        <v>-7.5700000000000003E-2</v>
      </c>
      <c r="F26">
        <v>0.05</v>
      </c>
      <c r="G26">
        <v>9.7999999999999997E-3</v>
      </c>
      <c r="H26">
        <v>-0.75370000000000004</v>
      </c>
      <c r="I26">
        <v>0</v>
      </c>
      <c r="J26">
        <v>0</v>
      </c>
      <c r="K26">
        <v>0</v>
      </c>
      <c r="L26">
        <v>0.58630000000000004</v>
      </c>
    </row>
    <row r="27" spans="1:12" x14ac:dyDescent="0.35">
      <c r="A27">
        <v>-0.4</v>
      </c>
      <c r="B27">
        <v>0.23649999999999999</v>
      </c>
      <c r="C27">
        <v>4.62E-3</v>
      </c>
      <c r="D27">
        <v>8.0999999999999996E-4</v>
      </c>
      <c r="E27">
        <v>-7.5800000000000006E-2</v>
      </c>
      <c r="F27">
        <v>0.05</v>
      </c>
      <c r="G27">
        <v>9.9000000000000008E-3</v>
      </c>
      <c r="H27">
        <v>-0.68600000000000005</v>
      </c>
      <c r="I27">
        <v>0</v>
      </c>
      <c r="J27">
        <v>0</v>
      </c>
      <c r="K27">
        <v>0</v>
      </c>
      <c r="L27">
        <v>0.57040000000000002</v>
      </c>
    </row>
    <row r="28" spans="1:12" x14ac:dyDescent="0.35">
      <c r="A28">
        <v>-0.35</v>
      </c>
      <c r="B28">
        <v>0.2472</v>
      </c>
      <c r="C28">
        <v>4.6499999999999996E-3</v>
      </c>
      <c r="D28">
        <v>8.0999999999999996E-4</v>
      </c>
      <c r="E28">
        <v>-7.5700000000000003E-2</v>
      </c>
      <c r="F28">
        <v>3.3500000000000002E-2</v>
      </c>
      <c r="G28">
        <v>9.9000000000000008E-3</v>
      </c>
      <c r="H28">
        <v>-0.62280000000000002</v>
      </c>
      <c r="I28">
        <v>0</v>
      </c>
      <c r="J28">
        <v>0</v>
      </c>
      <c r="K28">
        <v>0</v>
      </c>
      <c r="L28">
        <v>0.55620000000000003</v>
      </c>
    </row>
    <row r="29" spans="1:12" x14ac:dyDescent="0.35">
      <c r="A29">
        <v>-0.3</v>
      </c>
      <c r="B29">
        <v>0.25829999999999997</v>
      </c>
      <c r="C29">
        <v>4.6600000000000001E-3</v>
      </c>
      <c r="D29">
        <v>8.1999999999999998E-4</v>
      </c>
      <c r="E29">
        <v>-7.5700000000000003E-2</v>
      </c>
      <c r="F29">
        <v>3.2399999999999998E-2</v>
      </c>
      <c r="G29">
        <v>9.9000000000000008E-3</v>
      </c>
      <c r="H29">
        <v>-0.56000000000000005</v>
      </c>
      <c r="I29">
        <v>0</v>
      </c>
      <c r="J29">
        <v>0</v>
      </c>
      <c r="K29">
        <v>0</v>
      </c>
      <c r="L29">
        <v>0.54300000000000004</v>
      </c>
    </row>
    <row r="30" spans="1:12" x14ac:dyDescent="0.35">
      <c r="A30">
        <v>-0.25</v>
      </c>
      <c r="B30">
        <v>0.26939999999999997</v>
      </c>
      <c r="C30">
        <v>4.6699999999999997E-3</v>
      </c>
      <c r="D30">
        <v>8.1999999999999998E-4</v>
      </c>
      <c r="E30">
        <v>-7.5700000000000003E-2</v>
      </c>
      <c r="F30">
        <v>3.1300000000000001E-2</v>
      </c>
      <c r="G30">
        <v>0.01</v>
      </c>
      <c r="H30">
        <v>-0.51570000000000005</v>
      </c>
      <c r="I30">
        <v>0</v>
      </c>
      <c r="J30">
        <v>0</v>
      </c>
      <c r="K30">
        <v>0</v>
      </c>
      <c r="L30">
        <v>0.53090000000000004</v>
      </c>
    </row>
    <row r="31" spans="1:12" x14ac:dyDescent="0.35">
      <c r="A31">
        <v>-0.2</v>
      </c>
      <c r="B31">
        <v>0.28050000000000003</v>
      </c>
      <c r="C31">
        <v>4.6699999999999997E-3</v>
      </c>
      <c r="D31">
        <v>8.3000000000000001E-4</v>
      </c>
      <c r="E31">
        <v>-7.5700000000000003E-2</v>
      </c>
      <c r="F31">
        <v>3.0099999999999998E-2</v>
      </c>
      <c r="G31">
        <v>0.01</v>
      </c>
      <c r="H31">
        <v>-0.52059999999999995</v>
      </c>
      <c r="I31">
        <v>0</v>
      </c>
      <c r="J31">
        <v>0</v>
      </c>
      <c r="K31">
        <v>0</v>
      </c>
      <c r="L31">
        <v>0.51980000000000004</v>
      </c>
    </row>
    <row r="32" spans="1:12" x14ac:dyDescent="0.35">
      <c r="A32">
        <v>-0.15</v>
      </c>
      <c r="B32">
        <v>0.29149999999999998</v>
      </c>
      <c r="C32">
        <v>4.6800000000000001E-3</v>
      </c>
      <c r="D32">
        <v>8.3000000000000001E-4</v>
      </c>
      <c r="E32">
        <v>-7.5700000000000003E-2</v>
      </c>
      <c r="F32">
        <v>2.9000000000000001E-2</v>
      </c>
      <c r="G32">
        <v>1.01E-2</v>
      </c>
      <c r="H32">
        <v>-0.52559999999999996</v>
      </c>
      <c r="I32">
        <v>0</v>
      </c>
      <c r="J32">
        <v>0</v>
      </c>
      <c r="K32">
        <v>0</v>
      </c>
      <c r="L32">
        <v>0.50960000000000005</v>
      </c>
    </row>
    <row r="33" spans="1:12" x14ac:dyDescent="0.35">
      <c r="A33">
        <v>-0.1</v>
      </c>
      <c r="B33">
        <v>0.30259999999999998</v>
      </c>
      <c r="C33">
        <v>4.6800000000000001E-3</v>
      </c>
      <c r="D33">
        <v>8.4000000000000003E-4</v>
      </c>
      <c r="E33">
        <v>-7.5700000000000003E-2</v>
      </c>
      <c r="F33">
        <v>2.69E-2</v>
      </c>
      <c r="G33">
        <v>1.01E-2</v>
      </c>
      <c r="H33">
        <v>-0.53059999999999996</v>
      </c>
      <c r="I33">
        <v>0</v>
      </c>
      <c r="J33">
        <v>0</v>
      </c>
      <c r="K33">
        <v>0</v>
      </c>
      <c r="L33">
        <v>0.50009999999999999</v>
      </c>
    </row>
    <row r="34" spans="1:12" x14ac:dyDescent="0.35">
      <c r="A34">
        <v>-0.05</v>
      </c>
      <c r="B34">
        <v>0.31369999999999998</v>
      </c>
      <c r="C34">
        <v>4.6899999999999997E-3</v>
      </c>
      <c r="D34">
        <v>8.4000000000000003E-4</v>
      </c>
      <c r="E34">
        <v>-7.5800000000000006E-2</v>
      </c>
      <c r="F34">
        <v>2.3900000000000001E-2</v>
      </c>
      <c r="G34">
        <v>1.03E-2</v>
      </c>
      <c r="H34">
        <v>-0.53569999999999995</v>
      </c>
      <c r="I34">
        <v>0</v>
      </c>
      <c r="J34">
        <v>0</v>
      </c>
      <c r="K34">
        <v>0</v>
      </c>
      <c r="L34">
        <v>0.49130000000000001</v>
      </c>
    </row>
    <row r="35" spans="1:12" x14ac:dyDescent="0.35">
      <c r="A35">
        <v>0</v>
      </c>
      <c r="B35">
        <v>0.32479999999999998</v>
      </c>
      <c r="C35">
        <v>4.6899999999999997E-3</v>
      </c>
      <c r="D35">
        <v>8.4999999999999995E-4</v>
      </c>
      <c r="E35">
        <v>-7.5800000000000006E-2</v>
      </c>
      <c r="F35">
        <v>2.3400000000000001E-2</v>
      </c>
      <c r="G35">
        <v>1.09E-2</v>
      </c>
      <c r="H35">
        <v>-0.54079999999999995</v>
      </c>
      <c r="I35">
        <v>0</v>
      </c>
      <c r="J35">
        <v>0</v>
      </c>
      <c r="K35">
        <v>0</v>
      </c>
      <c r="L35">
        <v>0.48309999999999997</v>
      </c>
    </row>
    <row r="36" spans="1:12" x14ac:dyDescent="0.35">
      <c r="A36">
        <v>0.05</v>
      </c>
      <c r="B36">
        <v>0.33589999999999998</v>
      </c>
      <c r="C36">
        <v>4.7000000000000002E-3</v>
      </c>
      <c r="D36">
        <v>8.4999999999999995E-4</v>
      </c>
      <c r="E36">
        <v>-7.5800000000000006E-2</v>
      </c>
      <c r="F36">
        <v>2.3300000000000001E-2</v>
      </c>
      <c r="G36">
        <v>1.1599999999999999E-2</v>
      </c>
      <c r="H36">
        <v>-0.54610000000000003</v>
      </c>
      <c r="I36">
        <v>0</v>
      </c>
      <c r="J36">
        <v>0</v>
      </c>
      <c r="K36">
        <v>0</v>
      </c>
      <c r="L36">
        <v>0.47539999999999999</v>
      </c>
    </row>
    <row r="37" spans="1:12" x14ac:dyDescent="0.35">
      <c r="A37">
        <v>0.1</v>
      </c>
      <c r="B37">
        <v>0.34699999999999998</v>
      </c>
      <c r="C37">
        <v>4.7000000000000002E-3</v>
      </c>
      <c r="D37">
        <v>8.5999999999999998E-4</v>
      </c>
      <c r="E37">
        <v>-7.5800000000000006E-2</v>
      </c>
      <c r="F37">
        <v>2.3300000000000001E-2</v>
      </c>
      <c r="G37">
        <v>1.23E-2</v>
      </c>
      <c r="H37">
        <v>-0.55130000000000001</v>
      </c>
      <c r="I37">
        <v>0</v>
      </c>
      <c r="J37">
        <v>0</v>
      </c>
      <c r="K37">
        <v>0</v>
      </c>
      <c r="L37">
        <v>0.46820000000000001</v>
      </c>
    </row>
    <row r="38" spans="1:12" x14ac:dyDescent="0.35">
      <c r="A38">
        <v>0.15</v>
      </c>
      <c r="B38">
        <v>0.35809999999999997</v>
      </c>
      <c r="C38">
        <v>4.7099999999999998E-3</v>
      </c>
      <c r="D38">
        <v>8.7000000000000001E-4</v>
      </c>
      <c r="E38">
        <v>-7.5800000000000006E-2</v>
      </c>
      <c r="F38">
        <v>2.3199999999999998E-2</v>
      </c>
      <c r="G38">
        <v>1.3100000000000001E-2</v>
      </c>
      <c r="H38">
        <v>-0.55669999999999997</v>
      </c>
      <c r="I38">
        <v>0</v>
      </c>
      <c r="J38">
        <v>0</v>
      </c>
      <c r="K38">
        <v>0</v>
      </c>
      <c r="L38">
        <v>0.46139999999999998</v>
      </c>
    </row>
    <row r="39" spans="1:12" x14ac:dyDescent="0.35">
      <c r="A39">
        <v>0.2</v>
      </c>
      <c r="B39">
        <v>0.36919999999999997</v>
      </c>
      <c r="C39">
        <v>4.7099999999999998E-3</v>
      </c>
      <c r="D39">
        <v>8.7000000000000001E-4</v>
      </c>
      <c r="E39">
        <v>-7.5800000000000006E-2</v>
      </c>
      <c r="F39">
        <v>2.3199999999999998E-2</v>
      </c>
      <c r="G39">
        <v>1.4E-2</v>
      </c>
      <c r="H39">
        <v>-0.56210000000000004</v>
      </c>
      <c r="I39">
        <v>0</v>
      </c>
      <c r="J39">
        <v>0</v>
      </c>
      <c r="K39">
        <v>0</v>
      </c>
      <c r="L39">
        <v>0.4551</v>
      </c>
    </row>
    <row r="40" spans="1:12" x14ac:dyDescent="0.35">
      <c r="A40">
        <v>0.25</v>
      </c>
      <c r="B40">
        <v>0.38040000000000002</v>
      </c>
      <c r="C40">
        <v>4.7200000000000002E-3</v>
      </c>
      <c r="D40">
        <v>8.8000000000000003E-4</v>
      </c>
      <c r="E40">
        <v>-7.5899999999999995E-2</v>
      </c>
      <c r="F40">
        <v>2.3099999999999999E-2</v>
      </c>
      <c r="G40">
        <v>1.49E-2</v>
      </c>
      <c r="H40">
        <v>-0.5675</v>
      </c>
      <c r="I40">
        <v>0</v>
      </c>
      <c r="J40">
        <v>0</v>
      </c>
      <c r="K40">
        <v>0</v>
      </c>
      <c r="L40">
        <v>0.44900000000000001</v>
      </c>
    </row>
    <row r="41" spans="1:12" x14ac:dyDescent="0.35">
      <c r="A41">
        <v>0.3</v>
      </c>
      <c r="B41">
        <v>0.39150000000000001</v>
      </c>
      <c r="C41">
        <v>4.7200000000000002E-3</v>
      </c>
      <c r="D41">
        <v>8.8999999999999995E-4</v>
      </c>
      <c r="E41">
        <v>-7.5899999999999995E-2</v>
      </c>
      <c r="F41">
        <v>2.3E-2</v>
      </c>
      <c r="G41">
        <v>1.6E-2</v>
      </c>
      <c r="H41">
        <v>-0.57289999999999996</v>
      </c>
      <c r="I41">
        <v>0</v>
      </c>
      <c r="J41">
        <v>0</v>
      </c>
      <c r="K41">
        <v>0</v>
      </c>
      <c r="L41">
        <v>0.44340000000000002</v>
      </c>
    </row>
    <row r="42" spans="1:12" x14ac:dyDescent="0.35">
      <c r="A42">
        <v>0.35</v>
      </c>
      <c r="B42">
        <v>0.4027</v>
      </c>
      <c r="C42">
        <v>4.7299999999999998E-3</v>
      </c>
      <c r="D42">
        <v>8.9999999999999998E-4</v>
      </c>
      <c r="E42">
        <v>-7.5899999999999995E-2</v>
      </c>
      <c r="F42">
        <v>2.29E-2</v>
      </c>
      <c r="G42">
        <v>1.72E-2</v>
      </c>
      <c r="H42">
        <v>-0.57850000000000001</v>
      </c>
      <c r="I42">
        <v>0</v>
      </c>
      <c r="J42">
        <v>0</v>
      </c>
      <c r="K42">
        <v>0</v>
      </c>
      <c r="L42">
        <v>0.438</v>
      </c>
    </row>
    <row r="43" spans="1:12" x14ac:dyDescent="0.35">
      <c r="A43">
        <v>0.4</v>
      </c>
      <c r="B43">
        <v>0.41370000000000001</v>
      </c>
      <c r="C43">
        <v>4.7400000000000003E-3</v>
      </c>
      <c r="D43">
        <v>9.1E-4</v>
      </c>
      <c r="E43">
        <v>-7.5800000000000006E-2</v>
      </c>
      <c r="F43">
        <v>2.12E-2</v>
      </c>
      <c r="G43">
        <v>1.84E-2</v>
      </c>
      <c r="H43">
        <v>-0.58399999999999996</v>
      </c>
      <c r="I43">
        <v>0</v>
      </c>
      <c r="J43">
        <v>0</v>
      </c>
      <c r="K43">
        <v>0</v>
      </c>
      <c r="L43">
        <v>0.43290000000000001</v>
      </c>
    </row>
    <row r="44" spans="1:12" x14ac:dyDescent="0.35">
      <c r="A44">
        <v>0.45</v>
      </c>
      <c r="B44">
        <v>0.42470000000000002</v>
      </c>
      <c r="C44">
        <v>4.7600000000000003E-3</v>
      </c>
      <c r="D44">
        <v>9.3000000000000005E-4</v>
      </c>
      <c r="E44">
        <v>-7.5800000000000006E-2</v>
      </c>
      <c r="F44">
        <v>1.61E-2</v>
      </c>
      <c r="G44">
        <v>1.8700000000000001E-2</v>
      </c>
      <c r="H44">
        <v>-0.62029999999999996</v>
      </c>
      <c r="I44">
        <v>0</v>
      </c>
      <c r="J44">
        <v>0</v>
      </c>
      <c r="K44">
        <v>0</v>
      </c>
      <c r="L44">
        <v>0.42799999999999999</v>
      </c>
    </row>
    <row r="45" spans="1:12" x14ac:dyDescent="0.35">
      <c r="A45">
        <v>0.5</v>
      </c>
      <c r="B45">
        <v>0.43590000000000001</v>
      </c>
      <c r="C45">
        <v>4.7699999999999999E-3</v>
      </c>
      <c r="D45">
        <v>9.3999999999999997E-4</v>
      </c>
      <c r="E45">
        <v>-7.5800000000000006E-2</v>
      </c>
      <c r="F45">
        <v>1.43E-2</v>
      </c>
      <c r="G45">
        <v>2.01E-2</v>
      </c>
      <c r="H45">
        <v>-0.67530000000000001</v>
      </c>
      <c r="I45">
        <v>0</v>
      </c>
      <c r="J45">
        <v>0</v>
      </c>
      <c r="K45">
        <v>0</v>
      </c>
      <c r="L45">
        <v>0.4234</v>
      </c>
    </row>
    <row r="46" spans="1:12" x14ac:dyDescent="0.35">
      <c r="A46">
        <v>0.55000000000000004</v>
      </c>
      <c r="B46">
        <v>0.4471</v>
      </c>
      <c r="C46">
        <v>4.7800000000000004E-3</v>
      </c>
      <c r="D46">
        <v>9.5E-4</v>
      </c>
      <c r="E46">
        <v>-7.5800000000000006E-2</v>
      </c>
      <c r="F46">
        <v>1.38E-2</v>
      </c>
      <c r="G46">
        <v>2.23E-2</v>
      </c>
      <c r="H46">
        <v>-0.73209999999999997</v>
      </c>
      <c r="I46">
        <v>0</v>
      </c>
      <c r="J46">
        <v>0</v>
      </c>
      <c r="K46">
        <v>0</v>
      </c>
      <c r="L46">
        <v>0.41889999999999999</v>
      </c>
    </row>
    <row r="47" spans="1:12" x14ac:dyDescent="0.35">
      <c r="A47">
        <v>0.6</v>
      </c>
      <c r="B47">
        <v>0.45839999999999997</v>
      </c>
      <c r="C47">
        <v>4.7800000000000004E-3</v>
      </c>
      <c r="D47">
        <v>9.6000000000000002E-4</v>
      </c>
      <c r="E47">
        <v>-7.5700000000000003E-2</v>
      </c>
      <c r="F47">
        <v>1.37E-2</v>
      </c>
      <c r="G47">
        <v>2.4199999999999999E-2</v>
      </c>
      <c r="H47">
        <v>-0.79069999999999996</v>
      </c>
      <c r="I47">
        <v>0</v>
      </c>
      <c r="J47">
        <v>0</v>
      </c>
      <c r="K47">
        <v>0</v>
      </c>
      <c r="L47">
        <v>0.41470000000000001</v>
      </c>
    </row>
    <row r="48" spans="1:12" x14ac:dyDescent="0.35">
      <c r="A48">
        <v>0.65</v>
      </c>
      <c r="B48">
        <v>0.46970000000000001</v>
      </c>
      <c r="C48">
        <v>4.79E-3</v>
      </c>
      <c r="D48">
        <v>9.7000000000000005E-4</v>
      </c>
      <c r="E48">
        <v>-7.5700000000000003E-2</v>
      </c>
      <c r="F48">
        <v>1.3599999999999999E-2</v>
      </c>
      <c r="G48">
        <v>2.5999999999999999E-2</v>
      </c>
      <c r="H48">
        <v>-0.85119999999999996</v>
      </c>
      <c r="I48">
        <v>0</v>
      </c>
      <c r="J48">
        <v>0</v>
      </c>
      <c r="K48">
        <v>0</v>
      </c>
      <c r="L48">
        <v>0.41060000000000002</v>
      </c>
    </row>
    <row r="49" spans="1:12" x14ac:dyDescent="0.35">
      <c r="A49">
        <v>0.7</v>
      </c>
      <c r="B49">
        <v>0.48099999999999998</v>
      </c>
      <c r="C49">
        <v>4.79E-3</v>
      </c>
      <c r="D49">
        <v>9.8999999999999999E-4</v>
      </c>
      <c r="E49">
        <v>-7.5700000000000003E-2</v>
      </c>
      <c r="F49">
        <v>1.34E-2</v>
      </c>
      <c r="G49">
        <v>2.8899999999999999E-2</v>
      </c>
      <c r="H49">
        <v>-0.91349999999999998</v>
      </c>
      <c r="I49">
        <v>0</v>
      </c>
      <c r="J49">
        <v>0</v>
      </c>
      <c r="K49">
        <v>0</v>
      </c>
      <c r="L49">
        <v>0.40670000000000001</v>
      </c>
    </row>
    <row r="50" spans="1:12" x14ac:dyDescent="0.35">
      <c r="A50">
        <v>0.75</v>
      </c>
      <c r="B50">
        <v>0.49230000000000002</v>
      </c>
      <c r="C50">
        <v>4.81E-3</v>
      </c>
      <c r="D50">
        <v>1E-3</v>
      </c>
      <c r="E50">
        <v>-7.5600000000000001E-2</v>
      </c>
      <c r="F50">
        <v>1.32E-2</v>
      </c>
      <c r="G50">
        <v>0.03</v>
      </c>
      <c r="H50">
        <v>-0.97789999999999999</v>
      </c>
      <c r="I50">
        <v>0</v>
      </c>
      <c r="J50">
        <v>0</v>
      </c>
      <c r="K50">
        <v>0</v>
      </c>
      <c r="L50">
        <v>0.40300000000000002</v>
      </c>
    </row>
    <row r="51" spans="1:12" x14ac:dyDescent="0.35">
      <c r="A51">
        <v>0.8</v>
      </c>
      <c r="B51">
        <v>0.50360000000000005</v>
      </c>
      <c r="C51">
        <v>4.8199999999999996E-3</v>
      </c>
      <c r="D51">
        <v>1.0200000000000001E-3</v>
      </c>
      <c r="E51">
        <v>-7.5600000000000001E-2</v>
      </c>
      <c r="F51">
        <v>1.23E-2</v>
      </c>
      <c r="G51">
        <v>3.4099999999999998E-2</v>
      </c>
      <c r="H51">
        <v>-1.0438000000000001</v>
      </c>
      <c r="I51">
        <v>0</v>
      </c>
      <c r="J51">
        <v>0</v>
      </c>
      <c r="K51">
        <v>0</v>
      </c>
      <c r="L51">
        <v>0.39939999999999998</v>
      </c>
    </row>
    <row r="52" spans="1:12" x14ac:dyDescent="0.35">
      <c r="A52">
        <v>0.85</v>
      </c>
      <c r="B52">
        <v>0.51490000000000002</v>
      </c>
      <c r="C52">
        <v>4.8300000000000001E-3</v>
      </c>
      <c r="D52">
        <v>1.0399999999999999E-3</v>
      </c>
      <c r="E52">
        <v>-7.5499999999999998E-2</v>
      </c>
      <c r="F52">
        <v>1.14E-2</v>
      </c>
      <c r="G52">
        <v>3.7900000000000003E-2</v>
      </c>
      <c r="H52">
        <v>-1.1115999999999999</v>
      </c>
      <c r="I52">
        <v>0</v>
      </c>
      <c r="J52">
        <v>0</v>
      </c>
      <c r="K52">
        <v>0</v>
      </c>
      <c r="L52">
        <v>0.39589999999999997</v>
      </c>
    </row>
    <row r="53" spans="1:12" x14ac:dyDescent="0.35">
      <c r="A53">
        <v>0.9</v>
      </c>
      <c r="B53">
        <v>0.52629999999999999</v>
      </c>
      <c r="C53">
        <v>4.8300000000000001E-3</v>
      </c>
      <c r="D53">
        <v>1.06E-3</v>
      </c>
      <c r="E53">
        <v>-7.5399999999999995E-2</v>
      </c>
      <c r="F53">
        <v>1.06E-2</v>
      </c>
      <c r="G53">
        <v>0.05</v>
      </c>
      <c r="H53">
        <v>-1.1814</v>
      </c>
      <c r="I53">
        <v>0</v>
      </c>
      <c r="J53">
        <v>0</v>
      </c>
      <c r="K53">
        <v>0</v>
      </c>
      <c r="L53">
        <v>0.3926</v>
      </c>
    </row>
    <row r="54" spans="1:12" x14ac:dyDescent="0.35">
      <c r="A54">
        <v>0.95</v>
      </c>
      <c r="B54">
        <v>0.53779999999999994</v>
      </c>
      <c r="C54">
        <v>4.8500000000000001E-3</v>
      </c>
      <c r="D54">
        <v>1.08E-3</v>
      </c>
      <c r="E54">
        <v>-7.5300000000000006E-2</v>
      </c>
      <c r="F54">
        <v>9.7999999999999997E-3</v>
      </c>
      <c r="G54">
        <v>0.05</v>
      </c>
      <c r="H54">
        <v>-1.2545999999999999</v>
      </c>
      <c r="I54">
        <v>0</v>
      </c>
      <c r="J54">
        <v>0</v>
      </c>
      <c r="K54">
        <v>0</v>
      </c>
      <c r="L54">
        <v>0.38929999999999998</v>
      </c>
    </row>
    <row r="55" spans="1:12" x14ac:dyDescent="0.35">
      <c r="A55">
        <v>1</v>
      </c>
      <c r="B55">
        <v>0.54930000000000001</v>
      </c>
      <c r="C55">
        <v>4.8599999999999997E-3</v>
      </c>
      <c r="D55">
        <v>1.1000000000000001E-3</v>
      </c>
      <c r="E55">
        <v>-7.5200000000000003E-2</v>
      </c>
      <c r="F55">
        <v>9.1000000000000004E-3</v>
      </c>
      <c r="G55">
        <v>0.05</v>
      </c>
      <c r="H55">
        <v>-1.331</v>
      </c>
      <c r="I55">
        <v>0</v>
      </c>
      <c r="J55">
        <v>0</v>
      </c>
      <c r="K55">
        <v>0</v>
      </c>
      <c r="L55">
        <v>0.3861</v>
      </c>
    </row>
    <row r="56" spans="1:12" x14ac:dyDescent="0.35">
      <c r="A56">
        <v>1.05</v>
      </c>
      <c r="B56">
        <v>0.56089999999999995</v>
      </c>
      <c r="C56">
        <v>4.8799999999999998E-3</v>
      </c>
      <c r="D56">
        <v>1.1199999999999999E-3</v>
      </c>
      <c r="E56">
        <v>-7.51E-2</v>
      </c>
      <c r="F56">
        <v>8.5000000000000006E-3</v>
      </c>
      <c r="G56">
        <v>0.05</v>
      </c>
      <c r="H56">
        <v>-1.4109</v>
      </c>
      <c r="I56">
        <v>0</v>
      </c>
      <c r="J56">
        <v>0</v>
      </c>
      <c r="K56">
        <v>0</v>
      </c>
      <c r="L56">
        <v>0.3831</v>
      </c>
    </row>
    <row r="57" spans="1:12" x14ac:dyDescent="0.35">
      <c r="A57">
        <v>1.1000000000000001</v>
      </c>
      <c r="B57">
        <v>0.57250000000000001</v>
      </c>
      <c r="C57">
        <v>4.8900000000000002E-3</v>
      </c>
      <c r="D57">
        <v>1.14E-3</v>
      </c>
      <c r="E57">
        <v>-7.4899999999999994E-2</v>
      </c>
      <c r="F57">
        <v>7.9000000000000008E-3</v>
      </c>
      <c r="G57">
        <v>0.05</v>
      </c>
      <c r="H57">
        <v>-1.4943</v>
      </c>
      <c r="I57">
        <v>0</v>
      </c>
      <c r="J57">
        <v>0</v>
      </c>
      <c r="K57">
        <v>0</v>
      </c>
      <c r="L57">
        <v>0.38009999999999999</v>
      </c>
    </row>
    <row r="58" spans="1:12" x14ac:dyDescent="0.35">
      <c r="A58">
        <v>1.1499999999999999</v>
      </c>
      <c r="B58">
        <v>0.58420000000000005</v>
      </c>
      <c r="C58">
        <v>4.8999999999999998E-3</v>
      </c>
      <c r="D58">
        <v>1.15E-3</v>
      </c>
      <c r="E58">
        <v>-7.4800000000000005E-2</v>
      </c>
      <c r="F58">
        <v>7.3000000000000001E-3</v>
      </c>
      <c r="G58">
        <v>0.05</v>
      </c>
      <c r="H58">
        <v>-1.5814999999999999</v>
      </c>
      <c r="I58">
        <v>0</v>
      </c>
      <c r="J58">
        <v>0</v>
      </c>
      <c r="K58">
        <v>0</v>
      </c>
      <c r="L58">
        <v>0.37719999999999998</v>
      </c>
    </row>
    <row r="59" spans="1:12" x14ac:dyDescent="0.35">
      <c r="A59">
        <v>1.2</v>
      </c>
      <c r="B59">
        <v>0.59599999999999997</v>
      </c>
      <c r="C59">
        <v>4.9199999999999999E-3</v>
      </c>
      <c r="D59">
        <v>1.17E-3</v>
      </c>
      <c r="E59">
        <v>-7.46E-2</v>
      </c>
      <c r="F59">
        <v>7.0000000000000001E-3</v>
      </c>
      <c r="G59">
        <v>0.05</v>
      </c>
      <c r="H59">
        <v>-1.6813</v>
      </c>
      <c r="I59">
        <v>0</v>
      </c>
      <c r="J59">
        <v>0</v>
      </c>
      <c r="K59">
        <v>0</v>
      </c>
      <c r="L59">
        <v>0.37440000000000001</v>
      </c>
    </row>
    <row r="60" spans="1:12" x14ac:dyDescent="0.35">
      <c r="A60">
        <v>1.25</v>
      </c>
      <c r="B60">
        <v>0.60780000000000001</v>
      </c>
      <c r="C60">
        <v>4.9300000000000004E-3</v>
      </c>
      <c r="D60">
        <v>1.1900000000000001E-3</v>
      </c>
      <c r="E60">
        <v>-7.4499999999999997E-2</v>
      </c>
      <c r="F60">
        <v>6.8999999999999999E-3</v>
      </c>
      <c r="G60">
        <v>0.05</v>
      </c>
      <c r="H60">
        <v>-1.8053999999999999</v>
      </c>
      <c r="I60">
        <v>0</v>
      </c>
      <c r="J60">
        <v>0</v>
      </c>
      <c r="K60">
        <v>0</v>
      </c>
      <c r="L60">
        <v>0.37169999999999997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32248-9F2B-42CD-A492-F92B7CB3F24A}">
  <sheetPr codeName="Sheet22"/>
  <dimension ref="A1:L67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-1.65</v>
      </c>
      <c r="B2">
        <v>-5.3699999999999998E-2</v>
      </c>
      <c r="C2">
        <v>5.7600000000000004E-3</v>
      </c>
      <c r="D2">
        <v>2.1900000000000001E-3</v>
      </c>
      <c r="E2">
        <v>-7.8600000000000003E-2</v>
      </c>
      <c r="F2">
        <v>0.05</v>
      </c>
      <c r="G2">
        <v>4.4999999999999997E-3</v>
      </c>
      <c r="H2">
        <v>-3.2698</v>
      </c>
      <c r="I2">
        <v>0</v>
      </c>
      <c r="J2">
        <v>0</v>
      </c>
      <c r="K2">
        <v>0</v>
      </c>
      <c r="L2">
        <v>-1.2189000000000001</v>
      </c>
    </row>
    <row r="3" spans="1:12" x14ac:dyDescent="0.35">
      <c r="A3">
        <v>-1.6</v>
      </c>
      <c r="B3">
        <v>-4.2900000000000001E-2</v>
      </c>
      <c r="C3">
        <v>5.45E-3</v>
      </c>
      <c r="D3">
        <v>1.83E-3</v>
      </c>
      <c r="E3">
        <v>-7.8299999999999995E-2</v>
      </c>
      <c r="F3">
        <v>0.05</v>
      </c>
      <c r="G3">
        <v>4.7000000000000002E-3</v>
      </c>
      <c r="H3">
        <v>-3.2574999999999998</v>
      </c>
      <c r="I3">
        <v>0</v>
      </c>
      <c r="J3">
        <v>0</v>
      </c>
      <c r="K3">
        <v>0</v>
      </c>
      <c r="L3">
        <v>-1.5840000000000001</v>
      </c>
    </row>
    <row r="4" spans="1:12" x14ac:dyDescent="0.35">
      <c r="A4">
        <v>-1.55</v>
      </c>
      <c r="B4">
        <v>-3.1600000000000003E-2</v>
      </c>
      <c r="C4">
        <v>5.1900000000000002E-3</v>
      </c>
      <c r="D4">
        <v>1.5E-3</v>
      </c>
      <c r="E4">
        <v>-7.8E-2</v>
      </c>
      <c r="F4">
        <v>0.05</v>
      </c>
      <c r="G4">
        <v>5.1999999999999998E-3</v>
      </c>
      <c r="H4">
        <v>-3.2061999999999999</v>
      </c>
      <c r="I4">
        <v>0</v>
      </c>
      <c r="J4">
        <v>0</v>
      </c>
      <c r="K4">
        <v>0</v>
      </c>
      <c r="L4">
        <v>-2.2296999999999998</v>
      </c>
    </row>
    <row r="5" spans="1:12" x14ac:dyDescent="0.35">
      <c r="A5">
        <v>-1.5</v>
      </c>
      <c r="B5">
        <v>-1.9699999999999999E-2</v>
      </c>
      <c r="C5">
        <v>5.0099999999999997E-3</v>
      </c>
      <c r="D5">
        <v>1.2600000000000001E-3</v>
      </c>
      <c r="E5">
        <v>-7.7700000000000005E-2</v>
      </c>
      <c r="F5">
        <v>0.05</v>
      </c>
      <c r="G5">
        <v>6.3E-3</v>
      </c>
      <c r="H5">
        <v>-3.0581999999999998</v>
      </c>
      <c r="I5">
        <v>0</v>
      </c>
      <c r="J5">
        <v>0</v>
      </c>
      <c r="K5">
        <v>0</v>
      </c>
      <c r="L5">
        <v>-3.7160000000000002</v>
      </c>
    </row>
    <row r="6" spans="1:12" x14ac:dyDescent="0.35">
      <c r="A6">
        <v>-1.45</v>
      </c>
      <c r="B6">
        <v>-7.4000000000000003E-3</v>
      </c>
      <c r="C6">
        <v>4.9100000000000003E-3</v>
      </c>
      <c r="D6">
        <v>1.14E-3</v>
      </c>
      <c r="E6">
        <v>-7.7399999999999997E-2</v>
      </c>
      <c r="F6">
        <v>0.05</v>
      </c>
      <c r="G6">
        <v>7.4000000000000003E-3</v>
      </c>
      <c r="H6">
        <v>-2.8451</v>
      </c>
      <c r="I6">
        <v>0</v>
      </c>
      <c r="J6">
        <v>0</v>
      </c>
      <c r="K6">
        <v>0</v>
      </c>
      <c r="L6">
        <v>-10.259399999999999</v>
      </c>
    </row>
    <row r="7" spans="1:12" x14ac:dyDescent="0.35">
      <c r="A7">
        <v>-1.4</v>
      </c>
      <c r="B7">
        <v>4.7999999999999996E-3</v>
      </c>
      <c r="C7">
        <v>4.8599999999999997E-3</v>
      </c>
      <c r="D7">
        <v>1.06E-3</v>
      </c>
      <c r="E7">
        <v>-7.7100000000000002E-2</v>
      </c>
      <c r="F7">
        <v>0.05</v>
      </c>
      <c r="G7">
        <v>8.0000000000000002E-3</v>
      </c>
      <c r="H7">
        <v>-2.6741999999999999</v>
      </c>
      <c r="I7">
        <v>0</v>
      </c>
      <c r="J7">
        <v>0</v>
      </c>
      <c r="K7">
        <v>0</v>
      </c>
      <c r="L7">
        <v>16.214400000000001</v>
      </c>
    </row>
    <row r="8" spans="1:12" x14ac:dyDescent="0.35">
      <c r="A8">
        <v>-1.35</v>
      </c>
      <c r="B8">
        <v>1.7000000000000001E-2</v>
      </c>
      <c r="C8">
        <v>4.8199999999999996E-3</v>
      </c>
      <c r="D8">
        <v>9.8999999999999999E-4</v>
      </c>
      <c r="E8">
        <v>-7.6899999999999996E-2</v>
      </c>
      <c r="F8">
        <v>0.05</v>
      </c>
      <c r="G8">
        <v>8.3000000000000001E-3</v>
      </c>
      <c r="H8">
        <v>-2.5581999999999998</v>
      </c>
      <c r="I8">
        <v>0</v>
      </c>
      <c r="J8">
        <v>0</v>
      </c>
      <c r="K8">
        <v>0</v>
      </c>
      <c r="L8">
        <v>4.7971000000000004</v>
      </c>
    </row>
    <row r="9" spans="1:12" x14ac:dyDescent="0.35">
      <c r="A9">
        <v>-1.3</v>
      </c>
      <c r="B9">
        <v>2.9000000000000001E-2</v>
      </c>
      <c r="C9">
        <v>4.7999999999999996E-3</v>
      </c>
      <c r="D9">
        <v>9.6000000000000002E-4</v>
      </c>
      <c r="E9">
        <v>-7.6700000000000004E-2</v>
      </c>
      <c r="F9">
        <v>0.05</v>
      </c>
      <c r="G9">
        <v>8.5000000000000006E-3</v>
      </c>
      <c r="H9">
        <v>-2.4272999999999998</v>
      </c>
      <c r="I9">
        <v>0</v>
      </c>
      <c r="J9">
        <v>0</v>
      </c>
      <c r="K9">
        <v>0</v>
      </c>
      <c r="L9">
        <v>2.9003000000000001</v>
      </c>
    </row>
    <row r="10" spans="1:12" x14ac:dyDescent="0.35">
      <c r="A10">
        <v>-1.25</v>
      </c>
      <c r="B10">
        <v>4.1000000000000002E-2</v>
      </c>
      <c r="C10">
        <v>4.79E-3</v>
      </c>
      <c r="D10">
        <v>9.3000000000000005E-4</v>
      </c>
      <c r="E10">
        <v>-7.6499999999999999E-2</v>
      </c>
      <c r="F10">
        <v>0.05</v>
      </c>
      <c r="G10">
        <v>8.6999999999999994E-3</v>
      </c>
      <c r="H10">
        <v>-2.2949000000000002</v>
      </c>
      <c r="I10">
        <v>0</v>
      </c>
      <c r="J10">
        <v>0</v>
      </c>
      <c r="K10">
        <v>0</v>
      </c>
      <c r="L10">
        <v>2.1215999999999999</v>
      </c>
    </row>
    <row r="11" spans="1:12" x14ac:dyDescent="0.35">
      <c r="A11">
        <v>-1.2</v>
      </c>
      <c r="B11">
        <v>5.28E-2</v>
      </c>
      <c r="C11">
        <v>4.7800000000000004E-3</v>
      </c>
      <c r="D11">
        <v>9.1E-4</v>
      </c>
      <c r="E11">
        <v>-7.6300000000000007E-2</v>
      </c>
      <c r="F11">
        <v>0.05</v>
      </c>
      <c r="G11">
        <v>8.8999999999999999E-3</v>
      </c>
      <c r="H11">
        <v>-2.1657999999999999</v>
      </c>
      <c r="I11">
        <v>0</v>
      </c>
      <c r="J11">
        <v>0</v>
      </c>
      <c r="K11">
        <v>0</v>
      </c>
      <c r="L11">
        <v>1.6978</v>
      </c>
    </row>
    <row r="12" spans="1:12" x14ac:dyDescent="0.35">
      <c r="A12">
        <v>-1.1499999999999999</v>
      </c>
      <c r="B12">
        <v>6.4600000000000005E-2</v>
      </c>
      <c r="C12">
        <v>4.7699999999999999E-3</v>
      </c>
      <c r="D12">
        <v>8.9999999999999998E-4</v>
      </c>
      <c r="E12">
        <v>-7.6200000000000004E-2</v>
      </c>
      <c r="F12">
        <v>0.05</v>
      </c>
      <c r="G12">
        <v>8.9999999999999993E-3</v>
      </c>
      <c r="H12">
        <v>-2.0415000000000001</v>
      </c>
      <c r="I12">
        <v>0</v>
      </c>
      <c r="J12">
        <v>0</v>
      </c>
      <c r="K12">
        <v>0</v>
      </c>
      <c r="L12">
        <v>1.4313</v>
      </c>
    </row>
    <row r="13" spans="1:12" x14ac:dyDescent="0.35">
      <c r="A13">
        <v>-1.1000000000000001</v>
      </c>
      <c r="B13">
        <v>7.6300000000000007E-2</v>
      </c>
      <c r="C13">
        <v>4.7600000000000003E-3</v>
      </c>
      <c r="D13">
        <v>8.8000000000000003E-4</v>
      </c>
      <c r="E13">
        <v>-7.5999999999999998E-2</v>
      </c>
      <c r="F13">
        <v>0.05</v>
      </c>
      <c r="G13">
        <v>9.1000000000000004E-3</v>
      </c>
      <c r="H13">
        <v>-1.9225000000000001</v>
      </c>
      <c r="I13">
        <v>0</v>
      </c>
      <c r="J13">
        <v>0</v>
      </c>
      <c r="K13">
        <v>0</v>
      </c>
      <c r="L13">
        <v>1.2483</v>
      </c>
    </row>
    <row r="14" spans="1:12" x14ac:dyDescent="0.35">
      <c r="A14">
        <v>-1.05</v>
      </c>
      <c r="B14">
        <v>8.7999999999999995E-2</v>
      </c>
      <c r="C14">
        <v>4.7600000000000003E-3</v>
      </c>
      <c r="D14">
        <v>8.7000000000000001E-4</v>
      </c>
      <c r="E14">
        <v>-7.5899999999999995E-2</v>
      </c>
      <c r="F14">
        <v>0.05</v>
      </c>
      <c r="G14">
        <v>9.1999999999999998E-3</v>
      </c>
      <c r="H14">
        <v>-1.8085</v>
      </c>
      <c r="I14">
        <v>0</v>
      </c>
      <c r="J14">
        <v>0</v>
      </c>
      <c r="K14">
        <v>0</v>
      </c>
      <c r="L14">
        <v>1.1148</v>
      </c>
    </row>
    <row r="15" spans="1:12" x14ac:dyDescent="0.35">
      <c r="A15">
        <v>-1</v>
      </c>
      <c r="B15">
        <v>9.9599999999999994E-2</v>
      </c>
      <c r="C15">
        <v>4.7499999999999999E-3</v>
      </c>
      <c r="D15">
        <v>8.7000000000000001E-4</v>
      </c>
      <c r="E15">
        <v>-7.5800000000000006E-2</v>
      </c>
      <c r="F15">
        <v>0.05</v>
      </c>
      <c r="G15">
        <v>9.2999999999999992E-3</v>
      </c>
      <c r="H15">
        <v>-1.6994</v>
      </c>
      <c r="I15">
        <v>0</v>
      </c>
      <c r="J15">
        <v>0</v>
      </c>
      <c r="K15">
        <v>0</v>
      </c>
      <c r="L15">
        <v>1.0132000000000001</v>
      </c>
    </row>
    <row r="16" spans="1:12" x14ac:dyDescent="0.35">
      <c r="A16">
        <v>-0.95</v>
      </c>
      <c r="B16">
        <v>0.1111</v>
      </c>
      <c r="C16">
        <v>4.7499999999999999E-3</v>
      </c>
      <c r="D16">
        <v>8.5999999999999998E-4</v>
      </c>
      <c r="E16">
        <v>-7.5800000000000006E-2</v>
      </c>
      <c r="F16">
        <v>0.05</v>
      </c>
      <c r="G16">
        <v>9.4000000000000004E-3</v>
      </c>
      <c r="H16">
        <v>-1.595</v>
      </c>
      <c r="I16">
        <v>0</v>
      </c>
      <c r="J16">
        <v>0</v>
      </c>
      <c r="K16">
        <v>0</v>
      </c>
      <c r="L16">
        <v>0.93320000000000003</v>
      </c>
    </row>
    <row r="17" spans="1:12" x14ac:dyDescent="0.35">
      <c r="A17">
        <v>-0.9</v>
      </c>
      <c r="B17">
        <v>0.1226</v>
      </c>
      <c r="C17">
        <v>4.7499999999999999E-3</v>
      </c>
      <c r="D17">
        <v>8.4999999999999995E-4</v>
      </c>
      <c r="E17">
        <v>-7.5700000000000003E-2</v>
      </c>
      <c r="F17">
        <v>0.05</v>
      </c>
      <c r="G17">
        <v>9.4000000000000004E-3</v>
      </c>
      <c r="H17">
        <v>-1.4948999999999999</v>
      </c>
      <c r="I17">
        <v>0</v>
      </c>
      <c r="J17">
        <v>0</v>
      </c>
      <c r="K17">
        <v>0</v>
      </c>
      <c r="L17">
        <v>0.86860000000000004</v>
      </c>
    </row>
    <row r="18" spans="1:12" x14ac:dyDescent="0.35">
      <c r="A18">
        <v>-0.85</v>
      </c>
      <c r="B18">
        <v>0.13400000000000001</v>
      </c>
      <c r="C18">
        <v>4.7400000000000003E-3</v>
      </c>
      <c r="D18">
        <v>8.4999999999999995E-4</v>
      </c>
      <c r="E18">
        <v>-7.5600000000000001E-2</v>
      </c>
      <c r="F18">
        <v>0.05</v>
      </c>
      <c r="G18">
        <v>9.4999999999999998E-3</v>
      </c>
      <c r="H18">
        <v>-1.399</v>
      </c>
      <c r="I18">
        <v>0</v>
      </c>
      <c r="J18">
        <v>0</v>
      </c>
      <c r="K18">
        <v>0</v>
      </c>
      <c r="L18">
        <v>0.81540000000000001</v>
      </c>
    </row>
    <row r="19" spans="1:12" x14ac:dyDescent="0.35">
      <c r="A19">
        <v>-0.8</v>
      </c>
      <c r="B19">
        <v>0.1454</v>
      </c>
      <c r="C19">
        <v>4.7400000000000003E-3</v>
      </c>
      <c r="D19">
        <v>8.4000000000000003E-4</v>
      </c>
      <c r="E19">
        <v>-7.5600000000000001E-2</v>
      </c>
      <c r="F19">
        <v>0.05</v>
      </c>
      <c r="G19">
        <v>9.4999999999999998E-3</v>
      </c>
      <c r="H19">
        <v>-1.3069999999999999</v>
      </c>
      <c r="I19">
        <v>0</v>
      </c>
      <c r="J19">
        <v>0</v>
      </c>
      <c r="K19">
        <v>0</v>
      </c>
      <c r="L19">
        <v>0.77080000000000004</v>
      </c>
    </row>
    <row r="20" spans="1:12" x14ac:dyDescent="0.35">
      <c r="A20">
        <v>-0.75</v>
      </c>
      <c r="B20">
        <v>0.15670000000000001</v>
      </c>
      <c r="C20">
        <v>4.7400000000000003E-3</v>
      </c>
      <c r="D20">
        <v>8.4000000000000003E-4</v>
      </c>
      <c r="E20">
        <v>-7.5600000000000001E-2</v>
      </c>
      <c r="F20">
        <v>0.05</v>
      </c>
      <c r="G20">
        <v>9.5999999999999992E-3</v>
      </c>
      <c r="H20">
        <v>-1.2185999999999999</v>
      </c>
      <c r="I20">
        <v>0</v>
      </c>
      <c r="J20">
        <v>0</v>
      </c>
      <c r="K20">
        <v>0</v>
      </c>
      <c r="L20">
        <v>0.73280000000000001</v>
      </c>
    </row>
    <row r="21" spans="1:12" x14ac:dyDescent="0.35">
      <c r="A21">
        <v>-0.7</v>
      </c>
      <c r="B21">
        <v>0.16800000000000001</v>
      </c>
      <c r="C21">
        <v>4.7400000000000003E-3</v>
      </c>
      <c r="D21">
        <v>8.4000000000000003E-4</v>
      </c>
      <c r="E21">
        <v>-7.5499999999999998E-2</v>
      </c>
      <c r="F21">
        <v>0.05</v>
      </c>
      <c r="G21">
        <v>9.5999999999999992E-3</v>
      </c>
      <c r="H21">
        <v>-1.1337999999999999</v>
      </c>
      <c r="I21">
        <v>0</v>
      </c>
      <c r="J21">
        <v>0</v>
      </c>
      <c r="K21">
        <v>0</v>
      </c>
      <c r="L21">
        <v>0.70009999999999994</v>
      </c>
    </row>
    <row r="22" spans="1:12" x14ac:dyDescent="0.35">
      <c r="A22">
        <v>-0.65</v>
      </c>
      <c r="B22">
        <v>0.17929999999999999</v>
      </c>
      <c r="C22">
        <v>4.7400000000000003E-3</v>
      </c>
      <c r="D22">
        <v>8.4000000000000003E-4</v>
      </c>
      <c r="E22">
        <v>-7.5499999999999998E-2</v>
      </c>
      <c r="F22">
        <v>0.05</v>
      </c>
      <c r="G22">
        <v>9.7000000000000003E-3</v>
      </c>
      <c r="H22">
        <v>-1.0523</v>
      </c>
      <c r="I22">
        <v>0</v>
      </c>
      <c r="J22">
        <v>0</v>
      </c>
      <c r="K22">
        <v>0</v>
      </c>
      <c r="L22">
        <v>0.67159999999999997</v>
      </c>
    </row>
    <row r="23" spans="1:12" x14ac:dyDescent="0.35">
      <c r="A23">
        <v>-0.6</v>
      </c>
      <c r="B23">
        <v>0.1905</v>
      </c>
      <c r="C23">
        <v>4.7400000000000003E-3</v>
      </c>
      <c r="D23">
        <v>8.3000000000000001E-4</v>
      </c>
      <c r="E23">
        <v>-7.5499999999999998E-2</v>
      </c>
      <c r="F23">
        <v>0.05</v>
      </c>
      <c r="G23">
        <v>9.7000000000000003E-3</v>
      </c>
      <c r="H23">
        <v>-0.97399999999999998</v>
      </c>
      <c r="I23">
        <v>0</v>
      </c>
      <c r="J23">
        <v>0</v>
      </c>
      <c r="K23">
        <v>0</v>
      </c>
      <c r="L23">
        <v>0.64659999999999995</v>
      </c>
    </row>
    <row r="24" spans="1:12" x14ac:dyDescent="0.35">
      <c r="A24">
        <v>-0.55000000000000004</v>
      </c>
      <c r="B24">
        <v>0.20169999999999999</v>
      </c>
      <c r="C24">
        <v>4.7400000000000003E-3</v>
      </c>
      <c r="D24">
        <v>8.3000000000000001E-4</v>
      </c>
      <c r="E24">
        <v>-7.5499999999999998E-2</v>
      </c>
      <c r="F24">
        <v>0.05</v>
      </c>
      <c r="G24">
        <v>9.7999999999999997E-3</v>
      </c>
      <c r="H24">
        <v>-0.89990000000000003</v>
      </c>
      <c r="I24">
        <v>0</v>
      </c>
      <c r="J24">
        <v>0</v>
      </c>
      <c r="K24">
        <v>0</v>
      </c>
      <c r="L24">
        <v>0.62450000000000006</v>
      </c>
    </row>
    <row r="25" spans="1:12" x14ac:dyDescent="0.35">
      <c r="A25">
        <v>-0.5</v>
      </c>
      <c r="B25">
        <v>0.21290000000000001</v>
      </c>
      <c r="C25">
        <v>4.7400000000000003E-3</v>
      </c>
      <c r="D25">
        <v>8.3000000000000001E-4</v>
      </c>
      <c r="E25">
        <v>-7.5499999999999998E-2</v>
      </c>
      <c r="F25">
        <v>0.05</v>
      </c>
      <c r="G25">
        <v>9.7999999999999997E-3</v>
      </c>
      <c r="H25">
        <v>-0.82689999999999997</v>
      </c>
      <c r="I25">
        <v>0</v>
      </c>
      <c r="J25">
        <v>0</v>
      </c>
      <c r="K25">
        <v>0</v>
      </c>
      <c r="L25">
        <v>0.60470000000000002</v>
      </c>
    </row>
    <row r="26" spans="1:12" x14ac:dyDescent="0.35">
      <c r="A26">
        <v>-0.45</v>
      </c>
      <c r="B26">
        <v>0.22409999999999999</v>
      </c>
      <c r="C26">
        <v>4.7400000000000003E-3</v>
      </c>
      <c r="D26">
        <v>8.3000000000000001E-4</v>
      </c>
      <c r="E26">
        <v>-7.5499999999999998E-2</v>
      </c>
      <c r="F26">
        <v>0.05</v>
      </c>
      <c r="G26">
        <v>9.9000000000000008E-3</v>
      </c>
      <c r="H26">
        <v>-0.75670000000000004</v>
      </c>
      <c r="I26">
        <v>0</v>
      </c>
      <c r="J26">
        <v>0</v>
      </c>
      <c r="K26">
        <v>0</v>
      </c>
      <c r="L26">
        <v>0.58699999999999997</v>
      </c>
    </row>
    <row r="27" spans="1:12" x14ac:dyDescent="0.35">
      <c r="A27">
        <v>-0.4</v>
      </c>
      <c r="B27">
        <v>0.23530000000000001</v>
      </c>
      <c r="C27">
        <v>4.7400000000000003E-3</v>
      </c>
      <c r="D27">
        <v>8.3000000000000001E-4</v>
      </c>
      <c r="E27">
        <v>-7.5499999999999998E-2</v>
      </c>
      <c r="F27">
        <v>0.05</v>
      </c>
      <c r="G27">
        <v>9.9000000000000008E-3</v>
      </c>
      <c r="H27">
        <v>-0.68889999999999996</v>
      </c>
      <c r="I27">
        <v>0</v>
      </c>
      <c r="J27">
        <v>0</v>
      </c>
      <c r="K27">
        <v>0</v>
      </c>
      <c r="L27">
        <v>0.57099999999999995</v>
      </c>
    </row>
    <row r="28" spans="1:12" x14ac:dyDescent="0.35">
      <c r="A28">
        <v>-0.35</v>
      </c>
      <c r="B28">
        <v>0.24640000000000001</v>
      </c>
      <c r="C28">
        <v>4.7400000000000003E-3</v>
      </c>
      <c r="D28">
        <v>8.4000000000000003E-4</v>
      </c>
      <c r="E28">
        <v>-7.5499999999999998E-2</v>
      </c>
      <c r="F28">
        <v>0.05</v>
      </c>
      <c r="G28">
        <v>9.9000000000000008E-3</v>
      </c>
      <c r="H28">
        <v>-0.62360000000000004</v>
      </c>
      <c r="I28">
        <v>0</v>
      </c>
      <c r="J28">
        <v>0</v>
      </c>
      <c r="K28">
        <v>0</v>
      </c>
      <c r="L28">
        <v>0.55649999999999999</v>
      </c>
    </row>
    <row r="29" spans="1:12" x14ac:dyDescent="0.35">
      <c r="A29">
        <v>-0.25</v>
      </c>
      <c r="B29">
        <v>0.26819999999999999</v>
      </c>
      <c r="C29">
        <v>4.7800000000000004E-3</v>
      </c>
      <c r="D29">
        <v>8.4000000000000003E-4</v>
      </c>
      <c r="E29">
        <v>-7.5499999999999998E-2</v>
      </c>
      <c r="F29">
        <v>3.3099999999999997E-2</v>
      </c>
      <c r="G29">
        <v>0.01</v>
      </c>
      <c r="H29">
        <v>-0.5151</v>
      </c>
      <c r="I29">
        <v>0</v>
      </c>
      <c r="J29">
        <v>0</v>
      </c>
      <c r="K29">
        <v>0</v>
      </c>
      <c r="L29">
        <v>0.53129999999999999</v>
      </c>
    </row>
    <row r="30" spans="1:12" x14ac:dyDescent="0.35">
      <c r="A30">
        <v>-0.2</v>
      </c>
      <c r="B30">
        <v>0.27929999999999999</v>
      </c>
      <c r="C30">
        <v>4.7800000000000004E-3</v>
      </c>
      <c r="D30">
        <v>8.4999999999999995E-4</v>
      </c>
      <c r="E30">
        <v>-7.5499999999999998E-2</v>
      </c>
      <c r="F30">
        <v>3.1800000000000002E-2</v>
      </c>
      <c r="G30">
        <v>0.01</v>
      </c>
      <c r="H30">
        <v>-0.52</v>
      </c>
      <c r="I30">
        <v>0</v>
      </c>
      <c r="J30">
        <v>0</v>
      </c>
      <c r="K30">
        <v>0</v>
      </c>
      <c r="L30">
        <v>0.52010000000000001</v>
      </c>
    </row>
    <row r="31" spans="1:12" x14ac:dyDescent="0.35">
      <c r="A31">
        <v>-0.15</v>
      </c>
      <c r="B31">
        <v>0.2903</v>
      </c>
      <c r="C31">
        <v>4.79E-3</v>
      </c>
      <c r="D31">
        <v>8.4999999999999995E-4</v>
      </c>
      <c r="E31">
        <v>-7.5499999999999998E-2</v>
      </c>
      <c r="F31">
        <v>3.0599999999999999E-2</v>
      </c>
      <c r="G31">
        <v>1.01E-2</v>
      </c>
      <c r="H31">
        <v>-0.52490000000000003</v>
      </c>
      <c r="I31">
        <v>0</v>
      </c>
      <c r="J31">
        <v>0</v>
      </c>
      <c r="K31">
        <v>0</v>
      </c>
      <c r="L31">
        <v>0.50990000000000002</v>
      </c>
    </row>
    <row r="32" spans="1:12" x14ac:dyDescent="0.35">
      <c r="A32">
        <v>-0.1</v>
      </c>
      <c r="B32">
        <v>0.30130000000000001</v>
      </c>
      <c r="C32">
        <v>4.7999999999999996E-3</v>
      </c>
      <c r="D32">
        <v>8.5999999999999998E-4</v>
      </c>
      <c r="E32">
        <v>-7.5499999999999998E-2</v>
      </c>
      <c r="F32">
        <v>2.93E-2</v>
      </c>
      <c r="G32">
        <v>1.0200000000000001E-2</v>
      </c>
      <c r="H32">
        <v>-0.52990000000000004</v>
      </c>
      <c r="I32">
        <v>0</v>
      </c>
      <c r="J32">
        <v>0</v>
      </c>
      <c r="K32">
        <v>0</v>
      </c>
      <c r="L32">
        <v>0.50029999999999997</v>
      </c>
    </row>
    <row r="33" spans="1:12" x14ac:dyDescent="0.35">
      <c r="A33">
        <v>-0.05</v>
      </c>
      <c r="B33">
        <v>0.31240000000000001</v>
      </c>
      <c r="C33">
        <v>4.81E-3</v>
      </c>
      <c r="D33">
        <v>8.7000000000000001E-4</v>
      </c>
      <c r="E33">
        <v>-7.5499999999999998E-2</v>
      </c>
      <c r="F33">
        <v>2.7E-2</v>
      </c>
      <c r="G33">
        <v>1.0800000000000001E-2</v>
      </c>
      <c r="H33">
        <v>-0.53500000000000003</v>
      </c>
      <c r="I33">
        <v>0</v>
      </c>
      <c r="J33">
        <v>0</v>
      </c>
      <c r="K33">
        <v>0</v>
      </c>
      <c r="L33">
        <v>0.49149999999999999</v>
      </c>
    </row>
    <row r="34" spans="1:12" x14ac:dyDescent="0.35">
      <c r="A34">
        <v>0</v>
      </c>
      <c r="B34">
        <v>0.32340000000000002</v>
      </c>
      <c r="C34">
        <v>4.81E-3</v>
      </c>
      <c r="D34">
        <v>8.7000000000000001E-4</v>
      </c>
      <c r="E34">
        <v>-7.5499999999999998E-2</v>
      </c>
      <c r="F34">
        <v>2.3900000000000001E-2</v>
      </c>
      <c r="G34">
        <v>1.15E-2</v>
      </c>
      <c r="H34">
        <v>-0.54010000000000002</v>
      </c>
      <c r="I34">
        <v>0</v>
      </c>
      <c r="J34">
        <v>0</v>
      </c>
      <c r="K34">
        <v>0</v>
      </c>
      <c r="L34">
        <v>0.48320000000000002</v>
      </c>
    </row>
    <row r="35" spans="1:12" x14ac:dyDescent="0.35">
      <c r="A35">
        <v>0.05</v>
      </c>
      <c r="B35">
        <v>0.33450000000000002</v>
      </c>
      <c r="C35">
        <v>4.8199999999999996E-3</v>
      </c>
      <c r="D35">
        <v>8.8000000000000003E-4</v>
      </c>
      <c r="E35">
        <v>-7.5499999999999998E-2</v>
      </c>
      <c r="F35">
        <v>2.3400000000000001E-2</v>
      </c>
      <c r="G35">
        <v>1.2200000000000001E-2</v>
      </c>
      <c r="H35">
        <v>-0.5454</v>
      </c>
      <c r="I35">
        <v>0</v>
      </c>
      <c r="J35">
        <v>0</v>
      </c>
      <c r="K35">
        <v>0</v>
      </c>
      <c r="L35">
        <v>0.47549999999999998</v>
      </c>
    </row>
    <row r="36" spans="1:12" x14ac:dyDescent="0.35">
      <c r="A36">
        <v>0.1</v>
      </c>
      <c r="B36">
        <v>0.34560000000000002</v>
      </c>
      <c r="C36">
        <v>4.8199999999999996E-3</v>
      </c>
      <c r="D36">
        <v>8.8000000000000003E-4</v>
      </c>
      <c r="E36">
        <v>-7.5499999999999998E-2</v>
      </c>
      <c r="F36">
        <v>2.3300000000000001E-2</v>
      </c>
      <c r="G36">
        <v>1.2999999999999999E-2</v>
      </c>
      <c r="H36">
        <v>-0.55059999999999998</v>
      </c>
      <c r="I36">
        <v>0</v>
      </c>
      <c r="J36">
        <v>0</v>
      </c>
      <c r="K36">
        <v>0</v>
      </c>
      <c r="L36">
        <v>0.46829999999999999</v>
      </c>
    </row>
    <row r="37" spans="1:12" x14ac:dyDescent="0.35">
      <c r="A37">
        <v>0.15</v>
      </c>
      <c r="B37">
        <v>0.35670000000000002</v>
      </c>
      <c r="C37">
        <v>4.8300000000000001E-3</v>
      </c>
      <c r="D37">
        <v>8.8999999999999995E-4</v>
      </c>
      <c r="E37">
        <v>-7.5600000000000001E-2</v>
      </c>
      <c r="F37">
        <v>2.3300000000000001E-2</v>
      </c>
      <c r="G37">
        <v>1.38E-2</v>
      </c>
      <c r="H37">
        <v>-0.55600000000000005</v>
      </c>
      <c r="I37">
        <v>0</v>
      </c>
      <c r="J37">
        <v>0</v>
      </c>
      <c r="K37">
        <v>0</v>
      </c>
      <c r="L37">
        <v>0.46150000000000002</v>
      </c>
    </row>
    <row r="38" spans="1:12" x14ac:dyDescent="0.35">
      <c r="A38">
        <v>0.2</v>
      </c>
      <c r="B38">
        <v>0.36780000000000002</v>
      </c>
      <c r="C38">
        <v>4.8300000000000001E-3</v>
      </c>
      <c r="D38">
        <v>8.9999999999999998E-4</v>
      </c>
      <c r="E38">
        <v>-7.5600000000000001E-2</v>
      </c>
      <c r="F38">
        <v>2.3199999999999998E-2</v>
      </c>
      <c r="G38">
        <v>1.4800000000000001E-2</v>
      </c>
      <c r="H38">
        <v>-0.56140000000000001</v>
      </c>
      <c r="I38">
        <v>0</v>
      </c>
      <c r="J38">
        <v>0</v>
      </c>
      <c r="K38">
        <v>0</v>
      </c>
      <c r="L38">
        <v>0.4551</v>
      </c>
    </row>
    <row r="39" spans="1:12" x14ac:dyDescent="0.35">
      <c r="A39">
        <v>0.25</v>
      </c>
      <c r="B39">
        <v>0.37890000000000001</v>
      </c>
      <c r="C39">
        <v>4.8300000000000001E-3</v>
      </c>
      <c r="D39">
        <v>9.1E-4</v>
      </c>
      <c r="E39">
        <v>-7.5600000000000001E-2</v>
      </c>
      <c r="F39">
        <v>2.3099999999999999E-2</v>
      </c>
      <c r="G39">
        <v>1.5800000000000002E-2</v>
      </c>
      <c r="H39">
        <v>-0.56679999999999997</v>
      </c>
      <c r="I39">
        <v>0</v>
      </c>
      <c r="J39">
        <v>0</v>
      </c>
      <c r="K39">
        <v>0</v>
      </c>
      <c r="L39">
        <v>0.4491</v>
      </c>
    </row>
    <row r="40" spans="1:12" x14ac:dyDescent="0.35">
      <c r="A40">
        <v>0.3</v>
      </c>
      <c r="B40">
        <v>0.3901</v>
      </c>
      <c r="C40">
        <v>4.8399999999999997E-3</v>
      </c>
      <c r="D40">
        <v>9.2000000000000003E-4</v>
      </c>
      <c r="E40">
        <v>-7.5600000000000001E-2</v>
      </c>
      <c r="F40">
        <v>2.3099999999999999E-2</v>
      </c>
      <c r="G40">
        <v>1.7000000000000001E-2</v>
      </c>
      <c r="H40">
        <v>-0.57220000000000004</v>
      </c>
      <c r="I40">
        <v>0</v>
      </c>
      <c r="J40">
        <v>0</v>
      </c>
      <c r="K40">
        <v>0</v>
      </c>
      <c r="L40">
        <v>0.44340000000000002</v>
      </c>
    </row>
    <row r="41" spans="1:12" x14ac:dyDescent="0.35">
      <c r="A41">
        <v>0.35</v>
      </c>
      <c r="B41">
        <v>0.4012</v>
      </c>
      <c r="C41">
        <v>4.8399999999999997E-3</v>
      </c>
      <c r="D41">
        <v>9.3000000000000005E-4</v>
      </c>
      <c r="E41">
        <v>-7.5600000000000001E-2</v>
      </c>
      <c r="F41">
        <v>2.3E-2</v>
      </c>
      <c r="G41">
        <v>1.83E-2</v>
      </c>
      <c r="H41">
        <v>-0.57769999999999999</v>
      </c>
      <c r="I41">
        <v>0</v>
      </c>
      <c r="J41">
        <v>0</v>
      </c>
      <c r="K41">
        <v>0</v>
      </c>
      <c r="L41">
        <v>0.438</v>
      </c>
    </row>
    <row r="42" spans="1:12" x14ac:dyDescent="0.35">
      <c r="A42">
        <v>0.4</v>
      </c>
      <c r="B42">
        <v>0.41239999999999999</v>
      </c>
      <c r="C42">
        <v>4.8500000000000001E-3</v>
      </c>
      <c r="D42">
        <v>9.3999999999999997E-4</v>
      </c>
      <c r="E42">
        <v>-7.5600000000000001E-2</v>
      </c>
      <c r="F42">
        <v>2.2800000000000001E-2</v>
      </c>
      <c r="G42">
        <v>1.8800000000000001E-2</v>
      </c>
      <c r="H42">
        <v>-0.58330000000000004</v>
      </c>
      <c r="I42">
        <v>0</v>
      </c>
      <c r="J42">
        <v>0</v>
      </c>
      <c r="K42">
        <v>0</v>
      </c>
      <c r="L42">
        <v>0.43280000000000002</v>
      </c>
    </row>
    <row r="43" spans="1:12" x14ac:dyDescent="0.35">
      <c r="A43">
        <v>0.45</v>
      </c>
      <c r="B43">
        <v>0.4234</v>
      </c>
      <c r="C43">
        <v>4.8700000000000002E-3</v>
      </c>
      <c r="D43">
        <v>9.5E-4</v>
      </c>
      <c r="E43">
        <v>-7.5499999999999998E-2</v>
      </c>
      <c r="F43">
        <v>2.01E-2</v>
      </c>
      <c r="G43">
        <v>2.06E-2</v>
      </c>
      <c r="H43">
        <v>-0.61770000000000003</v>
      </c>
      <c r="I43">
        <v>0</v>
      </c>
      <c r="J43">
        <v>0</v>
      </c>
      <c r="K43">
        <v>0</v>
      </c>
      <c r="L43">
        <v>0.42799999999999999</v>
      </c>
    </row>
    <row r="44" spans="1:12" x14ac:dyDescent="0.35">
      <c r="A44">
        <v>0.5</v>
      </c>
      <c r="B44">
        <v>0.43440000000000001</v>
      </c>
      <c r="C44">
        <v>4.8799999999999998E-3</v>
      </c>
      <c r="D44">
        <v>9.7000000000000005E-4</v>
      </c>
      <c r="E44">
        <v>-7.5499999999999998E-2</v>
      </c>
      <c r="F44">
        <v>1.5699999999999999E-2</v>
      </c>
      <c r="G44">
        <v>2.3E-2</v>
      </c>
      <c r="H44">
        <v>-0.67110000000000003</v>
      </c>
      <c r="I44">
        <v>0</v>
      </c>
      <c r="J44">
        <v>0</v>
      </c>
      <c r="K44">
        <v>0</v>
      </c>
      <c r="L44">
        <v>0.42330000000000001</v>
      </c>
    </row>
    <row r="45" spans="1:12" x14ac:dyDescent="0.35">
      <c r="A45">
        <v>0.55000000000000004</v>
      </c>
      <c r="B45">
        <v>0.4456</v>
      </c>
      <c r="C45">
        <v>4.8900000000000002E-3</v>
      </c>
      <c r="D45">
        <v>9.7999999999999997E-4</v>
      </c>
      <c r="E45">
        <v>-7.5499999999999998E-2</v>
      </c>
      <c r="F45">
        <v>1.44E-2</v>
      </c>
      <c r="G45">
        <v>2.52E-2</v>
      </c>
      <c r="H45">
        <v>-0.72770000000000001</v>
      </c>
      <c r="I45">
        <v>0</v>
      </c>
      <c r="J45">
        <v>0</v>
      </c>
      <c r="K45">
        <v>0</v>
      </c>
      <c r="L45">
        <v>0.41889999999999999</v>
      </c>
    </row>
    <row r="46" spans="1:12" x14ac:dyDescent="0.35">
      <c r="A46">
        <v>0.6</v>
      </c>
      <c r="B46">
        <v>0.45689999999999997</v>
      </c>
      <c r="C46">
        <v>4.8999999999999998E-3</v>
      </c>
      <c r="D46">
        <v>9.8999999999999999E-4</v>
      </c>
      <c r="E46">
        <v>-7.5499999999999998E-2</v>
      </c>
      <c r="F46">
        <v>1.38E-2</v>
      </c>
      <c r="G46">
        <v>2.7199999999999998E-2</v>
      </c>
      <c r="H46">
        <v>-0.78610000000000002</v>
      </c>
      <c r="I46">
        <v>0</v>
      </c>
      <c r="J46">
        <v>0</v>
      </c>
      <c r="K46">
        <v>0</v>
      </c>
      <c r="L46">
        <v>0.41460000000000002</v>
      </c>
    </row>
    <row r="47" spans="1:12" x14ac:dyDescent="0.35">
      <c r="A47">
        <v>0.65</v>
      </c>
      <c r="B47">
        <v>0.46810000000000002</v>
      </c>
      <c r="C47">
        <v>4.8999999999999998E-3</v>
      </c>
      <c r="D47">
        <v>1E-3</v>
      </c>
      <c r="E47">
        <v>-7.5399999999999995E-2</v>
      </c>
      <c r="F47">
        <v>1.37E-2</v>
      </c>
      <c r="G47">
        <v>2.87E-2</v>
      </c>
      <c r="H47">
        <v>-0.84630000000000005</v>
      </c>
      <c r="I47">
        <v>0</v>
      </c>
      <c r="J47">
        <v>0</v>
      </c>
      <c r="K47">
        <v>0</v>
      </c>
      <c r="L47">
        <v>0.41060000000000002</v>
      </c>
    </row>
    <row r="48" spans="1:12" x14ac:dyDescent="0.35">
      <c r="A48">
        <v>0.7</v>
      </c>
      <c r="B48">
        <v>0.47939999999999999</v>
      </c>
      <c r="C48">
        <v>4.9100000000000003E-3</v>
      </c>
      <c r="D48">
        <v>1.0200000000000001E-3</v>
      </c>
      <c r="E48">
        <v>-7.5399999999999995E-2</v>
      </c>
      <c r="F48">
        <v>1.35E-2</v>
      </c>
      <c r="G48">
        <v>2.9399999999999999E-2</v>
      </c>
      <c r="H48">
        <v>-0.90859999999999996</v>
      </c>
      <c r="I48">
        <v>0</v>
      </c>
      <c r="J48">
        <v>0</v>
      </c>
      <c r="K48">
        <v>0</v>
      </c>
      <c r="L48">
        <v>0.40670000000000001</v>
      </c>
    </row>
    <row r="49" spans="1:12" x14ac:dyDescent="0.35">
      <c r="A49">
        <v>0.75</v>
      </c>
      <c r="B49">
        <v>0.49070000000000003</v>
      </c>
      <c r="C49">
        <v>4.9199999999999999E-3</v>
      </c>
      <c r="D49">
        <v>1.0300000000000001E-3</v>
      </c>
      <c r="E49">
        <v>-7.5300000000000006E-2</v>
      </c>
      <c r="F49">
        <v>1.34E-2</v>
      </c>
      <c r="G49">
        <v>3.4500000000000003E-2</v>
      </c>
      <c r="H49">
        <v>-0.97289999999999999</v>
      </c>
      <c r="I49">
        <v>0</v>
      </c>
      <c r="J49">
        <v>0</v>
      </c>
      <c r="K49">
        <v>0</v>
      </c>
      <c r="L49">
        <v>0.40289999999999998</v>
      </c>
    </row>
    <row r="50" spans="1:12" x14ac:dyDescent="0.35">
      <c r="A50">
        <v>0.8</v>
      </c>
      <c r="B50">
        <v>0.50209999999999999</v>
      </c>
      <c r="C50">
        <v>4.9300000000000004E-3</v>
      </c>
      <c r="D50">
        <v>1.0499999999999999E-3</v>
      </c>
      <c r="E50">
        <v>-7.5300000000000006E-2</v>
      </c>
      <c r="F50">
        <v>1.3100000000000001E-2</v>
      </c>
      <c r="G50">
        <v>3.8399999999999997E-2</v>
      </c>
      <c r="H50">
        <v>-1.0391999999999999</v>
      </c>
      <c r="I50">
        <v>0</v>
      </c>
      <c r="J50">
        <v>0</v>
      </c>
      <c r="K50">
        <v>0</v>
      </c>
      <c r="L50">
        <v>0.39929999999999999</v>
      </c>
    </row>
    <row r="51" spans="1:12" x14ac:dyDescent="0.35">
      <c r="A51">
        <v>0.85</v>
      </c>
      <c r="B51">
        <v>0.51339999999999997</v>
      </c>
      <c r="C51">
        <v>4.9300000000000004E-3</v>
      </c>
      <c r="D51">
        <v>1.07E-3</v>
      </c>
      <c r="E51">
        <v>-7.5200000000000003E-2</v>
      </c>
      <c r="F51">
        <v>1.24E-2</v>
      </c>
      <c r="G51">
        <v>0.05</v>
      </c>
      <c r="H51">
        <v>-1.107</v>
      </c>
      <c r="I51">
        <v>0</v>
      </c>
      <c r="J51">
        <v>0</v>
      </c>
      <c r="K51">
        <v>0</v>
      </c>
      <c r="L51">
        <v>0.39579999999999999</v>
      </c>
    </row>
    <row r="52" spans="1:12" x14ac:dyDescent="0.35">
      <c r="A52">
        <v>0.9</v>
      </c>
      <c r="B52">
        <v>0.52470000000000006</v>
      </c>
      <c r="C52">
        <v>4.9500000000000004E-3</v>
      </c>
      <c r="D52">
        <v>1.09E-3</v>
      </c>
      <c r="E52">
        <v>-7.51E-2</v>
      </c>
      <c r="F52">
        <v>1.14E-2</v>
      </c>
      <c r="G52">
        <v>0.05</v>
      </c>
      <c r="H52">
        <v>-1.1773</v>
      </c>
      <c r="I52">
        <v>0</v>
      </c>
      <c r="J52">
        <v>0</v>
      </c>
      <c r="K52">
        <v>0</v>
      </c>
      <c r="L52">
        <v>0.39240000000000003</v>
      </c>
    </row>
    <row r="53" spans="1:12" x14ac:dyDescent="0.35">
      <c r="A53">
        <v>0.95</v>
      </c>
      <c r="B53">
        <v>0.53610000000000002</v>
      </c>
      <c r="C53">
        <v>4.9699999999999996E-3</v>
      </c>
      <c r="D53">
        <v>1.1100000000000001E-3</v>
      </c>
      <c r="E53">
        <v>-7.4999999999999997E-2</v>
      </c>
      <c r="F53">
        <v>1.06E-2</v>
      </c>
      <c r="G53">
        <v>0.05</v>
      </c>
      <c r="H53">
        <v>-1.2502</v>
      </c>
      <c r="I53">
        <v>0</v>
      </c>
      <c r="J53">
        <v>0</v>
      </c>
      <c r="K53">
        <v>0</v>
      </c>
      <c r="L53">
        <v>0.38919999999999999</v>
      </c>
    </row>
    <row r="54" spans="1:12" x14ac:dyDescent="0.35">
      <c r="A54">
        <v>1</v>
      </c>
      <c r="B54">
        <v>0.54759999999999998</v>
      </c>
      <c r="C54">
        <v>4.9800000000000001E-3</v>
      </c>
      <c r="D54">
        <v>1.1299999999999999E-3</v>
      </c>
      <c r="E54">
        <v>-7.4899999999999994E-2</v>
      </c>
      <c r="F54">
        <v>9.7999999999999997E-3</v>
      </c>
      <c r="G54">
        <v>0.05</v>
      </c>
      <c r="H54">
        <v>-1.3260000000000001</v>
      </c>
      <c r="I54">
        <v>0</v>
      </c>
      <c r="J54">
        <v>0</v>
      </c>
      <c r="K54">
        <v>0</v>
      </c>
      <c r="L54">
        <v>0.38600000000000001</v>
      </c>
    </row>
    <row r="55" spans="1:12" x14ac:dyDescent="0.35">
      <c r="A55">
        <v>1.05</v>
      </c>
      <c r="B55">
        <v>0.55910000000000004</v>
      </c>
      <c r="C55">
        <v>5.0000000000000001E-3</v>
      </c>
      <c r="D55">
        <v>1.15E-3</v>
      </c>
      <c r="E55">
        <v>-7.4800000000000005E-2</v>
      </c>
      <c r="F55">
        <v>9.1000000000000004E-3</v>
      </c>
      <c r="G55">
        <v>0.05</v>
      </c>
      <c r="H55">
        <v>-1.4053</v>
      </c>
      <c r="I55">
        <v>0</v>
      </c>
      <c r="J55">
        <v>0</v>
      </c>
      <c r="K55">
        <v>0</v>
      </c>
      <c r="L55">
        <v>0.38300000000000001</v>
      </c>
    </row>
    <row r="56" spans="1:12" x14ac:dyDescent="0.35">
      <c r="A56">
        <v>1.1000000000000001</v>
      </c>
      <c r="B56">
        <v>0.57069999999999999</v>
      </c>
      <c r="C56">
        <v>5.0099999999999997E-3</v>
      </c>
      <c r="D56">
        <v>1.17E-3</v>
      </c>
      <c r="E56">
        <v>-7.46E-2</v>
      </c>
      <c r="F56">
        <v>8.5000000000000006E-3</v>
      </c>
      <c r="G56">
        <v>0.05</v>
      </c>
      <c r="H56">
        <v>-1.4883999999999999</v>
      </c>
      <c r="I56">
        <v>0</v>
      </c>
      <c r="J56">
        <v>0</v>
      </c>
      <c r="K56">
        <v>0</v>
      </c>
      <c r="L56">
        <v>0.38</v>
      </c>
    </row>
    <row r="57" spans="1:12" x14ac:dyDescent="0.35">
      <c r="A57">
        <v>1.1499999999999999</v>
      </c>
      <c r="B57">
        <v>0.58240000000000003</v>
      </c>
      <c r="C57">
        <v>5.0299999999999997E-3</v>
      </c>
      <c r="D57">
        <v>1.1900000000000001E-3</v>
      </c>
      <c r="E57">
        <v>-7.4499999999999997E-2</v>
      </c>
      <c r="F57">
        <v>7.7999999999999996E-3</v>
      </c>
      <c r="G57">
        <v>0.05</v>
      </c>
      <c r="H57">
        <v>-1.5751999999999999</v>
      </c>
      <c r="I57">
        <v>0</v>
      </c>
      <c r="J57">
        <v>0</v>
      </c>
      <c r="K57">
        <v>0</v>
      </c>
      <c r="L57">
        <v>0.37709999999999999</v>
      </c>
    </row>
    <row r="58" spans="1:12" x14ac:dyDescent="0.35">
      <c r="A58">
        <v>1.2</v>
      </c>
      <c r="B58">
        <v>0.59409999999999996</v>
      </c>
      <c r="C58">
        <v>5.0400000000000002E-3</v>
      </c>
      <c r="D58">
        <v>1.2099999999999999E-3</v>
      </c>
      <c r="E58">
        <v>-7.4300000000000005E-2</v>
      </c>
      <c r="F58">
        <v>7.3000000000000001E-3</v>
      </c>
      <c r="G58">
        <v>0.05</v>
      </c>
      <c r="H58">
        <v>-1.6694</v>
      </c>
      <c r="I58">
        <v>0</v>
      </c>
      <c r="J58">
        <v>0</v>
      </c>
      <c r="K58">
        <v>0</v>
      </c>
      <c r="L58">
        <v>0.37430000000000002</v>
      </c>
    </row>
    <row r="59" spans="1:12" x14ac:dyDescent="0.35">
      <c r="A59">
        <v>1.25</v>
      </c>
      <c r="B59">
        <v>0.60589999999999999</v>
      </c>
      <c r="C59">
        <v>5.0600000000000003E-3</v>
      </c>
      <c r="D59">
        <v>1.23E-3</v>
      </c>
      <c r="E59">
        <v>-7.4200000000000002E-2</v>
      </c>
      <c r="F59">
        <v>7.0000000000000001E-3</v>
      </c>
      <c r="G59">
        <v>0.05</v>
      </c>
      <c r="H59">
        <v>-1.7927</v>
      </c>
      <c r="I59">
        <v>0</v>
      </c>
      <c r="J59">
        <v>0</v>
      </c>
      <c r="K59">
        <v>0</v>
      </c>
      <c r="L59">
        <v>0.3715</v>
      </c>
    </row>
    <row r="60" spans="1:12" x14ac:dyDescent="0.35">
      <c r="A60">
        <v>1.3</v>
      </c>
      <c r="B60">
        <v>0.61780000000000002</v>
      </c>
      <c r="C60">
        <v>5.0899999999999999E-3</v>
      </c>
      <c r="D60">
        <v>1.25E-3</v>
      </c>
      <c r="E60">
        <v>-7.3899999999999993E-2</v>
      </c>
      <c r="F60">
        <v>6.8999999999999999E-3</v>
      </c>
      <c r="G60">
        <v>2.92E-2</v>
      </c>
      <c r="H60">
        <v>-1.92</v>
      </c>
      <c r="I60">
        <v>0</v>
      </c>
      <c r="J60">
        <v>0</v>
      </c>
      <c r="K60">
        <v>0</v>
      </c>
      <c r="L60">
        <v>0.36880000000000002</v>
      </c>
    </row>
    <row r="61" spans="1:12" x14ac:dyDescent="0.35">
      <c r="A61">
        <v>1.35</v>
      </c>
      <c r="B61">
        <v>0.62970000000000004</v>
      </c>
      <c r="C61">
        <v>5.11E-3</v>
      </c>
      <c r="D61">
        <v>1.2700000000000001E-3</v>
      </c>
      <c r="E61">
        <v>-7.3700000000000002E-2</v>
      </c>
      <c r="F61">
        <v>6.7999999999999996E-3</v>
      </c>
      <c r="G61">
        <v>3.2199999999999999E-2</v>
      </c>
      <c r="H61">
        <v>-2.0562999999999998</v>
      </c>
      <c r="I61">
        <v>0</v>
      </c>
      <c r="J61">
        <v>0</v>
      </c>
      <c r="K61">
        <v>0</v>
      </c>
      <c r="L61">
        <v>0.36620000000000003</v>
      </c>
    </row>
    <row r="62" spans="1:12" x14ac:dyDescent="0.35">
      <c r="A62">
        <v>1.4</v>
      </c>
      <c r="B62">
        <v>0.64180000000000004</v>
      </c>
      <c r="C62">
        <v>5.1200000000000004E-3</v>
      </c>
      <c r="D62">
        <v>1.2999999999999999E-3</v>
      </c>
      <c r="E62">
        <v>-7.3499999999999996E-2</v>
      </c>
      <c r="F62">
        <v>6.7999999999999996E-3</v>
      </c>
      <c r="G62">
        <v>3.9100000000000003E-2</v>
      </c>
      <c r="H62">
        <v>-2.2006000000000001</v>
      </c>
      <c r="I62">
        <v>0</v>
      </c>
      <c r="J62">
        <v>0</v>
      </c>
      <c r="K62">
        <v>0</v>
      </c>
      <c r="L62">
        <v>0.36359999999999998</v>
      </c>
    </row>
    <row r="63" spans="1:12" x14ac:dyDescent="0.35">
      <c r="A63">
        <v>1.45</v>
      </c>
      <c r="B63">
        <v>0.65400000000000003</v>
      </c>
      <c r="C63">
        <v>5.1200000000000004E-3</v>
      </c>
      <c r="D63">
        <v>1.33E-3</v>
      </c>
      <c r="E63">
        <v>-7.3200000000000001E-2</v>
      </c>
      <c r="F63">
        <v>6.7000000000000002E-3</v>
      </c>
      <c r="G63">
        <v>0.05</v>
      </c>
      <c r="H63">
        <v>-2.3546999999999998</v>
      </c>
      <c r="I63">
        <v>0</v>
      </c>
      <c r="J63">
        <v>0</v>
      </c>
      <c r="K63">
        <v>0</v>
      </c>
      <c r="L63">
        <v>0.36099999999999999</v>
      </c>
    </row>
    <row r="64" spans="1:12" x14ac:dyDescent="0.35">
      <c r="A64">
        <v>1.5</v>
      </c>
      <c r="B64">
        <v>0.66620000000000001</v>
      </c>
      <c r="C64">
        <v>5.1399999999999996E-3</v>
      </c>
      <c r="D64">
        <v>1.3500000000000001E-3</v>
      </c>
      <c r="E64">
        <v>-7.2999999999999995E-2</v>
      </c>
      <c r="F64">
        <v>6.7000000000000002E-3</v>
      </c>
      <c r="G64">
        <v>0.05</v>
      </c>
      <c r="H64">
        <v>-2.5217999999999998</v>
      </c>
      <c r="I64">
        <v>0</v>
      </c>
      <c r="J64">
        <v>0</v>
      </c>
      <c r="K64">
        <v>0</v>
      </c>
      <c r="L64">
        <v>0.35849999999999999</v>
      </c>
    </row>
    <row r="65" spans="1:12" x14ac:dyDescent="0.35">
      <c r="A65">
        <v>1.55</v>
      </c>
      <c r="B65">
        <v>0.67859999999999998</v>
      </c>
      <c r="C65">
        <v>5.1599999999999997E-3</v>
      </c>
      <c r="D65">
        <v>1.3799999999999999E-3</v>
      </c>
      <c r="E65">
        <v>-7.2599999999999998E-2</v>
      </c>
      <c r="F65">
        <v>6.6E-3</v>
      </c>
      <c r="G65">
        <v>0.05</v>
      </c>
      <c r="H65">
        <v>-2.7054999999999998</v>
      </c>
      <c r="I65">
        <v>0</v>
      </c>
      <c r="J65">
        <v>0</v>
      </c>
      <c r="K65">
        <v>0</v>
      </c>
      <c r="L65">
        <v>0.35599999999999998</v>
      </c>
    </row>
    <row r="66" spans="1:12" x14ac:dyDescent="0.35">
      <c r="A66">
        <v>1.6</v>
      </c>
      <c r="B66">
        <v>0.69120000000000004</v>
      </c>
      <c r="C66">
        <v>5.1799999999999997E-3</v>
      </c>
      <c r="D66">
        <v>1.42E-3</v>
      </c>
      <c r="E66">
        <v>-7.22E-2</v>
      </c>
      <c r="F66">
        <v>6.6E-3</v>
      </c>
      <c r="G66">
        <v>0.05</v>
      </c>
      <c r="H66">
        <v>-2.9178999999999999</v>
      </c>
      <c r="I66">
        <v>0</v>
      </c>
      <c r="J66">
        <v>0</v>
      </c>
      <c r="K66">
        <v>0</v>
      </c>
      <c r="L66">
        <v>0.35339999999999999</v>
      </c>
    </row>
    <row r="67" spans="1:12" x14ac:dyDescent="0.35">
      <c r="A67">
        <v>1.65</v>
      </c>
      <c r="B67">
        <v>0.70369999999999999</v>
      </c>
      <c r="C67">
        <v>5.2399999999999999E-3</v>
      </c>
      <c r="D67">
        <v>1.5200000000000001E-3</v>
      </c>
      <c r="E67">
        <v>-7.1499999999999994E-2</v>
      </c>
      <c r="F67">
        <v>6.4000000000000003E-3</v>
      </c>
      <c r="G67">
        <v>0.05</v>
      </c>
      <c r="H67">
        <v>-3.2761999999999998</v>
      </c>
      <c r="I67">
        <v>0</v>
      </c>
      <c r="J67">
        <v>0</v>
      </c>
      <c r="K67">
        <v>0</v>
      </c>
      <c r="L67">
        <v>0.35049999999999998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3E3C3-CC93-42F5-824A-8482AC5A5F02}">
  <sheetPr codeName="Sheet23"/>
  <dimension ref="A1:L68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-1.65</v>
      </c>
      <c r="B2">
        <v>-5.45E-2</v>
      </c>
      <c r="C2">
        <v>5.9800000000000001E-3</v>
      </c>
      <c r="D2">
        <v>2.31E-3</v>
      </c>
      <c r="E2">
        <v>-7.8399999999999997E-2</v>
      </c>
      <c r="F2">
        <v>0.05</v>
      </c>
      <c r="G2">
        <v>4.5999999999999999E-3</v>
      </c>
      <c r="H2">
        <v>-3.2174</v>
      </c>
      <c r="I2">
        <v>0</v>
      </c>
      <c r="J2">
        <v>0</v>
      </c>
      <c r="K2">
        <v>0</v>
      </c>
      <c r="L2">
        <v>-1.1940999999999999</v>
      </c>
    </row>
    <row r="3" spans="1:12" x14ac:dyDescent="0.35">
      <c r="A3">
        <v>-1.6</v>
      </c>
      <c r="B3">
        <v>-4.3700000000000003E-2</v>
      </c>
      <c r="C3">
        <v>5.6600000000000001E-3</v>
      </c>
      <c r="D3">
        <v>1.9400000000000001E-3</v>
      </c>
      <c r="E3">
        <v>-7.8E-2</v>
      </c>
      <c r="F3">
        <v>0.05</v>
      </c>
      <c r="G3">
        <v>4.7999999999999996E-3</v>
      </c>
      <c r="H3">
        <v>-3.2122000000000002</v>
      </c>
      <c r="I3">
        <v>0</v>
      </c>
      <c r="J3">
        <v>0</v>
      </c>
      <c r="K3">
        <v>0</v>
      </c>
      <c r="L3">
        <v>-1.5423</v>
      </c>
    </row>
    <row r="4" spans="1:12" x14ac:dyDescent="0.35">
      <c r="A4">
        <v>-1.55</v>
      </c>
      <c r="B4">
        <v>-3.2500000000000001E-2</v>
      </c>
      <c r="C4">
        <v>5.3899999999999998E-3</v>
      </c>
      <c r="D4">
        <v>1.6100000000000001E-3</v>
      </c>
      <c r="E4">
        <v>-7.7799999999999994E-2</v>
      </c>
      <c r="F4">
        <v>0.05</v>
      </c>
      <c r="G4">
        <v>5.1999999999999998E-3</v>
      </c>
      <c r="H4">
        <v>-3.1650999999999998</v>
      </c>
      <c r="I4">
        <v>0</v>
      </c>
      <c r="J4">
        <v>0</v>
      </c>
      <c r="K4">
        <v>0</v>
      </c>
      <c r="L4">
        <v>-2.1514000000000002</v>
      </c>
    </row>
    <row r="5" spans="1:12" x14ac:dyDescent="0.35">
      <c r="A5">
        <v>-1.5</v>
      </c>
      <c r="B5">
        <v>-2.07E-2</v>
      </c>
      <c r="C5">
        <v>5.1999999999999998E-3</v>
      </c>
      <c r="D5">
        <v>1.3699999999999999E-3</v>
      </c>
      <c r="E5">
        <v>-7.7499999999999999E-2</v>
      </c>
      <c r="F5">
        <v>0.05</v>
      </c>
      <c r="G5">
        <v>6.1999999999999998E-3</v>
      </c>
      <c r="H5">
        <v>-3.0347</v>
      </c>
      <c r="I5">
        <v>0</v>
      </c>
      <c r="J5">
        <v>0</v>
      </c>
      <c r="K5">
        <v>0</v>
      </c>
      <c r="L5">
        <v>-3.5070000000000001</v>
      </c>
    </row>
    <row r="6" spans="1:12" x14ac:dyDescent="0.35">
      <c r="A6">
        <v>-1.45</v>
      </c>
      <c r="B6">
        <v>-8.5000000000000006E-3</v>
      </c>
      <c r="C6">
        <v>5.1000000000000004E-3</v>
      </c>
      <c r="D6">
        <v>1.2199999999999999E-3</v>
      </c>
      <c r="E6">
        <v>-7.7100000000000002E-2</v>
      </c>
      <c r="F6">
        <v>0.05</v>
      </c>
      <c r="G6">
        <v>7.3000000000000001E-3</v>
      </c>
      <c r="H6">
        <v>-2.8329</v>
      </c>
      <c r="I6">
        <v>0</v>
      </c>
      <c r="J6">
        <v>0</v>
      </c>
      <c r="K6">
        <v>0</v>
      </c>
      <c r="L6">
        <v>-8.8544</v>
      </c>
    </row>
    <row r="7" spans="1:12" x14ac:dyDescent="0.35">
      <c r="A7">
        <v>-1.4</v>
      </c>
      <c r="B7">
        <v>3.7000000000000002E-3</v>
      </c>
      <c r="C7">
        <v>5.0400000000000002E-3</v>
      </c>
      <c r="D7">
        <v>1.1299999999999999E-3</v>
      </c>
      <c r="E7">
        <v>-7.6899999999999996E-2</v>
      </c>
      <c r="F7">
        <v>0.05</v>
      </c>
      <c r="G7">
        <v>7.9000000000000008E-3</v>
      </c>
      <c r="H7">
        <v>-2.6577999999999999</v>
      </c>
      <c r="I7">
        <v>0</v>
      </c>
      <c r="J7">
        <v>0</v>
      </c>
      <c r="K7">
        <v>0</v>
      </c>
      <c r="L7">
        <v>21.311800000000002</v>
      </c>
    </row>
    <row r="8" spans="1:12" x14ac:dyDescent="0.35">
      <c r="A8">
        <v>-1.35</v>
      </c>
      <c r="B8">
        <v>1.5800000000000002E-2</v>
      </c>
      <c r="C8">
        <v>4.9899999999999996E-3</v>
      </c>
      <c r="D8">
        <v>1.06E-3</v>
      </c>
      <c r="E8">
        <v>-7.6600000000000001E-2</v>
      </c>
      <c r="F8">
        <v>0.05</v>
      </c>
      <c r="G8">
        <v>8.3000000000000001E-3</v>
      </c>
      <c r="H8">
        <v>-2.5348000000000002</v>
      </c>
      <c r="I8">
        <v>0</v>
      </c>
      <c r="J8">
        <v>0</v>
      </c>
      <c r="K8">
        <v>0</v>
      </c>
      <c r="L8">
        <v>5.1295000000000002</v>
      </c>
    </row>
    <row r="9" spans="1:12" x14ac:dyDescent="0.35">
      <c r="A9">
        <v>-1.3</v>
      </c>
      <c r="B9">
        <v>2.7799999999999998E-2</v>
      </c>
      <c r="C9">
        <v>4.96E-3</v>
      </c>
      <c r="D9">
        <v>1.01E-3</v>
      </c>
      <c r="E9">
        <v>-7.6399999999999996E-2</v>
      </c>
      <c r="F9">
        <v>0.05</v>
      </c>
      <c r="G9">
        <v>8.5000000000000006E-3</v>
      </c>
      <c r="H9">
        <v>-2.4148999999999998</v>
      </c>
      <c r="I9">
        <v>0</v>
      </c>
      <c r="J9">
        <v>0</v>
      </c>
      <c r="K9">
        <v>0</v>
      </c>
      <c r="L9">
        <v>3.0099</v>
      </c>
    </row>
    <row r="10" spans="1:12" x14ac:dyDescent="0.35">
      <c r="A10">
        <v>-1.25</v>
      </c>
      <c r="B10">
        <v>3.9699999999999999E-2</v>
      </c>
      <c r="C10">
        <v>4.9399999999999999E-3</v>
      </c>
      <c r="D10">
        <v>9.7999999999999997E-4</v>
      </c>
      <c r="E10">
        <v>-7.6200000000000004E-2</v>
      </c>
      <c r="F10">
        <v>0.05</v>
      </c>
      <c r="G10">
        <v>8.6E-3</v>
      </c>
      <c r="H10">
        <v>-2.2886000000000002</v>
      </c>
      <c r="I10">
        <v>0</v>
      </c>
      <c r="J10">
        <v>0</v>
      </c>
      <c r="K10">
        <v>0</v>
      </c>
      <c r="L10">
        <v>2.1747999999999998</v>
      </c>
    </row>
    <row r="11" spans="1:12" x14ac:dyDescent="0.35">
      <c r="A11">
        <v>-1.2</v>
      </c>
      <c r="B11">
        <v>5.16E-2</v>
      </c>
      <c r="C11">
        <v>4.9300000000000004E-3</v>
      </c>
      <c r="D11">
        <v>9.6000000000000002E-4</v>
      </c>
      <c r="E11">
        <v>-7.5999999999999998E-2</v>
      </c>
      <c r="F11">
        <v>0.05</v>
      </c>
      <c r="G11">
        <v>8.8000000000000005E-3</v>
      </c>
      <c r="H11">
        <v>-2.1629999999999998</v>
      </c>
      <c r="I11">
        <v>0</v>
      </c>
      <c r="J11">
        <v>0</v>
      </c>
      <c r="K11">
        <v>0</v>
      </c>
      <c r="L11">
        <v>1.7287999999999999</v>
      </c>
    </row>
    <row r="12" spans="1:12" x14ac:dyDescent="0.35">
      <c r="A12">
        <v>-1.1499999999999999</v>
      </c>
      <c r="B12">
        <v>6.3299999999999995E-2</v>
      </c>
      <c r="C12">
        <v>4.9199999999999999E-3</v>
      </c>
      <c r="D12">
        <v>9.3999999999999997E-4</v>
      </c>
      <c r="E12">
        <v>-7.5899999999999995E-2</v>
      </c>
      <c r="F12">
        <v>0.05</v>
      </c>
      <c r="G12">
        <v>8.8999999999999999E-3</v>
      </c>
      <c r="H12">
        <v>-2.0407999999999999</v>
      </c>
      <c r="I12">
        <v>0</v>
      </c>
      <c r="J12">
        <v>0</v>
      </c>
      <c r="K12">
        <v>0</v>
      </c>
      <c r="L12">
        <v>1.4513</v>
      </c>
    </row>
    <row r="13" spans="1:12" x14ac:dyDescent="0.35">
      <c r="A13">
        <v>-1.1000000000000001</v>
      </c>
      <c r="B13">
        <v>7.4999999999999997E-2</v>
      </c>
      <c r="C13">
        <v>4.9199999999999999E-3</v>
      </c>
      <c r="D13">
        <v>9.2000000000000003E-4</v>
      </c>
      <c r="E13">
        <v>-7.5800000000000006E-2</v>
      </c>
      <c r="F13">
        <v>0.05</v>
      </c>
      <c r="G13">
        <v>8.9999999999999993E-3</v>
      </c>
      <c r="H13">
        <v>-1.923</v>
      </c>
      <c r="I13">
        <v>0</v>
      </c>
      <c r="J13">
        <v>0</v>
      </c>
      <c r="K13">
        <v>0</v>
      </c>
      <c r="L13">
        <v>1.2622</v>
      </c>
    </row>
    <row r="14" spans="1:12" x14ac:dyDescent="0.35">
      <c r="A14">
        <v>-1.05</v>
      </c>
      <c r="B14">
        <v>8.6699999999999999E-2</v>
      </c>
      <c r="C14">
        <v>4.9100000000000003E-3</v>
      </c>
      <c r="D14">
        <v>9.1E-4</v>
      </c>
      <c r="E14">
        <v>-7.5700000000000003E-2</v>
      </c>
      <c r="F14">
        <v>0.05</v>
      </c>
      <c r="G14">
        <v>9.1999999999999998E-3</v>
      </c>
      <c r="H14">
        <v>-1.8099000000000001</v>
      </c>
      <c r="I14">
        <v>0</v>
      </c>
      <c r="J14">
        <v>0</v>
      </c>
      <c r="K14">
        <v>0</v>
      </c>
      <c r="L14">
        <v>1.1249</v>
      </c>
    </row>
    <row r="15" spans="1:12" x14ac:dyDescent="0.35">
      <c r="A15">
        <v>-1</v>
      </c>
      <c r="B15">
        <v>9.8199999999999996E-2</v>
      </c>
      <c r="C15">
        <v>4.8999999999999998E-3</v>
      </c>
      <c r="D15">
        <v>8.9999999999999998E-4</v>
      </c>
      <c r="E15">
        <v>-7.5600000000000001E-2</v>
      </c>
      <c r="F15">
        <v>0.05</v>
      </c>
      <c r="G15">
        <v>9.1999999999999998E-3</v>
      </c>
      <c r="H15">
        <v>-1.7015</v>
      </c>
      <c r="I15">
        <v>0</v>
      </c>
      <c r="J15">
        <v>0</v>
      </c>
      <c r="K15">
        <v>0</v>
      </c>
      <c r="L15">
        <v>1.0207999999999999</v>
      </c>
    </row>
    <row r="16" spans="1:12" x14ac:dyDescent="0.35">
      <c r="A16">
        <v>-0.95</v>
      </c>
      <c r="B16">
        <v>0.10970000000000001</v>
      </c>
      <c r="C16">
        <v>4.8999999999999998E-3</v>
      </c>
      <c r="D16">
        <v>8.8999999999999995E-4</v>
      </c>
      <c r="E16">
        <v>-7.5499999999999998E-2</v>
      </c>
      <c r="F16">
        <v>0.05</v>
      </c>
      <c r="G16">
        <v>9.2999999999999992E-3</v>
      </c>
      <c r="H16">
        <v>-1.5973999999999999</v>
      </c>
      <c r="I16">
        <v>0</v>
      </c>
      <c r="J16">
        <v>0</v>
      </c>
      <c r="K16">
        <v>0</v>
      </c>
      <c r="L16">
        <v>0.93910000000000005</v>
      </c>
    </row>
    <row r="17" spans="1:12" x14ac:dyDescent="0.35">
      <c r="A17">
        <v>-0.9</v>
      </c>
      <c r="B17">
        <v>0.1212</v>
      </c>
      <c r="C17">
        <v>4.8999999999999998E-3</v>
      </c>
      <c r="D17">
        <v>8.8999999999999995E-4</v>
      </c>
      <c r="E17">
        <v>-7.5399999999999995E-2</v>
      </c>
      <c r="F17">
        <v>0.05</v>
      </c>
      <c r="G17">
        <v>9.4000000000000004E-3</v>
      </c>
      <c r="H17">
        <v>-1.4977</v>
      </c>
      <c r="I17">
        <v>0</v>
      </c>
      <c r="J17">
        <v>0</v>
      </c>
      <c r="K17">
        <v>0</v>
      </c>
      <c r="L17">
        <v>0.87329999999999997</v>
      </c>
    </row>
    <row r="18" spans="1:12" x14ac:dyDescent="0.35">
      <c r="A18">
        <v>-0.85</v>
      </c>
      <c r="B18">
        <v>0.1326</v>
      </c>
      <c r="C18">
        <v>4.8900000000000002E-3</v>
      </c>
      <c r="D18">
        <v>8.8000000000000003E-4</v>
      </c>
      <c r="E18">
        <v>-7.5300000000000006E-2</v>
      </c>
      <c r="F18">
        <v>0.05</v>
      </c>
      <c r="G18">
        <v>9.4999999999999998E-3</v>
      </c>
      <c r="H18">
        <v>-1.4018999999999999</v>
      </c>
      <c r="I18">
        <v>0</v>
      </c>
      <c r="J18">
        <v>0</v>
      </c>
      <c r="K18">
        <v>0</v>
      </c>
      <c r="L18">
        <v>0.81910000000000005</v>
      </c>
    </row>
    <row r="19" spans="1:12" x14ac:dyDescent="0.35">
      <c r="A19">
        <v>-0.8</v>
      </c>
      <c r="B19">
        <v>0.14399999999999999</v>
      </c>
      <c r="C19">
        <v>4.8900000000000002E-3</v>
      </c>
      <c r="D19">
        <v>8.8000000000000003E-4</v>
      </c>
      <c r="E19">
        <v>-7.5300000000000006E-2</v>
      </c>
      <c r="F19">
        <v>0.05</v>
      </c>
      <c r="G19">
        <v>9.4999999999999998E-3</v>
      </c>
      <c r="H19">
        <v>-1.3101</v>
      </c>
      <c r="I19">
        <v>0</v>
      </c>
      <c r="J19">
        <v>0</v>
      </c>
      <c r="K19">
        <v>0</v>
      </c>
      <c r="L19">
        <v>0.77380000000000004</v>
      </c>
    </row>
    <row r="20" spans="1:12" x14ac:dyDescent="0.35">
      <c r="A20">
        <v>-0.75</v>
      </c>
      <c r="B20">
        <v>0.15529999999999999</v>
      </c>
      <c r="C20">
        <v>4.8900000000000002E-3</v>
      </c>
      <c r="D20">
        <v>8.7000000000000001E-4</v>
      </c>
      <c r="E20">
        <v>-7.5300000000000006E-2</v>
      </c>
      <c r="F20">
        <v>0.05</v>
      </c>
      <c r="G20">
        <v>9.5999999999999992E-3</v>
      </c>
      <c r="H20">
        <v>-1.2219</v>
      </c>
      <c r="I20">
        <v>0</v>
      </c>
      <c r="J20">
        <v>0</v>
      </c>
      <c r="K20">
        <v>0</v>
      </c>
      <c r="L20">
        <v>0.73529999999999995</v>
      </c>
    </row>
    <row r="21" spans="1:12" x14ac:dyDescent="0.35">
      <c r="A21">
        <v>-0.7</v>
      </c>
      <c r="B21">
        <v>0.1666</v>
      </c>
      <c r="C21">
        <v>4.8900000000000002E-3</v>
      </c>
      <c r="D21">
        <v>8.7000000000000001E-4</v>
      </c>
      <c r="E21">
        <v>-7.5200000000000003E-2</v>
      </c>
      <c r="F21">
        <v>0.05</v>
      </c>
      <c r="G21">
        <v>9.5999999999999992E-3</v>
      </c>
      <c r="H21">
        <v>-1.1371</v>
      </c>
      <c r="I21">
        <v>0</v>
      </c>
      <c r="J21">
        <v>0</v>
      </c>
      <c r="K21">
        <v>0</v>
      </c>
      <c r="L21">
        <v>0.70220000000000005</v>
      </c>
    </row>
    <row r="22" spans="1:12" x14ac:dyDescent="0.35">
      <c r="A22">
        <v>-0.65</v>
      </c>
      <c r="B22">
        <v>0.17780000000000001</v>
      </c>
      <c r="C22">
        <v>4.8900000000000002E-3</v>
      </c>
      <c r="D22">
        <v>8.7000000000000001E-4</v>
      </c>
      <c r="E22">
        <v>-7.5200000000000003E-2</v>
      </c>
      <c r="F22">
        <v>0.05</v>
      </c>
      <c r="G22">
        <v>9.7000000000000003E-3</v>
      </c>
      <c r="H22">
        <v>-1.0557000000000001</v>
      </c>
      <c r="I22">
        <v>0</v>
      </c>
      <c r="J22">
        <v>0</v>
      </c>
      <c r="K22">
        <v>0</v>
      </c>
      <c r="L22">
        <v>0.67330000000000001</v>
      </c>
    </row>
    <row r="23" spans="1:12" x14ac:dyDescent="0.35">
      <c r="A23">
        <v>-0.6</v>
      </c>
      <c r="B23">
        <v>0.18909999999999999</v>
      </c>
      <c r="C23">
        <v>4.8900000000000002E-3</v>
      </c>
      <c r="D23">
        <v>8.7000000000000001E-4</v>
      </c>
      <c r="E23">
        <v>-7.5200000000000003E-2</v>
      </c>
      <c r="F23">
        <v>0.05</v>
      </c>
      <c r="G23">
        <v>9.7000000000000003E-3</v>
      </c>
      <c r="H23">
        <v>-0.97740000000000005</v>
      </c>
      <c r="I23">
        <v>0</v>
      </c>
      <c r="J23">
        <v>0</v>
      </c>
      <c r="K23">
        <v>0</v>
      </c>
      <c r="L23">
        <v>0.64810000000000001</v>
      </c>
    </row>
    <row r="24" spans="1:12" x14ac:dyDescent="0.35">
      <c r="A24">
        <v>-0.55000000000000004</v>
      </c>
      <c r="B24">
        <v>0.20030000000000001</v>
      </c>
      <c r="C24">
        <v>4.8900000000000002E-3</v>
      </c>
      <c r="D24">
        <v>8.5999999999999998E-4</v>
      </c>
      <c r="E24">
        <v>-7.5200000000000003E-2</v>
      </c>
      <c r="F24">
        <v>0.05</v>
      </c>
      <c r="G24">
        <v>9.7999999999999997E-3</v>
      </c>
      <c r="H24">
        <v>-0.90359999999999996</v>
      </c>
      <c r="I24">
        <v>0</v>
      </c>
      <c r="J24">
        <v>0</v>
      </c>
      <c r="K24">
        <v>0</v>
      </c>
      <c r="L24">
        <v>0.62570000000000003</v>
      </c>
    </row>
    <row r="25" spans="1:12" x14ac:dyDescent="0.35">
      <c r="A25">
        <v>-0.5</v>
      </c>
      <c r="B25">
        <v>0.2114</v>
      </c>
      <c r="C25">
        <v>4.8900000000000002E-3</v>
      </c>
      <c r="D25">
        <v>8.5999999999999998E-4</v>
      </c>
      <c r="E25">
        <v>-7.5200000000000003E-2</v>
      </c>
      <c r="F25">
        <v>0.05</v>
      </c>
      <c r="G25">
        <v>9.7999999999999997E-3</v>
      </c>
      <c r="H25">
        <v>-0.8306</v>
      </c>
      <c r="I25">
        <v>0</v>
      </c>
      <c r="J25">
        <v>0</v>
      </c>
      <c r="K25">
        <v>0</v>
      </c>
      <c r="L25">
        <v>0.60580000000000001</v>
      </c>
    </row>
    <row r="26" spans="1:12" x14ac:dyDescent="0.35">
      <c r="A26">
        <v>-0.45</v>
      </c>
      <c r="B26">
        <v>0.22259999999999999</v>
      </c>
      <c r="C26">
        <v>4.8900000000000002E-3</v>
      </c>
      <c r="D26">
        <v>8.5999999999999998E-4</v>
      </c>
      <c r="E26">
        <v>-7.5200000000000003E-2</v>
      </c>
      <c r="F26">
        <v>0.05</v>
      </c>
      <c r="G26">
        <v>9.9000000000000008E-3</v>
      </c>
      <c r="H26">
        <v>-0.76039999999999996</v>
      </c>
      <c r="I26">
        <v>0</v>
      </c>
      <c r="J26">
        <v>0</v>
      </c>
      <c r="K26">
        <v>0</v>
      </c>
      <c r="L26">
        <v>0.58789999999999998</v>
      </c>
    </row>
    <row r="27" spans="1:12" x14ac:dyDescent="0.35">
      <c r="A27">
        <v>-0.4</v>
      </c>
      <c r="B27">
        <v>0.23369999999999999</v>
      </c>
      <c r="C27">
        <v>4.8900000000000002E-3</v>
      </c>
      <c r="D27">
        <v>8.7000000000000001E-4</v>
      </c>
      <c r="E27">
        <v>-7.5200000000000003E-2</v>
      </c>
      <c r="F27">
        <v>0.05</v>
      </c>
      <c r="G27">
        <v>9.9000000000000008E-3</v>
      </c>
      <c r="H27">
        <v>-0.69259999999999999</v>
      </c>
      <c r="I27">
        <v>0</v>
      </c>
      <c r="J27">
        <v>0</v>
      </c>
      <c r="K27">
        <v>0</v>
      </c>
      <c r="L27">
        <v>0.57179999999999997</v>
      </c>
    </row>
    <row r="28" spans="1:12" x14ac:dyDescent="0.35">
      <c r="A28">
        <v>-0.35</v>
      </c>
      <c r="B28">
        <v>0.24490000000000001</v>
      </c>
      <c r="C28">
        <v>4.8900000000000002E-3</v>
      </c>
      <c r="D28">
        <v>8.7000000000000001E-4</v>
      </c>
      <c r="E28">
        <v>-7.5200000000000003E-2</v>
      </c>
      <c r="F28">
        <v>0.05</v>
      </c>
      <c r="G28">
        <v>9.9000000000000008E-3</v>
      </c>
      <c r="H28">
        <v>-0.62719999999999998</v>
      </c>
      <c r="I28">
        <v>0</v>
      </c>
      <c r="J28">
        <v>0</v>
      </c>
      <c r="K28">
        <v>0</v>
      </c>
      <c r="L28">
        <v>0.55710000000000004</v>
      </c>
    </row>
    <row r="29" spans="1:12" x14ac:dyDescent="0.35">
      <c r="A29">
        <v>-0.3</v>
      </c>
      <c r="B29">
        <v>0.25600000000000001</v>
      </c>
      <c r="C29">
        <v>4.8900000000000002E-3</v>
      </c>
      <c r="D29">
        <v>8.7000000000000001E-4</v>
      </c>
      <c r="E29">
        <v>-7.5200000000000003E-2</v>
      </c>
      <c r="F29">
        <v>0.05</v>
      </c>
      <c r="G29">
        <v>0.01</v>
      </c>
      <c r="H29">
        <v>-0.56420000000000003</v>
      </c>
      <c r="I29">
        <v>0</v>
      </c>
      <c r="J29">
        <v>0</v>
      </c>
      <c r="K29">
        <v>0</v>
      </c>
      <c r="L29">
        <v>0.54379999999999995</v>
      </c>
    </row>
    <row r="30" spans="1:12" x14ac:dyDescent="0.35">
      <c r="A30">
        <v>-0.25</v>
      </c>
      <c r="B30">
        <v>0.2671</v>
      </c>
      <c r="C30">
        <v>4.8900000000000002E-3</v>
      </c>
      <c r="D30">
        <v>8.7000000000000001E-4</v>
      </c>
      <c r="E30">
        <v>-7.5200000000000003E-2</v>
      </c>
      <c r="F30">
        <v>0.05</v>
      </c>
      <c r="G30">
        <v>0.01</v>
      </c>
      <c r="H30">
        <v>-0.51449999999999996</v>
      </c>
      <c r="I30">
        <v>0</v>
      </c>
      <c r="J30">
        <v>0</v>
      </c>
      <c r="K30">
        <v>0</v>
      </c>
      <c r="L30">
        <v>0.53159999999999996</v>
      </c>
    </row>
    <row r="31" spans="1:12" x14ac:dyDescent="0.35">
      <c r="A31">
        <v>-0.2</v>
      </c>
      <c r="B31">
        <v>0.27779999999999999</v>
      </c>
      <c r="C31">
        <v>4.9199999999999999E-3</v>
      </c>
      <c r="D31">
        <v>8.8000000000000003E-4</v>
      </c>
      <c r="E31">
        <v>-7.5200000000000003E-2</v>
      </c>
      <c r="F31">
        <v>3.61E-2</v>
      </c>
      <c r="G31">
        <v>1.01E-2</v>
      </c>
      <c r="H31">
        <v>-0.51919999999999999</v>
      </c>
      <c r="I31">
        <v>0</v>
      </c>
      <c r="J31">
        <v>0</v>
      </c>
      <c r="K31">
        <v>0</v>
      </c>
      <c r="L31">
        <v>0.52049999999999996</v>
      </c>
    </row>
    <row r="32" spans="1:12" x14ac:dyDescent="0.35">
      <c r="A32">
        <v>-0.15</v>
      </c>
      <c r="B32">
        <v>0.2888</v>
      </c>
      <c r="C32">
        <v>4.9300000000000004E-3</v>
      </c>
      <c r="D32">
        <v>8.8000000000000003E-4</v>
      </c>
      <c r="E32">
        <v>-7.5200000000000003E-2</v>
      </c>
      <c r="F32">
        <v>3.2800000000000003E-2</v>
      </c>
      <c r="G32">
        <v>1.0200000000000001E-2</v>
      </c>
      <c r="H32">
        <v>-0.52410000000000001</v>
      </c>
      <c r="I32">
        <v>0</v>
      </c>
      <c r="J32">
        <v>0</v>
      </c>
      <c r="K32">
        <v>0</v>
      </c>
      <c r="L32">
        <v>0.51019999999999999</v>
      </c>
    </row>
    <row r="33" spans="1:12" x14ac:dyDescent="0.35">
      <c r="A33">
        <v>-0.1</v>
      </c>
      <c r="B33">
        <v>0.29980000000000001</v>
      </c>
      <c r="C33">
        <v>4.9399999999999999E-3</v>
      </c>
      <c r="D33">
        <v>8.8999999999999995E-4</v>
      </c>
      <c r="E33">
        <v>-7.5200000000000003E-2</v>
      </c>
      <c r="F33">
        <v>3.1399999999999997E-2</v>
      </c>
      <c r="G33">
        <v>1.0800000000000001E-2</v>
      </c>
      <c r="H33">
        <v>-0.52910000000000001</v>
      </c>
      <c r="I33">
        <v>0</v>
      </c>
      <c r="J33">
        <v>0</v>
      </c>
      <c r="K33">
        <v>0</v>
      </c>
      <c r="L33">
        <v>0.50060000000000004</v>
      </c>
    </row>
    <row r="34" spans="1:12" x14ac:dyDescent="0.35">
      <c r="A34">
        <v>-0.05</v>
      </c>
      <c r="B34">
        <v>0.31080000000000002</v>
      </c>
      <c r="C34">
        <v>4.9500000000000004E-3</v>
      </c>
      <c r="D34">
        <v>8.9999999999999998E-4</v>
      </c>
      <c r="E34">
        <v>-7.5200000000000003E-2</v>
      </c>
      <c r="F34">
        <v>3.0099999999999998E-2</v>
      </c>
      <c r="G34">
        <v>1.15E-2</v>
      </c>
      <c r="H34">
        <v>-0.53420000000000001</v>
      </c>
      <c r="I34">
        <v>0</v>
      </c>
      <c r="J34">
        <v>0</v>
      </c>
      <c r="K34">
        <v>0</v>
      </c>
      <c r="L34">
        <v>0.49170000000000003</v>
      </c>
    </row>
    <row r="35" spans="1:12" x14ac:dyDescent="0.35">
      <c r="A35">
        <v>0</v>
      </c>
      <c r="B35">
        <v>0.32179999999999997</v>
      </c>
      <c r="C35">
        <v>4.96E-3</v>
      </c>
      <c r="D35">
        <v>8.9999999999999998E-4</v>
      </c>
      <c r="E35">
        <v>-7.5200000000000003E-2</v>
      </c>
      <c r="F35">
        <v>2.7699999999999999E-2</v>
      </c>
      <c r="G35">
        <v>1.2200000000000001E-2</v>
      </c>
      <c r="H35">
        <v>-0.5393</v>
      </c>
      <c r="I35">
        <v>0</v>
      </c>
      <c r="J35">
        <v>0</v>
      </c>
      <c r="K35">
        <v>0</v>
      </c>
      <c r="L35">
        <v>0.4834</v>
      </c>
    </row>
    <row r="36" spans="1:12" x14ac:dyDescent="0.35">
      <c r="A36">
        <v>0.05</v>
      </c>
      <c r="B36">
        <v>0.33279999999999998</v>
      </c>
      <c r="C36">
        <v>4.9699999999999996E-3</v>
      </c>
      <c r="D36">
        <v>9.1E-4</v>
      </c>
      <c r="E36">
        <v>-7.5200000000000003E-2</v>
      </c>
      <c r="F36">
        <v>2.46E-2</v>
      </c>
      <c r="G36">
        <v>1.2999999999999999E-2</v>
      </c>
      <c r="H36">
        <v>-0.54449999999999998</v>
      </c>
      <c r="I36">
        <v>0</v>
      </c>
      <c r="J36">
        <v>0</v>
      </c>
      <c r="K36">
        <v>0</v>
      </c>
      <c r="L36">
        <v>0.47560000000000002</v>
      </c>
    </row>
    <row r="37" spans="1:12" x14ac:dyDescent="0.35">
      <c r="A37">
        <v>0.1</v>
      </c>
      <c r="B37">
        <v>0.34389999999999998</v>
      </c>
      <c r="C37">
        <v>4.9699999999999996E-3</v>
      </c>
      <c r="D37">
        <v>9.2000000000000003E-4</v>
      </c>
      <c r="E37">
        <v>-7.5200000000000003E-2</v>
      </c>
      <c r="F37">
        <v>2.3400000000000001E-2</v>
      </c>
      <c r="G37">
        <v>1.3899999999999999E-2</v>
      </c>
      <c r="H37">
        <v>-0.54969999999999997</v>
      </c>
      <c r="I37">
        <v>0</v>
      </c>
      <c r="J37">
        <v>0</v>
      </c>
      <c r="K37">
        <v>0</v>
      </c>
      <c r="L37">
        <v>0.46839999999999998</v>
      </c>
    </row>
    <row r="38" spans="1:12" x14ac:dyDescent="0.35">
      <c r="A38">
        <v>0.15</v>
      </c>
      <c r="B38">
        <v>0.35499999999999998</v>
      </c>
      <c r="C38">
        <v>4.9699999999999996E-3</v>
      </c>
      <c r="D38">
        <v>9.2000000000000003E-4</v>
      </c>
      <c r="E38">
        <v>-7.5200000000000003E-2</v>
      </c>
      <c r="F38">
        <v>2.3400000000000001E-2</v>
      </c>
      <c r="G38">
        <v>1.49E-2</v>
      </c>
      <c r="H38">
        <v>-0.55500000000000005</v>
      </c>
      <c r="I38">
        <v>0</v>
      </c>
      <c r="J38">
        <v>0</v>
      </c>
      <c r="K38">
        <v>0</v>
      </c>
      <c r="L38">
        <v>0.46160000000000001</v>
      </c>
    </row>
    <row r="39" spans="1:12" x14ac:dyDescent="0.35">
      <c r="A39">
        <v>0.2</v>
      </c>
      <c r="B39">
        <v>0.36599999999999999</v>
      </c>
      <c r="C39">
        <v>4.9800000000000001E-3</v>
      </c>
      <c r="D39">
        <v>9.3000000000000005E-4</v>
      </c>
      <c r="E39">
        <v>-7.5200000000000003E-2</v>
      </c>
      <c r="F39">
        <v>2.3300000000000001E-2</v>
      </c>
      <c r="G39">
        <v>1.5900000000000001E-2</v>
      </c>
      <c r="H39">
        <v>-0.56040000000000001</v>
      </c>
      <c r="I39">
        <v>0</v>
      </c>
      <c r="J39">
        <v>0</v>
      </c>
      <c r="K39">
        <v>0</v>
      </c>
      <c r="L39">
        <v>0.45519999999999999</v>
      </c>
    </row>
    <row r="40" spans="1:12" x14ac:dyDescent="0.35">
      <c r="A40">
        <v>0.25</v>
      </c>
      <c r="B40">
        <v>0.37709999999999999</v>
      </c>
      <c r="C40">
        <v>4.9800000000000001E-3</v>
      </c>
      <c r="D40">
        <v>9.3999999999999997E-4</v>
      </c>
      <c r="E40">
        <v>-7.5200000000000003E-2</v>
      </c>
      <c r="F40">
        <v>2.3199999999999998E-2</v>
      </c>
      <c r="G40">
        <v>1.7100000000000001E-2</v>
      </c>
      <c r="H40">
        <v>-0.56579999999999997</v>
      </c>
      <c r="I40">
        <v>0</v>
      </c>
      <c r="J40">
        <v>0</v>
      </c>
      <c r="K40">
        <v>0</v>
      </c>
      <c r="L40">
        <v>0.4491</v>
      </c>
    </row>
    <row r="41" spans="1:12" x14ac:dyDescent="0.35">
      <c r="A41">
        <v>0.3</v>
      </c>
      <c r="B41">
        <v>0.38829999999999998</v>
      </c>
      <c r="C41">
        <v>4.9800000000000001E-3</v>
      </c>
      <c r="D41">
        <v>9.5E-4</v>
      </c>
      <c r="E41">
        <v>-7.5200000000000003E-2</v>
      </c>
      <c r="F41">
        <v>2.3099999999999999E-2</v>
      </c>
      <c r="G41">
        <v>1.83E-2</v>
      </c>
      <c r="H41">
        <v>-0.57120000000000004</v>
      </c>
      <c r="I41">
        <v>0</v>
      </c>
      <c r="J41">
        <v>0</v>
      </c>
      <c r="K41">
        <v>0</v>
      </c>
      <c r="L41">
        <v>0.44340000000000002</v>
      </c>
    </row>
    <row r="42" spans="1:12" x14ac:dyDescent="0.35">
      <c r="A42">
        <v>0.35</v>
      </c>
      <c r="B42">
        <v>0.39939999999999998</v>
      </c>
      <c r="C42">
        <v>4.9899999999999996E-3</v>
      </c>
      <c r="D42">
        <v>9.6000000000000002E-4</v>
      </c>
      <c r="E42">
        <v>-7.5200000000000003E-2</v>
      </c>
      <c r="F42">
        <v>2.3099999999999999E-2</v>
      </c>
      <c r="G42">
        <v>1.89E-2</v>
      </c>
      <c r="H42">
        <v>-0.57669999999999999</v>
      </c>
      <c r="I42">
        <v>0</v>
      </c>
      <c r="J42">
        <v>0</v>
      </c>
      <c r="K42">
        <v>0</v>
      </c>
      <c r="L42">
        <v>0.438</v>
      </c>
    </row>
    <row r="43" spans="1:12" x14ac:dyDescent="0.35">
      <c r="A43">
        <v>0.4</v>
      </c>
      <c r="B43">
        <v>0.41049999999999998</v>
      </c>
      <c r="C43">
        <v>5.0000000000000001E-3</v>
      </c>
      <c r="D43">
        <v>9.7000000000000005E-4</v>
      </c>
      <c r="E43">
        <v>-7.5200000000000003E-2</v>
      </c>
      <c r="F43">
        <v>2.29E-2</v>
      </c>
      <c r="G43">
        <v>2.1600000000000001E-2</v>
      </c>
      <c r="H43">
        <v>-0.58230000000000004</v>
      </c>
      <c r="I43">
        <v>0</v>
      </c>
      <c r="J43">
        <v>0</v>
      </c>
      <c r="K43">
        <v>0</v>
      </c>
      <c r="L43">
        <v>0.43280000000000002</v>
      </c>
    </row>
    <row r="44" spans="1:12" x14ac:dyDescent="0.35">
      <c r="A44">
        <v>0.45</v>
      </c>
      <c r="B44">
        <v>0.42170000000000002</v>
      </c>
      <c r="C44">
        <v>5.0000000000000001E-3</v>
      </c>
      <c r="D44">
        <v>9.7999999999999997E-4</v>
      </c>
      <c r="E44">
        <v>-7.5200000000000003E-2</v>
      </c>
      <c r="F44">
        <v>2.2800000000000001E-2</v>
      </c>
      <c r="G44">
        <v>2.4299999999999999E-2</v>
      </c>
      <c r="H44">
        <v>-0.61370000000000002</v>
      </c>
      <c r="I44">
        <v>0</v>
      </c>
      <c r="J44">
        <v>0</v>
      </c>
      <c r="K44">
        <v>0</v>
      </c>
      <c r="L44">
        <v>0.4279</v>
      </c>
    </row>
    <row r="45" spans="1:12" x14ac:dyDescent="0.35">
      <c r="A45">
        <v>0.5</v>
      </c>
      <c r="B45">
        <v>0.43259999999999998</v>
      </c>
      <c r="C45">
        <v>5.0200000000000002E-3</v>
      </c>
      <c r="D45">
        <v>1E-3</v>
      </c>
      <c r="E45">
        <v>-7.5200000000000003E-2</v>
      </c>
      <c r="F45">
        <v>1.9599999999999999E-2</v>
      </c>
      <c r="G45">
        <v>2.6700000000000002E-2</v>
      </c>
      <c r="H45">
        <v>-0.66690000000000005</v>
      </c>
      <c r="I45">
        <v>0</v>
      </c>
      <c r="J45">
        <v>0</v>
      </c>
      <c r="K45">
        <v>0</v>
      </c>
      <c r="L45">
        <v>0.42330000000000001</v>
      </c>
    </row>
    <row r="46" spans="1:12" x14ac:dyDescent="0.35">
      <c r="A46">
        <v>0.55000000000000004</v>
      </c>
      <c r="B46">
        <v>0.44369999999999998</v>
      </c>
      <c r="C46">
        <v>5.0400000000000002E-3</v>
      </c>
      <c r="D46">
        <v>1.01E-3</v>
      </c>
      <c r="E46">
        <v>-7.51E-2</v>
      </c>
      <c r="F46">
        <v>1.6199999999999999E-2</v>
      </c>
      <c r="G46">
        <v>2.86E-2</v>
      </c>
      <c r="H46">
        <v>-0.72209999999999996</v>
      </c>
      <c r="I46">
        <v>0</v>
      </c>
      <c r="J46">
        <v>0</v>
      </c>
      <c r="K46">
        <v>0</v>
      </c>
      <c r="L46">
        <v>0.41880000000000001</v>
      </c>
    </row>
    <row r="47" spans="1:12" x14ac:dyDescent="0.35">
      <c r="A47">
        <v>0.6</v>
      </c>
      <c r="B47">
        <v>0.45490000000000003</v>
      </c>
      <c r="C47">
        <v>5.0499999999999998E-3</v>
      </c>
      <c r="D47">
        <v>1.0300000000000001E-3</v>
      </c>
      <c r="E47">
        <v>-7.51E-2</v>
      </c>
      <c r="F47">
        <v>1.4800000000000001E-2</v>
      </c>
      <c r="G47">
        <v>2.8799999999999999E-2</v>
      </c>
      <c r="H47">
        <v>-0.7802</v>
      </c>
      <c r="I47">
        <v>0</v>
      </c>
      <c r="J47">
        <v>0</v>
      </c>
      <c r="K47">
        <v>0</v>
      </c>
      <c r="L47">
        <v>0.41449999999999998</v>
      </c>
    </row>
    <row r="48" spans="1:12" x14ac:dyDescent="0.35">
      <c r="A48">
        <v>0.65</v>
      </c>
      <c r="B48">
        <v>0.46610000000000001</v>
      </c>
      <c r="C48">
        <v>5.0600000000000003E-3</v>
      </c>
      <c r="D48">
        <v>1.0399999999999999E-3</v>
      </c>
      <c r="E48">
        <v>-7.51E-2</v>
      </c>
      <c r="F48">
        <v>1.38E-2</v>
      </c>
      <c r="G48">
        <v>2.93E-2</v>
      </c>
      <c r="H48">
        <v>-0.84030000000000005</v>
      </c>
      <c r="I48">
        <v>0</v>
      </c>
      <c r="J48">
        <v>0</v>
      </c>
      <c r="K48">
        <v>0</v>
      </c>
      <c r="L48">
        <v>0.41049999999999998</v>
      </c>
    </row>
    <row r="49" spans="1:12" x14ac:dyDescent="0.35">
      <c r="A49">
        <v>0.7</v>
      </c>
      <c r="B49">
        <v>0.47739999999999999</v>
      </c>
      <c r="C49">
        <v>5.0600000000000003E-3</v>
      </c>
      <c r="D49">
        <v>1.0499999999999999E-3</v>
      </c>
      <c r="E49">
        <v>-7.4999999999999997E-2</v>
      </c>
      <c r="F49">
        <v>1.37E-2</v>
      </c>
      <c r="G49">
        <v>3.5099999999999999E-2</v>
      </c>
      <c r="H49">
        <v>-0.90229999999999999</v>
      </c>
      <c r="I49">
        <v>0</v>
      </c>
      <c r="J49">
        <v>0</v>
      </c>
      <c r="K49">
        <v>0</v>
      </c>
      <c r="L49">
        <v>0.40649999999999997</v>
      </c>
    </row>
    <row r="50" spans="1:12" x14ac:dyDescent="0.35">
      <c r="A50">
        <v>0.75</v>
      </c>
      <c r="B50">
        <v>0.48870000000000002</v>
      </c>
      <c r="C50">
        <v>5.0699999999999999E-3</v>
      </c>
      <c r="D50">
        <v>1.07E-3</v>
      </c>
      <c r="E50">
        <v>-7.4999999999999997E-2</v>
      </c>
      <c r="F50">
        <v>1.35E-2</v>
      </c>
      <c r="G50">
        <v>3.9699999999999999E-2</v>
      </c>
      <c r="H50">
        <v>-0.96619999999999995</v>
      </c>
      <c r="I50">
        <v>0</v>
      </c>
      <c r="J50">
        <v>0</v>
      </c>
      <c r="K50">
        <v>0</v>
      </c>
      <c r="L50">
        <v>0.40279999999999999</v>
      </c>
    </row>
    <row r="51" spans="1:12" x14ac:dyDescent="0.35">
      <c r="A51">
        <v>0.8</v>
      </c>
      <c r="B51">
        <v>0.50009999999999999</v>
      </c>
      <c r="C51">
        <v>5.0699999999999999E-3</v>
      </c>
      <c r="D51">
        <v>1.09E-3</v>
      </c>
      <c r="E51">
        <v>-7.4899999999999994E-2</v>
      </c>
      <c r="F51">
        <v>1.34E-2</v>
      </c>
      <c r="G51">
        <v>0.05</v>
      </c>
      <c r="H51">
        <v>-1.0321</v>
      </c>
      <c r="I51">
        <v>0</v>
      </c>
      <c r="J51">
        <v>0</v>
      </c>
      <c r="K51">
        <v>0</v>
      </c>
      <c r="L51">
        <v>0.3992</v>
      </c>
    </row>
    <row r="52" spans="1:12" x14ac:dyDescent="0.35">
      <c r="A52">
        <v>0.85</v>
      </c>
      <c r="B52">
        <v>0.51139999999999997</v>
      </c>
      <c r="C52">
        <v>5.0800000000000003E-3</v>
      </c>
      <c r="D52">
        <v>1.1000000000000001E-3</v>
      </c>
      <c r="E52">
        <v>-7.4800000000000005E-2</v>
      </c>
      <c r="F52">
        <v>1.32E-2</v>
      </c>
      <c r="G52">
        <v>0.05</v>
      </c>
      <c r="H52">
        <v>-1.1008</v>
      </c>
      <c r="I52">
        <v>0</v>
      </c>
      <c r="J52">
        <v>0</v>
      </c>
      <c r="K52">
        <v>0</v>
      </c>
      <c r="L52">
        <v>0.3957</v>
      </c>
    </row>
    <row r="53" spans="1:12" x14ac:dyDescent="0.35">
      <c r="A53">
        <v>0.9</v>
      </c>
      <c r="B53">
        <v>0.52270000000000005</v>
      </c>
      <c r="C53">
        <v>5.1000000000000004E-3</v>
      </c>
      <c r="D53">
        <v>1.1199999999999999E-3</v>
      </c>
      <c r="E53">
        <v>-7.4800000000000005E-2</v>
      </c>
      <c r="F53">
        <v>1.26E-2</v>
      </c>
      <c r="G53">
        <v>0.05</v>
      </c>
      <c r="H53">
        <v>-1.1717</v>
      </c>
      <c r="I53">
        <v>0</v>
      </c>
      <c r="J53">
        <v>0</v>
      </c>
      <c r="K53">
        <v>0</v>
      </c>
      <c r="L53">
        <v>0.39229999999999998</v>
      </c>
    </row>
    <row r="54" spans="1:12" x14ac:dyDescent="0.35">
      <c r="A54">
        <v>0.95</v>
      </c>
      <c r="B54">
        <v>0.53410000000000002</v>
      </c>
      <c r="C54">
        <v>5.11E-3</v>
      </c>
      <c r="D54">
        <v>1.15E-3</v>
      </c>
      <c r="E54">
        <v>-7.46E-2</v>
      </c>
      <c r="F54">
        <v>1.1599999999999999E-2</v>
      </c>
      <c r="G54">
        <v>0.05</v>
      </c>
      <c r="H54">
        <v>-1.2446999999999999</v>
      </c>
      <c r="I54">
        <v>0</v>
      </c>
      <c r="J54">
        <v>0</v>
      </c>
      <c r="K54">
        <v>0</v>
      </c>
      <c r="L54">
        <v>0.38900000000000001</v>
      </c>
    </row>
    <row r="55" spans="1:12" x14ac:dyDescent="0.35">
      <c r="A55">
        <v>1</v>
      </c>
      <c r="B55">
        <v>0.54549999999999998</v>
      </c>
      <c r="C55">
        <v>5.13E-3</v>
      </c>
      <c r="D55">
        <v>1.17E-3</v>
      </c>
      <c r="E55">
        <v>-7.4499999999999997E-2</v>
      </c>
      <c r="F55">
        <v>1.0800000000000001E-2</v>
      </c>
      <c r="G55">
        <v>0.05</v>
      </c>
      <c r="H55">
        <v>-1.3202</v>
      </c>
      <c r="I55">
        <v>0</v>
      </c>
      <c r="J55">
        <v>0</v>
      </c>
      <c r="K55">
        <v>0</v>
      </c>
      <c r="L55">
        <v>0.38590000000000002</v>
      </c>
    </row>
    <row r="56" spans="1:12" x14ac:dyDescent="0.35">
      <c r="A56">
        <v>1.05</v>
      </c>
      <c r="B56">
        <v>0.55689999999999995</v>
      </c>
      <c r="C56">
        <v>5.1500000000000001E-3</v>
      </c>
      <c r="D56">
        <v>1.1900000000000001E-3</v>
      </c>
      <c r="E56">
        <v>-7.4399999999999994E-2</v>
      </c>
      <c r="F56">
        <v>0.01</v>
      </c>
      <c r="G56">
        <v>0.05</v>
      </c>
      <c r="H56">
        <v>-1.3989</v>
      </c>
      <c r="I56">
        <v>0</v>
      </c>
      <c r="J56">
        <v>0</v>
      </c>
      <c r="K56">
        <v>0</v>
      </c>
      <c r="L56">
        <v>0.38279999999999997</v>
      </c>
    </row>
    <row r="57" spans="1:12" x14ac:dyDescent="0.35">
      <c r="A57">
        <v>1.1000000000000001</v>
      </c>
      <c r="B57">
        <v>0.56850000000000001</v>
      </c>
      <c r="C57">
        <v>5.1700000000000001E-3</v>
      </c>
      <c r="D57">
        <v>1.2099999999999999E-3</v>
      </c>
      <c r="E57">
        <v>-7.4300000000000005E-2</v>
      </c>
      <c r="F57">
        <v>9.1999999999999998E-3</v>
      </c>
      <c r="G57">
        <v>0.05</v>
      </c>
      <c r="H57">
        <v>-1.4812000000000001</v>
      </c>
      <c r="I57">
        <v>0</v>
      </c>
      <c r="J57">
        <v>0</v>
      </c>
      <c r="K57">
        <v>0</v>
      </c>
      <c r="L57">
        <v>0.37980000000000003</v>
      </c>
    </row>
    <row r="58" spans="1:12" x14ac:dyDescent="0.35">
      <c r="A58">
        <v>1.1499999999999999</v>
      </c>
      <c r="B58">
        <v>0.58009999999999995</v>
      </c>
      <c r="C58">
        <v>5.1900000000000002E-3</v>
      </c>
      <c r="D58">
        <v>1.23E-3</v>
      </c>
      <c r="E58">
        <v>-7.4099999999999999E-2</v>
      </c>
      <c r="F58">
        <v>8.6E-3</v>
      </c>
      <c r="G58">
        <v>0.05</v>
      </c>
      <c r="H58">
        <v>-1.5676000000000001</v>
      </c>
      <c r="I58">
        <v>0</v>
      </c>
      <c r="J58">
        <v>0</v>
      </c>
      <c r="K58">
        <v>0</v>
      </c>
      <c r="L58">
        <v>0.37690000000000001</v>
      </c>
    </row>
    <row r="59" spans="1:12" x14ac:dyDescent="0.35">
      <c r="A59">
        <v>1.2</v>
      </c>
      <c r="B59">
        <v>0.59179999999999999</v>
      </c>
      <c r="C59">
        <v>5.1999999999999998E-3</v>
      </c>
      <c r="D59">
        <v>1.25E-3</v>
      </c>
      <c r="E59">
        <v>-7.3899999999999993E-2</v>
      </c>
      <c r="F59">
        <v>8.0000000000000002E-3</v>
      </c>
      <c r="G59">
        <v>0.05</v>
      </c>
      <c r="H59">
        <v>-1.6583000000000001</v>
      </c>
      <c r="I59">
        <v>0</v>
      </c>
      <c r="J59">
        <v>0</v>
      </c>
      <c r="K59">
        <v>0</v>
      </c>
      <c r="L59">
        <v>0.37409999999999999</v>
      </c>
    </row>
    <row r="60" spans="1:12" x14ac:dyDescent="0.35">
      <c r="A60">
        <v>1.25</v>
      </c>
      <c r="B60">
        <v>0.60360000000000003</v>
      </c>
      <c r="C60">
        <v>5.2199999999999998E-3</v>
      </c>
      <c r="D60">
        <v>1.2800000000000001E-3</v>
      </c>
      <c r="E60">
        <v>-7.3800000000000004E-2</v>
      </c>
      <c r="F60">
        <v>7.4000000000000003E-3</v>
      </c>
      <c r="G60">
        <v>0.05</v>
      </c>
      <c r="H60">
        <v>-1.7765</v>
      </c>
      <c r="I60">
        <v>0</v>
      </c>
      <c r="J60">
        <v>0</v>
      </c>
      <c r="K60">
        <v>0</v>
      </c>
      <c r="L60">
        <v>0.37130000000000002</v>
      </c>
    </row>
    <row r="61" spans="1:12" x14ac:dyDescent="0.35">
      <c r="A61">
        <v>1.3</v>
      </c>
      <c r="B61">
        <v>0.61539999999999995</v>
      </c>
      <c r="C61">
        <v>5.2500000000000003E-3</v>
      </c>
      <c r="D61">
        <v>1.2899999999999999E-3</v>
      </c>
      <c r="E61">
        <v>-7.3499999999999996E-2</v>
      </c>
      <c r="F61">
        <v>7.0000000000000001E-3</v>
      </c>
      <c r="G61">
        <v>3.6999999999999998E-2</v>
      </c>
      <c r="H61">
        <v>-1.9018999999999999</v>
      </c>
      <c r="I61">
        <v>0</v>
      </c>
      <c r="J61">
        <v>0</v>
      </c>
      <c r="K61">
        <v>0</v>
      </c>
      <c r="L61">
        <v>0.36859999999999998</v>
      </c>
    </row>
    <row r="62" spans="1:12" x14ac:dyDescent="0.35">
      <c r="A62">
        <v>1.35</v>
      </c>
      <c r="B62">
        <v>0.62729999999999997</v>
      </c>
      <c r="C62">
        <v>5.2500000000000003E-3</v>
      </c>
      <c r="D62">
        <v>1.32E-3</v>
      </c>
      <c r="E62">
        <v>-7.3300000000000004E-2</v>
      </c>
      <c r="F62">
        <v>6.8999999999999999E-3</v>
      </c>
      <c r="G62">
        <v>0.05</v>
      </c>
      <c r="H62">
        <v>-2.0356999999999998</v>
      </c>
      <c r="I62">
        <v>0</v>
      </c>
      <c r="J62">
        <v>0</v>
      </c>
      <c r="K62">
        <v>0</v>
      </c>
      <c r="L62">
        <v>0.36599999999999999</v>
      </c>
    </row>
    <row r="63" spans="1:12" x14ac:dyDescent="0.35">
      <c r="A63">
        <v>1.4</v>
      </c>
      <c r="B63">
        <v>0.63929999999999998</v>
      </c>
      <c r="C63">
        <v>5.2700000000000004E-3</v>
      </c>
      <c r="D63">
        <v>1.3500000000000001E-3</v>
      </c>
      <c r="E63">
        <v>-7.3099999999999998E-2</v>
      </c>
      <c r="F63">
        <v>6.8999999999999999E-3</v>
      </c>
      <c r="G63">
        <v>0.05</v>
      </c>
      <c r="H63">
        <v>-2.1789999999999998</v>
      </c>
      <c r="I63">
        <v>0</v>
      </c>
      <c r="J63">
        <v>0</v>
      </c>
      <c r="K63">
        <v>0</v>
      </c>
      <c r="L63">
        <v>0.3634</v>
      </c>
    </row>
    <row r="64" spans="1:12" x14ac:dyDescent="0.35">
      <c r="A64">
        <v>1.45</v>
      </c>
      <c r="B64">
        <v>0.65139999999999998</v>
      </c>
      <c r="C64">
        <v>5.28E-3</v>
      </c>
      <c r="D64">
        <v>1.3799999999999999E-3</v>
      </c>
      <c r="E64">
        <v>-7.2800000000000004E-2</v>
      </c>
      <c r="F64">
        <v>6.7999999999999996E-3</v>
      </c>
      <c r="G64">
        <v>0.05</v>
      </c>
      <c r="H64">
        <v>-2.3319999999999999</v>
      </c>
      <c r="I64">
        <v>0</v>
      </c>
      <c r="J64">
        <v>0</v>
      </c>
      <c r="K64">
        <v>0</v>
      </c>
      <c r="L64">
        <v>0.36080000000000001</v>
      </c>
    </row>
    <row r="65" spans="1:12" x14ac:dyDescent="0.35">
      <c r="A65">
        <v>1.5</v>
      </c>
      <c r="B65">
        <v>0.66369999999999996</v>
      </c>
      <c r="C65">
        <v>5.3E-3</v>
      </c>
      <c r="D65">
        <v>1.41E-3</v>
      </c>
      <c r="E65">
        <v>-7.2499999999999995E-2</v>
      </c>
      <c r="F65">
        <v>6.7999999999999996E-3</v>
      </c>
      <c r="G65">
        <v>0.05</v>
      </c>
      <c r="H65">
        <v>-2.4967000000000001</v>
      </c>
      <c r="I65">
        <v>0</v>
      </c>
      <c r="J65">
        <v>0</v>
      </c>
      <c r="K65">
        <v>0</v>
      </c>
      <c r="L65">
        <v>0.35830000000000001</v>
      </c>
    </row>
    <row r="66" spans="1:12" x14ac:dyDescent="0.35">
      <c r="A66">
        <v>1.55</v>
      </c>
      <c r="B66">
        <v>0.67600000000000005</v>
      </c>
      <c r="C66">
        <v>5.3200000000000001E-3</v>
      </c>
      <c r="D66">
        <v>1.4400000000000001E-3</v>
      </c>
      <c r="E66">
        <v>-7.22E-2</v>
      </c>
      <c r="F66">
        <v>6.7000000000000002E-3</v>
      </c>
      <c r="G66">
        <v>0.05</v>
      </c>
      <c r="H66">
        <v>-2.677</v>
      </c>
      <c r="I66">
        <v>0</v>
      </c>
      <c r="J66">
        <v>0</v>
      </c>
      <c r="K66">
        <v>0</v>
      </c>
      <c r="L66">
        <v>0.35580000000000001</v>
      </c>
    </row>
    <row r="67" spans="1:12" x14ac:dyDescent="0.35">
      <c r="A67">
        <v>1.6</v>
      </c>
      <c r="B67">
        <v>0.6885</v>
      </c>
      <c r="C67">
        <v>5.3499999999999997E-3</v>
      </c>
      <c r="D67">
        <v>1.48E-3</v>
      </c>
      <c r="E67">
        <v>-7.1800000000000003E-2</v>
      </c>
      <c r="F67">
        <v>6.7000000000000002E-3</v>
      </c>
      <c r="G67">
        <v>0.05</v>
      </c>
      <c r="H67">
        <v>-2.8824000000000001</v>
      </c>
      <c r="I67">
        <v>0</v>
      </c>
      <c r="J67">
        <v>0</v>
      </c>
      <c r="K67">
        <v>0</v>
      </c>
      <c r="L67">
        <v>0.35320000000000001</v>
      </c>
    </row>
    <row r="68" spans="1:12" x14ac:dyDescent="0.35">
      <c r="A68">
        <v>1.65</v>
      </c>
      <c r="B68">
        <v>0.70109999999999995</v>
      </c>
      <c r="C68">
        <v>5.3899999999999998E-3</v>
      </c>
      <c r="D68">
        <v>1.5499999999999999E-3</v>
      </c>
      <c r="E68">
        <v>-7.1199999999999999E-2</v>
      </c>
      <c r="F68">
        <v>6.7000000000000002E-3</v>
      </c>
      <c r="G68">
        <v>0.05</v>
      </c>
      <c r="H68">
        <v>-3.1728999999999998</v>
      </c>
      <c r="I68">
        <v>0</v>
      </c>
      <c r="J68">
        <v>0</v>
      </c>
      <c r="K68">
        <v>0</v>
      </c>
      <c r="L68">
        <v>0.35049999999999998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32D69-A443-4797-A472-7A2309B471BB}">
  <sheetPr codeName="Sheet24"/>
  <dimension ref="A1:L67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-1.65</v>
      </c>
      <c r="B2">
        <v>-5.5500000000000001E-2</v>
      </c>
      <c r="C2">
        <v>6.28E-3</v>
      </c>
      <c r="D2">
        <v>2.47E-3</v>
      </c>
      <c r="E2">
        <v>-7.8E-2</v>
      </c>
      <c r="F2">
        <v>0.05</v>
      </c>
      <c r="G2">
        <v>4.7000000000000002E-3</v>
      </c>
      <c r="H2">
        <v>-3.1492</v>
      </c>
      <c r="I2">
        <v>0</v>
      </c>
      <c r="J2">
        <v>0</v>
      </c>
      <c r="K2">
        <v>0</v>
      </c>
      <c r="L2">
        <v>-1.1623000000000001</v>
      </c>
    </row>
    <row r="3" spans="1:12" x14ac:dyDescent="0.35">
      <c r="A3">
        <v>-1.6</v>
      </c>
      <c r="B3">
        <v>-4.4900000000000002E-2</v>
      </c>
      <c r="C3">
        <v>5.94E-3</v>
      </c>
      <c r="D3">
        <v>2.0799999999999998E-3</v>
      </c>
      <c r="E3">
        <v>-7.7700000000000005E-2</v>
      </c>
      <c r="F3">
        <v>0.05</v>
      </c>
      <c r="G3">
        <v>4.8999999999999998E-3</v>
      </c>
      <c r="H3">
        <v>-3.1524000000000001</v>
      </c>
      <c r="I3">
        <v>0</v>
      </c>
      <c r="J3">
        <v>0</v>
      </c>
      <c r="K3">
        <v>0</v>
      </c>
      <c r="L3">
        <v>-1.4895</v>
      </c>
    </row>
    <row r="4" spans="1:12" x14ac:dyDescent="0.35">
      <c r="A4">
        <v>-1.55</v>
      </c>
      <c r="B4">
        <v>-3.3700000000000001E-2</v>
      </c>
      <c r="C4">
        <v>5.6800000000000002E-3</v>
      </c>
      <c r="D4">
        <v>1.7600000000000001E-3</v>
      </c>
      <c r="E4">
        <v>-7.7399999999999997E-2</v>
      </c>
      <c r="F4">
        <v>0.05</v>
      </c>
      <c r="G4">
        <v>5.3E-3</v>
      </c>
      <c r="H4">
        <v>-3.11</v>
      </c>
      <c r="I4">
        <v>0</v>
      </c>
      <c r="J4">
        <v>0</v>
      </c>
      <c r="K4">
        <v>0</v>
      </c>
      <c r="L4">
        <v>-2.0543999999999998</v>
      </c>
    </row>
    <row r="5" spans="1:12" x14ac:dyDescent="0.35">
      <c r="A5">
        <v>-1.5</v>
      </c>
      <c r="B5">
        <v>-2.1999999999999999E-2</v>
      </c>
      <c r="C5">
        <v>5.4799999999999996E-3</v>
      </c>
      <c r="D5">
        <v>1.5100000000000001E-3</v>
      </c>
      <c r="E5">
        <v>-7.7100000000000002E-2</v>
      </c>
      <c r="F5">
        <v>0.05</v>
      </c>
      <c r="G5">
        <v>6.1000000000000004E-3</v>
      </c>
      <c r="H5">
        <v>-2.9979</v>
      </c>
      <c r="I5">
        <v>0</v>
      </c>
      <c r="J5">
        <v>0</v>
      </c>
      <c r="K5">
        <v>0</v>
      </c>
      <c r="L5">
        <v>-3.2610000000000001</v>
      </c>
    </row>
    <row r="6" spans="1:12" x14ac:dyDescent="0.35">
      <c r="A6">
        <v>-1.45</v>
      </c>
      <c r="B6">
        <v>-0.01</v>
      </c>
      <c r="C6">
        <v>5.3600000000000002E-3</v>
      </c>
      <c r="D6">
        <v>1.3500000000000001E-3</v>
      </c>
      <c r="E6">
        <v>-7.6799999999999993E-2</v>
      </c>
      <c r="F6">
        <v>0.05</v>
      </c>
      <c r="G6">
        <v>7.1999999999999998E-3</v>
      </c>
      <c r="H6">
        <v>-2.8132999999999999</v>
      </c>
      <c r="I6">
        <v>0</v>
      </c>
      <c r="J6">
        <v>0</v>
      </c>
      <c r="K6">
        <v>0</v>
      </c>
      <c r="L6">
        <v>-7.4714999999999998</v>
      </c>
    </row>
    <row r="7" spans="1:12" x14ac:dyDescent="0.35">
      <c r="A7">
        <v>-1.4</v>
      </c>
      <c r="B7">
        <v>2.0999999999999999E-3</v>
      </c>
      <c r="C7">
        <v>5.28E-3</v>
      </c>
      <c r="D7">
        <v>1.24E-3</v>
      </c>
      <c r="E7">
        <v>-7.6499999999999999E-2</v>
      </c>
      <c r="F7">
        <v>0.05</v>
      </c>
      <c r="G7">
        <v>7.9000000000000008E-3</v>
      </c>
      <c r="H7">
        <v>-2.6166999999999998</v>
      </c>
      <c r="I7">
        <v>0</v>
      </c>
      <c r="J7">
        <v>0</v>
      </c>
      <c r="K7">
        <v>0</v>
      </c>
      <c r="L7">
        <v>36.547499999999999</v>
      </c>
    </row>
    <row r="8" spans="1:12" x14ac:dyDescent="0.35">
      <c r="A8">
        <v>-1.35</v>
      </c>
      <c r="B8">
        <v>1.4200000000000001E-2</v>
      </c>
      <c r="C8">
        <v>5.2300000000000003E-3</v>
      </c>
      <c r="D8">
        <v>1.17E-3</v>
      </c>
      <c r="E8">
        <v>-7.6300000000000007E-2</v>
      </c>
      <c r="F8">
        <v>0.05</v>
      </c>
      <c r="G8">
        <v>8.3000000000000001E-3</v>
      </c>
      <c r="H8">
        <v>-2.4958</v>
      </c>
      <c r="I8">
        <v>0</v>
      </c>
      <c r="J8">
        <v>0</v>
      </c>
      <c r="K8">
        <v>0</v>
      </c>
      <c r="L8">
        <v>5.6577000000000002</v>
      </c>
    </row>
    <row r="9" spans="1:12" x14ac:dyDescent="0.35">
      <c r="A9">
        <v>-1.3</v>
      </c>
      <c r="B9">
        <v>2.6100000000000002E-2</v>
      </c>
      <c r="C9">
        <v>5.1900000000000002E-3</v>
      </c>
      <c r="D9">
        <v>1.1000000000000001E-3</v>
      </c>
      <c r="E9">
        <v>-7.6100000000000001E-2</v>
      </c>
      <c r="F9">
        <v>0.05</v>
      </c>
      <c r="G9">
        <v>8.3999999999999995E-3</v>
      </c>
      <c r="H9">
        <v>-2.3908</v>
      </c>
      <c r="I9">
        <v>0</v>
      </c>
      <c r="J9">
        <v>0</v>
      </c>
      <c r="K9">
        <v>0</v>
      </c>
      <c r="L9">
        <v>3.1728999999999998</v>
      </c>
    </row>
    <row r="10" spans="1:12" x14ac:dyDescent="0.35">
      <c r="A10">
        <v>-1.25</v>
      </c>
      <c r="B10">
        <v>3.7999999999999999E-2</v>
      </c>
      <c r="C10">
        <v>5.1599999999999997E-3</v>
      </c>
      <c r="D10">
        <v>1.0499999999999999E-3</v>
      </c>
      <c r="E10">
        <v>-7.5899999999999995E-2</v>
      </c>
      <c r="F10">
        <v>0.05</v>
      </c>
      <c r="G10">
        <v>8.6E-3</v>
      </c>
      <c r="H10">
        <v>-2.2747999999999999</v>
      </c>
      <c r="I10">
        <v>0</v>
      </c>
      <c r="J10">
        <v>0</v>
      </c>
      <c r="K10">
        <v>0</v>
      </c>
      <c r="L10">
        <v>2.2521</v>
      </c>
    </row>
    <row r="11" spans="1:12" x14ac:dyDescent="0.35">
      <c r="A11">
        <v>-1.2</v>
      </c>
      <c r="B11">
        <v>4.9799999999999997E-2</v>
      </c>
      <c r="C11">
        <v>5.1500000000000001E-3</v>
      </c>
      <c r="D11">
        <v>1.0200000000000001E-3</v>
      </c>
      <c r="E11">
        <v>-7.5700000000000003E-2</v>
      </c>
      <c r="F11">
        <v>0.05</v>
      </c>
      <c r="G11">
        <v>8.8000000000000005E-3</v>
      </c>
      <c r="H11">
        <v>-2.1556000000000002</v>
      </c>
      <c r="I11">
        <v>0</v>
      </c>
      <c r="J11">
        <v>0</v>
      </c>
      <c r="K11">
        <v>0</v>
      </c>
      <c r="L11">
        <v>1.7730999999999999</v>
      </c>
    </row>
    <row r="12" spans="1:12" x14ac:dyDescent="0.35">
      <c r="A12">
        <v>-1.1499999999999999</v>
      </c>
      <c r="B12">
        <v>6.1600000000000002E-2</v>
      </c>
      <c r="C12">
        <v>5.13E-3</v>
      </c>
      <c r="D12">
        <v>1E-3</v>
      </c>
      <c r="E12">
        <v>-7.5499999999999998E-2</v>
      </c>
      <c r="F12">
        <v>0.05</v>
      </c>
      <c r="G12">
        <v>8.8999999999999999E-3</v>
      </c>
      <c r="H12">
        <v>-2.0373000000000001</v>
      </c>
      <c r="I12">
        <v>0</v>
      </c>
      <c r="J12">
        <v>0</v>
      </c>
      <c r="K12">
        <v>0</v>
      </c>
      <c r="L12">
        <v>1.4797</v>
      </c>
    </row>
    <row r="13" spans="1:12" x14ac:dyDescent="0.35">
      <c r="A13">
        <v>-1.1000000000000001</v>
      </c>
      <c r="B13">
        <v>7.3300000000000004E-2</v>
      </c>
      <c r="C13">
        <v>5.1200000000000004E-3</v>
      </c>
      <c r="D13">
        <v>9.7999999999999997E-4</v>
      </c>
      <c r="E13">
        <v>-7.5399999999999995E-2</v>
      </c>
      <c r="F13">
        <v>0.05</v>
      </c>
      <c r="G13">
        <v>8.9999999999999993E-3</v>
      </c>
      <c r="H13">
        <v>-1.9219999999999999</v>
      </c>
      <c r="I13">
        <v>0</v>
      </c>
      <c r="J13">
        <v>0</v>
      </c>
      <c r="K13">
        <v>0</v>
      </c>
      <c r="L13">
        <v>1.2817000000000001</v>
      </c>
    </row>
    <row r="14" spans="1:12" x14ac:dyDescent="0.35">
      <c r="A14">
        <v>-1.05</v>
      </c>
      <c r="B14">
        <v>8.4900000000000003E-2</v>
      </c>
      <c r="C14">
        <v>5.1200000000000004E-3</v>
      </c>
      <c r="D14">
        <v>9.7000000000000005E-4</v>
      </c>
      <c r="E14">
        <v>-7.5300000000000006E-2</v>
      </c>
      <c r="F14">
        <v>0.05</v>
      </c>
      <c r="G14">
        <v>9.1000000000000004E-3</v>
      </c>
      <c r="H14">
        <v>-1.8105</v>
      </c>
      <c r="I14">
        <v>0</v>
      </c>
      <c r="J14">
        <v>0</v>
      </c>
      <c r="K14">
        <v>0</v>
      </c>
      <c r="L14">
        <v>1.1391</v>
      </c>
    </row>
    <row r="15" spans="1:12" x14ac:dyDescent="0.35">
      <c r="A15">
        <v>-1</v>
      </c>
      <c r="B15">
        <v>9.64E-2</v>
      </c>
      <c r="C15">
        <v>5.11E-3</v>
      </c>
      <c r="D15">
        <v>9.5E-4</v>
      </c>
      <c r="E15">
        <v>-7.5200000000000003E-2</v>
      </c>
      <c r="F15">
        <v>0.05</v>
      </c>
      <c r="G15">
        <v>9.1999999999999998E-3</v>
      </c>
      <c r="H15">
        <v>-1.7032</v>
      </c>
      <c r="I15">
        <v>0</v>
      </c>
      <c r="J15">
        <v>0</v>
      </c>
      <c r="K15">
        <v>0</v>
      </c>
      <c r="L15">
        <v>1.0314000000000001</v>
      </c>
    </row>
    <row r="16" spans="1:12" x14ac:dyDescent="0.35">
      <c r="A16">
        <v>-0.95</v>
      </c>
      <c r="B16">
        <v>0.1079</v>
      </c>
      <c r="C16">
        <v>5.11E-3</v>
      </c>
      <c r="D16">
        <v>9.3999999999999997E-4</v>
      </c>
      <c r="E16">
        <v>-7.51E-2</v>
      </c>
      <c r="F16">
        <v>0.05</v>
      </c>
      <c r="G16">
        <v>9.2999999999999992E-3</v>
      </c>
      <c r="H16">
        <v>-1.6</v>
      </c>
      <c r="I16">
        <v>0</v>
      </c>
      <c r="J16">
        <v>0</v>
      </c>
      <c r="K16">
        <v>0</v>
      </c>
      <c r="L16">
        <v>0.94730000000000003</v>
      </c>
    </row>
    <row r="17" spans="1:12" x14ac:dyDescent="0.35">
      <c r="A17">
        <v>-0.9</v>
      </c>
      <c r="B17">
        <v>0.1193</v>
      </c>
      <c r="C17">
        <v>5.1000000000000004E-3</v>
      </c>
      <c r="D17">
        <v>9.3000000000000005E-4</v>
      </c>
      <c r="E17">
        <v>-7.4999999999999997E-2</v>
      </c>
      <c r="F17">
        <v>0.05</v>
      </c>
      <c r="G17">
        <v>9.4000000000000004E-3</v>
      </c>
      <c r="H17">
        <v>-1.5007999999999999</v>
      </c>
      <c r="I17">
        <v>0</v>
      </c>
      <c r="J17">
        <v>0</v>
      </c>
      <c r="K17">
        <v>0</v>
      </c>
      <c r="L17">
        <v>0.87980000000000003</v>
      </c>
    </row>
    <row r="18" spans="1:12" x14ac:dyDescent="0.35">
      <c r="A18">
        <v>-0.85</v>
      </c>
      <c r="B18">
        <v>0.13070000000000001</v>
      </c>
      <c r="C18">
        <v>5.1000000000000004E-3</v>
      </c>
      <c r="D18">
        <v>9.3000000000000005E-4</v>
      </c>
      <c r="E18">
        <v>-7.4999999999999997E-2</v>
      </c>
      <c r="F18">
        <v>0.05</v>
      </c>
      <c r="G18">
        <v>9.4000000000000004E-3</v>
      </c>
      <c r="H18">
        <v>-1.4055</v>
      </c>
      <c r="I18">
        <v>0</v>
      </c>
      <c r="J18">
        <v>0</v>
      </c>
      <c r="K18">
        <v>0</v>
      </c>
      <c r="L18">
        <v>0.82430000000000003</v>
      </c>
    </row>
    <row r="19" spans="1:12" x14ac:dyDescent="0.35">
      <c r="A19">
        <v>-0.8</v>
      </c>
      <c r="B19">
        <v>0.1421</v>
      </c>
      <c r="C19">
        <v>5.1000000000000004E-3</v>
      </c>
      <c r="D19">
        <v>9.2000000000000003E-4</v>
      </c>
      <c r="E19">
        <v>-7.4899999999999994E-2</v>
      </c>
      <c r="F19">
        <v>0.05</v>
      </c>
      <c r="G19">
        <v>9.4999999999999998E-3</v>
      </c>
      <c r="H19">
        <v>-1.3139000000000001</v>
      </c>
      <c r="I19">
        <v>0</v>
      </c>
      <c r="J19">
        <v>0</v>
      </c>
      <c r="K19">
        <v>0</v>
      </c>
      <c r="L19">
        <v>0.77800000000000002</v>
      </c>
    </row>
    <row r="20" spans="1:12" x14ac:dyDescent="0.35">
      <c r="A20">
        <v>-0.75</v>
      </c>
      <c r="B20">
        <v>0.15340000000000001</v>
      </c>
      <c r="C20">
        <v>5.0899999999999999E-3</v>
      </c>
      <c r="D20">
        <v>9.2000000000000003E-4</v>
      </c>
      <c r="E20">
        <v>-7.4899999999999994E-2</v>
      </c>
      <c r="F20">
        <v>0.05</v>
      </c>
      <c r="G20">
        <v>9.5999999999999992E-3</v>
      </c>
      <c r="H20">
        <v>-1.226</v>
      </c>
      <c r="I20">
        <v>0</v>
      </c>
      <c r="J20">
        <v>0</v>
      </c>
      <c r="K20">
        <v>0</v>
      </c>
      <c r="L20">
        <v>0.73880000000000001</v>
      </c>
    </row>
    <row r="21" spans="1:12" x14ac:dyDescent="0.35">
      <c r="A21">
        <v>-0.7</v>
      </c>
      <c r="B21">
        <v>0.1646</v>
      </c>
      <c r="C21">
        <v>5.0899999999999999E-3</v>
      </c>
      <c r="D21">
        <v>9.1E-4</v>
      </c>
      <c r="E21">
        <v>-7.4800000000000005E-2</v>
      </c>
      <c r="F21">
        <v>0.05</v>
      </c>
      <c r="G21">
        <v>9.5999999999999992E-3</v>
      </c>
      <c r="H21">
        <v>-1.1414</v>
      </c>
      <c r="I21">
        <v>0</v>
      </c>
      <c r="J21">
        <v>0</v>
      </c>
      <c r="K21">
        <v>0</v>
      </c>
      <c r="L21">
        <v>0.70509999999999995</v>
      </c>
    </row>
    <row r="22" spans="1:12" x14ac:dyDescent="0.35">
      <c r="A22">
        <v>-0.65</v>
      </c>
      <c r="B22">
        <v>0.1759</v>
      </c>
      <c r="C22">
        <v>5.0899999999999999E-3</v>
      </c>
      <c r="D22">
        <v>9.1E-4</v>
      </c>
      <c r="E22">
        <v>-7.4800000000000005E-2</v>
      </c>
      <c r="F22">
        <v>0.05</v>
      </c>
      <c r="G22">
        <v>9.7000000000000003E-3</v>
      </c>
      <c r="H22">
        <v>-1.0601</v>
      </c>
      <c r="I22">
        <v>0</v>
      </c>
      <c r="J22">
        <v>0</v>
      </c>
      <c r="K22">
        <v>0</v>
      </c>
      <c r="L22">
        <v>0.67579999999999996</v>
      </c>
    </row>
    <row r="23" spans="1:12" x14ac:dyDescent="0.35">
      <c r="A23">
        <v>-0.6</v>
      </c>
      <c r="B23">
        <v>0.18709999999999999</v>
      </c>
      <c r="C23">
        <v>5.0899999999999999E-3</v>
      </c>
      <c r="D23">
        <v>9.1E-4</v>
      </c>
      <c r="E23">
        <v>-7.4800000000000005E-2</v>
      </c>
      <c r="F23">
        <v>0.05</v>
      </c>
      <c r="G23">
        <v>9.7000000000000003E-3</v>
      </c>
      <c r="H23">
        <v>-0.98199999999999998</v>
      </c>
      <c r="I23">
        <v>0</v>
      </c>
      <c r="J23">
        <v>0</v>
      </c>
      <c r="K23">
        <v>0</v>
      </c>
      <c r="L23">
        <v>0.65010000000000001</v>
      </c>
    </row>
    <row r="24" spans="1:12" x14ac:dyDescent="0.35">
      <c r="A24">
        <v>-0.55000000000000004</v>
      </c>
      <c r="B24">
        <v>0.1983</v>
      </c>
      <c r="C24">
        <v>5.0899999999999999E-3</v>
      </c>
      <c r="D24">
        <v>9.1E-4</v>
      </c>
      <c r="E24">
        <v>-7.4800000000000005E-2</v>
      </c>
      <c r="F24">
        <v>0.05</v>
      </c>
      <c r="G24">
        <v>9.7999999999999997E-3</v>
      </c>
      <c r="H24">
        <v>-0.90849999999999997</v>
      </c>
      <c r="I24">
        <v>0</v>
      </c>
      <c r="J24">
        <v>0</v>
      </c>
      <c r="K24">
        <v>0</v>
      </c>
      <c r="L24">
        <v>0.62739999999999996</v>
      </c>
    </row>
    <row r="25" spans="1:12" x14ac:dyDescent="0.35">
      <c r="A25">
        <v>-0.5</v>
      </c>
      <c r="B25">
        <v>0.2094</v>
      </c>
      <c r="C25">
        <v>5.0899999999999999E-3</v>
      </c>
      <c r="D25">
        <v>9.1E-4</v>
      </c>
      <c r="E25">
        <v>-7.4800000000000005E-2</v>
      </c>
      <c r="F25">
        <v>0.05</v>
      </c>
      <c r="G25">
        <v>9.7999999999999997E-3</v>
      </c>
      <c r="H25">
        <v>-0.83560000000000001</v>
      </c>
      <c r="I25">
        <v>0</v>
      </c>
      <c r="J25">
        <v>0</v>
      </c>
      <c r="K25">
        <v>0</v>
      </c>
      <c r="L25">
        <v>0.60719999999999996</v>
      </c>
    </row>
    <row r="26" spans="1:12" x14ac:dyDescent="0.35">
      <c r="A26">
        <v>-0.45</v>
      </c>
      <c r="B26">
        <v>0.2205</v>
      </c>
      <c r="C26">
        <v>5.0899999999999999E-3</v>
      </c>
      <c r="D26">
        <v>9.1E-4</v>
      </c>
      <c r="E26">
        <v>-7.4800000000000005E-2</v>
      </c>
      <c r="F26">
        <v>0.05</v>
      </c>
      <c r="G26">
        <v>9.9000000000000008E-3</v>
      </c>
      <c r="H26">
        <v>-0.76529999999999998</v>
      </c>
      <c r="I26">
        <v>0</v>
      </c>
      <c r="J26">
        <v>0</v>
      </c>
      <c r="K26">
        <v>0</v>
      </c>
      <c r="L26">
        <v>0.58909999999999996</v>
      </c>
    </row>
    <row r="27" spans="1:12" x14ac:dyDescent="0.35">
      <c r="A27">
        <v>-0.4</v>
      </c>
      <c r="B27">
        <v>0.23169999999999999</v>
      </c>
      <c r="C27">
        <v>5.0899999999999999E-3</v>
      </c>
      <c r="D27">
        <v>9.1E-4</v>
      </c>
      <c r="E27">
        <v>-7.4800000000000005E-2</v>
      </c>
      <c r="F27">
        <v>0.05</v>
      </c>
      <c r="G27">
        <v>9.9000000000000008E-3</v>
      </c>
      <c r="H27">
        <v>-0.69750000000000001</v>
      </c>
      <c r="I27">
        <v>0</v>
      </c>
      <c r="J27">
        <v>0</v>
      </c>
      <c r="K27">
        <v>0</v>
      </c>
      <c r="L27">
        <v>0.57279999999999998</v>
      </c>
    </row>
    <row r="28" spans="1:12" x14ac:dyDescent="0.35">
      <c r="A28">
        <v>-0.35</v>
      </c>
      <c r="B28">
        <v>0.24279999999999999</v>
      </c>
      <c r="C28">
        <v>5.0899999999999999E-3</v>
      </c>
      <c r="D28">
        <v>9.1E-4</v>
      </c>
      <c r="E28">
        <v>-7.4800000000000005E-2</v>
      </c>
      <c r="F28">
        <v>0.05</v>
      </c>
      <c r="G28">
        <v>0.01</v>
      </c>
      <c r="H28">
        <v>-0.63219999999999998</v>
      </c>
      <c r="I28">
        <v>0</v>
      </c>
      <c r="J28">
        <v>0</v>
      </c>
      <c r="K28">
        <v>0</v>
      </c>
      <c r="L28">
        <v>0.55800000000000005</v>
      </c>
    </row>
    <row r="29" spans="1:12" x14ac:dyDescent="0.35">
      <c r="A29">
        <v>-0.3</v>
      </c>
      <c r="B29">
        <v>0.25390000000000001</v>
      </c>
      <c r="C29">
        <v>5.0899999999999999E-3</v>
      </c>
      <c r="D29">
        <v>9.1E-4</v>
      </c>
      <c r="E29">
        <v>-7.4800000000000005E-2</v>
      </c>
      <c r="F29">
        <v>0.05</v>
      </c>
      <c r="G29">
        <v>0.01</v>
      </c>
      <c r="H29">
        <v>-0.56910000000000005</v>
      </c>
      <c r="I29">
        <v>0</v>
      </c>
      <c r="J29">
        <v>0</v>
      </c>
      <c r="K29">
        <v>0</v>
      </c>
      <c r="L29">
        <v>0.54459999999999997</v>
      </c>
    </row>
    <row r="30" spans="1:12" x14ac:dyDescent="0.35">
      <c r="A30">
        <v>-0.25</v>
      </c>
      <c r="B30">
        <v>0.26490000000000002</v>
      </c>
      <c r="C30">
        <v>5.1000000000000004E-3</v>
      </c>
      <c r="D30">
        <v>9.1E-4</v>
      </c>
      <c r="E30">
        <v>-7.4800000000000005E-2</v>
      </c>
      <c r="F30">
        <v>0.05</v>
      </c>
      <c r="G30">
        <v>1.01E-2</v>
      </c>
      <c r="H30">
        <v>-0.51339999999999997</v>
      </c>
      <c r="I30">
        <v>0</v>
      </c>
      <c r="J30">
        <v>0</v>
      </c>
      <c r="K30">
        <v>0</v>
      </c>
      <c r="L30">
        <v>0.5323</v>
      </c>
    </row>
    <row r="31" spans="1:12" x14ac:dyDescent="0.35">
      <c r="A31">
        <v>-0.2</v>
      </c>
      <c r="B31">
        <v>0.27600000000000002</v>
      </c>
      <c r="C31">
        <v>5.1000000000000004E-3</v>
      </c>
      <c r="D31">
        <v>9.2000000000000003E-4</v>
      </c>
      <c r="E31">
        <v>-7.4800000000000005E-2</v>
      </c>
      <c r="F31">
        <v>0.05</v>
      </c>
      <c r="G31">
        <v>1.04E-2</v>
      </c>
      <c r="H31">
        <v>-0.51829999999999998</v>
      </c>
      <c r="I31">
        <v>0</v>
      </c>
      <c r="J31">
        <v>0</v>
      </c>
      <c r="K31">
        <v>0</v>
      </c>
      <c r="L31">
        <v>0.52090000000000003</v>
      </c>
    </row>
    <row r="32" spans="1:12" x14ac:dyDescent="0.35">
      <c r="A32">
        <v>-0.15</v>
      </c>
      <c r="B32">
        <v>0.28710000000000002</v>
      </c>
      <c r="C32">
        <v>5.1000000000000004E-3</v>
      </c>
      <c r="D32">
        <v>9.2000000000000003E-4</v>
      </c>
      <c r="E32">
        <v>-7.4800000000000005E-2</v>
      </c>
      <c r="F32">
        <v>0.05</v>
      </c>
      <c r="G32">
        <v>1.0999999999999999E-2</v>
      </c>
      <c r="H32">
        <v>-0.52329999999999999</v>
      </c>
      <c r="I32">
        <v>0</v>
      </c>
      <c r="J32">
        <v>0</v>
      </c>
      <c r="K32">
        <v>0</v>
      </c>
      <c r="L32">
        <v>0.51049999999999995</v>
      </c>
    </row>
    <row r="33" spans="1:12" x14ac:dyDescent="0.35">
      <c r="A33">
        <v>-0.1</v>
      </c>
      <c r="B33">
        <v>0.29770000000000002</v>
      </c>
      <c r="C33">
        <v>5.13E-3</v>
      </c>
      <c r="D33">
        <v>9.3000000000000005E-4</v>
      </c>
      <c r="E33">
        <v>-7.4800000000000005E-2</v>
      </c>
      <c r="F33">
        <v>3.7999999999999999E-2</v>
      </c>
      <c r="G33">
        <v>1.17E-2</v>
      </c>
      <c r="H33">
        <v>-0.52810000000000001</v>
      </c>
      <c r="I33">
        <v>0</v>
      </c>
      <c r="J33">
        <v>0</v>
      </c>
      <c r="K33">
        <v>0</v>
      </c>
      <c r="L33">
        <v>0.50090000000000001</v>
      </c>
    </row>
    <row r="34" spans="1:12" x14ac:dyDescent="0.35">
      <c r="A34">
        <v>-0.05</v>
      </c>
      <c r="B34">
        <v>0.30869999999999997</v>
      </c>
      <c r="C34">
        <v>5.1399999999999996E-3</v>
      </c>
      <c r="D34">
        <v>9.3999999999999997E-4</v>
      </c>
      <c r="E34">
        <v>-7.4800000000000005E-2</v>
      </c>
      <c r="F34">
        <v>3.2899999999999999E-2</v>
      </c>
      <c r="G34">
        <v>1.2500000000000001E-2</v>
      </c>
      <c r="H34">
        <v>-0.53310000000000002</v>
      </c>
      <c r="I34">
        <v>0</v>
      </c>
      <c r="J34">
        <v>0</v>
      </c>
      <c r="K34">
        <v>0</v>
      </c>
      <c r="L34">
        <v>0.49199999999999999</v>
      </c>
    </row>
    <row r="35" spans="1:12" x14ac:dyDescent="0.35">
      <c r="A35">
        <v>0</v>
      </c>
      <c r="B35">
        <v>0.3196</v>
      </c>
      <c r="C35">
        <v>5.1500000000000001E-3</v>
      </c>
      <c r="D35">
        <v>9.3999999999999997E-4</v>
      </c>
      <c r="E35">
        <v>-7.4800000000000005E-2</v>
      </c>
      <c r="F35">
        <v>3.1399999999999997E-2</v>
      </c>
      <c r="G35">
        <v>1.3299999999999999E-2</v>
      </c>
      <c r="H35">
        <v>-0.53820000000000001</v>
      </c>
      <c r="I35">
        <v>0</v>
      </c>
      <c r="J35">
        <v>0</v>
      </c>
      <c r="K35">
        <v>0</v>
      </c>
      <c r="L35">
        <v>0.48359999999999997</v>
      </c>
    </row>
    <row r="36" spans="1:12" x14ac:dyDescent="0.35">
      <c r="A36">
        <v>0.05</v>
      </c>
      <c r="B36">
        <v>0.3306</v>
      </c>
      <c r="C36">
        <v>5.1599999999999997E-3</v>
      </c>
      <c r="D36">
        <v>9.5E-4</v>
      </c>
      <c r="E36">
        <v>-7.4700000000000003E-2</v>
      </c>
      <c r="F36">
        <v>2.9399999999999999E-2</v>
      </c>
      <c r="G36">
        <v>1.43E-2</v>
      </c>
      <c r="H36">
        <v>-0.54330000000000001</v>
      </c>
      <c r="I36">
        <v>0</v>
      </c>
      <c r="J36">
        <v>0</v>
      </c>
      <c r="K36">
        <v>0</v>
      </c>
      <c r="L36">
        <v>0.4758</v>
      </c>
    </row>
    <row r="37" spans="1:12" x14ac:dyDescent="0.35">
      <c r="A37">
        <v>0.1</v>
      </c>
      <c r="B37">
        <v>0.34150000000000003</v>
      </c>
      <c r="C37">
        <v>5.1700000000000001E-3</v>
      </c>
      <c r="D37">
        <v>9.6000000000000002E-4</v>
      </c>
      <c r="E37">
        <v>-7.4700000000000003E-2</v>
      </c>
      <c r="F37">
        <v>2.6200000000000001E-2</v>
      </c>
      <c r="G37">
        <v>1.5299999999999999E-2</v>
      </c>
      <c r="H37">
        <v>-0.54849999999999999</v>
      </c>
      <c r="I37">
        <v>0</v>
      </c>
      <c r="J37">
        <v>0</v>
      </c>
      <c r="K37">
        <v>0</v>
      </c>
      <c r="L37">
        <v>0.46850000000000003</v>
      </c>
    </row>
    <row r="38" spans="1:12" x14ac:dyDescent="0.35">
      <c r="A38">
        <v>0.15</v>
      </c>
      <c r="B38">
        <v>0.35260000000000002</v>
      </c>
      <c r="C38">
        <v>5.1700000000000001E-3</v>
      </c>
      <c r="D38">
        <v>9.7000000000000005E-4</v>
      </c>
      <c r="E38">
        <v>-7.4800000000000005E-2</v>
      </c>
      <c r="F38">
        <v>2.3800000000000002E-2</v>
      </c>
      <c r="G38">
        <v>1.6400000000000001E-2</v>
      </c>
      <c r="H38">
        <v>-0.55379999999999996</v>
      </c>
      <c r="I38">
        <v>0</v>
      </c>
      <c r="J38">
        <v>0</v>
      </c>
      <c r="K38">
        <v>0</v>
      </c>
      <c r="L38">
        <v>0.4617</v>
      </c>
    </row>
    <row r="39" spans="1:12" x14ac:dyDescent="0.35">
      <c r="A39">
        <v>0.2</v>
      </c>
      <c r="B39">
        <v>0.36359999999999998</v>
      </c>
      <c r="C39">
        <v>5.1799999999999997E-3</v>
      </c>
      <c r="D39">
        <v>9.7999999999999997E-4</v>
      </c>
      <c r="E39">
        <v>-7.4800000000000005E-2</v>
      </c>
      <c r="F39">
        <v>2.3400000000000001E-2</v>
      </c>
      <c r="G39">
        <v>1.7600000000000001E-2</v>
      </c>
      <c r="H39">
        <v>-0.55910000000000004</v>
      </c>
      <c r="I39">
        <v>0</v>
      </c>
      <c r="J39">
        <v>0</v>
      </c>
      <c r="K39">
        <v>0</v>
      </c>
      <c r="L39">
        <v>0.45519999999999999</v>
      </c>
    </row>
    <row r="40" spans="1:12" x14ac:dyDescent="0.35">
      <c r="A40">
        <v>0.25</v>
      </c>
      <c r="B40">
        <v>0.37469999999999998</v>
      </c>
      <c r="C40">
        <v>5.1799999999999997E-3</v>
      </c>
      <c r="D40">
        <v>9.8999999999999999E-4</v>
      </c>
      <c r="E40">
        <v>-7.4800000000000005E-2</v>
      </c>
      <c r="F40">
        <v>2.3300000000000001E-2</v>
      </c>
      <c r="G40">
        <v>1.8499999999999999E-2</v>
      </c>
      <c r="H40">
        <v>-0.5645</v>
      </c>
      <c r="I40">
        <v>0</v>
      </c>
      <c r="J40">
        <v>0</v>
      </c>
      <c r="K40">
        <v>0</v>
      </c>
      <c r="L40">
        <v>0.4491</v>
      </c>
    </row>
    <row r="41" spans="1:12" x14ac:dyDescent="0.35">
      <c r="A41">
        <v>0.3</v>
      </c>
      <c r="B41">
        <v>0.38579999999999998</v>
      </c>
      <c r="C41">
        <v>5.1900000000000002E-3</v>
      </c>
      <c r="D41">
        <v>1E-3</v>
      </c>
      <c r="E41">
        <v>-7.4800000000000005E-2</v>
      </c>
      <c r="F41">
        <v>2.3300000000000001E-2</v>
      </c>
      <c r="G41">
        <v>0.02</v>
      </c>
      <c r="H41">
        <v>-0.56989999999999996</v>
      </c>
      <c r="I41">
        <v>0</v>
      </c>
      <c r="J41">
        <v>0</v>
      </c>
      <c r="K41">
        <v>0</v>
      </c>
      <c r="L41">
        <v>0.44340000000000002</v>
      </c>
    </row>
    <row r="42" spans="1:12" x14ac:dyDescent="0.35">
      <c r="A42">
        <v>0.35</v>
      </c>
      <c r="B42">
        <v>0.39689999999999998</v>
      </c>
      <c r="C42">
        <v>5.1900000000000002E-3</v>
      </c>
      <c r="D42">
        <v>1.01E-3</v>
      </c>
      <c r="E42">
        <v>-7.4800000000000005E-2</v>
      </c>
      <c r="F42">
        <v>2.3199999999999998E-2</v>
      </c>
      <c r="G42">
        <v>2.3300000000000001E-2</v>
      </c>
      <c r="H42">
        <v>-0.57540000000000002</v>
      </c>
      <c r="I42">
        <v>0</v>
      </c>
      <c r="J42">
        <v>0</v>
      </c>
      <c r="K42">
        <v>0</v>
      </c>
      <c r="L42">
        <v>0.43790000000000001</v>
      </c>
    </row>
    <row r="43" spans="1:12" x14ac:dyDescent="0.35">
      <c r="A43">
        <v>0.4</v>
      </c>
      <c r="B43">
        <v>0.40799999999999997</v>
      </c>
      <c r="C43">
        <v>5.1999999999999998E-3</v>
      </c>
      <c r="D43">
        <v>1.0200000000000001E-3</v>
      </c>
      <c r="E43">
        <v>-7.4800000000000005E-2</v>
      </c>
      <c r="F43">
        <v>2.3099999999999999E-2</v>
      </c>
      <c r="G43">
        <v>2.6599999999999999E-2</v>
      </c>
      <c r="H43">
        <v>-0.58089999999999997</v>
      </c>
      <c r="I43">
        <v>0</v>
      </c>
      <c r="J43">
        <v>0</v>
      </c>
      <c r="K43">
        <v>0</v>
      </c>
      <c r="L43">
        <v>0.43280000000000002</v>
      </c>
    </row>
    <row r="44" spans="1:12" x14ac:dyDescent="0.35">
      <c r="A44">
        <v>0.45</v>
      </c>
      <c r="B44">
        <v>0.41909999999999997</v>
      </c>
      <c r="C44">
        <v>5.1999999999999998E-3</v>
      </c>
      <c r="D44">
        <v>1.0300000000000001E-3</v>
      </c>
      <c r="E44">
        <v>-7.4700000000000003E-2</v>
      </c>
      <c r="F44">
        <v>2.29E-2</v>
      </c>
      <c r="G44">
        <v>2.8400000000000002E-2</v>
      </c>
      <c r="H44">
        <v>-0.60650000000000004</v>
      </c>
      <c r="I44">
        <v>0</v>
      </c>
      <c r="J44">
        <v>0</v>
      </c>
      <c r="K44">
        <v>0</v>
      </c>
      <c r="L44">
        <v>0.4279</v>
      </c>
    </row>
    <row r="45" spans="1:12" x14ac:dyDescent="0.35">
      <c r="A45">
        <v>0.5</v>
      </c>
      <c r="B45">
        <v>0.43030000000000002</v>
      </c>
      <c r="C45">
        <v>5.2100000000000002E-3</v>
      </c>
      <c r="D45">
        <v>1.0399999999999999E-3</v>
      </c>
      <c r="E45">
        <v>-7.4700000000000003E-2</v>
      </c>
      <c r="F45">
        <v>2.2800000000000001E-2</v>
      </c>
      <c r="G45">
        <v>2.8799999999999999E-2</v>
      </c>
      <c r="H45">
        <v>-0.66100000000000003</v>
      </c>
      <c r="I45">
        <v>0</v>
      </c>
      <c r="J45">
        <v>0</v>
      </c>
      <c r="K45">
        <v>0</v>
      </c>
      <c r="L45">
        <v>0.42320000000000002</v>
      </c>
    </row>
    <row r="46" spans="1:12" x14ac:dyDescent="0.35">
      <c r="A46">
        <v>0.55000000000000004</v>
      </c>
      <c r="B46">
        <v>0.44130000000000003</v>
      </c>
      <c r="C46">
        <v>5.2300000000000003E-3</v>
      </c>
      <c r="D46">
        <v>1.06E-3</v>
      </c>
      <c r="E46">
        <v>-7.4700000000000003E-2</v>
      </c>
      <c r="F46">
        <v>2.0500000000000001E-2</v>
      </c>
      <c r="G46">
        <v>2.9000000000000001E-2</v>
      </c>
      <c r="H46">
        <v>-0.71640000000000004</v>
      </c>
      <c r="I46">
        <v>0</v>
      </c>
      <c r="J46">
        <v>0</v>
      </c>
      <c r="K46">
        <v>0</v>
      </c>
      <c r="L46">
        <v>0.41870000000000002</v>
      </c>
    </row>
    <row r="47" spans="1:12" x14ac:dyDescent="0.35">
      <c r="A47">
        <v>0.6</v>
      </c>
      <c r="B47">
        <v>0.45219999999999999</v>
      </c>
      <c r="C47">
        <v>5.2500000000000003E-3</v>
      </c>
      <c r="D47">
        <v>1.08E-3</v>
      </c>
      <c r="E47">
        <v>-7.46E-2</v>
      </c>
      <c r="F47">
        <v>1.7100000000000001E-2</v>
      </c>
      <c r="G47">
        <v>2.93E-2</v>
      </c>
      <c r="H47">
        <v>-0.77280000000000004</v>
      </c>
      <c r="I47">
        <v>0</v>
      </c>
      <c r="J47">
        <v>0</v>
      </c>
      <c r="K47">
        <v>0</v>
      </c>
      <c r="L47">
        <v>0.41439999999999999</v>
      </c>
    </row>
    <row r="48" spans="1:12" x14ac:dyDescent="0.35">
      <c r="A48">
        <v>0.65</v>
      </c>
      <c r="B48">
        <v>0.46339999999999998</v>
      </c>
      <c r="C48">
        <v>5.2599999999999999E-3</v>
      </c>
      <c r="D48">
        <v>1.09E-3</v>
      </c>
      <c r="E48">
        <v>-7.46E-2</v>
      </c>
      <c r="F48">
        <v>1.55E-2</v>
      </c>
      <c r="G48">
        <v>3.6799999999999999E-2</v>
      </c>
      <c r="H48">
        <v>-0.83209999999999995</v>
      </c>
      <c r="I48">
        <v>0</v>
      </c>
      <c r="J48">
        <v>0</v>
      </c>
      <c r="K48">
        <v>0</v>
      </c>
      <c r="L48">
        <v>0.4103</v>
      </c>
    </row>
    <row r="49" spans="1:12" x14ac:dyDescent="0.35">
      <c r="A49">
        <v>0.7</v>
      </c>
      <c r="B49">
        <v>0.47470000000000001</v>
      </c>
      <c r="C49">
        <v>5.2500000000000003E-3</v>
      </c>
      <c r="D49">
        <v>1.1100000000000001E-3</v>
      </c>
      <c r="E49">
        <v>-7.4499999999999997E-2</v>
      </c>
      <c r="F49">
        <v>1.41E-2</v>
      </c>
      <c r="G49">
        <v>0.05</v>
      </c>
      <c r="H49">
        <v>-0.89319999999999999</v>
      </c>
      <c r="I49">
        <v>0</v>
      </c>
      <c r="J49">
        <v>0</v>
      </c>
      <c r="K49">
        <v>0</v>
      </c>
      <c r="L49">
        <v>0.40639999999999998</v>
      </c>
    </row>
    <row r="50" spans="1:12" x14ac:dyDescent="0.35">
      <c r="A50">
        <v>0.75</v>
      </c>
      <c r="B50">
        <v>0.48599999999999999</v>
      </c>
      <c r="C50">
        <v>5.2599999999999999E-3</v>
      </c>
      <c r="D50">
        <v>1.1199999999999999E-3</v>
      </c>
      <c r="E50">
        <v>-7.4499999999999997E-2</v>
      </c>
      <c r="F50">
        <v>1.37E-2</v>
      </c>
      <c r="G50">
        <v>0.05</v>
      </c>
      <c r="H50">
        <v>-0.95699999999999996</v>
      </c>
      <c r="I50">
        <v>0</v>
      </c>
      <c r="J50">
        <v>0</v>
      </c>
      <c r="K50">
        <v>0</v>
      </c>
      <c r="L50">
        <v>0.40260000000000001</v>
      </c>
    </row>
    <row r="51" spans="1:12" x14ac:dyDescent="0.35">
      <c r="A51">
        <v>0.8</v>
      </c>
      <c r="B51">
        <v>0.49719999999999998</v>
      </c>
      <c r="C51">
        <v>5.2700000000000004E-3</v>
      </c>
      <c r="D51">
        <v>1.14E-3</v>
      </c>
      <c r="E51">
        <v>-7.4399999999999994E-2</v>
      </c>
      <c r="F51">
        <v>1.3599999999999999E-2</v>
      </c>
      <c r="G51">
        <v>0.05</v>
      </c>
      <c r="H51">
        <v>-1.0229999999999999</v>
      </c>
      <c r="I51">
        <v>0</v>
      </c>
      <c r="J51">
        <v>0</v>
      </c>
      <c r="K51">
        <v>0</v>
      </c>
      <c r="L51">
        <v>0.39900000000000002</v>
      </c>
    </row>
    <row r="52" spans="1:12" x14ac:dyDescent="0.35">
      <c r="A52">
        <v>0.85</v>
      </c>
      <c r="B52">
        <v>0.50860000000000005</v>
      </c>
      <c r="C52">
        <v>5.2900000000000004E-3</v>
      </c>
      <c r="D52">
        <v>1.16E-3</v>
      </c>
      <c r="E52">
        <v>-7.4300000000000005E-2</v>
      </c>
      <c r="F52">
        <v>1.34E-2</v>
      </c>
      <c r="G52">
        <v>0.05</v>
      </c>
      <c r="H52">
        <v>-1.0912999999999999</v>
      </c>
      <c r="I52">
        <v>0</v>
      </c>
      <c r="J52">
        <v>0</v>
      </c>
      <c r="K52">
        <v>0</v>
      </c>
      <c r="L52">
        <v>0.39550000000000002</v>
      </c>
    </row>
    <row r="53" spans="1:12" x14ac:dyDescent="0.35">
      <c r="A53">
        <v>0.9</v>
      </c>
      <c r="B53">
        <v>0.51990000000000003</v>
      </c>
      <c r="C53">
        <v>5.3E-3</v>
      </c>
      <c r="D53">
        <v>1.1800000000000001E-3</v>
      </c>
      <c r="E53">
        <v>-7.4300000000000005E-2</v>
      </c>
      <c r="F53">
        <v>1.32E-2</v>
      </c>
      <c r="G53">
        <v>0.05</v>
      </c>
      <c r="H53">
        <v>-1.1620999999999999</v>
      </c>
      <c r="I53">
        <v>0</v>
      </c>
      <c r="J53">
        <v>0</v>
      </c>
      <c r="K53">
        <v>0</v>
      </c>
      <c r="L53">
        <v>0.3921</v>
      </c>
    </row>
    <row r="54" spans="1:12" x14ac:dyDescent="0.35">
      <c r="A54">
        <v>0.95</v>
      </c>
      <c r="B54">
        <v>0.53129999999999999</v>
      </c>
      <c r="C54">
        <v>5.3200000000000001E-3</v>
      </c>
      <c r="D54">
        <v>1.1900000000000001E-3</v>
      </c>
      <c r="E54">
        <v>-7.4200000000000002E-2</v>
      </c>
      <c r="F54">
        <v>1.29E-2</v>
      </c>
      <c r="G54">
        <v>0.05</v>
      </c>
      <c r="H54">
        <v>-1.2356</v>
      </c>
      <c r="I54">
        <v>0</v>
      </c>
      <c r="J54">
        <v>0</v>
      </c>
      <c r="K54">
        <v>0</v>
      </c>
      <c r="L54">
        <v>0.38879999999999998</v>
      </c>
    </row>
    <row r="55" spans="1:12" x14ac:dyDescent="0.35">
      <c r="A55">
        <v>1</v>
      </c>
      <c r="B55">
        <v>0.54269999999999996</v>
      </c>
      <c r="C55">
        <v>5.3400000000000001E-3</v>
      </c>
      <c r="D55">
        <v>1.2199999999999999E-3</v>
      </c>
      <c r="E55">
        <v>-7.3999999999999996E-2</v>
      </c>
      <c r="F55">
        <v>1.2200000000000001E-2</v>
      </c>
      <c r="G55">
        <v>0.05</v>
      </c>
      <c r="H55">
        <v>-1.3118000000000001</v>
      </c>
      <c r="I55">
        <v>0</v>
      </c>
      <c r="J55">
        <v>0</v>
      </c>
      <c r="K55">
        <v>0</v>
      </c>
      <c r="L55">
        <v>0.38569999999999999</v>
      </c>
    </row>
    <row r="56" spans="1:12" x14ac:dyDescent="0.35">
      <c r="A56">
        <v>1.05</v>
      </c>
      <c r="B56">
        <v>0.55410000000000004</v>
      </c>
      <c r="C56">
        <v>5.3600000000000002E-3</v>
      </c>
      <c r="D56">
        <v>1.24E-3</v>
      </c>
      <c r="E56">
        <v>-7.3899999999999993E-2</v>
      </c>
      <c r="F56">
        <v>1.1299999999999999E-2</v>
      </c>
      <c r="G56">
        <v>0.05</v>
      </c>
      <c r="H56">
        <v>-1.3905000000000001</v>
      </c>
      <c r="I56">
        <v>0</v>
      </c>
      <c r="J56">
        <v>0</v>
      </c>
      <c r="K56">
        <v>0</v>
      </c>
      <c r="L56">
        <v>0.3826</v>
      </c>
    </row>
    <row r="57" spans="1:12" x14ac:dyDescent="0.35">
      <c r="A57">
        <v>1.1000000000000001</v>
      </c>
      <c r="B57">
        <v>0.5655</v>
      </c>
      <c r="C57">
        <v>5.3800000000000002E-3</v>
      </c>
      <c r="D57">
        <v>1.2700000000000001E-3</v>
      </c>
      <c r="E57">
        <v>-7.3700000000000002E-2</v>
      </c>
      <c r="F57">
        <v>1.04E-2</v>
      </c>
      <c r="G57">
        <v>0.05</v>
      </c>
      <c r="H57">
        <v>-1.4723999999999999</v>
      </c>
      <c r="I57">
        <v>0</v>
      </c>
      <c r="J57">
        <v>0</v>
      </c>
      <c r="K57">
        <v>0</v>
      </c>
      <c r="L57">
        <v>0.37959999999999999</v>
      </c>
    </row>
    <row r="58" spans="1:12" x14ac:dyDescent="0.35">
      <c r="A58">
        <v>1.1499999999999999</v>
      </c>
      <c r="B58">
        <v>0.57699999999999996</v>
      </c>
      <c r="C58">
        <v>5.4000000000000003E-3</v>
      </c>
      <c r="D58">
        <v>1.2899999999999999E-3</v>
      </c>
      <c r="E58">
        <v>-7.3599999999999999E-2</v>
      </c>
      <c r="F58">
        <v>9.7000000000000003E-3</v>
      </c>
      <c r="G58">
        <v>0.05</v>
      </c>
      <c r="H58">
        <v>-1.5580000000000001</v>
      </c>
      <c r="I58">
        <v>0</v>
      </c>
      <c r="J58">
        <v>0</v>
      </c>
      <c r="K58">
        <v>0</v>
      </c>
      <c r="L58">
        <v>0.37669999999999998</v>
      </c>
    </row>
    <row r="59" spans="1:12" x14ac:dyDescent="0.35">
      <c r="A59">
        <v>1.2</v>
      </c>
      <c r="B59">
        <v>0.58860000000000001</v>
      </c>
      <c r="C59">
        <v>5.4200000000000003E-3</v>
      </c>
      <c r="D59">
        <v>1.31E-3</v>
      </c>
      <c r="E59">
        <v>-7.3400000000000007E-2</v>
      </c>
      <c r="F59">
        <v>8.9999999999999993E-3</v>
      </c>
      <c r="G59">
        <v>0.05</v>
      </c>
      <c r="H59">
        <v>-1.6479999999999999</v>
      </c>
      <c r="I59">
        <v>0</v>
      </c>
      <c r="J59">
        <v>0</v>
      </c>
      <c r="K59">
        <v>0</v>
      </c>
      <c r="L59">
        <v>0.37390000000000001</v>
      </c>
    </row>
    <row r="60" spans="1:12" x14ac:dyDescent="0.35">
      <c r="A60">
        <v>1.25</v>
      </c>
      <c r="B60">
        <v>0.60029999999999994</v>
      </c>
      <c r="C60">
        <v>5.4299999999999999E-3</v>
      </c>
      <c r="D60">
        <v>1.34E-3</v>
      </c>
      <c r="E60">
        <v>-7.3200000000000001E-2</v>
      </c>
      <c r="F60">
        <v>8.3999999999999995E-3</v>
      </c>
      <c r="G60">
        <v>0.05</v>
      </c>
      <c r="H60">
        <v>-1.7546999999999999</v>
      </c>
      <c r="I60">
        <v>0</v>
      </c>
      <c r="J60">
        <v>0</v>
      </c>
      <c r="K60">
        <v>0</v>
      </c>
      <c r="L60">
        <v>0.37109999999999999</v>
      </c>
    </row>
    <row r="61" spans="1:12" x14ac:dyDescent="0.35">
      <c r="A61">
        <v>1.3</v>
      </c>
      <c r="B61">
        <v>0.61209999999999998</v>
      </c>
      <c r="C61">
        <v>5.45E-3</v>
      </c>
      <c r="D61">
        <v>1.3600000000000001E-3</v>
      </c>
      <c r="E61">
        <v>-7.2999999999999995E-2</v>
      </c>
      <c r="F61">
        <v>7.7000000000000002E-3</v>
      </c>
      <c r="G61">
        <v>0.05</v>
      </c>
      <c r="H61">
        <v>-1.8773</v>
      </c>
      <c r="I61">
        <v>0</v>
      </c>
      <c r="J61">
        <v>0</v>
      </c>
      <c r="K61">
        <v>0</v>
      </c>
      <c r="L61">
        <v>0.36840000000000001</v>
      </c>
    </row>
    <row r="62" spans="1:12" x14ac:dyDescent="0.35">
      <c r="A62">
        <v>1.35</v>
      </c>
      <c r="B62">
        <v>0.624</v>
      </c>
      <c r="C62">
        <v>5.47E-3</v>
      </c>
      <c r="D62">
        <v>1.39E-3</v>
      </c>
      <c r="E62">
        <v>-7.2800000000000004E-2</v>
      </c>
      <c r="F62">
        <v>7.3000000000000001E-3</v>
      </c>
      <c r="G62">
        <v>0.05</v>
      </c>
      <c r="H62">
        <v>-2.0099</v>
      </c>
      <c r="I62">
        <v>0</v>
      </c>
      <c r="J62">
        <v>0</v>
      </c>
      <c r="K62">
        <v>0</v>
      </c>
      <c r="L62">
        <v>0.36570000000000003</v>
      </c>
    </row>
    <row r="63" spans="1:12" x14ac:dyDescent="0.35">
      <c r="A63">
        <v>1.4</v>
      </c>
      <c r="B63">
        <v>0.63590000000000002</v>
      </c>
      <c r="C63">
        <v>5.4900000000000001E-3</v>
      </c>
      <c r="D63">
        <v>1.42E-3</v>
      </c>
      <c r="E63">
        <v>-7.2599999999999998E-2</v>
      </c>
      <c r="F63">
        <v>7.0000000000000001E-3</v>
      </c>
      <c r="G63">
        <v>0.05</v>
      </c>
      <c r="H63">
        <v>-2.1505999999999998</v>
      </c>
      <c r="I63">
        <v>0</v>
      </c>
      <c r="J63">
        <v>0</v>
      </c>
      <c r="K63">
        <v>0</v>
      </c>
      <c r="L63">
        <v>0.36309999999999998</v>
      </c>
    </row>
    <row r="64" spans="1:12" x14ac:dyDescent="0.35">
      <c r="A64">
        <v>1.45</v>
      </c>
      <c r="B64">
        <v>0.64800000000000002</v>
      </c>
      <c r="C64">
        <v>5.4999999999999997E-3</v>
      </c>
      <c r="D64">
        <v>1.4499999999999999E-3</v>
      </c>
      <c r="E64">
        <v>-7.2300000000000003E-2</v>
      </c>
      <c r="F64">
        <v>7.0000000000000001E-3</v>
      </c>
      <c r="G64">
        <v>0.05</v>
      </c>
      <c r="H64">
        <v>-2.3008999999999999</v>
      </c>
      <c r="I64">
        <v>0</v>
      </c>
      <c r="J64">
        <v>0</v>
      </c>
      <c r="K64">
        <v>0</v>
      </c>
      <c r="L64">
        <v>0.36059999999999998</v>
      </c>
    </row>
    <row r="65" spans="1:12" x14ac:dyDescent="0.35">
      <c r="A65">
        <v>1.5</v>
      </c>
      <c r="B65">
        <v>0.66010000000000002</v>
      </c>
      <c r="C65">
        <v>5.5199999999999997E-3</v>
      </c>
      <c r="D65">
        <v>1.48E-3</v>
      </c>
      <c r="E65">
        <v>-7.1999999999999995E-2</v>
      </c>
      <c r="F65">
        <v>6.8999999999999999E-3</v>
      </c>
      <c r="G65">
        <v>0.05</v>
      </c>
      <c r="H65">
        <v>-2.4621</v>
      </c>
      <c r="I65">
        <v>0</v>
      </c>
      <c r="J65">
        <v>0</v>
      </c>
      <c r="K65">
        <v>0</v>
      </c>
      <c r="L65">
        <v>0.35799999999999998</v>
      </c>
    </row>
    <row r="66" spans="1:12" x14ac:dyDescent="0.35">
      <c r="A66">
        <v>1.55</v>
      </c>
      <c r="B66">
        <v>0.6724</v>
      </c>
      <c r="C66">
        <v>5.5500000000000002E-3</v>
      </c>
      <c r="D66">
        <v>1.5100000000000001E-3</v>
      </c>
      <c r="E66">
        <v>-7.1599999999999997E-2</v>
      </c>
      <c r="F66">
        <v>6.8999999999999999E-3</v>
      </c>
      <c r="G66">
        <v>0.05</v>
      </c>
      <c r="H66">
        <v>-2.6373000000000002</v>
      </c>
      <c r="I66">
        <v>0</v>
      </c>
      <c r="J66">
        <v>0</v>
      </c>
      <c r="K66">
        <v>0</v>
      </c>
      <c r="L66">
        <v>0.35549999999999998</v>
      </c>
    </row>
    <row r="67" spans="1:12" x14ac:dyDescent="0.35">
      <c r="A67">
        <v>1.6</v>
      </c>
      <c r="B67">
        <v>0.68479999999999996</v>
      </c>
      <c r="C67">
        <v>5.5700000000000003E-3</v>
      </c>
      <c r="D67">
        <v>1.56E-3</v>
      </c>
      <c r="E67">
        <v>-7.1199999999999999E-2</v>
      </c>
      <c r="F67">
        <v>6.8999999999999999E-3</v>
      </c>
      <c r="G67">
        <v>0.05</v>
      </c>
      <c r="H67">
        <v>-2.8332000000000002</v>
      </c>
      <c r="I67">
        <v>0</v>
      </c>
      <c r="J67">
        <v>0</v>
      </c>
      <c r="K67">
        <v>0</v>
      </c>
      <c r="L67">
        <v>0.35289999999999999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54B95-A1ED-479F-8B7D-B388F166AA34}">
  <sheetPr codeName="Sheet25"/>
  <dimension ref="A1:L77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-1.65</v>
      </c>
      <c r="B2">
        <v>-5.7000000000000002E-2</v>
      </c>
      <c r="C2">
        <v>6.7099999999999998E-3</v>
      </c>
      <c r="D2">
        <v>2.7100000000000002E-3</v>
      </c>
      <c r="E2">
        <v>-7.7600000000000002E-2</v>
      </c>
      <c r="F2">
        <v>0.05</v>
      </c>
      <c r="G2">
        <v>4.8999999999999998E-3</v>
      </c>
      <c r="H2">
        <v>-3.0587</v>
      </c>
      <c r="I2">
        <v>0</v>
      </c>
      <c r="J2">
        <v>0</v>
      </c>
      <c r="K2">
        <v>0</v>
      </c>
      <c r="L2">
        <v>-1.1162000000000001</v>
      </c>
    </row>
    <row r="3" spans="1:12" x14ac:dyDescent="0.35">
      <c r="A3">
        <v>-1.6</v>
      </c>
      <c r="B3">
        <v>-4.65E-2</v>
      </c>
      <c r="C3">
        <v>6.3699999999999998E-3</v>
      </c>
      <c r="D3">
        <v>2.31E-3</v>
      </c>
      <c r="E3">
        <v>-7.7200000000000005E-2</v>
      </c>
      <c r="F3">
        <v>0.05</v>
      </c>
      <c r="G3">
        <v>5.0000000000000001E-3</v>
      </c>
      <c r="H3">
        <v>-3.0653000000000001</v>
      </c>
      <c r="I3">
        <v>0</v>
      </c>
      <c r="J3">
        <v>0</v>
      </c>
      <c r="K3">
        <v>0</v>
      </c>
      <c r="L3">
        <v>-1.4169</v>
      </c>
    </row>
    <row r="4" spans="1:12" x14ac:dyDescent="0.35">
      <c r="A4">
        <v>-1.55</v>
      </c>
      <c r="B4">
        <v>-3.5499999999999997E-2</v>
      </c>
      <c r="C4">
        <v>6.11E-3</v>
      </c>
      <c r="D4">
        <v>1.99E-3</v>
      </c>
      <c r="E4">
        <v>-7.6899999999999996E-2</v>
      </c>
      <c r="F4">
        <v>0.05</v>
      </c>
      <c r="G4">
        <v>5.4000000000000003E-3</v>
      </c>
      <c r="H4">
        <v>-3.0291000000000001</v>
      </c>
      <c r="I4">
        <v>0</v>
      </c>
      <c r="J4">
        <v>0</v>
      </c>
      <c r="K4">
        <v>0</v>
      </c>
      <c r="L4">
        <v>-1.925</v>
      </c>
    </row>
    <row r="5" spans="1:12" x14ac:dyDescent="0.35">
      <c r="A5">
        <v>-1.5</v>
      </c>
      <c r="B5">
        <v>-2.4E-2</v>
      </c>
      <c r="C5">
        <v>5.8900000000000003E-3</v>
      </c>
      <c r="D5">
        <v>1.73E-3</v>
      </c>
      <c r="E5">
        <v>-7.6600000000000001E-2</v>
      </c>
      <c r="F5">
        <v>0.05</v>
      </c>
      <c r="G5">
        <v>6.1999999999999998E-3</v>
      </c>
      <c r="H5">
        <v>-2.9355000000000002</v>
      </c>
      <c r="I5">
        <v>0</v>
      </c>
      <c r="J5">
        <v>0</v>
      </c>
      <c r="K5">
        <v>0</v>
      </c>
      <c r="L5">
        <v>-2.952</v>
      </c>
    </row>
    <row r="6" spans="1:12" x14ac:dyDescent="0.35">
      <c r="A6">
        <v>-1.45</v>
      </c>
      <c r="B6">
        <v>-1.21E-2</v>
      </c>
      <c r="C6">
        <v>5.7499999999999999E-3</v>
      </c>
      <c r="D6">
        <v>1.5399999999999999E-3</v>
      </c>
      <c r="E6">
        <v>-7.6300000000000007E-2</v>
      </c>
      <c r="F6">
        <v>0.05</v>
      </c>
      <c r="G6">
        <v>7.1999999999999998E-3</v>
      </c>
      <c r="H6">
        <v>-2.7765</v>
      </c>
      <c r="I6">
        <v>0</v>
      </c>
      <c r="J6">
        <v>0</v>
      </c>
      <c r="K6">
        <v>0</v>
      </c>
      <c r="L6">
        <v>-6.0522</v>
      </c>
    </row>
    <row r="7" spans="1:12" x14ac:dyDescent="0.35">
      <c r="A7">
        <v>-1.4</v>
      </c>
      <c r="B7">
        <v>-2.0000000000000001E-4</v>
      </c>
      <c r="C7">
        <v>5.6600000000000001E-3</v>
      </c>
      <c r="D7">
        <v>1.42E-3</v>
      </c>
      <c r="E7">
        <v>-7.5999999999999998E-2</v>
      </c>
      <c r="F7">
        <v>0.05</v>
      </c>
      <c r="G7">
        <v>7.9000000000000008E-3</v>
      </c>
      <c r="H7">
        <v>-2.5909</v>
      </c>
      <c r="I7">
        <v>0</v>
      </c>
      <c r="J7">
        <v>0</v>
      </c>
      <c r="K7">
        <v>0</v>
      </c>
      <c r="L7">
        <v>-449.27460000000002</v>
      </c>
    </row>
    <row r="8" spans="1:12" x14ac:dyDescent="0.35">
      <c r="A8">
        <v>-1.35</v>
      </c>
      <c r="B8">
        <v>1.18E-2</v>
      </c>
      <c r="C8">
        <v>5.5999999999999999E-3</v>
      </c>
      <c r="D8">
        <v>1.33E-3</v>
      </c>
      <c r="E8">
        <v>-7.5700000000000003E-2</v>
      </c>
      <c r="F8">
        <v>0.05</v>
      </c>
      <c r="G8">
        <v>8.3999999999999995E-3</v>
      </c>
      <c r="H8">
        <v>-2.4356</v>
      </c>
      <c r="I8">
        <v>0</v>
      </c>
      <c r="J8">
        <v>0</v>
      </c>
      <c r="K8">
        <v>0</v>
      </c>
      <c r="L8">
        <v>6.6988000000000003</v>
      </c>
    </row>
    <row r="9" spans="1:12" x14ac:dyDescent="0.35">
      <c r="A9">
        <v>-1.3</v>
      </c>
      <c r="B9">
        <v>2.3599999999999999E-2</v>
      </c>
      <c r="C9">
        <v>5.5399999999999998E-3</v>
      </c>
      <c r="D9">
        <v>1.24E-3</v>
      </c>
      <c r="E9">
        <v>-7.5499999999999998E-2</v>
      </c>
      <c r="F9">
        <v>0.05</v>
      </c>
      <c r="G9">
        <v>8.5000000000000006E-3</v>
      </c>
      <c r="H9">
        <v>-2.3424</v>
      </c>
      <c r="I9">
        <v>0</v>
      </c>
      <c r="J9">
        <v>0</v>
      </c>
      <c r="K9">
        <v>0</v>
      </c>
      <c r="L9">
        <v>3.4554</v>
      </c>
    </row>
    <row r="10" spans="1:12" x14ac:dyDescent="0.35">
      <c r="A10">
        <v>-1.25</v>
      </c>
      <c r="B10">
        <v>3.5499999999999997E-2</v>
      </c>
      <c r="C10">
        <v>5.4999999999999997E-3</v>
      </c>
      <c r="D10">
        <v>1.1800000000000001E-3</v>
      </c>
      <c r="E10">
        <v>-7.5300000000000006E-2</v>
      </c>
      <c r="F10">
        <v>0.05</v>
      </c>
      <c r="G10">
        <v>8.6E-3</v>
      </c>
      <c r="H10">
        <v>-2.2425999999999999</v>
      </c>
      <c r="I10">
        <v>0</v>
      </c>
      <c r="J10">
        <v>0</v>
      </c>
      <c r="K10">
        <v>0</v>
      </c>
      <c r="L10">
        <v>2.3807999999999998</v>
      </c>
    </row>
    <row r="11" spans="1:12" x14ac:dyDescent="0.35">
      <c r="A11">
        <v>-1.2</v>
      </c>
      <c r="B11">
        <v>4.7199999999999999E-2</v>
      </c>
      <c r="C11">
        <v>5.4799999999999996E-3</v>
      </c>
      <c r="D11">
        <v>1.1299999999999999E-3</v>
      </c>
      <c r="E11">
        <v>-7.5200000000000003E-2</v>
      </c>
      <c r="F11">
        <v>0.05</v>
      </c>
      <c r="G11">
        <v>8.8000000000000005E-3</v>
      </c>
      <c r="H11">
        <v>-2.1355</v>
      </c>
      <c r="I11">
        <v>0</v>
      </c>
      <c r="J11">
        <v>0</v>
      </c>
      <c r="K11">
        <v>0</v>
      </c>
      <c r="L11">
        <v>1.8455999999999999</v>
      </c>
    </row>
    <row r="12" spans="1:12" x14ac:dyDescent="0.35">
      <c r="A12">
        <v>-1.1499999999999999</v>
      </c>
      <c r="B12">
        <v>5.8900000000000001E-2</v>
      </c>
      <c r="C12">
        <v>5.4599999999999996E-3</v>
      </c>
      <c r="D12">
        <v>1.1000000000000001E-3</v>
      </c>
      <c r="E12">
        <v>-7.4999999999999997E-2</v>
      </c>
      <c r="F12">
        <v>0.05</v>
      </c>
      <c r="G12">
        <v>8.8999999999999999E-3</v>
      </c>
      <c r="H12">
        <v>-2.0255000000000001</v>
      </c>
      <c r="I12">
        <v>0</v>
      </c>
      <c r="J12">
        <v>0</v>
      </c>
      <c r="K12">
        <v>0</v>
      </c>
      <c r="L12">
        <v>1.5256000000000001</v>
      </c>
    </row>
    <row r="13" spans="1:12" x14ac:dyDescent="0.35">
      <c r="A13">
        <v>-1.1000000000000001</v>
      </c>
      <c r="B13">
        <v>7.0599999999999996E-2</v>
      </c>
      <c r="C13">
        <v>5.4400000000000004E-3</v>
      </c>
      <c r="D13">
        <v>1.07E-3</v>
      </c>
      <c r="E13">
        <v>-7.4899999999999994E-2</v>
      </c>
      <c r="F13">
        <v>0.05</v>
      </c>
      <c r="G13">
        <v>8.9999999999999993E-3</v>
      </c>
      <c r="H13">
        <v>-1.9157</v>
      </c>
      <c r="I13">
        <v>0</v>
      </c>
      <c r="J13">
        <v>0</v>
      </c>
      <c r="K13">
        <v>0</v>
      </c>
      <c r="L13">
        <v>1.3129999999999999</v>
      </c>
    </row>
    <row r="14" spans="1:12" x14ac:dyDescent="0.35">
      <c r="A14">
        <v>-1.05</v>
      </c>
      <c r="B14">
        <v>8.2199999999999995E-2</v>
      </c>
      <c r="C14">
        <v>5.4299999999999999E-3</v>
      </c>
      <c r="D14">
        <v>1.0499999999999999E-3</v>
      </c>
      <c r="E14">
        <v>-7.4700000000000003E-2</v>
      </c>
      <c r="F14">
        <v>0.05</v>
      </c>
      <c r="G14">
        <v>9.1000000000000004E-3</v>
      </c>
      <c r="H14">
        <v>-1.8080000000000001</v>
      </c>
      <c r="I14">
        <v>0</v>
      </c>
      <c r="J14">
        <v>0</v>
      </c>
      <c r="K14">
        <v>0</v>
      </c>
      <c r="L14">
        <v>1.1616</v>
      </c>
    </row>
    <row r="15" spans="1:12" x14ac:dyDescent="0.35">
      <c r="A15">
        <v>-1</v>
      </c>
      <c r="B15">
        <v>9.3700000000000006E-2</v>
      </c>
      <c r="C15">
        <v>5.4200000000000003E-3</v>
      </c>
      <c r="D15">
        <v>1.0300000000000001E-3</v>
      </c>
      <c r="E15">
        <v>-7.46E-2</v>
      </c>
      <c r="F15">
        <v>0.05</v>
      </c>
      <c r="G15">
        <v>9.1999999999999998E-3</v>
      </c>
      <c r="H15">
        <v>-1.7032</v>
      </c>
      <c r="I15">
        <v>0</v>
      </c>
      <c r="J15">
        <v>0</v>
      </c>
      <c r="K15">
        <v>0</v>
      </c>
      <c r="L15">
        <v>1.0483</v>
      </c>
    </row>
    <row r="16" spans="1:12" x14ac:dyDescent="0.35">
      <c r="A16">
        <v>-0.95</v>
      </c>
      <c r="B16">
        <v>0.1051</v>
      </c>
      <c r="C16">
        <v>5.4200000000000003E-3</v>
      </c>
      <c r="D16">
        <v>1.0200000000000001E-3</v>
      </c>
      <c r="E16">
        <v>-7.4499999999999997E-2</v>
      </c>
      <c r="F16">
        <v>0.05</v>
      </c>
      <c r="G16">
        <v>9.2999999999999992E-3</v>
      </c>
      <c r="H16">
        <v>-1.6017999999999999</v>
      </c>
      <c r="I16">
        <v>0</v>
      </c>
      <c r="J16">
        <v>0</v>
      </c>
      <c r="K16">
        <v>0</v>
      </c>
      <c r="L16">
        <v>0.96030000000000004</v>
      </c>
    </row>
    <row r="17" spans="1:12" x14ac:dyDescent="0.35">
      <c r="A17">
        <v>-0.9</v>
      </c>
      <c r="B17">
        <v>0.11650000000000001</v>
      </c>
      <c r="C17">
        <v>5.4099999999999999E-3</v>
      </c>
      <c r="D17">
        <v>1.01E-3</v>
      </c>
      <c r="E17">
        <v>-7.4399999999999994E-2</v>
      </c>
      <c r="F17">
        <v>0.05</v>
      </c>
      <c r="G17">
        <v>9.4000000000000004E-3</v>
      </c>
      <c r="H17">
        <v>-1.504</v>
      </c>
      <c r="I17">
        <v>0</v>
      </c>
      <c r="J17">
        <v>0</v>
      </c>
      <c r="K17">
        <v>0</v>
      </c>
      <c r="L17">
        <v>0.89</v>
      </c>
    </row>
    <row r="18" spans="1:12" x14ac:dyDescent="0.35">
      <c r="A18">
        <v>-0.85</v>
      </c>
      <c r="B18">
        <v>0.12790000000000001</v>
      </c>
      <c r="C18">
        <v>5.4099999999999999E-3</v>
      </c>
      <c r="D18">
        <v>1E-3</v>
      </c>
      <c r="E18">
        <v>-7.4399999999999994E-2</v>
      </c>
      <c r="F18">
        <v>0.05</v>
      </c>
      <c r="G18">
        <v>9.4000000000000004E-3</v>
      </c>
      <c r="H18">
        <v>-1.4096</v>
      </c>
      <c r="I18">
        <v>0</v>
      </c>
      <c r="J18">
        <v>0</v>
      </c>
      <c r="K18">
        <v>0</v>
      </c>
      <c r="L18">
        <v>0.83250000000000002</v>
      </c>
    </row>
    <row r="19" spans="1:12" x14ac:dyDescent="0.35">
      <c r="A19">
        <v>-0.8</v>
      </c>
      <c r="B19">
        <v>0.13919999999999999</v>
      </c>
      <c r="C19">
        <v>5.4000000000000003E-3</v>
      </c>
      <c r="D19">
        <v>9.8999999999999999E-4</v>
      </c>
      <c r="E19">
        <v>-7.4300000000000005E-2</v>
      </c>
      <c r="F19">
        <v>0.05</v>
      </c>
      <c r="G19">
        <v>9.4999999999999998E-3</v>
      </c>
      <c r="H19">
        <v>-1.3188</v>
      </c>
      <c r="I19">
        <v>0</v>
      </c>
      <c r="J19">
        <v>0</v>
      </c>
      <c r="K19">
        <v>0</v>
      </c>
      <c r="L19">
        <v>0.78469999999999995</v>
      </c>
    </row>
    <row r="20" spans="1:12" x14ac:dyDescent="0.35">
      <c r="A20">
        <v>-0.75</v>
      </c>
      <c r="B20">
        <v>0.15049999999999999</v>
      </c>
      <c r="C20">
        <v>5.4000000000000003E-3</v>
      </c>
      <c r="D20">
        <v>9.8999999999999999E-4</v>
      </c>
      <c r="E20">
        <v>-7.4300000000000005E-2</v>
      </c>
      <c r="F20">
        <v>0.05</v>
      </c>
      <c r="G20">
        <v>9.5999999999999992E-3</v>
      </c>
      <c r="H20">
        <v>-1.2314000000000001</v>
      </c>
      <c r="I20">
        <v>0</v>
      </c>
      <c r="J20">
        <v>0</v>
      </c>
      <c r="K20">
        <v>0</v>
      </c>
      <c r="L20">
        <v>0.74419999999999997</v>
      </c>
    </row>
    <row r="21" spans="1:12" x14ac:dyDescent="0.35">
      <c r="A21">
        <v>-0.7</v>
      </c>
      <c r="B21">
        <v>0.16170000000000001</v>
      </c>
      <c r="C21">
        <v>5.4000000000000003E-3</v>
      </c>
      <c r="D21">
        <v>9.7999999999999997E-4</v>
      </c>
      <c r="E21">
        <v>-7.4200000000000002E-2</v>
      </c>
      <c r="F21">
        <v>0.05</v>
      </c>
      <c r="G21">
        <v>9.5999999999999992E-3</v>
      </c>
      <c r="H21">
        <v>-1.1472</v>
      </c>
      <c r="I21">
        <v>0</v>
      </c>
      <c r="J21">
        <v>0</v>
      </c>
      <c r="K21">
        <v>0</v>
      </c>
      <c r="L21">
        <v>0.70960000000000001</v>
      </c>
    </row>
    <row r="22" spans="1:12" x14ac:dyDescent="0.35">
      <c r="A22">
        <v>-0.65</v>
      </c>
      <c r="B22">
        <v>0.1729</v>
      </c>
      <c r="C22">
        <v>5.4000000000000003E-3</v>
      </c>
      <c r="D22">
        <v>9.7999999999999997E-4</v>
      </c>
      <c r="E22">
        <v>-7.4200000000000002E-2</v>
      </c>
      <c r="F22">
        <v>0.05</v>
      </c>
      <c r="G22">
        <v>9.7000000000000003E-3</v>
      </c>
      <c r="H22">
        <v>-1.0663</v>
      </c>
      <c r="I22">
        <v>0</v>
      </c>
      <c r="J22">
        <v>0</v>
      </c>
      <c r="K22">
        <v>0</v>
      </c>
      <c r="L22">
        <v>0.67949999999999999</v>
      </c>
    </row>
    <row r="23" spans="1:12" x14ac:dyDescent="0.35">
      <c r="A23">
        <v>-0.6</v>
      </c>
      <c r="B23">
        <v>0.18410000000000001</v>
      </c>
      <c r="C23">
        <v>5.4000000000000003E-3</v>
      </c>
      <c r="D23">
        <v>9.7999999999999997E-4</v>
      </c>
      <c r="E23">
        <v>-7.4200000000000002E-2</v>
      </c>
      <c r="F23">
        <v>0.05</v>
      </c>
      <c r="G23">
        <v>9.7000000000000003E-3</v>
      </c>
      <c r="H23">
        <v>-0.98839999999999995</v>
      </c>
      <c r="I23">
        <v>0</v>
      </c>
      <c r="J23">
        <v>0</v>
      </c>
      <c r="K23">
        <v>0</v>
      </c>
      <c r="L23">
        <v>0.65329999999999999</v>
      </c>
    </row>
    <row r="24" spans="1:12" x14ac:dyDescent="0.35">
      <c r="A24">
        <v>-0.55000000000000004</v>
      </c>
      <c r="B24">
        <v>0.19520000000000001</v>
      </c>
      <c r="C24">
        <v>5.4000000000000003E-3</v>
      </c>
      <c r="D24">
        <v>9.7000000000000005E-4</v>
      </c>
      <c r="E24">
        <v>-7.4200000000000002E-2</v>
      </c>
      <c r="F24">
        <v>0.05</v>
      </c>
      <c r="G24">
        <v>9.7999999999999997E-3</v>
      </c>
      <c r="H24">
        <v>-0.91420000000000001</v>
      </c>
      <c r="I24">
        <v>0</v>
      </c>
      <c r="J24">
        <v>0</v>
      </c>
      <c r="K24">
        <v>0</v>
      </c>
      <c r="L24">
        <v>0.63009999999999999</v>
      </c>
    </row>
    <row r="25" spans="1:12" x14ac:dyDescent="0.35">
      <c r="A25">
        <v>-0.5</v>
      </c>
      <c r="B25">
        <v>0.2064</v>
      </c>
      <c r="C25">
        <v>5.4000000000000003E-3</v>
      </c>
      <c r="D25">
        <v>9.7000000000000005E-4</v>
      </c>
      <c r="E25">
        <v>-7.4099999999999999E-2</v>
      </c>
      <c r="F25">
        <v>0.05</v>
      </c>
      <c r="G25">
        <v>9.9000000000000008E-3</v>
      </c>
      <c r="H25">
        <v>-0.8427</v>
      </c>
      <c r="I25">
        <v>0</v>
      </c>
      <c r="J25">
        <v>0</v>
      </c>
      <c r="K25">
        <v>0</v>
      </c>
      <c r="L25">
        <v>0.60950000000000004</v>
      </c>
    </row>
    <row r="26" spans="1:12" x14ac:dyDescent="0.35">
      <c r="A26">
        <v>-0.45</v>
      </c>
      <c r="B26">
        <v>0.2175</v>
      </c>
      <c r="C26">
        <v>5.4000000000000003E-3</v>
      </c>
      <c r="D26">
        <v>9.7000000000000005E-4</v>
      </c>
      <c r="E26">
        <v>-7.4099999999999999E-2</v>
      </c>
      <c r="F26">
        <v>0.05</v>
      </c>
      <c r="G26">
        <v>0.01</v>
      </c>
      <c r="H26">
        <v>-0.77249999999999996</v>
      </c>
      <c r="I26">
        <v>0</v>
      </c>
      <c r="J26">
        <v>0</v>
      </c>
      <c r="K26">
        <v>0</v>
      </c>
      <c r="L26">
        <v>0.59109999999999996</v>
      </c>
    </row>
    <row r="27" spans="1:12" x14ac:dyDescent="0.35">
      <c r="A27">
        <v>-0.4</v>
      </c>
      <c r="B27">
        <v>0.22850000000000001</v>
      </c>
      <c r="C27">
        <v>5.4000000000000003E-3</v>
      </c>
      <c r="D27">
        <v>9.7000000000000005E-4</v>
      </c>
      <c r="E27">
        <v>-7.4099999999999999E-2</v>
      </c>
      <c r="F27">
        <v>0.05</v>
      </c>
      <c r="G27">
        <v>0.01</v>
      </c>
      <c r="H27">
        <v>-0.70479999999999998</v>
      </c>
      <c r="I27">
        <v>0</v>
      </c>
      <c r="J27">
        <v>0</v>
      </c>
      <c r="K27">
        <v>0</v>
      </c>
      <c r="L27">
        <v>0.57450000000000001</v>
      </c>
    </row>
    <row r="28" spans="1:12" x14ac:dyDescent="0.35">
      <c r="A28">
        <v>-0.35</v>
      </c>
      <c r="B28">
        <v>0.23960000000000001</v>
      </c>
      <c r="C28">
        <v>5.4000000000000003E-3</v>
      </c>
      <c r="D28">
        <v>9.7000000000000005E-4</v>
      </c>
      <c r="E28">
        <v>-7.4099999999999999E-2</v>
      </c>
      <c r="F28">
        <v>0.05</v>
      </c>
      <c r="G28">
        <v>1.01E-2</v>
      </c>
      <c r="H28">
        <v>-0.63949999999999996</v>
      </c>
      <c r="I28">
        <v>0</v>
      </c>
      <c r="J28">
        <v>0</v>
      </c>
      <c r="K28">
        <v>0</v>
      </c>
      <c r="L28">
        <v>0.55940000000000001</v>
      </c>
    </row>
    <row r="29" spans="1:12" x14ac:dyDescent="0.35">
      <c r="A29">
        <v>-0.3</v>
      </c>
      <c r="B29">
        <v>0.25069999999999998</v>
      </c>
      <c r="C29">
        <v>5.4000000000000003E-3</v>
      </c>
      <c r="D29">
        <v>9.7999999999999997E-4</v>
      </c>
      <c r="E29">
        <v>-7.4099999999999999E-2</v>
      </c>
      <c r="F29">
        <v>0.05</v>
      </c>
      <c r="G29">
        <v>1.03E-2</v>
      </c>
      <c r="H29">
        <v>-0.57640000000000002</v>
      </c>
      <c r="I29">
        <v>0</v>
      </c>
      <c r="J29">
        <v>0</v>
      </c>
      <c r="K29">
        <v>0</v>
      </c>
      <c r="L29">
        <v>0.54579999999999995</v>
      </c>
    </row>
    <row r="30" spans="1:12" x14ac:dyDescent="0.35">
      <c r="A30">
        <v>-0.25</v>
      </c>
      <c r="B30">
        <v>0.26169999999999999</v>
      </c>
      <c r="C30">
        <v>5.4000000000000003E-3</v>
      </c>
      <c r="D30">
        <v>9.7999999999999997E-4</v>
      </c>
      <c r="E30">
        <v>-7.4099999999999999E-2</v>
      </c>
      <c r="F30">
        <v>0.05</v>
      </c>
      <c r="G30">
        <v>1.09E-2</v>
      </c>
      <c r="H30">
        <v>-0.51549999999999996</v>
      </c>
      <c r="I30">
        <v>0</v>
      </c>
      <c r="J30">
        <v>0</v>
      </c>
      <c r="K30">
        <v>0</v>
      </c>
      <c r="L30">
        <v>0.5333</v>
      </c>
    </row>
    <row r="31" spans="1:12" x14ac:dyDescent="0.35">
      <c r="A31">
        <v>-0.2</v>
      </c>
      <c r="B31">
        <v>0.2727</v>
      </c>
      <c r="C31">
        <v>5.4000000000000003E-3</v>
      </c>
      <c r="D31">
        <v>9.7999999999999997E-4</v>
      </c>
      <c r="E31">
        <v>-7.4200000000000002E-2</v>
      </c>
      <c r="F31">
        <v>0.05</v>
      </c>
      <c r="G31">
        <v>1.17E-2</v>
      </c>
      <c r="H31">
        <v>-0.51659999999999995</v>
      </c>
      <c r="I31">
        <v>0</v>
      </c>
      <c r="J31">
        <v>0</v>
      </c>
      <c r="K31">
        <v>0</v>
      </c>
      <c r="L31">
        <v>0.52180000000000004</v>
      </c>
    </row>
    <row r="32" spans="1:12" x14ac:dyDescent="0.35">
      <c r="A32">
        <v>-0.15</v>
      </c>
      <c r="B32">
        <v>0.2838</v>
      </c>
      <c r="C32">
        <v>5.4099999999999999E-3</v>
      </c>
      <c r="D32">
        <v>9.8999999999999999E-4</v>
      </c>
      <c r="E32">
        <v>-7.4200000000000002E-2</v>
      </c>
      <c r="F32">
        <v>0.05</v>
      </c>
      <c r="G32">
        <v>1.2500000000000001E-2</v>
      </c>
      <c r="H32">
        <v>-0.52149999999999996</v>
      </c>
      <c r="I32">
        <v>0</v>
      </c>
      <c r="J32">
        <v>0</v>
      </c>
      <c r="K32">
        <v>0</v>
      </c>
      <c r="L32">
        <v>0.51119999999999999</v>
      </c>
    </row>
    <row r="33" spans="1:12" x14ac:dyDescent="0.35">
      <c r="A33">
        <v>-0.1</v>
      </c>
      <c r="B33">
        <v>0.29480000000000001</v>
      </c>
      <c r="C33">
        <v>5.4099999999999999E-3</v>
      </c>
      <c r="D33">
        <v>9.8999999999999999E-4</v>
      </c>
      <c r="E33">
        <v>-7.4200000000000002E-2</v>
      </c>
      <c r="F33">
        <v>0.05</v>
      </c>
      <c r="G33">
        <v>1.3299999999999999E-2</v>
      </c>
      <c r="H33">
        <v>-0.52659999999999996</v>
      </c>
      <c r="I33">
        <v>0</v>
      </c>
      <c r="J33">
        <v>0</v>
      </c>
      <c r="K33">
        <v>0</v>
      </c>
      <c r="L33">
        <v>0.50139999999999996</v>
      </c>
    </row>
    <row r="34" spans="1:12" x14ac:dyDescent="0.35">
      <c r="A34">
        <v>-0.05</v>
      </c>
      <c r="B34">
        <v>0.30580000000000002</v>
      </c>
      <c r="C34">
        <v>5.4099999999999999E-3</v>
      </c>
      <c r="D34">
        <v>1E-3</v>
      </c>
      <c r="E34">
        <v>-7.4200000000000002E-2</v>
      </c>
      <c r="F34">
        <v>0.05</v>
      </c>
      <c r="G34">
        <v>1.43E-2</v>
      </c>
      <c r="H34">
        <v>-0.53159999999999996</v>
      </c>
      <c r="I34">
        <v>0</v>
      </c>
      <c r="J34">
        <v>0</v>
      </c>
      <c r="K34">
        <v>0</v>
      </c>
      <c r="L34">
        <v>0.4924</v>
      </c>
    </row>
    <row r="35" spans="1:12" x14ac:dyDescent="0.35">
      <c r="A35">
        <v>0</v>
      </c>
      <c r="B35">
        <v>0.31680000000000003</v>
      </c>
      <c r="C35">
        <v>5.4099999999999999E-3</v>
      </c>
      <c r="D35">
        <v>1E-3</v>
      </c>
      <c r="E35">
        <v>-7.4200000000000002E-2</v>
      </c>
      <c r="F35">
        <v>0.05</v>
      </c>
      <c r="G35">
        <v>1.5299999999999999E-2</v>
      </c>
      <c r="H35">
        <v>-0.53669999999999995</v>
      </c>
      <c r="I35">
        <v>0</v>
      </c>
      <c r="J35">
        <v>0</v>
      </c>
      <c r="K35">
        <v>0</v>
      </c>
      <c r="L35">
        <v>0.4839</v>
      </c>
    </row>
    <row r="36" spans="1:12" x14ac:dyDescent="0.35">
      <c r="A36">
        <v>0.05</v>
      </c>
      <c r="B36">
        <v>0.32729999999999998</v>
      </c>
      <c r="C36">
        <v>5.45E-3</v>
      </c>
      <c r="D36">
        <v>1.0200000000000001E-3</v>
      </c>
      <c r="E36">
        <v>-7.4099999999999999E-2</v>
      </c>
      <c r="F36">
        <v>3.4200000000000001E-2</v>
      </c>
      <c r="G36">
        <v>1.6299999999999999E-2</v>
      </c>
      <c r="H36">
        <v>-0.54159999999999997</v>
      </c>
      <c r="I36">
        <v>0</v>
      </c>
      <c r="J36">
        <v>0</v>
      </c>
      <c r="K36">
        <v>0</v>
      </c>
      <c r="L36">
        <v>0.47620000000000001</v>
      </c>
    </row>
    <row r="37" spans="1:12" x14ac:dyDescent="0.35">
      <c r="A37">
        <v>0.1</v>
      </c>
      <c r="B37">
        <v>0.33829999999999999</v>
      </c>
      <c r="C37">
        <v>5.45E-3</v>
      </c>
      <c r="D37">
        <v>1.0200000000000001E-3</v>
      </c>
      <c r="E37">
        <v>-7.4099999999999999E-2</v>
      </c>
      <c r="F37">
        <v>3.2500000000000001E-2</v>
      </c>
      <c r="G37">
        <v>1.7500000000000002E-2</v>
      </c>
      <c r="H37">
        <v>-0.54679999999999995</v>
      </c>
      <c r="I37">
        <v>0</v>
      </c>
      <c r="J37">
        <v>0</v>
      </c>
      <c r="K37">
        <v>0</v>
      </c>
      <c r="L37">
        <v>0.46879999999999999</v>
      </c>
    </row>
    <row r="38" spans="1:12" x14ac:dyDescent="0.35">
      <c r="A38">
        <v>0.15</v>
      </c>
      <c r="B38">
        <v>0.34910000000000002</v>
      </c>
      <c r="C38">
        <v>5.47E-3</v>
      </c>
      <c r="D38">
        <v>1.0300000000000001E-3</v>
      </c>
      <c r="E38">
        <v>-7.4099999999999999E-2</v>
      </c>
      <c r="F38">
        <v>2.9899999999999999E-2</v>
      </c>
      <c r="G38">
        <v>1.8499999999999999E-2</v>
      </c>
      <c r="H38">
        <v>-0.55200000000000005</v>
      </c>
      <c r="I38">
        <v>0</v>
      </c>
      <c r="J38">
        <v>0</v>
      </c>
      <c r="K38">
        <v>0</v>
      </c>
      <c r="L38">
        <v>0.46189999999999998</v>
      </c>
    </row>
    <row r="39" spans="1:12" x14ac:dyDescent="0.35">
      <c r="A39">
        <v>0.2</v>
      </c>
      <c r="B39">
        <v>0.36</v>
      </c>
      <c r="C39">
        <v>5.4799999999999996E-3</v>
      </c>
      <c r="D39">
        <v>1.0399999999999999E-3</v>
      </c>
      <c r="E39">
        <v>-7.4099999999999999E-2</v>
      </c>
      <c r="F39">
        <v>2.6599999999999999E-2</v>
      </c>
      <c r="G39">
        <v>2.0199999999999999E-2</v>
      </c>
      <c r="H39">
        <v>-0.55720000000000003</v>
      </c>
      <c r="I39">
        <v>0</v>
      </c>
      <c r="J39">
        <v>0</v>
      </c>
      <c r="K39">
        <v>0</v>
      </c>
      <c r="L39">
        <v>0.45540000000000003</v>
      </c>
    </row>
    <row r="40" spans="1:12" x14ac:dyDescent="0.35">
      <c r="A40">
        <v>0.25</v>
      </c>
      <c r="B40">
        <v>0.371</v>
      </c>
      <c r="C40">
        <v>5.4900000000000001E-3</v>
      </c>
      <c r="D40">
        <v>1.06E-3</v>
      </c>
      <c r="E40">
        <v>-7.4099999999999999E-2</v>
      </c>
      <c r="F40">
        <v>2.47E-2</v>
      </c>
      <c r="G40">
        <v>2.3800000000000002E-2</v>
      </c>
      <c r="H40">
        <v>-0.5625</v>
      </c>
      <c r="I40">
        <v>0</v>
      </c>
      <c r="J40">
        <v>0</v>
      </c>
      <c r="K40">
        <v>0</v>
      </c>
      <c r="L40">
        <v>0.44919999999999999</v>
      </c>
    </row>
    <row r="41" spans="1:12" x14ac:dyDescent="0.35">
      <c r="A41">
        <v>0.3</v>
      </c>
      <c r="B41">
        <v>0.3821</v>
      </c>
      <c r="C41">
        <v>5.4900000000000001E-3</v>
      </c>
      <c r="D41">
        <v>1.07E-3</v>
      </c>
      <c r="E41">
        <v>-7.4099999999999999E-2</v>
      </c>
      <c r="F41">
        <v>2.3599999999999999E-2</v>
      </c>
      <c r="G41">
        <v>2.7400000000000001E-2</v>
      </c>
      <c r="H41">
        <v>-0.56789999999999996</v>
      </c>
      <c r="I41">
        <v>0</v>
      </c>
      <c r="J41">
        <v>0</v>
      </c>
      <c r="K41">
        <v>0</v>
      </c>
      <c r="L41">
        <v>0.44340000000000002</v>
      </c>
    </row>
    <row r="42" spans="1:12" x14ac:dyDescent="0.35">
      <c r="A42">
        <v>0.35</v>
      </c>
      <c r="B42">
        <v>0.3931</v>
      </c>
      <c r="C42">
        <v>5.4900000000000001E-3</v>
      </c>
      <c r="D42">
        <v>1.08E-3</v>
      </c>
      <c r="E42">
        <v>-7.4099999999999999E-2</v>
      </c>
      <c r="F42">
        <v>2.3400000000000001E-2</v>
      </c>
      <c r="G42">
        <v>2.8500000000000001E-2</v>
      </c>
      <c r="H42">
        <v>-0.57340000000000002</v>
      </c>
      <c r="I42">
        <v>0</v>
      </c>
      <c r="J42">
        <v>0</v>
      </c>
      <c r="K42">
        <v>0</v>
      </c>
      <c r="L42">
        <v>0.43790000000000001</v>
      </c>
    </row>
    <row r="43" spans="1:12" x14ac:dyDescent="0.35">
      <c r="A43">
        <v>0.4</v>
      </c>
      <c r="B43">
        <v>0.4042</v>
      </c>
      <c r="C43">
        <v>5.4999999999999997E-3</v>
      </c>
      <c r="D43">
        <v>1.09E-3</v>
      </c>
      <c r="E43">
        <v>-7.3999999999999996E-2</v>
      </c>
      <c r="F43">
        <v>2.3300000000000001E-2</v>
      </c>
      <c r="G43">
        <v>2.8899999999999999E-2</v>
      </c>
      <c r="H43">
        <v>-0.57889999999999997</v>
      </c>
      <c r="I43">
        <v>0</v>
      </c>
      <c r="J43">
        <v>0</v>
      </c>
      <c r="K43">
        <v>0</v>
      </c>
      <c r="L43">
        <v>0.43269999999999997</v>
      </c>
    </row>
    <row r="44" spans="1:12" x14ac:dyDescent="0.35">
      <c r="A44">
        <v>0.45</v>
      </c>
      <c r="B44">
        <v>0.4153</v>
      </c>
      <c r="C44">
        <v>5.5100000000000001E-3</v>
      </c>
      <c r="D44">
        <v>1.1000000000000001E-3</v>
      </c>
      <c r="E44">
        <v>-7.3999999999999996E-2</v>
      </c>
      <c r="F44">
        <v>2.3099999999999999E-2</v>
      </c>
      <c r="G44">
        <v>2.9100000000000001E-2</v>
      </c>
      <c r="H44">
        <v>-0.59589999999999999</v>
      </c>
      <c r="I44">
        <v>0</v>
      </c>
      <c r="J44">
        <v>0</v>
      </c>
      <c r="K44">
        <v>0</v>
      </c>
      <c r="L44">
        <v>0.42780000000000001</v>
      </c>
    </row>
    <row r="45" spans="1:12" x14ac:dyDescent="0.35">
      <c r="A45">
        <v>0.5</v>
      </c>
      <c r="B45">
        <v>0.42630000000000001</v>
      </c>
      <c r="C45">
        <v>5.5199999999999997E-3</v>
      </c>
      <c r="D45">
        <v>1.1100000000000001E-3</v>
      </c>
      <c r="E45">
        <v>-7.3999999999999996E-2</v>
      </c>
      <c r="F45">
        <v>2.3E-2</v>
      </c>
      <c r="G45">
        <v>2.93E-2</v>
      </c>
      <c r="H45">
        <v>-0.65</v>
      </c>
      <c r="I45">
        <v>0</v>
      </c>
      <c r="J45">
        <v>0</v>
      </c>
      <c r="K45">
        <v>0</v>
      </c>
      <c r="L45">
        <v>0.42309999999999998</v>
      </c>
    </row>
    <row r="46" spans="1:12" x14ac:dyDescent="0.35">
      <c r="A46">
        <v>0.55000000000000004</v>
      </c>
      <c r="B46">
        <v>0.4375</v>
      </c>
      <c r="C46">
        <v>5.5300000000000002E-3</v>
      </c>
      <c r="D46">
        <v>1.1299999999999999E-3</v>
      </c>
      <c r="E46">
        <v>-7.3999999999999996E-2</v>
      </c>
      <c r="F46">
        <v>2.29E-2</v>
      </c>
      <c r="G46">
        <v>3.2500000000000001E-2</v>
      </c>
      <c r="H46">
        <v>-0.70579999999999998</v>
      </c>
      <c r="I46">
        <v>0</v>
      </c>
      <c r="J46">
        <v>0</v>
      </c>
      <c r="K46">
        <v>0</v>
      </c>
      <c r="L46">
        <v>0.41860000000000003</v>
      </c>
    </row>
    <row r="47" spans="1:12" x14ac:dyDescent="0.35">
      <c r="A47">
        <v>0.6</v>
      </c>
      <c r="B47">
        <v>0.4486</v>
      </c>
      <c r="C47">
        <v>5.5100000000000001E-3</v>
      </c>
      <c r="D47">
        <v>1.14E-3</v>
      </c>
      <c r="E47">
        <v>-7.3999999999999996E-2</v>
      </c>
      <c r="F47">
        <v>2.2499999999999999E-2</v>
      </c>
      <c r="G47">
        <v>0.05</v>
      </c>
      <c r="H47">
        <v>-0.76259999999999994</v>
      </c>
      <c r="I47">
        <v>0</v>
      </c>
      <c r="J47">
        <v>0</v>
      </c>
      <c r="K47">
        <v>0</v>
      </c>
      <c r="L47">
        <v>0.4143</v>
      </c>
    </row>
    <row r="48" spans="1:12" x14ac:dyDescent="0.35">
      <c r="A48">
        <v>0.65</v>
      </c>
      <c r="B48">
        <v>0.45950000000000002</v>
      </c>
      <c r="C48">
        <v>5.5399999999999998E-3</v>
      </c>
      <c r="D48">
        <v>1.17E-3</v>
      </c>
      <c r="E48">
        <v>-7.3899999999999993E-2</v>
      </c>
      <c r="F48">
        <v>1.9199999999999998E-2</v>
      </c>
      <c r="G48">
        <v>0.05</v>
      </c>
      <c r="H48">
        <v>-0.82069999999999999</v>
      </c>
      <c r="I48">
        <v>0</v>
      </c>
      <c r="J48">
        <v>0</v>
      </c>
      <c r="K48">
        <v>0</v>
      </c>
      <c r="L48">
        <v>0.41020000000000001</v>
      </c>
    </row>
    <row r="49" spans="1:12" x14ac:dyDescent="0.35">
      <c r="A49">
        <v>0.7</v>
      </c>
      <c r="B49">
        <v>0.47060000000000002</v>
      </c>
      <c r="C49">
        <v>5.5599999999999998E-3</v>
      </c>
      <c r="D49">
        <v>1.1800000000000001E-3</v>
      </c>
      <c r="E49">
        <v>-7.3800000000000004E-2</v>
      </c>
      <c r="F49">
        <v>1.72E-2</v>
      </c>
      <c r="G49">
        <v>0.05</v>
      </c>
      <c r="H49">
        <v>-0.88109999999999999</v>
      </c>
      <c r="I49">
        <v>0</v>
      </c>
      <c r="J49">
        <v>0</v>
      </c>
      <c r="K49">
        <v>0</v>
      </c>
      <c r="L49">
        <v>0.40620000000000001</v>
      </c>
    </row>
    <row r="50" spans="1:12" x14ac:dyDescent="0.35">
      <c r="A50">
        <v>0.75</v>
      </c>
      <c r="B50">
        <v>0.48180000000000001</v>
      </c>
      <c r="C50">
        <v>5.5799999999999999E-3</v>
      </c>
      <c r="D50">
        <v>1.1999999999999999E-3</v>
      </c>
      <c r="E50">
        <v>-7.3700000000000002E-2</v>
      </c>
      <c r="F50">
        <v>1.55E-2</v>
      </c>
      <c r="G50">
        <v>0.05</v>
      </c>
      <c r="H50">
        <v>-0.94410000000000005</v>
      </c>
      <c r="I50">
        <v>0</v>
      </c>
      <c r="J50">
        <v>0</v>
      </c>
      <c r="K50">
        <v>0</v>
      </c>
      <c r="L50">
        <v>0.40239999999999998</v>
      </c>
    </row>
    <row r="51" spans="1:12" x14ac:dyDescent="0.35">
      <c r="A51">
        <v>0.8</v>
      </c>
      <c r="B51">
        <v>0.49299999999999999</v>
      </c>
      <c r="C51">
        <v>5.5900000000000004E-3</v>
      </c>
      <c r="D51">
        <v>1.2199999999999999E-3</v>
      </c>
      <c r="E51">
        <v>-7.3700000000000002E-2</v>
      </c>
      <c r="F51">
        <v>1.3899999999999999E-2</v>
      </c>
      <c r="G51">
        <v>0.05</v>
      </c>
      <c r="H51">
        <v>-1.0094000000000001</v>
      </c>
      <c r="I51">
        <v>0</v>
      </c>
      <c r="J51">
        <v>0</v>
      </c>
      <c r="K51">
        <v>0</v>
      </c>
      <c r="L51">
        <v>0.3987</v>
      </c>
    </row>
    <row r="52" spans="1:12" x14ac:dyDescent="0.35">
      <c r="A52">
        <v>0.85</v>
      </c>
      <c r="B52">
        <v>0.50429999999999997</v>
      </c>
      <c r="C52">
        <v>5.5999999999999999E-3</v>
      </c>
      <c r="D52">
        <v>1.24E-3</v>
      </c>
      <c r="E52">
        <v>-7.3599999999999999E-2</v>
      </c>
      <c r="F52">
        <v>1.37E-2</v>
      </c>
      <c r="G52">
        <v>0.05</v>
      </c>
      <c r="H52">
        <v>-1.077</v>
      </c>
      <c r="I52">
        <v>0</v>
      </c>
      <c r="J52">
        <v>0</v>
      </c>
      <c r="K52">
        <v>0</v>
      </c>
      <c r="L52">
        <v>0.3952</v>
      </c>
    </row>
    <row r="53" spans="1:12" x14ac:dyDescent="0.35">
      <c r="A53">
        <v>0.9</v>
      </c>
      <c r="B53">
        <v>0.51559999999999995</v>
      </c>
      <c r="C53">
        <v>5.62E-3</v>
      </c>
      <c r="D53">
        <v>1.2600000000000001E-3</v>
      </c>
      <c r="E53">
        <v>-7.3499999999999996E-2</v>
      </c>
      <c r="F53">
        <v>1.35E-2</v>
      </c>
      <c r="G53">
        <v>0.05</v>
      </c>
      <c r="H53">
        <v>-1.1471</v>
      </c>
      <c r="I53">
        <v>0</v>
      </c>
      <c r="J53">
        <v>0</v>
      </c>
      <c r="K53">
        <v>0</v>
      </c>
      <c r="L53">
        <v>0.39179999999999998</v>
      </c>
    </row>
    <row r="54" spans="1:12" x14ac:dyDescent="0.35">
      <c r="A54">
        <v>0.95</v>
      </c>
      <c r="B54">
        <v>0.52690000000000003</v>
      </c>
      <c r="C54">
        <v>5.6299999999999996E-3</v>
      </c>
      <c r="D54">
        <v>1.2800000000000001E-3</v>
      </c>
      <c r="E54">
        <v>-7.3400000000000007E-2</v>
      </c>
      <c r="F54">
        <v>1.3299999999999999E-2</v>
      </c>
      <c r="G54">
        <v>0.05</v>
      </c>
      <c r="H54">
        <v>-1.2198</v>
      </c>
      <c r="I54">
        <v>0</v>
      </c>
      <c r="J54">
        <v>0</v>
      </c>
      <c r="K54">
        <v>0</v>
      </c>
      <c r="L54">
        <v>0.38850000000000001</v>
      </c>
    </row>
    <row r="55" spans="1:12" x14ac:dyDescent="0.35">
      <c r="A55">
        <v>1</v>
      </c>
      <c r="B55">
        <v>0.5383</v>
      </c>
      <c r="C55">
        <v>5.6499999999999996E-3</v>
      </c>
      <c r="D55">
        <v>1.2999999999999999E-3</v>
      </c>
      <c r="E55">
        <v>-7.3300000000000004E-2</v>
      </c>
      <c r="F55">
        <v>1.3100000000000001E-2</v>
      </c>
      <c r="G55">
        <v>0.05</v>
      </c>
      <c r="H55">
        <v>-1.2954000000000001</v>
      </c>
      <c r="I55">
        <v>0</v>
      </c>
      <c r="J55">
        <v>0</v>
      </c>
      <c r="K55">
        <v>0</v>
      </c>
      <c r="L55">
        <v>0.38540000000000002</v>
      </c>
    </row>
    <row r="56" spans="1:12" x14ac:dyDescent="0.35">
      <c r="A56">
        <v>1.05</v>
      </c>
      <c r="B56">
        <v>0.54969999999999997</v>
      </c>
      <c r="C56">
        <v>5.6699999999999997E-3</v>
      </c>
      <c r="D56">
        <v>1.32E-3</v>
      </c>
      <c r="E56">
        <v>-7.3099999999999998E-2</v>
      </c>
      <c r="F56">
        <v>1.2800000000000001E-2</v>
      </c>
      <c r="G56">
        <v>0.05</v>
      </c>
      <c r="H56">
        <v>-1.3741000000000001</v>
      </c>
      <c r="I56">
        <v>0</v>
      </c>
      <c r="J56">
        <v>0</v>
      </c>
      <c r="K56">
        <v>0</v>
      </c>
      <c r="L56">
        <v>0.38229999999999997</v>
      </c>
    </row>
    <row r="57" spans="1:12" x14ac:dyDescent="0.35">
      <c r="A57">
        <v>1.1000000000000001</v>
      </c>
      <c r="B57">
        <v>0.56110000000000004</v>
      </c>
      <c r="C57">
        <v>5.6899999999999997E-3</v>
      </c>
      <c r="D57">
        <v>1.3500000000000001E-3</v>
      </c>
      <c r="E57">
        <v>-7.2999999999999995E-2</v>
      </c>
      <c r="F57">
        <v>1.24E-2</v>
      </c>
      <c r="G57">
        <v>0.05</v>
      </c>
      <c r="H57">
        <v>-1.4562999999999999</v>
      </c>
      <c r="I57">
        <v>0</v>
      </c>
      <c r="J57">
        <v>0</v>
      </c>
      <c r="K57">
        <v>0</v>
      </c>
      <c r="L57">
        <v>0.37930000000000003</v>
      </c>
    </row>
    <row r="58" spans="1:12" x14ac:dyDescent="0.35">
      <c r="A58">
        <v>1.1499999999999999</v>
      </c>
      <c r="B58">
        <v>0.5726</v>
      </c>
      <c r="C58">
        <v>5.7099999999999998E-3</v>
      </c>
      <c r="D58">
        <v>1.3699999999999999E-3</v>
      </c>
      <c r="E58">
        <v>-7.2800000000000004E-2</v>
      </c>
      <c r="F58">
        <v>1.1599999999999999E-2</v>
      </c>
      <c r="G58">
        <v>0.05</v>
      </c>
      <c r="H58">
        <v>-1.5424</v>
      </c>
      <c r="I58">
        <v>0</v>
      </c>
      <c r="J58">
        <v>0</v>
      </c>
      <c r="K58">
        <v>0</v>
      </c>
      <c r="L58">
        <v>0.37640000000000001</v>
      </c>
    </row>
    <row r="59" spans="1:12" x14ac:dyDescent="0.35">
      <c r="A59">
        <v>1.2</v>
      </c>
      <c r="B59">
        <v>0.58399999999999996</v>
      </c>
      <c r="C59">
        <v>5.7299999999999999E-3</v>
      </c>
      <c r="D59">
        <v>1.4E-3</v>
      </c>
      <c r="E59">
        <v>-7.2599999999999998E-2</v>
      </c>
      <c r="F59">
        <v>1.0800000000000001E-2</v>
      </c>
      <c r="G59">
        <v>0.05</v>
      </c>
      <c r="H59">
        <v>-1.6324000000000001</v>
      </c>
      <c r="I59">
        <v>0</v>
      </c>
      <c r="J59">
        <v>0</v>
      </c>
      <c r="K59">
        <v>0</v>
      </c>
      <c r="L59">
        <v>0.3735</v>
      </c>
    </row>
    <row r="60" spans="1:12" x14ac:dyDescent="0.35">
      <c r="A60">
        <v>1.25</v>
      </c>
      <c r="B60">
        <v>0.59560000000000002</v>
      </c>
      <c r="C60">
        <v>5.7499999999999999E-3</v>
      </c>
      <c r="D60">
        <v>1.4300000000000001E-3</v>
      </c>
      <c r="E60">
        <v>-7.2400000000000006E-2</v>
      </c>
      <c r="F60">
        <v>0.01</v>
      </c>
      <c r="G60">
        <v>0.05</v>
      </c>
      <c r="H60">
        <v>-1.7269000000000001</v>
      </c>
      <c r="I60">
        <v>0</v>
      </c>
      <c r="J60">
        <v>0</v>
      </c>
      <c r="K60">
        <v>0</v>
      </c>
      <c r="L60">
        <v>0.37069999999999997</v>
      </c>
    </row>
    <row r="61" spans="1:12" x14ac:dyDescent="0.35">
      <c r="A61">
        <v>1.3</v>
      </c>
      <c r="B61">
        <v>0.60719999999999996</v>
      </c>
      <c r="C61">
        <v>5.7800000000000004E-3</v>
      </c>
      <c r="D61">
        <v>1.4599999999999999E-3</v>
      </c>
      <c r="E61">
        <v>-7.22E-2</v>
      </c>
      <c r="F61">
        <v>9.2999999999999992E-3</v>
      </c>
      <c r="G61">
        <v>0.05</v>
      </c>
      <c r="H61">
        <v>-1.8424</v>
      </c>
      <c r="I61">
        <v>0</v>
      </c>
      <c r="J61">
        <v>0</v>
      </c>
      <c r="K61">
        <v>0</v>
      </c>
      <c r="L61">
        <v>0.36799999999999999</v>
      </c>
    </row>
    <row r="62" spans="1:12" x14ac:dyDescent="0.35">
      <c r="A62">
        <v>1.35</v>
      </c>
      <c r="B62">
        <v>0.61899999999999999</v>
      </c>
      <c r="C62">
        <v>5.7999999999999996E-3</v>
      </c>
      <c r="D62">
        <v>1.49E-3</v>
      </c>
      <c r="E62">
        <v>-7.1999999999999995E-2</v>
      </c>
      <c r="F62">
        <v>8.8000000000000005E-3</v>
      </c>
      <c r="G62">
        <v>0.05</v>
      </c>
      <c r="H62">
        <v>-1.9716</v>
      </c>
      <c r="I62">
        <v>0</v>
      </c>
      <c r="J62">
        <v>0</v>
      </c>
      <c r="K62">
        <v>0</v>
      </c>
      <c r="L62">
        <v>0.3654</v>
      </c>
    </row>
    <row r="63" spans="1:12" x14ac:dyDescent="0.35">
      <c r="A63">
        <v>1.4</v>
      </c>
      <c r="B63">
        <v>0.63080000000000003</v>
      </c>
      <c r="C63">
        <v>5.8199999999999997E-3</v>
      </c>
      <c r="D63">
        <v>1.5200000000000001E-3</v>
      </c>
      <c r="E63">
        <v>-7.17E-2</v>
      </c>
      <c r="F63">
        <v>8.3000000000000001E-3</v>
      </c>
      <c r="G63">
        <v>0.05</v>
      </c>
      <c r="H63">
        <v>-2.1092</v>
      </c>
      <c r="I63">
        <v>0</v>
      </c>
      <c r="J63">
        <v>0</v>
      </c>
      <c r="K63">
        <v>0</v>
      </c>
      <c r="L63">
        <v>0.36270000000000002</v>
      </c>
    </row>
    <row r="64" spans="1:12" x14ac:dyDescent="0.35">
      <c r="A64">
        <v>1.45</v>
      </c>
      <c r="B64">
        <v>0.64280000000000004</v>
      </c>
      <c r="C64">
        <v>5.8399999999999997E-3</v>
      </c>
      <c r="D64">
        <v>1.5499999999999999E-3</v>
      </c>
      <c r="E64">
        <v>-7.1400000000000005E-2</v>
      </c>
      <c r="F64">
        <v>8.0000000000000002E-3</v>
      </c>
      <c r="G64">
        <v>0.05</v>
      </c>
      <c r="H64">
        <v>-2.2557</v>
      </c>
      <c r="I64">
        <v>0</v>
      </c>
      <c r="J64">
        <v>0</v>
      </c>
      <c r="K64">
        <v>0</v>
      </c>
      <c r="L64">
        <v>0.36020000000000002</v>
      </c>
    </row>
    <row r="65" spans="1:12" x14ac:dyDescent="0.35">
      <c r="A65">
        <v>1.5</v>
      </c>
      <c r="B65">
        <v>0.65480000000000005</v>
      </c>
      <c r="C65">
        <v>5.8599999999999998E-3</v>
      </c>
      <c r="D65">
        <v>1.5900000000000001E-3</v>
      </c>
      <c r="E65">
        <v>-7.1099999999999997E-2</v>
      </c>
      <c r="F65">
        <v>7.7999999999999996E-3</v>
      </c>
      <c r="G65">
        <v>0.05</v>
      </c>
      <c r="H65">
        <v>-2.4123000000000001</v>
      </c>
      <c r="I65">
        <v>0</v>
      </c>
      <c r="J65">
        <v>0</v>
      </c>
      <c r="K65">
        <v>0</v>
      </c>
      <c r="L65">
        <v>0.35759999999999997</v>
      </c>
    </row>
    <row r="66" spans="1:12" x14ac:dyDescent="0.35">
      <c r="A66">
        <v>1.55</v>
      </c>
      <c r="B66">
        <v>0.66700000000000004</v>
      </c>
      <c r="C66">
        <v>5.8900000000000003E-3</v>
      </c>
      <c r="D66">
        <v>1.6299999999999999E-3</v>
      </c>
      <c r="E66">
        <v>-7.0800000000000002E-2</v>
      </c>
      <c r="F66">
        <v>7.9000000000000008E-3</v>
      </c>
      <c r="G66">
        <v>0.05</v>
      </c>
      <c r="H66">
        <v>-2.5815999999999999</v>
      </c>
      <c r="I66">
        <v>0</v>
      </c>
      <c r="J66">
        <v>0</v>
      </c>
      <c r="K66">
        <v>0</v>
      </c>
      <c r="L66">
        <v>0.35510000000000003</v>
      </c>
    </row>
    <row r="67" spans="1:12" x14ac:dyDescent="0.35">
      <c r="A67">
        <v>1.6</v>
      </c>
      <c r="B67">
        <v>0.67930000000000001</v>
      </c>
      <c r="C67">
        <v>5.9100000000000003E-3</v>
      </c>
      <c r="D67">
        <v>1.6800000000000001E-3</v>
      </c>
      <c r="E67">
        <v>-7.0400000000000004E-2</v>
      </c>
      <c r="F67">
        <v>8.0999999999999996E-3</v>
      </c>
      <c r="G67">
        <v>0.05</v>
      </c>
      <c r="H67">
        <v>-2.7667000000000002</v>
      </c>
      <c r="I67">
        <v>0</v>
      </c>
      <c r="J67">
        <v>0</v>
      </c>
      <c r="K67">
        <v>0</v>
      </c>
      <c r="L67">
        <v>0.35249999999999998</v>
      </c>
    </row>
    <row r="68" spans="1:12" x14ac:dyDescent="0.35">
      <c r="A68">
        <v>1.65</v>
      </c>
      <c r="B68">
        <v>0.69140000000000001</v>
      </c>
      <c r="C68">
        <v>5.9699999999999996E-3</v>
      </c>
      <c r="D68">
        <v>1.7600000000000001E-3</v>
      </c>
      <c r="E68">
        <v>-6.9800000000000001E-2</v>
      </c>
      <c r="F68">
        <v>8.2000000000000007E-3</v>
      </c>
      <c r="G68">
        <v>0.05</v>
      </c>
      <c r="H68">
        <v>-2.9638</v>
      </c>
      <c r="I68">
        <v>0</v>
      </c>
      <c r="J68">
        <v>0</v>
      </c>
      <c r="K68">
        <v>0</v>
      </c>
      <c r="L68">
        <v>0.34989999999999999</v>
      </c>
    </row>
    <row r="69" spans="1:12" x14ac:dyDescent="0.35">
      <c r="A69">
        <v>1.7</v>
      </c>
      <c r="B69">
        <v>0.70240000000000002</v>
      </c>
      <c r="C69">
        <v>6.0899999999999999E-3</v>
      </c>
      <c r="D69">
        <v>1.9400000000000001E-3</v>
      </c>
      <c r="E69">
        <v>-6.9000000000000006E-2</v>
      </c>
      <c r="F69">
        <v>7.4999999999999997E-3</v>
      </c>
      <c r="G69">
        <v>0.05</v>
      </c>
      <c r="H69">
        <v>-3.1360999999999999</v>
      </c>
      <c r="I69">
        <v>0</v>
      </c>
      <c r="J69">
        <v>0</v>
      </c>
      <c r="K69">
        <v>0</v>
      </c>
      <c r="L69">
        <v>0.34710000000000002</v>
      </c>
    </row>
    <row r="70" spans="1:12" x14ac:dyDescent="0.35">
      <c r="A70">
        <v>1.75</v>
      </c>
      <c r="B70">
        <v>0.71230000000000004</v>
      </c>
      <c r="C70">
        <v>6.2700000000000004E-3</v>
      </c>
      <c r="D70">
        <v>2.1800000000000001E-3</v>
      </c>
      <c r="E70">
        <v>-6.8000000000000005E-2</v>
      </c>
      <c r="F70">
        <v>7.1000000000000004E-3</v>
      </c>
      <c r="G70">
        <v>0.05</v>
      </c>
      <c r="H70">
        <v>-3.2033</v>
      </c>
      <c r="I70">
        <v>0</v>
      </c>
      <c r="J70">
        <v>0</v>
      </c>
      <c r="K70">
        <v>0</v>
      </c>
      <c r="L70">
        <v>0.34429999999999999</v>
      </c>
    </row>
    <row r="71" spans="1:12" x14ac:dyDescent="0.35">
      <c r="A71">
        <v>1.8</v>
      </c>
      <c r="B71">
        <v>0.72150000000000003</v>
      </c>
      <c r="C71">
        <v>6.4799999999999996E-3</v>
      </c>
      <c r="D71">
        <v>2.4499999999999999E-3</v>
      </c>
      <c r="E71">
        <v>-6.7000000000000004E-2</v>
      </c>
      <c r="F71">
        <v>6.8999999999999999E-3</v>
      </c>
      <c r="G71">
        <v>0.05</v>
      </c>
      <c r="H71">
        <v>-3.2440000000000002</v>
      </c>
      <c r="I71">
        <v>0</v>
      </c>
      <c r="J71">
        <v>0</v>
      </c>
      <c r="K71">
        <v>0</v>
      </c>
      <c r="L71">
        <v>0.34160000000000001</v>
      </c>
    </row>
    <row r="72" spans="1:12" x14ac:dyDescent="0.35">
      <c r="A72">
        <v>1.85</v>
      </c>
      <c r="B72">
        <v>0.73029999999999995</v>
      </c>
      <c r="C72">
        <v>6.7099999999999998E-3</v>
      </c>
      <c r="D72">
        <v>2.7200000000000002E-3</v>
      </c>
      <c r="E72">
        <v>-6.59E-2</v>
      </c>
      <c r="F72">
        <v>6.7999999999999996E-3</v>
      </c>
      <c r="G72">
        <v>0.05</v>
      </c>
      <c r="H72">
        <v>-3.2702</v>
      </c>
      <c r="I72">
        <v>0</v>
      </c>
      <c r="J72">
        <v>0</v>
      </c>
      <c r="K72">
        <v>0</v>
      </c>
      <c r="L72">
        <v>0.33900000000000002</v>
      </c>
    </row>
    <row r="73" spans="1:12" x14ac:dyDescent="0.35">
      <c r="A73">
        <v>1.9</v>
      </c>
      <c r="B73">
        <v>0.7389</v>
      </c>
      <c r="C73">
        <v>6.94E-3</v>
      </c>
      <c r="D73">
        <v>3.0100000000000001E-3</v>
      </c>
      <c r="E73">
        <v>-6.4799999999999996E-2</v>
      </c>
      <c r="F73">
        <v>6.7000000000000002E-3</v>
      </c>
      <c r="G73">
        <v>0.05</v>
      </c>
      <c r="H73">
        <v>-3.2877000000000001</v>
      </c>
      <c r="I73">
        <v>0</v>
      </c>
      <c r="J73">
        <v>0</v>
      </c>
      <c r="K73">
        <v>0</v>
      </c>
      <c r="L73">
        <v>0.33639999999999998</v>
      </c>
    </row>
    <row r="74" spans="1:12" x14ac:dyDescent="0.35">
      <c r="A74">
        <v>1.95</v>
      </c>
      <c r="B74">
        <v>0.74729999999999996</v>
      </c>
      <c r="C74">
        <v>7.1900000000000002E-3</v>
      </c>
      <c r="D74">
        <v>3.3E-3</v>
      </c>
      <c r="E74">
        <v>-6.3700000000000007E-2</v>
      </c>
      <c r="F74">
        <v>6.7000000000000002E-3</v>
      </c>
      <c r="G74">
        <v>0.05</v>
      </c>
      <c r="H74">
        <v>-3.3010999999999999</v>
      </c>
      <c r="I74">
        <v>0</v>
      </c>
      <c r="J74">
        <v>0</v>
      </c>
      <c r="K74">
        <v>0</v>
      </c>
      <c r="L74">
        <v>0.33389999999999997</v>
      </c>
    </row>
    <row r="75" spans="1:12" x14ac:dyDescent="0.35">
      <c r="A75">
        <v>2</v>
      </c>
      <c r="B75">
        <v>0.75580000000000003</v>
      </c>
      <c r="C75">
        <v>7.45E-3</v>
      </c>
      <c r="D75">
        <v>3.5899999999999999E-3</v>
      </c>
      <c r="E75">
        <v>-6.25E-2</v>
      </c>
      <c r="F75">
        <v>6.6E-3</v>
      </c>
      <c r="G75">
        <v>0.05</v>
      </c>
      <c r="H75">
        <v>-3.3117999999999999</v>
      </c>
      <c r="I75">
        <v>0</v>
      </c>
      <c r="J75">
        <v>0</v>
      </c>
      <c r="K75">
        <v>0</v>
      </c>
      <c r="L75">
        <v>0.33139999999999997</v>
      </c>
    </row>
    <row r="76" spans="1:12" x14ac:dyDescent="0.35">
      <c r="A76">
        <v>2.0499999999999998</v>
      </c>
      <c r="B76">
        <v>0.76429999999999998</v>
      </c>
      <c r="C76">
        <v>7.7200000000000003E-3</v>
      </c>
      <c r="D76">
        <v>3.8999999999999998E-3</v>
      </c>
      <c r="E76">
        <v>-6.13E-2</v>
      </c>
      <c r="F76">
        <v>6.6E-3</v>
      </c>
      <c r="G76">
        <v>0.05</v>
      </c>
      <c r="H76">
        <v>-3.3207</v>
      </c>
      <c r="I76">
        <v>0</v>
      </c>
      <c r="J76">
        <v>0</v>
      </c>
      <c r="K76">
        <v>0</v>
      </c>
      <c r="L76">
        <v>0.32890000000000003</v>
      </c>
    </row>
    <row r="77" spans="1:12" x14ac:dyDescent="0.35">
      <c r="A77">
        <v>2.1</v>
      </c>
      <c r="B77">
        <v>0.77310000000000001</v>
      </c>
      <c r="C77">
        <v>8.0000000000000002E-3</v>
      </c>
      <c r="D77">
        <v>4.2199999999999998E-3</v>
      </c>
      <c r="E77">
        <v>-6.0199999999999997E-2</v>
      </c>
      <c r="F77">
        <v>6.4999999999999997E-3</v>
      </c>
      <c r="G77">
        <v>0.05</v>
      </c>
      <c r="H77">
        <v>-3.3304</v>
      </c>
      <c r="I77">
        <v>0</v>
      </c>
      <c r="J77">
        <v>0</v>
      </c>
      <c r="K77">
        <v>0</v>
      </c>
      <c r="L77">
        <v>0.32650000000000001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F1288-4D7E-400D-A486-0BC1C0F04668}">
  <sheetPr codeName="Sheet26"/>
  <dimension ref="A1:L105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-2.4500000000000002</v>
      </c>
      <c r="B2">
        <v>-0.218</v>
      </c>
      <c r="C2">
        <v>1.5879999999999998E-2</v>
      </c>
      <c r="D2">
        <v>1.2449999999999999E-2</v>
      </c>
      <c r="E2">
        <v>-8.2199999999999995E-2</v>
      </c>
      <c r="F2">
        <v>0.05</v>
      </c>
      <c r="G2">
        <v>3.0999999999999999E-3</v>
      </c>
      <c r="H2">
        <v>-2.8517000000000001</v>
      </c>
      <c r="I2">
        <v>0</v>
      </c>
      <c r="J2">
        <v>0</v>
      </c>
      <c r="K2">
        <v>0</v>
      </c>
      <c r="L2">
        <v>-0.1293</v>
      </c>
    </row>
    <row r="3" spans="1:12" x14ac:dyDescent="0.35">
      <c r="A3">
        <v>-2.4</v>
      </c>
      <c r="B3">
        <v>-0.20979999999999999</v>
      </c>
      <c r="C3">
        <v>1.5169999999999999E-2</v>
      </c>
      <c r="D3">
        <v>1.1679999999999999E-2</v>
      </c>
      <c r="E3">
        <v>-8.1900000000000001E-2</v>
      </c>
      <c r="F3">
        <v>0.05</v>
      </c>
      <c r="G3">
        <v>3.0000000000000001E-3</v>
      </c>
      <c r="H3">
        <v>-2.9138000000000002</v>
      </c>
      <c r="I3">
        <v>0</v>
      </c>
      <c r="J3">
        <v>0</v>
      </c>
      <c r="K3">
        <v>0</v>
      </c>
      <c r="L3">
        <v>-0.14299999999999999</v>
      </c>
    </row>
    <row r="4" spans="1:12" x14ac:dyDescent="0.35">
      <c r="A4">
        <v>-2.35</v>
      </c>
      <c r="B4">
        <v>-0.2011</v>
      </c>
      <c r="C4">
        <v>1.451E-2</v>
      </c>
      <c r="D4">
        <v>1.0959999999999999E-2</v>
      </c>
      <c r="E4">
        <v>-8.1699999999999995E-2</v>
      </c>
      <c r="F4">
        <v>0.05</v>
      </c>
      <c r="G4">
        <v>3.0000000000000001E-3</v>
      </c>
      <c r="H4">
        <v>-2.9462000000000002</v>
      </c>
      <c r="I4">
        <v>0</v>
      </c>
      <c r="J4">
        <v>0</v>
      </c>
      <c r="K4">
        <v>0</v>
      </c>
      <c r="L4">
        <v>-0.15859999999999999</v>
      </c>
    </row>
    <row r="5" spans="1:12" x14ac:dyDescent="0.35">
      <c r="A5">
        <v>-2.2999999999999998</v>
      </c>
      <c r="B5">
        <v>-0.19209999999999999</v>
      </c>
      <c r="C5">
        <v>1.389E-2</v>
      </c>
      <c r="D5">
        <v>1.027E-2</v>
      </c>
      <c r="E5">
        <v>-8.14E-2</v>
      </c>
      <c r="F5">
        <v>0.05</v>
      </c>
      <c r="G5">
        <v>3.0000000000000001E-3</v>
      </c>
      <c r="H5">
        <v>-2.9695</v>
      </c>
      <c r="I5">
        <v>0</v>
      </c>
      <c r="J5">
        <v>0</v>
      </c>
      <c r="K5">
        <v>0</v>
      </c>
      <c r="L5">
        <v>-0.1762</v>
      </c>
    </row>
    <row r="6" spans="1:12" x14ac:dyDescent="0.35">
      <c r="A6">
        <v>-2.25</v>
      </c>
      <c r="B6">
        <v>-0.18279999999999999</v>
      </c>
      <c r="C6">
        <v>1.329E-2</v>
      </c>
      <c r="D6">
        <v>9.6100000000000005E-3</v>
      </c>
      <c r="E6">
        <v>-8.1100000000000005E-2</v>
      </c>
      <c r="F6">
        <v>0.05</v>
      </c>
      <c r="G6">
        <v>3.0000000000000001E-3</v>
      </c>
      <c r="H6">
        <v>-2.9874999999999998</v>
      </c>
      <c r="I6">
        <v>0</v>
      </c>
      <c r="J6">
        <v>0</v>
      </c>
      <c r="K6">
        <v>0</v>
      </c>
      <c r="L6">
        <v>-0.19620000000000001</v>
      </c>
    </row>
    <row r="7" spans="1:12" x14ac:dyDescent="0.35">
      <c r="A7">
        <v>-2.2000000000000002</v>
      </c>
      <c r="B7">
        <v>-0.17330000000000001</v>
      </c>
      <c r="C7">
        <v>1.272E-2</v>
      </c>
      <c r="D7">
        <v>8.9800000000000001E-3</v>
      </c>
      <c r="E7">
        <v>-8.0799999999999997E-2</v>
      </c>
      <c r="F7">
        <v>0.05</v>
      </c>
      <c r="G7">
        <v>3.0000000000000001E-3</v>
      </c>
      <c r="H7">
        <v>-3.0024000000000002</v>
      </c>
      <c r="I7">
        <v>0</v>
      </c>
      <c r="J7">
        <v>0</v>
      </c>
      <c r="K7">
        <v>0</v>
      </c>
      <c r="L7">
        <v>-0.21890000000000001</v>
      </c>
    </row>
    <row r="8" spans="1:12" x14ac:dyDescent="0.35">
      <c r="A8">
        <v>-2.15</v>
      </c>
      <c r="B8">
        <v>-0.16350000000000001</v>
      </c>
      <c r="C8">
        <v>1.217E-2</v>
      </c>
      <c r="D8">
        <v>8.3599999999999994E-3</v>
      </c>
      <c r="E8">
        <v>-8.0500000000000002E-2</v>
      </c>
      <c r="F8">
        <v>0.05</v>
      </c>
      <c r="G8">
        <v>3.0999999999999999E-3</v>
      </c>
      <c r="H8">
        <v>-3.0152999999999999</v>
      </c>
      <c r="I8">
        <v>0</v>
      </c>
      <c r="J8">
        <v>0</v>
      </c>
      <c r="K8">
        <v>0</v>
      </c>
      <c r="L8">
        <v>-0.24490000000000001</v>
      </c>
    </row>
    <row r="9" spans="1:12" x14ac:dyDescent="0.35">
      <c r="A9">
        <v>-2.1</v>
      </c>
      <c r="B9">
        <v>-0.1535</v>
      </c>
      <c r="C9">
        <v>1.163E-2</v>
      </c>
      <c r="D9">
        <v>7.77E-3</v>
      </c>
      <c r="E9">
        <v>-8.0199999999999994E-2</v>
      </c>
      <c r="F9">
        <v>0.05</v>
      </c>
      <c r="G9">
        <v>3.2000000000000002E-3</v>
      </c>
      <c r="H9">
        <v>-3.0272000000000001</v>
      </c>
      <c r="I9">
        <v>0</v>
      </c>
      <c r="J9">
        <v>0</v>
      </c>
      <c r="K9">
        <v>0</v>
      </c>
      <c r="L9">
        <v>-0.27489999999999998</v>
      </c>
    </row>
    <row r="10" spans="1:12" x14ac:dyDescent="0.35">
      <c r="A10">
        <v>-2.0499999999999998</v>
      </c>
      <c r="B10">
        <v>-0.14330000000000001</v>
      </c>
      <c r="C10">
        <v>1.112E-2</v>
      </c>
      <c r="D10">
        <v>7.1900000000000002E-3</v>
      </c>
      <c r="E10">
        <v>-7.9799999999999996E-2</v>
      </c>
      <c r="F10">
        <v>0.05</v>
      </c>
      <c r="G10">
        <v>3.3999999999999998E-3</v>
      </c>
      <c r="H10">
        <v>-3.0388000000000002</v>
      </c>
      <c r="I10">
        <v>0</v>
      </c>
      <c r="J10">
        <v>0</v>
      </c>
      <c r="K10">
        <v>0</v>
      </c>
      <c r="L10">
        <v>-0.30980000000000002</v>
      </c>
    </row>
    <row r="11" spans="1:12" x14ac:dyDescent="0.35">
      <c r="A11">
        <v>-2</v>
      </c>
      <c r="B11">
        <v>-0.13300000000000001</v>
      </c>
      <c r="C11">
        <v>1.0630000000000001E-2</v>
      </c>
      <c r="D11">
        <v>6.6400000000000001E-3</v>
      </c>
      <c r="E11">
        <v>-7.9500000000000001E-2</v>
      </c>
      <c r="F11">
        <v>0.05</v>
      </c>
      <c r="G11">
        <v>3.5999999999999999E-3</v>
      </c>
      <c r="H11">
        <v>-3.0503</v>
      </c>
      <c r="I11">
        <v>0</v>
      </c>
      <c r="J11">
        <v>0</v>
      </c>
      <c r="K11">
        <v>0</v>
      </c>
      <c r="L11">
        <v>-0.35070000000000001</v>
      </c>
    </row>
    <row r="12" spans="1:12" x14ac:dyDescent="0.35">
      <c r="A12">
        <v>-1.95</v>
      </c>
      <c r="B12">
        <v>-0.1225</v>
      </c>
      <c r="C12">
        <v>1.0160000000000001E-2</v>
      </c>
      <c r="D12">
        <v>6.11E-3</v>
      </c>
      <c r="E12">
        <v>-7.9100000000000004E-2</v>
      </c>
      <c r="F12">
        <v>0.05</v>
      </c>
      <c r="G12">
        <v>3.8E-3</v>
      </c>
      <c r="H12">
        <v>-3.0615999999999999</v>
      </c>
      <c r="I12">
        <v>0</v>
      </c>
      <c r="J12">
        <v>0</v>
      </c>
      <c r="K12">
        <v>0</v>
      </c>
      <c r="L12">
        <v>-0.39910000000000001</v>
      </c>
    </row>
    <row r="13" spans="1:12" x14ac:dyDescent="0.35">
      <c r="A13">
        <v>-1.9</v>
      </c>
      <c r="B13">
        <v>-0.1119</v>
      </c>
      <c r="C13">
        <v>9.7099999999999999E-3</v>
      </c>
      <c r="D13">
        <v>5.5999999999999999E-3</v>
      </c>
      <c r="E13">
        <v>-7.8799999999999995E-2</v>
      </c>
      <c r="F13">
        <v>0.05</v>
      </c>
      <c r="G13">
        <v>4.0000000000000001E-3</v>
      </c>
      <c r="H13">
        <v>-3.0710999999999999</v>
      </c>
      <c r="I13">
        <v>0</v>
      </c>
      <c r="J13">
        <v>0</v>
      </c>
      <c r="K13">
        <v>0</v>
      </c>
      <c r="L13">
        <v>-0.45710000000000001</v>
      </c>
    </row>
    <row r="14" spans="1:12" x14ac:dyDescent="0.35">
      <c r="A14">
        <v>-1.85</v>
      </c>
      <c r="B14">
        <v>-0.1013</v>
      </c>
      <c r="C14">
        <v>9.2700000000000005E-3</v>
      </c>
      <c r="D14">
        <v>5.1000000000000004E-3</v>
      </c>
      <c r="E14">
        <v>-7.8399999999999997E-2</v>
      </c>
      <c r="F14">
        <v>0.05</v>
      </c>
      <c r="G14">
        <v>4.3E-3</v>
      </c>
      <c r="H14">
        <v>-3.0754000000000001</v>
      </c>
      <c r="I14">
        <v>0</v>
      </c>
      <c r="J14">
        <v>0</v>
      </c>
      <c r="K14">
        <v>0</v>
      </c>
      <c r="L14">
        <v>-0.52729999999999999</v>
      </c>
    </row>
    <row r="15" spans="1:12" x14ac:dyDescent="0.35">
      <c r="A15">
        <v>-1.8</v>
      </c>
      <c r="B15">
        <v>-9.0800000000000006E-2</v>
      </c>
      <c r="C15">
        <v>8.8299999999999993E-3</v>
      </c>
      <c r="D15">
        <v>4.5999999999999999E-3</v>
      </c>
      <c r="E15">
        <v>-7.8E-2</v>
      </c>
      <c r="F15">
        <v>0.05</v>
      </c>
      <c r="G15">
        <v>4.5999999999999999E-3</v>
      </c>
      <c r="H15">
        <v>-3.0651000000000002</v>
      </c>
      <c r="I15">
        <v>0</v>
      </c>
      <c r="J15">
        <v>0</v>
      </c>
      <c r="K15">
        <v>0</v>
      </c>
      <c r="L15">
        <v>-0.61319999999999997</v>
      </c>
    </row>
    <row r="16" spans="1:12" x14ac:dyDescent="0.35">
      <c r="A16">
        <v>-1.75</v>
      </c>
      <c r="B16">
        <v>-8.0399999999999999E-2</v>
      </c>
      <c r="C16">
        <v>8.3700000000000007E-3</v>
      </c>
      <c r="D16">
        <v>4.0899999999999999E-3</v>
      </c>
      <c r="E16">
        <v>-7.7499999999999999E-2</v>
      </c>
      <c r="F16">
        <v>0.05</v>
      </c>
      <c r="G16">
        <v>4.7999999999999996E-3</v>
      </c>
      <c r="H16">
        <v>-3.0141</v>
      </c>
      <c r="I16">
        <v>0</v>
      </c>
      <c r="J16">
        <v>0</v>
      </c>
      <c r="K16">
        <v>0</v>
      </c>
      <c r="L16">
        <v>-0.71940000000000004</v>
      </c>
    </row>
    <row r="17" spans="1:12" x14ac:dyDescent="0.35">
      <c r="A17">
        <v>-1.7</v>
      </c>
      <c r="B17">
        <v>-7.0099999999999996E-2</v>
      </c>
      <c r="C17">
        <v>7.9299999999999995E-3</v>
      </c>
      <c r="D17">
        <v>3.5899999999999999E-3</v>
      </c>
      <c r="E17">
        <v>-7.7100000000000002E-2</v>
      </c>
      <c r="F17">
        <v>0.05</v>
      </c>
      <c r="G17">
        <v>5.0000000000000001E-3</v>
      </c>
      <c r="H17">
        <v>-2.9260000000000002</v>
      </c>
      <c r="I17">
        <v>0</v>
      </c>
      <c r="J17">
        <v>0</v>
      </c>
      <c r="K17">
        <v>0</v>
      </c>
      <c r="L17">
        <v>-0.85419999999999996</v>
      </c>
    </row>
    <row r="18" spans="1:12" x14ac:dyDescent="0.35">
      <c r="A18">
        <v>-1.65</v>
      </c>
      <c r="B18">
        <v>-5.9799999999999999E-2</v>
      </c>
      <c r="C18">
        <v>7.5500000000000003E-3</v>
      </c>
      <c r="D18">
        <v>3.16E-3</v>
      </c>
      <c r="E18">
        <v>-7.6700000000000004E-2</v>
      </c>
      <c r="F18">
        <v>0.05</v>
      </c>
      <c r="G18">
        <v>5.3E-3</v>
      </c>
      <c r="H18">
        <v>-2.9058999999999999</v>
      </c>
      <c r="I18">
        <v>0</v>
      </c>
      <c r="J18">
        <v>0</v>
      </c>
      <c r="K18">
        <v>0</v>
      </c>
      <c r="L18">
        <v>-1.0369999999999999</v>
      </c>
    </row>
    <row r="19" spans="1:12" x14ac:dyDescent="0.35">
      <c r="A19">
        <v>-1.6</v>
      </c>
      <c r="B19">
        <v>-4.9399999999999999E-2</v>
      </c>
      <c r="C19">
        <v>7.2199999999999999E-3</v>
      </c>
      <c r="D19">
        <v>2.7799999999999999E-3</v>
      </c>
      <c r="E19">
        <v>-7.6300000000000007E-2</v>
      </c>
      <c r="F19">
        <v>0.05</v>
      </c>
      <c r="G19">
        <v>5.4999999999999997E-3</v>
      </c>
      <c r="H19">
        <v>-2.9079000000000002</v>
      </c>
      <c r="I19">
        <v>0</v>
      </c>
      <c r="J19">
        <v>0</v>
      </c>
      <c r="K19">
        <v>0</v>
      </c>
      <c r="L19">
        <v>-1.3004</v>
      </c>
    </row>
    <row r="20" spans="1:12" x14ac:dyDescent="0.35">
      <c r="A20">
        <v>-1.55</v>
      </c>
      <c r="B20">
        <v>-3.8600000000000002E-2</v>
      </c>
      <c r="C20">
        <v>6.94E-3</v>
      </c>
      <c r="D20">
        <v>2.4399999999999999E-3</v>
      </c>
      <c r="E20">
        <v>-7.5899999999999995E-2</v>
      </c>
      <c r="F20">
        <v>0.05</v>
      </c>
      <c r="G20">
        <v>5.8999999999999999E-3</v>
      </c>
      <c r="H20">
        <v>-2.8801999999999999</v>
      </c>
      <c r="I20">
        <v>0</v>
      </c>
      <c r="J20">
        <v>0</v>
      </c>
      <c r="K20">
        <v>0</v>
      </c>
      <c r="L20">
        <v>-1.7217</v>
      </c>
    </row>
    <row r="21" spans="1:12" x14ac:dyDescent="0.35">
      <c r="A21">
        <v>-1.5</v>
      </c>
      <c r="B21">
        <v>-2.75E-2</v>
      </c>
      <c r="C21">
        <v>6.7099999999999998E-3</v>
      </c>
      <c r="D21">
        <v>2.16E-3</v>
      </c>
      <c r="E21">
        <v>-7.5600000000000001E-2</v>
      </c>
      <c r="F21">
        <v>0.05</v>
      </c>
      <c r="G21">
        <v>6.6E-3</v>
      </c>
      <c r="H21">
        <v>-2.8096000000000001</v>
      </c>
      <c r="I21">
        <v>0</v>
      </c>
      <c r="J21">
        <v>0</v>
      </c>
      <c r="K21">
        <v>0</v>
      </c>
      <c r="L21">
        <v>-2.5045999999999999</v>
      </c>
    </row>
    <row r="22" spans="1:12" x14ac:dyDescent="0.35">
      <c r="A22">
        <v>-1.45</v>
      </c>
      <c r="B22">
        <v>-1.61E-2</v>
      </c>
      <c r="C22">
        <v>6.5300000000000002E-3</v>
      </c>
      <c r="D22">
        <v>1.9400000000000001E-3</v>
      </c>
      <c r="E22">
        <v>-7.5300000000000006E-2</v>
      </c>
      <c r="F22">
        <v>0.05</v>
      </c>
      <c r="G22">
        <v>7.4000000000000003E-3</v>
      </c>
      <c r="H22">
        <v>-2.6880999999999999</v>
      </c>
      <c r="I22">
        <v>0</v>
      </c>
      <c r="J22">
        <v>0</v>
      </c>
      <c r="K22">
        <v>0</v>
      </c>
      <c r="L22">
        <v>-4.4512</v>
      </c>
    </row>
    <row r="23" spans="1:12" x14ac:dyDescent="0.35">
      <c r="A23">
        <v>-1.4</v>
      </c>
      <c r="B23">
        <v>-4.4000000000000003E-3</v>
      </c>
      <c r="C23">
        <v>6.4099999999999999E-3</v>
      </c>
      <c r="D23">
        <v>1.7799999999999999E-3</v>
      </c>
      <c r="E23">
        <v>-7.4999999999999997E-2</v>
      </c>
      <c r="F23">
        <v>0.05</v>
      </c>
      <c r="G23">
        <v>8.2000000000000007E-3</v>
      </c>
      <c r="H23">
        <v>-2.5308999999999999</v>
      </c>
      <c r="I23">
        <v>0</v>
      </c>
      <c r="J23">
        <v>0</v>
      </c>
      <c r="K23">
        <v>0</v>
      </c>
      <c r="L23">
        <v>-16.938500000000001</v>
      </c>
    </row>
    <row r="24" spans="1:12" x14ac:dyDescent="0.35">
      <c r="A24">
        <v>-1.35</v>
      </c>
      <c r="B24">
        <v>7.4000000000000003E-3</v>
      </c>
      <c r="C24">
        <v>6.3200000000000001E-3</v>
      </c>
      <c r="D24">
        <v>1.65E-3</v>
      </c>
      <c r="E24">
        <v>-7.4800000000000005E-2</v>
      </c>
      <c r="F24">
        <v>0.05</v>
      </c>
      <c r="G24">
        <v>8.6E-3</v>
      </c>
      <c r="H24">
        <v>-2.3698000000000001</v>
      </c>
      <c r="I24">
        <v>0</v>
      </c>
      <c r="J24">
        <v>0</v>
      </c>
      <c r="K24">
        <v>0</v>
      </c>
      <c r="L24">
        <v>10.449400000000001</v>
      </c>
    </row>
    <row r="25" spans="1:12" x14ac:dyDescent="0.35">
      <c r="A25">
        <v>-1.3</v>
      </c>
      <c r="B25">
        <v>1.9099999999999999E-2</v>
      </c>
      <c r="C25">
        <v>6.2599999999999999E-3</v>
      </c>
      <c r="D25">
        <v>1.56E-3</v>
      </c>
      <c r="E25">
        <v>-7.4499999999999997E-2</v>
      </c>
      <c r="F25">
        <v>0.05</v>
      </c>
      <c r="G25">
        <v>8.8999999999999999E-3</v>
      </c>
      <c r="H25">
        <v>-2.2376</v>
      </c>
      <c r="I25">
        <v>0</v>
      </c>
      <c r="J25">
        <v>0</v>
      </c>
      <c r="K25">
        <v>0</v>
      </c>
      <c r="L25">
        <v>4.1658999999999997</v>
      </c>
    </row>
    <row r="26" spans="1:12" x14ac:dyDescent="0.35">
      <c r="A26">
        <v>-1.25</v>
      </c>
      <c r="B26">
        <v>3.0700000000000002E-2</v>
      </c>
      <c r="C26">
        <v>6.1900000000000002E-3</v>
      </c>
      <c r="D26">
        <v>1.4599999999999999E-3</v>
      </c>
      <c r="E26">
        <v>-7.4300000000000005E-2</v>
      </c>
      <c r="F26">
        <v>0.05</v>
      </c>
      <c r="G26">
        <v>8.9999999999999993E-3</v>
      </c>
      <c r="H26">
        <v>-2.1585000000000001</v>
      </c>
      <c r="I26">
        <v>0</v>
      </c>
      <c r="J26">
        <v>0</v>
      </c>
      <c r="K26">
        <v>0</v>
      </c>
      <c r="L26">
        <v>2.6756000000000002</v>
      </c>
    </row>
    <row r="27" spans="1:12" x14ac:dyDescent="0.35">
      <c r="A27">
        <v>-1.2</v>
      </c>
      <c r="B27">
        <v>4.24E-2</v>
      </c>
      <c r="C27">
        <v>6.1399999999999996E-3</v>
      </c>
      <c r="D27">
        <v>1.3799999999999999E-3</v>
      </c>
      <c r="E27">
        <v>-7.4099999999999999E-2</v>
      </c>
      <c r="F27">
        <v>0.05</v>
      </c>
      <c r="G27">
        <v>8.9999999999999993E-3</v>
      </c>
      <c r="H27">
        <v>-2.0720999999999998</v>
      </c>
      <c r="I27">
        <v>0</v>
      </c>
      <c r="J27">
        <v>0</v>
      </c>
      <c r="K27">
        <v>0</v>
      </c>
      <c r="L27">
        <v>2.0049999999999999</v>
      </c>
    </row>
    <row r="28" spans="1:12" x14ac:dyDescent="0.35">
      <c r="A28">
        <v>-1.1499999999999999</v>
      </c>
      <c r="B28">
        <v>5.3999999999999999E-2</v>
      </c>
      <c r="C28">
        <v>6.1000000000000004E-3</v>
      </c>
      <c r="D28">
        <v>1.32E-3</v>
      </c>
      <c r="E28">
        <v>-7.3999999999999996E-2</v>
      </c>
      <c r="F28">
        <v>0.05</v>
      </c>
      <c r="G28">
        <v>9.1000000000000004E-3</v>
      </c>
      <c r="H28">
        <v>-1.9804999999999999</v>
      </c>
      <c r="I28">
        <v>0</v>
      </c>
      <c r="J28">
        <v>0</v>
      </c>
      <c r="K28">
        <v>0</v>
      </c>
      <c r="L28">
        <v>1.6244000000000001</v>
      </c>
    </row>
    <row r="29" spans="1:12" x14ac:dyDescent="0.35">
      <c r="A29">
        <v>-1.1000000000000001</v>
      </c>
      <c r="B29">
        <v>6.5500000000000003E-2</v>
      </c>
      <c r="C29">
        <v>6.0699999999999999E-3</v>
      </c>
      <c r="D29">
        <v>1.2700000000000001E-3</v>
      </c>
      <c r="E29">
        <v>-7.3800000000000004E-2</v>
      </c>
      <c r="F29">
        <v>0.05</v>
      </c>
      <c r="G29">
        <v>9.1000000000000004E-3</v>
      </c>
      <c r="H29">
        <v>-1.8854</v>
      </c>
      <c r="I29">
        <v>0</v>
      </c>
      <c r="J29">
        <v>0</v>
      </c>
      <c r="K29">
        <v>0</v>
      </c>
      <c r="L29">
        <v>1.3794999999999999</v>
      </c>
    </row>
    <row r="30" spans="1:12" x14ac:dyDescent="0.35">
      <c r="A30">
        <v>-1.05</v>
      </c>
      <c r="B30">
        <v>7.6999999999999999E-2</v>
      </c>
      <c r="C30">
        <v>6.0499999999999998E-3</v>
      </c>
      <c r="D30">
        <v>1.24E-3</v>
      </c>
      <c r="E30">
        <v>-7.3700000000000002E-2</v>
      </c>
      <c r="F30">
        <v>0.05</v>
      </c>
      <c r="G30">
        <v>9.1999999999999998E-3</v>
      </c>
      <c r="H30">
        <v>-1.7887</v>
      </c>
      <c r="I30">
        <v>0</v>
      </c>
      <c r="J30">
        <v>0</v>
      </c>
      <c r="K30">
        <v>0</v>
      </c>
      <c r="L30">
        <v>1.2089000000000001</v>
      </c>
    </row>
    <row r="31" spans="1:12" x14ac:dyDescent="0.35">
      <c r="A31">
        <v>-1</v>
      </c>
      <c r="B31">
        <v>8.8499999999999995E-2</v>
      </c>
      <c r="C31">
        <v>6.0299999999999998E-3</v>
      </c>
      <c r="D31">
        <v>1.2099999999999999E-3</v>
      </c>
      <c r="E31">
        <v>-7.3599999999999999E-2</v>
      </c>
      <c r="F31">
        <v>0.05</v>
      </c>
      <c r="G31">
        <v>9.2999999999999992E-3</v>
      </c>
      <c r="H31">
        <v>-1.6920999999999999</v>
      </c>
      <c r="I31">
        <v>0</v>
      </c>
      <c r="J31">
        <v>0</v>
      </c>
      <c r="K31">
        <v>0</v>
      </c>
      <c r="L31">
        <v>1.0832999999999999</v>
      </c>
    </row>
    <row r="32" spans="1:12" x14ac:dyDescent="0.35">
      <c r="A32">
        <v>-0.95</v>
      </c>
      <c r="B32">
        <v>9.9900000000000003E-2</v>
      </c>
      <c r="C32">
        <v>6.0200000000000002E-3</v>
      </c>
      <c r="D32">
        <v>1.1800000000000001E-3</v>
      </c>
      <c r="E32">
        <v>-7.3499999999999996E-2</v>
      </c>
      <c r="F32">
        <v>0.05</v>
      </c>
      <c r="G32">
        <v>9.4000000000000004E-3</v>
      </c>
      <c r="H32">
        <v>-1.5967</v>
      </c>
      <c r="I32">
        <v>0</v>
      </c>
      <c r="J32">
        <v>0</v>
      </c>
      <c r="K32">
        <v>0</v>
      </c>
      <c r="L32">
        <v>0.98699999999999999</v>
      </c>
    </row>
    <row r="33" spans="1:12" x14ac:dyDescent="0.35">
      <c r="A33">
        <v>-0.9</v>
      </c>
      <c r="B33">
        <v>0.11119999999999999</v>
      </c>
      <c r="C33">
        <v>6.0099999999999997E-3</v>
      </c>
      <c r="D33">
        <v>1.17E-3</v>
      </c>
      <c r="E33">
        <v>-7.3400000000000007E-2</v>
      </c>
      <c r="F33">
        <v>0.05</v>
      </c>
      <c r="G33">
        <v>9.4999999999999998E-3</v>
      </c>
      <c r="H33">
        <v>-1.5033000000000001</v>
      </c>
      <c r="I33">
        <v>0</v>
      </c>
      <c r="J33">
        <v>0</v>
      </c>
      <c r="K33">
        <v>0</v>
      </c>
      <c r="L33">
        <v>0.91090000000000004</v>
      </c>
    </row>
    <row r="34" spans="1:12" x14ac:dyDescent="0.35">
      <c r="A34">
        <v>-0.85</v>
      </c>
      <c r="B34">
        <v>0.1225</v>
      </c>
      <c r="C34">
        <v>6.0000000000000001E-3</v>
      </c>
      <c r="D34">
        <v>1.15E-3</v>
      </c>
      <c r="E34">
        <v>-7.3300000000000004E-2</v>
      </c>
      <c r="F34">
        <v>0.05</v>
      </c>
      <c r="G34">
        <v>9.4999999999999998E-3</v>
      </c>
      <c r="H34">
        <v>-1.4123000000000001</v>
      </c>
      <c r="I34">
        <v>0</v>
      </c>
      <c r="J34">
        <v>0</v>
      </c>
      <c r="K34">
        <v>0</v>
      </c>
      <c r="L34">
        <v>0.84919999999999995</v>
      </c>
    </row>
    <row r="35" spans="1:12" x14ac:dyDescent="0.35">
      <c r="A35">
        <v>-0.8</v>
      </c>
      <c r="B35">
        <v>0.1338</v>
      </c>
      <c r="C35">
        <v>6.0000000000000001E-3</v>
      </c>
      <c r="D35">
        <v>1.14E-3</v>
      </c>
      <c r="E35">
        <v>-7.3200000000000001E-2</v>
      </c>
      <c r="F35">
        <v>0.05</v>
      </c>
      <c r="G35">
        <v>9.5999999999999992E-3</v>
      </c>
      <c r="H35">
        <v>-1.3239000000000001</v>
      </c>
      <c r="I35">
        <v>0</v>
      </c>
      <c r="J35">
        <v>0</v>
      </c>
      <c r="K35">
        <v>0</v>
      </c>
      <c r="L35">
        <v>0.79810000000000003</v>
      </c>
    </row>
    <row r="36" spans="1:12" x14ac:dyDescent="0.35">
      <c r="A36">
        <v>-0.75</v>
      </c>
      <c r="B36">
        <v>0.14499999999999999</v>
      </c>
      <c r="C36">
        <v>5.9899999999999997E-3</v>
      </c>
      <c r="D36">
        <v>1.1299999999999999E-3</v>
      </c>
      <c r="E36">
        <v>-7.3099999999999998E-2</v>
      </c>
      <c r="F36">
        <v>0.05</v>
      </c>
      <c r="G36">
        <v>9.7000000000000003E-3</v>
      </c>
      <c r="H36">
        <v>-1.2383</v>
      </c>
      <c r="I36">
        <v>0</v>
      </c>
      <c r="J36">
        <v>0</v>
      </c>
      <c r="K36">
        <v>0</v>
      </c>
      <c r="L36">
        <v>0.75529999999999997</v>
      </c>
    </row>
    <row r="37" spans="1:12" x14ac:dyDescent="0.35">
      <c r="A37">
        <v>-0.7</v>
      </c>
      <c r="B37">
        <v>0.15609999999999999</v>
      </c>
      <c r="C37">
        <v>5.9899999999999997E-3</v>
      </c>
      <c r="D37">
        <v>1.1199999999999999E-3</v>
      </c>
      <c r="E37">
        <v>-7.3099999999999998E-2</v>
      </c>
      <c r="F37">
        <v>0.05</v>
      </c>
      <c r="G37">
        <v>9.7999999999999997E-3</v>
      </c>
      <c r="H37">
        <v>-1.1556</v>
      </c>
      <c r="I37">
        <v>0</v>
      </c>
      <c r="J37">
        <v>0</v>
      </c>
      <c r="K37">
        <v>0</v>
      </c>
      <c r="L37">
        <v>0.71870000000000001</v>
      </c>
    </row>
    <row r="38" spans="1:12" x14ac:dyDescent="0.35">
      <c r="A38">
        <v>-0.65</v>
      </c>
      <c r="B38">
        <v>0.1673</v>
      </c>
      <c r="C38">
        <v>5.9899999999999997E-3</v>
      </c>
      <c r="D38">
        <v>1.1100000000000001E-3</v>
      </c>
      <c r="E38">
        <v>-7.3099999999999998E-2</v>
      </c>
      <c r="F38">
        <v>0.05</v>
      </c>
      <c r="G38">
        <v>9.7999999999999997E-3</v>
      </c>
      <c r="H38">
        <v>-1.0758000000000001</v>
      </c>
      <c r="I38">
        <v>0</v>
      </c>
      <c r="J38">
        <v>0</v>
      </c>
      <c r="K38">
        <v>0</v>
      </c>
      <c r="L38">
        <v>0.68720000000000003</v>
      </c>
    </row>
    <row r="39" spans="1:12" x14ac:dyDescent="0.35">
      <c r="A39">
        <v>-0.6</v>
      </c>
      <c r="B39">
        <v>0.1784</v>
      </c>
      <c r="C39">
        <v>5.9899999999999997E-3</v>
      </c>
      <c r="D39">
        <v>1.1100000000000001E-3</v>
      </c>
      <c r="E39">
        <v>-7.2999999999999995E-2</v>
      </c>
      <c r="F39">
        <v>0.05</v>
      </c>
      <c r="G39">
        <v>9.9000000000000008E-3</v>
      </c>
      <c r="H39">
        <v>-0.99880000000000002</v>
      </c>
      <c r="I39">
        <v>0</v>
      </c>
      <c r="J39">
        <v>0</v>
      </c>
      <c r="K39">
        <v>0</v>
      </c>
      <c r="L39">
        <v>0.65969999999999995</v>
      </c>
    </row>
    <row r="40" spans="1:12" x14ac:dyDescent="0.35">
      <c r="A40">
        <v>-0.55000000000000004</v>
      </c>
      <c r="B40">
        <v>0.1895</v>
      </c>
      <c r="C40">
        <v>5.9800000000000001E-3</v>
      </c>
      <c r="D40">
        <v>1.1100000000000001E-3</v>
      </c>
      <c r="E40">
        <v>-7.2999999999999995E-2</v>
      </c>
      <c r="F40">
        <v>0.05</v>
      </c>
      <c r="G40">
        <v>0.01</v>
      </c>
      <c r="H40">
        <v>-0.92490000000000006</v>
      </c>
      <c r="I40">
        <v>0</v>
      </c>
      <c r="J40">
        <v>0</v>
      </c>
      <c r="K40">
        <v>0</v>
      </c>
      <c r="L40">
        <v>0.63549999999999995</v>
      </c>
    </row>
    <row r="41" spans="1:12" x14ac:dyDescent="0.35">
      <c r="A41">
        <v>-0.5</v>
      </c>
      <c r="B41">
        <v>0.20050000000000001</v>
      </c>
      <c r="C41">
        <v>5.9800000000000001E-3</v>
      </c>
      <c r="D41">
        <v>1.1000000000000001E-3</v>
      </c>
      <c r="E41">
        <v>-7.2999999999999995E-2</v>
      </c>
      <c r="F41">
        <v>0.05</v>
      </c>
      <c r="G41">
        <v>1.01E-2</v>
      </c>
      <c r="H41">
        <v>-0.85509999999999997</v>
      </c>
      <c r="I41">
        <v>0</v>
      </c>
      <c r="J41">
        <v>0</v>
      </c>
      <c r="K41">
        <v>0</v>
      </c>
      <c r="L41">
        <v>0.61409999999999998</v>
      </c>
    </row>
    <row r="42" spans="1:12" x14ac:dyDescent="0.35">
      <c r="A42">
        <v>-0.45</v>
      </c>
      <c r="B42">
        <v>0.21160000000000001</v>
      </c>
      <c r="C42">
        <v>5.9800000000000001E-3</v>
      </c>
      <c r="D42">
        <v>1.1000000000000001E-3</v>
      </c>
      <c r="E42">
        <v>-7.2900000000000006E-2</v>
      </c>
      <c r="F42">
        <v>0.05</v>
      </c>
      <c r="G42">
        <v>1.04E-2</v>
      </c>
      <c r="H42">
        <v>-0.78549999999999998</v>
      </c>
      <c r="I42">
        <v>0</v>
      </c>
      <c r="J42">
        <v>0</v>
      </c>
      <c r="K42">
        <v>0</v>
      </c>
      <c r="L42">
        <v>0.59489999999999998</v>
      </c>
    </row>
    <row r="43" spans="1:12" x14ac:dyDescent="0.35">
      <c r="A43">
        <v>-0.4</v>
      </c>
      <c r="B43">
        <v>0.22259999999999999</v>
      </c>
      <c r="C43">
        <v>5.9800000000000001E-3</v>
      </c>
      <c r="D43">
        <v>1.1000000000000001E-3</v>
      </c>
      <c r="E43">
        <v>-7.2900000000000006E-2</v>
      </c>
      <c r="F43">
        <v>0.05</v>
      </c>
      <c r="G43">
        <v>1.0999999999999999E-2</v>
      </c>
      <c r="H43">
        <v>-0.71819999999999995</v>
      </c>
      <c r="I43">
        <v>0</v>
      </c>
      <c r="J43">
        <v>0</v>
      </c>
      <c r="K43">
        <v>0</v>
      </c>
      <c r="L43">
        <v>0.57779999999999998</v>
      </c>
    </row>
    <row r="44" spans="1:12" x14ac:dyDescent="0.35">
      <c r="A44">
        <v>-0.35</v>
      </c>
      <c r="B44">
        <v>0.2336</v>
      </c>
      <c r="C44">
        <v>5.9899999999999997E-3</v>
      </c>
      <c r="D44">
        <v>1.1000000000000001E-3</v>
      </c>
      <c r="E44">
        <v>-7.2900000000000006E-2</v>
      </c>
      <c r="F44">
        <v>0.05</v>
      </c>
      <c r="G44">
        <v>1.1900000000000001E-2</v>
      </c>
      <c r="H44">
        <v>-0.6532</v>
      </c>
      <c r="I44">
        <v>0</v>
      </c>
      <c r="J44">
        <v>0</v>
      </c>
      <c r="K44">
        <v>0</v>
      </c>
      <c r="L44">
        <v>0.56220000000000003</v>
      </c>
    </row>
    <row r="45" spans="1:12" x14ac:dyDescent="0.35">
      <c r="A45">
        <v>-0.3</v>
      </c>
      <c r="B45">
        <v>0.24460000000000001</v>
      </c>
      <c r="C45">
        <v>5.9899999999999997E-3</v>
      </c>
      <c r="D45">
        <v>1.1100000000000001E-3</v>
      </c>
      <c r="E45">
        <v>-7.2900000000000006E-2</v>
      </c>
      <c r="F45">
        <v>0.05</v>
      </c>
      <c r="G45">
        <v>1.2800000000000001E-2</v>
      </c>
      <c r="H45">
        <v>-0.59019999999999995</v>
      </c>
      <c r="I45">
        <v>0</v>
      </c>
      <c r="J45">
        <v>0</v>
      </c>
      <c r="K45">
        <v>0</v>
      </c>
      <c r="L45">
        <v>0.54810000000000003</v>
      </c>
    </row>
    <row r="46" spans="1:12" x14ac:dyDescent="0.35">
      <c r="A46">
        <v>-0.25</v>
      </c>
      <c r="B46">
        <v>0.2555</v>
      </c>
      <c r="C46">
        <v>5.9899999999999997E-3</v>
      </c>
      <c r="D46">
        <v>1.1100000000000001E-3</v>
      </c>
      <c r="E46">
        <v>-7.2900000000000006E-2</v>
      </c>
      <c r="F46">
        <v>0.05</v>
      </c>
      <c r="G46">
        <v>1.37E-2</v>
      </c>
      <c r="H46">
        <v>-0.52939999999999998</v>
      </c>
      <c r="I46">
        <v>0</v>
      </c>
      <c r="J46">
        <v>0</v>
      </c>
      <c r="K46">
        <v>0</v>
      </c>
      <c r="L46">
        <v>0.5353</v>
      </c>
    </row>
    <row r="47" spans="1:12" x14ac:dyDescent="0.35">
      <c r="A47">
        <v>-0.2</v>
      </c>
      <c r="B47">
        <v>0.26650000000000001</v>
      </c>
      <c r="C47">
        <v>5.9899999999999997E-3</v>
      </c>
      <c r="D47">
        <v>1.1100000000000001E-3</v>
      </c>
      <c r="E47">
        <v>-7.2900000000000006E-2</v>
      </c>
      <c r="F47">
        <v>0.05</v>
      </c>
      <c r="G47">
        <v>1.46E-2</v>
      </c>
      <c r="H47">
        <v>-0.51329999999999998</v>
      </c>
      <c r="I47">
        <v>0</v>
      </c>
      <c r="J47">
        <v>0</v>
      </c>
      <c r="K47">
        <v>0</v>
      </c>
      <c r="L47">
        <v>0.52349999999999997</v>
      </c>
    </row>
    <row r="48" spans="1:12" x14ac:dyDescent="0.35">
      <c r="A48">
        <v>-0.15</v>
      </c>
      <c r="B48">
        <v>0.27739999999999998</v>
      </c>
      <c r="C48">
        <v>5.9899999999999997E-3</v>
      </c>
      <c r="D48">
        <v>1.1199999999999999E-3</v>
      </c>
      <c r="E48">
        <v>-7.2900000000000006E-2</v>
      </c>
      <c r="F48">
        <v>0.05</v>
      </c>
      <c r="G48">
        <v>1.5699999999999999E-2</v>
      </c>
      <c r="H48">
        <v>-0.51819999999999999</v>
      </c>
      <c r="I48">
        <v>0</v>
      </c>
      <c r="J48">
        <v>0</v>
      </c>
      <c r="K48">
        <v>0</v>
      </c>
      <c r="L48">
        <v>0.51270000000000004</v>
      </c>
    </row>
    <row r="49" spans="1:12" x14ac:dyDescent="0.35">
      <c r="A49">
        <v>-0.1</v>
      </c>
      <c r="B49">
        <v>0.28839999999999999</v>
      </c>
      <c r="C49">
        <v>5.9899999999999997E-3</v>
      </c>
      <c r="D49">
        <v>1.1199999999999999E-3</v>
      </c>
      <c r="E49">
        <v>-7.2900000000000006E-2</v>
      </c>
      <c r="F49">
        <v>0.05</v>
      </c>
      <c r="G49">
        <v>1.6799999999999999E-2</v>
      </c>
      <c r="H49">
        <v>-0.5232</v>
      </c>
      <c r="I49">
        <v>0</v>
      </c>
      <c r="J49">
        <v>0</v>
      </c>
      <c r="K49">
        <v>0</v>
      </c>
      <c r="L49">
        <v>0.50270000000000004</v>
      </c>
    </row>
    <row r="50" spans="1:12" x14ac:dyDescent="0.35">
      <c r="A50">
        <v>-0.05</v>
      </c>
      <c r="B50">
        <v>0.29930000000000001</v>
      </c>
      <c r="C50">
        <v>5.9899999999999997E-3</v>
      </c>
      <c r="D50">
        <v>1.1199999999999999E-3</v>
      </c>
      <c r="E50">
        <v>-7.2900000000000006E-2</v>
      </c>
      <c r="F50">
        <v>0.05</v>
      </c>
      <c r="G50">
        <v>1.7899999999999999E-2</v>
      </c>
      <c r="H50">
        <v>-0.5282</v>
      </c>
      <c r="I50">
        <v>0</v>
      </c>
      <c r="J50">
        <v>0</v>
      </c>
      <c r="K50">
        <v>0</v>
      </c>
      <c r="L50">
        <v>0.49340000000000001</v>
      </c>
    </row>
    <row r="51" spans="1:12" x14ac:dyDescent="0.35">
      <c r="A51">
        <v>0</v>
      </c>
      <c r="B51">
        <v>0.31030000000000002</v>
      </c>
      <c r="C51">
        <v>5.9899999999999997E-3</v>
      </c>
      <c r="D51">
        <v>1.1299999999999999E-3</v>
      </c>
      <c r="E51">
        <v>-7.2900000000000006E-2</v>
      </c>
      <c r="F51">
        <v>0.05</v>
      </c>
      <c r="G51">
        <v>1.8700000000000001E-2</v>
      </c>
      <c r="H51">
        <v>-0.5333</v>
      </c>
      <c r="I51">
        <v>0</v>
      </c>
      <c r="J51">
        <v>0</v>
      </c>
      <c r="K51">
        <v>0</v>
      </c>
      <c r="L51">
        <v>0.48480000000000001</v>
      </c>
    </row>
    <row r="52" spans="1:12" x14ac:dyDescent="0.35">
      <c r="A52">
        <v>0.05</v>
      </c>
      <c r="B52">
        <v>0.32119999999999999</v>
      </c>
      <c r="C52">
        <v>5.9899999999999997E-3</v>
      </c>
      <c r="D52">
        <v>1.14E-3</v>
      </c>
      <c r="E52">
        <v>-7.2900000000000006E-2</v>
      </c>
      <c r="F52">
        <v>0.05</v>
      </c>
      <c r="G52">
        <v>2.1899999999999999E-2</v>
      </c>
      <c r="H52">
        <v>-0.53839999999999999</v>
      </c>
      <c r="I52">
        <v>0</v>
      </c>
      <c r="J52">
        <v>0</v>
      </c>
      <c r="K52">
        <v>0</v>
      </c>
      <c r="L52">
        <v>0.47670000000000001</v>
      </c>
    </row>
    <row r="53" spans="1:12" x14ac:dyDescent="0.35">
      <c r="A53">
        <v>0.1</v>
      </c>
      <c r="B53">
        <v>0.3322</v>
      </c>
      <c r="C53">
        <v>5.9899999999999997E-3</v>
      </c>
      <c r="D53">
        <v>1.14E-3</v>
      </c>
      <c r="E53">
        <v>-7.2900000000000006E-2</v>
      </c>
      <c r="F53">
        <v>0.05</v>
      </c>
      <c r="G53">
        <v>2.5700000000000001E-2</v>
      </c>
      <c r="H53">
        <v>-0.54349999999999998</v>
      </c>
      <c r="I53">
        <v>0</v>
      </c>
      <c r="J53">
        <v>0</v>
      </c>
      <c r="K53">
        <v>0</v>
      </c>
      <c r="L53">
        <v>0.46920000000000001</v>
      </c>
    </row>
    <row r="54" spans="1:12" x14ac:dyDescent="0.35">
      <c r="A54">
        <v>0.15</v>
      </c>
      <c r="B54">
        <v>0.34320000000000001</v>
      </c>
      <c r="C54">
        <v>5.9899999999999997E-3</v>
      </c>
      <c r="D54">
        <v>1.15E-3</v>
      </c>
      <c r="E54">
        <v>-7.2900000000000006E-2</v>
      </c>
      <c r="F54">
        <v>0.05</v>
      </c>
      <c r="G54">
        <v>2.8000000000000001E-2</v>
      </c>
      <c r="H54">
        <v>-0.54879999999999995</v>
      </c>
      <c r="I54">
        <v>0</v>
      </c>
      <c r="J54">
        <v>0</v>
      </c>
      <c r="K54">
        <v>0</v>
      </c>
      <c r="L54">
        <v>0.4622</v>
      </c>
    </row>
    <row r="55" spans="1:12" x14ac:dyDescent="0.35">
      <c r="A55">
        <v>0.2</v>
      </c>
      <c r="B55">
        <v>0.35410000000000003</v>
      </c>
      <c r="C55">
        <v>5.9899999999999997E-3</v>
      </c>
      <c r="D55">
        <v>1.16E-3</v>
      </c>
      <c r="E55">
        <v>-7.2900000000000006E-2</v>
      </c>
      <c r="F55">
        <v>0.05</v>
      </c>
      <c r="G55">
        <v>2.86E-2</v>
      </c>
      <c r="H55">
        <v>-0.55410000000000004</v>
      </c>
      <c r="I55">
        <v>0</v>
      </c>
      <c r="J55">
        <v>0</v>
      </c>
      <c r="K55">
        <v>0</v>
      </c>
      <c r="L55">
        <v>0.4556</v>
      </c>
    </row>
    <row r="56" spans="1:12" x14ac:dyDescent="0.35">
      <c r="A56">
        <v>0.25</v>
      </c>
      <c r="B56">
        <v>0.36459999999999998</v>
      </c>
      <c r="C56">
        <v>6.0299999999999998E-3</v>
      </c>
      <c r="D56">
        <v>1.1800000000000001E-3</v>
      </c>
      <c r="E56">
        <v>-7.2800000000000004E-2</v>
      </c>
      <c r="F56">
        <v>3.8800000000000001E-2</v>
      </c>
      <c r="G56">
        <v>2.9000000000000001E-2</v>
      </c>
      <c r="H56">
        <v>-0.55910000000000004</v>
      </c>
      <c r="I56">
        <v>0</v>
      </c>
      <c r="J56">
        <v>0</v>
      </c>
      <c r="K56">
        <v>0</v>
      </c>
      <c r="L56">
        <v>0.44940000000000002</v>
      </c>
    </row>
    <row r="57" spans="1:12" x14ac:dyDescent="0.35">
      <c r="A57">
        <v>0.3</v>
      </c>
      <c r="B57">
        <v>0.37530000000000002</v>
      </c>
      <c r="C57">
        <v>6.0600000000000003E-3</v>
      </c>
      <c r="D57">
        <v>1.1999999999999999E-3</v>
      </c>
      <c r="E57">
        <v>-7.2800000000000004E-2</v>
      </c>
      <c r="F57">
        <v>3.1699999999999999E-2</v>
      </c>
      <c r="G57">
        <v>2.93E-2</v>
      </c>
      <c r="H57">
        <v>-0.56420000000000003</v>
      </c>
      <c r="I57">
        <v>0</v>
      </c>
      <c r="J57">
        <v>0</v>
      </c>
      <c r="K57">
        <v>0</v>
      </c>
      <c r="L57">
        <v>0.44350000000000001</v>
      </c>
    </row>
    <row r="58" spans="1:12" x14ac:dyDescent="0.35">
      <c r="A58">
        <v>0.35</v>
      </c>
      <c r="B58">
        <v>0.38600000000000001</v>
      </c>
      <c r="C58">
        <v>6.0800000000000003E-3</v>
      </c>
      <c r="D58">
        <v>1.2099999999999999E-3</v>
      </c>
      <c r="E58">
        <v>-7.2700000000000001E-2</v>
      </c>
      <c r="F58">
        <v>2.87E-2</v>
      </c>
      <c r="G58">
        <v>3.0700000000000002E-2</v>
      </c>
      <c r="H58">
        <v>-0.5696</v>
      </c>
      <c r="I58">
        <v>0</v>
      </c>
      <c r="J58">
        <v>0</v>
      </c>
      <c r="K58">
        <v>0</v>
      </c>
      <c r="L58">
        <v>0.43790000000000001</v>
      </c>
    </row>
    <row r="59" spans="1:12" x14ac:dyDescent="0.35">
      <c r="A59">
        <v>0.4</v>
      </c>
      <c r="B59">
        <v>0.39689999999999998</v>
      </c>
      <c r="C59">
        <v>6.0899999999999999E-3</v>
      </c>
      <c r="D59">
        <v>1.23E-3</v>
      </c>
      <c r="E59">
        <v>-7.2700000000000001E-2</v>
      </c>
      <c r="F59">
        <v>2.7099999999999999E-2</v>
      </c>
      <c r="G59">
        <v>3.3300000000000003E-2</v>
      </c>
      <c r="H59">
        <v>-0.57499999999999996</v>
      </c>
      <c r="I59">
        <v>0</v>
      </c>
      <c r="J59">
        <v>0</v>
      </c>
      <c r="K59">
        <v>0</v>
      </c>
      <c r="L59">
        <v>0.43259999999999998</v>
      </c>
    </row>
    <row r="60" spans="1:12" x14ac:dyDescent="0.35">
      <c r="A60">
        <v>0.45</v>
      </c>
      <c r="B60">
        <v>0.40789999999999998</v>
      </c>
      <c r="C60">
        <v>6.0899999999999999E-3</v>
      </c>
      <c r="D60">
        <v>1.24E-3</v>
      </c>
      <c r="E60">
        <v>-7.2599999999999998E-2</v>
      </c>
      <c r="F60">
        <v>2.5399999999999999E-2</v>
      </c>
      <c r="G60">
        <v>3.8100000000000002E-2</v>
      </c>
      <c r="H60">
        <v>-0.58040000000000003</v>
      </c>
      <c r="I60">
        <v>0</v>
      </c>
      <c r="J60">
        <v>0</v>
      </c>
      <c r="K60">
        <v>0</v>
      </c>
      <c r="L60">
        <v>0.42759999999999998</v>
      </c>
    </row>
    <row r="61" spans="1:12" x14ac:dyDescent="0.35">
      <c r="A61">
        <v>0.5</v>
      </c>
      <c r="B61">
        <v>0.41889999999999999</v>
      </c>
      <c r="C61">
        <v>6.0899999999999999E-3</v>
      </c>
      <c r="D61">
        <v>1.2600000000000001E-3</v>
      </c>
      <c r="E61">
        <v>-7.2599999999999998E-2</v>
      </c>
      <c r="F61">
        <v>2.3900000000000001E-2</v>
      </c>
      <c r="G61">
        <v>0.05</v>
      </c>
      <c r="H61">
        <v>-0.62849999999999995</v>
      </c>
      <c r="I61">
        <v>0</v>
      </c>
      <c r="J61">
        <v>0</v>
      </c>
      <c r="K61">
        <v>0</v>
      </c>
      <c r="L61">
        <v>0.4229</v>
      </c>
    </row>
    <row r="62" spans="1:12" x14ac:dyDescent="0.35">
      <c r="A62">
        <v>0.55000000000000004</v>
      </c>
      <c r="B62">
        <v>0.4299</v>
      </c>
      <c r="C62">
        <v>6.1000000000000004E-3</v>
      </c>
      <c r="D62">
        <v>1.2700000000000001E-3</v>
      </c>
      <c r="E62">
        <v>-7.2599999999999998E-2</v>
      </c>
      <c r="F62">
        <v>2.3400000000000001E-2</v>
      </c>
      <c r="G62">
        <v>0.05</v>
      </c>
      <c r="H62">
        <v>-0.68340000000000001</v>
      </c>
      <c r="I62">
        <v>0</v>
      </c>
      <c r="J62">
        <v>0</v>
      </c>
      <c r="K62">
        <v>0</v>
      </c>
      <c r="L62">
        <v>0.41830000000000001</v>
      </c>
    </row>
    <row r="63" spans="1:12" x14ac:dyDescent="0.35">
      <c r="A63">
        <v>0.6</v>
      </c>
      <c r="B63">
        <v>0.441</v>
      </c>
      <c r="C63">
        <v>6.11E-3</v>
      </c>
      <c r="D63">
        <v>1.2899999999999999E-3</v>
      </c>
      <c r="E63">
        <v>-7.2499999999999995E-2</v>
      </c>
      <c r="F63">
        <v>2.3199999999999998E-2</v>
      </c>
      <c r="G63">
        <v>0.05</v>
      </c>
      <c r="H63">
        <v>-0.74</v>
      </c>
      <c r="I63">
        <v>0</v>
      </c>
      <c r="J63">
        <v>0</v>
      </c>
      <c r="K63">
        <v>0</v>
      </c>
      <c r="L63">
        <v>0.41399999999999998</v>
      </c>
    </row>
    <row r="64" spans="1:12" x14ac:dyDescent="0.35">
      <c r="A64">
        <v>0.65</v>
      </c>
      <c r="B64">
        <v>0.45200000000000001</v>
      </c>
      <c r="C64">
        <v>6.13E-3</v>
      </c>
      <c r="D64">
        <v>1.31E-3</v>
      </c>
      <c r="E64">
        <v>-7.2499999999999995E-2</v>
      </c>
      <c r="F64">
        <v>2.3E-2</v>
      </c>
      <c r="G64">
        <v>0.05</v>
      </c>
      <c r="H64">
        <v>-0.7984</v>
      </c>
      <c r="I64">
        <v>0</v>
      </c>
      <c r="J64">
        <v>0</v>
      </c>
      <c r="K64">
        <v>0</v>
      </c>
      <c r="L64">
        <v>0.4098</v>
      </c>
    </row>
    <row r="65" spans="1:12" x14ac:dyDescent="0.35">
      <c r="A65">
        <v>0.7</v>
      </c>
      <c r="B65">
        <v>0.46310000000000001</v>
      </c>
      <c r="C65">
        <v>6.1399999999999996E-3</v>
      </c>
      <c r="D65">
        <v>1.32E-3</v>
      </c>
      <c r="E65">
        <v>-7.2400000000000006E-2</v>
      </c>
      <c r="F65">
        <v>2.2700000000000001E-2</v>
      </c>
      <c r="G65">
        <v>0.05</v>
      </c>
      <c r="H65">
        <v>-0.85870000000000002</v>
      </c>
      <c r="I65">
        <v>0</v>
      </c>
      <c r="J65">
        <v>0</v>
      </c>
      <c r="K65">
        <v>0</v>
      </c>
      <c r="L65">
        <v>0.40579999999999999</v>
      </c>
    </row>
    <row r="66" spans="1:12" x14ac:dyDescent="0.35">
      <c r="A66">
        <v>0.75</v>
      </c>
      <c r="B66">
        <v>0.47420000000000001</v>
      </c>
      <c r="C66">
        <v>6.1599999999999997E-3</v>
      </c>
      <c r="D66">
        <v>1.3500000000000001E-3</v>
      </c>
      <c r="E66">
        <v>-7.2300000000000003E-2</v>
      </c>
      <c r="F66">
        <v>2.1999999999999999E-2</v>
      </c>
      <c r="G66">
        <v>0.05</v>
      </c>
      <c r="H66">
        <v>-0.92110000000000003</v>
      </c>
      <c r="I66">
        <v>0</v>
      </c>
      <c r="J66">
        <v>0</v>
      </c>
      <c r="K66">
        <v>0</v>
      </c>
      <c r="L66">
        <v>0.40200000000000002</v>
      </c>
    </row>
    <row r="67" spans="1:12" x14ac:dyDescent="0.35">
      <c r="A67">
        <v>0.8</v>
      </c>
      <c r="B67">
        <v>0.48509999999999998</v>
      </c>
      <c r="C67">
        <v>6.1799999999999997E-3</v>
      </c>
      <c r="D67">
        <v>1.3699999999999999E-3</v>
      </c>
      <c r="E67">
        <v>-7.22E-2</v>
      </c>
      <c r="F67">
        <v>1.95E-2</v>
      </c>
      <c r="G67">
        <v>0.05</v>
      </c>
      <c r="H67">
        <v>-0.98509999999999998</v>
      </c>
      <c r="I67">
        <v>0</v>
      </c>
      <c r="J67">
        <v>0</v>
      </c>
      <c r="K67">
        <v>0</v>
      </c>
      <c r="L67">
        <v>0.39829999999999999</v>
      </c>
    </row>
    <row r="68" spans="1:12" x14ac:dyDescent="0.35">
      <c r="A68">
        <v>0.85</v>
      </c>
      <c r="B68">
        <v>0.49609999999999999</v>
      </c>
      <c r="C68">
        <v>6.2100000000000002E-3</v>
      </c>
      <c r="D68">
        <v>1.4E-3</v>
      </c>
      <c r="E68">
        <v>-7.2099999999999997E-2</v>
      </c>
      <c r="F68">
        <v>1.7500000000000002E-2</v>
      </c>
      <c r="G68">
        <v>0.05</v>
      </c>
      <c r="H68">
        <v>-1.0508999999999999</v>
      </c>
      <c r="I68">
        <v>0</v>
      </c>
      <c r="J68">
        <v>0</v>
      </c>
      <c r="K68">
        <v>0</v>
      </c>
      <c r="L68">
        <v>0.3947</v>
      </c>
    </row>
    <row r="69" spans="1:12" x14ac:dyDescent="0.35">
      <c r="A69">
        <v>0.9</v>
      </c>
      <c r="B69">
        <v>0.50719999999999998</v>
      </c>
      <c r="C69">
        <v>6.2300000000000003E-3</v>
      </c>
      <c r="D69">
        <v>1.42E-3</v>
      </c>
      <c r="E69">
        <v>-7.1999999999999995E-2</v>
      </c>
      <c r="F69">
        <v>1.5599999999999999E-2</v>
      </c>
      <c r="G69">
        <v>0.05</v>
      </c>
      <c r="H69">
        <v>-1.1192</v>
      </c>
      <c r="I69">
        <v>0</v>
      </c>
      <c r="J69">
        <v>0</v>
      </c>
      <c r="K69">
        <v>0</v>
      </c>
      <c r="L69">
        <v>0.39129999999999998</v>
      </c>
    </row>
    <row r="70" spans="1:12" x14ac:dyDescent="0.35">
      <c r="A70">
        <v>0.95</v>
      </c>
      <c r="B70">
        <v>0.51839999999999997</v>
      </c>
      <c r="C70">
        <v>6.2500000000000003E-3</v>
      </c>
      <c r="D70">
        <v>1.4400000000000001E-3</v>
      </c>
      <c r="E70">
        <v>-7.1900000000000006E-2</v>
      </c>
      <c r="F70">
        <v>1.4E-2</v>
      </c>
      <c r="G70">
        <v>0.05</v>
      </c>
      <c r="H70">
        <v>-1.19</v>
      </c>
      <c r="I70">
        <v>0</v>
      </c>
      <c r="J70">
        <v>0</v>
      </c>
      <c r="K70">
        <v>0</v>
      </c>
      <c r="L70">
        <v>0.38790000000000002</v>
      </c>
    </row>
    <row r="71" spans="1:12" x14ac:dyDescent="0.35">
      <c r="A71">
        <v>1</v>
      </c>
      <c r="B71">
        <v>0.52969999999999995</v>
      </c>
      <c r="C71">
        <v>6.2700000000000004E-3</v>
      </c>
      <c r="D71">
        <v>1.47E-3</v>
      </c>
      <c r="E71">
        <v>-7.1800000000000003E-2</v>
      </c>
      <c r="F71">
        <v>1.3599999999999999E-2</v>
      </c>
      <c r="G71">
        <v>0.05</v>
      </c>
      <c r="H71">
        <v>-1.2638</v>
      </c>
      <c r="I71">
        <v>0</v>
      </c>
      <c r="J71">
        <v>0</v>
      </c>
      <c r="K71">
        <v>0</v>
      </c>
      <c r="L71">
        <v>0.38469999999999999</v>
      </c>
    </row>
    <row r="72" spans="1:12" x14ac:dyDescent="0.35">
      <c r="A72">
        <v>1.05</v>
      </c>
      <c r="B72">
        <v>0.54100000000000004</v>
      </c>
      <c r="C72">
        <v>6.2899999999999996E-3</v>
      </c>
      <c r="D72">
        <v>1.49E-3</v>
      </c>
      <c r="E72">
        <v>-7.1599999999999997E-2</v>
      </c>
      <c r="F72">
        <v>1.34E-2</v>
      </c>
      <c r="G72">
        <v>0.05</v>
      </c>
      <c r="H72">
        <v>-1.3406</v>
      </c>
      <c r="I72">
        <v>0</v>
      </c>
      <c r="J72">
        <v>0</v>
      </c>
      <c r="K72">
        <v>0</v>
      </c>
      <c r="L72">
        <v>0.38159999999999999</v>
      </c>
    </row>
    <row r="73" spans="1:12" x14ac:dyDescent="0.35">
      <c r="A73">
        <v>1.1000000000000001</v>
      </c>
      <c r="B73">
        <v>0.55230000000000001</v>
      </c>
      <c r="C73">
        <v>6.3E-3</v>
      </c>
      <c r="D73">
        <v>1.5200000000000001E-3</v>
      </c>
      <c r="E73">
        <v>-7.1499999999999994E-2</v>
      </c>
      <c r="F73">
        <v>1.32E-2</v>
      </c>
      <c r="G73">
        <v>0.05</v>
      </c>
      <c r="H73">
        <v>-1.4205000000000001</v>
      </c>
      <c r="I73">
        <v>0</v>
      </c>
      <c r="J73">
        <v>0</v>
      </c>
      <c r="K73">
        <v>0</v>
      </c>
      <c r="L73">
        <v>0.37859999999999999</v>
      </c>
    </row>
    <row r="74" spans="1:12" x14ac:dyDescent="0.35">
      <c r="A74">
        <v>1.1499999999999999</v>
      </c>
      <c r="B74">
        <v>0.56369999999999998</v>
      </c>
      <c r="C74">
        <v>6.3200000000000001E-3</v>
      </c>
      <c r="D74">
        <v>1.5499999999999999E-3</v>
      </c>
      <c r="E74">
        <v>-7.1300000000000002E-2</v>
      </c>
      <c r="F74">
        <v>1.29E-2</v>
      </c>
      <c r="G74">
        <v>0.05</v>
      </c>
      <c r="H74">
        <v>-1.5039</v>
      </c>
      <c r="I74">
        <v>0</v>
      </c>
      <c r="J74">
        <v>0</v>
      </c>
      <c r="K74">
        <v>0</v>
      </c>
      <c r="L74">
        <v>0.37569999999999998</v>
      </c>
    </row>
    <row r="75" spans="1:12" x14ac:dyDescent="0.35">
      <c r="A75">
        <v>1.2</v>
      </c>
      <c r="B75">
        <v>0.57509999999999994</v>
      </c>
      <c r="C75">
        <v>6.3499999999999997E-3</v>
      </c>
      <c r="D75">
        <v>1.58E-3</v>
      </c>
      <c r="E75">
        <v>-7.1099999999999997E-2</v>
      </c>
      <c r="F75">
        <v>1.26E-2</v>
      </c>
      <c r="G75">
        <v>0.05</v>
      </c>
      <c r="H75">
        <v>-1.5911999999999999</v>
      </c>
      <c r="I75">
        <v>0</v>
      </c>
      <c r="J75">
        <v>0</v>
      </c>
      <c r="K75">
        <v>0</v>
      </c>
      <c r="L75">
        <v>0.37280000000000002</v>
      </c>
    </row>
    <row r="76" spans="1:12" x14ac:dyDescent="0.35">
      <c r="A76">
        <v>1.25</v>
      </c>
      <c r="B76">
        <v>0.58660000000000001</v>
      </c>
      <c r="C76">
        <v>6.3699999999999998E-3</v>
      </c>
      <c r="D76">
        <v>1.6100000000000001E-3</v>
      </c>
      <c r="E76">
        <v>-7.0900000000000005E-2</v>
      </c>
      <c r="F76">
        <v>1.23E-2</v>
      </c>
      <c r="G76">
        <v>0.05</v>
      </c>
      <c r="H76">
        <v>-1.6829000000000001</v>
      </c>
      <c r="I76">
        <v>0</v>
      </c>
      <c r="J76">
        <v>0</v>
      </c>
      <c r="K76">
        <v>0</v>
      </c>
      <c r="L76">
        <v>0.37</v>
      </c>
    </row>
    <row r="77" spans="1:12" x14ac:dyDescent="0.35">
      <c r="A77">
        <v>1.3</v>
      </c>
      <c r="B77">
        <v>0.59809999999999997</v>
      </c>
      <c r="C77">
        <v>6.3899999999999998E-3</v>
      </c>
      <c r="D77">
        <v>1.64E-3</v>
      </c>
      <c r="E77">
        <v>-7.0699999999999999E-2</v>
      </c>
      <c r="F77">
        <v>1.1900000000000001E-2</v>
      </c>
      <c r="G77">
        <v>0.05</v>
      </c>
      <c r="H77">
        <v>-1.7796000000000001</v>
      </c>
      <c r="I77">
        <v>0</v>
      </c>
      <c r="J77">
        <v>0</v>
      </c>
      <c r="K77">
        <v>0</v>
      </c>
      <c r="L77">
        <v>0.36730000000000002</v>
      </c>
    </row>
    <row r="78" spans="1:12" x14ac:dyDescent="0.35">
      <c r="A78">
        <v>1.35</v>
      </c>
      <c r="B78">
        <v>0.60970000000000002</v>
      </c>
      <c r="C78">
        <v>6.4200000000000004E-3</v>
      </c>
      <c r="D78">
        <v>1.6800000000000001E-3</v>
      </c>
      <c r="E78">
        <v>-7.0400000000000004E-2</v>
      </c>
      <c r="F78">
        <v>1.15E-2</v>
      </c>
      <c r="G78">
        <v>0.05</v>
      </c>
      <c r="H78">
        <v>-1.8912</v>
      </c>
      <c r="I78">
        <v>0</v>
      </c>
      <c r="J78">
        <v>0</v>
      </c>
      <c r="K78">
        <v>0</v>
      </c>
      <c r="L78">
        <v>0.36459999999999998</v>
      </c>
    </row>
    <row r="79" spans="1:12" x14ac:dyDescent="0.35">
      <c r="A79">
        <v>1.4</v>
      </c>
      <c r="B79">
        <v>0.62129999999999996</v>
      </c>
      <c r="C79">
        <v>6.45E-3</v>
      </c>
      <c r="D79">
        <v>1.72E-3</v>
      </c>
      <c r="E79">
        <v>-7.0099999999999996E-2</v>
      </c>
      <c r="F79">
        <v>1.11E-2</v>
      </c>
      <c r="G79">
        <v>0.05</v>
      </c>
      <c r="H79">
        <v>-2.0198999999999998</v>
      </c>
      <c r="I79">
        <v>0</v>
      </c>
      <c r="J79">
        <v>0</v>
      </c>
      <c r="K79">
        <v>0</v>
      </c>
      <c r="L79">
        <v>0.36199999999999999</v>
      </c>
    </row>
    <row r="80" spans="1:12" x14ac:dyDescent="0.35">
      <c r="A80">
        <v>1.45</v>
      </c>
      <c r="B80">
        <v>0.63300000000000001</v>
      </c>
      <c r="C80">
        <v>6.4799999999999996E-3</v>
      </c>
      <c r="D80">
        <v>1.7700000000000001E-3</v>
      </c>
      <c r="E80">
        <v>-6.9800000000000001E-2</v>
      </c>
      <c r="F80">
        <v>1.0699999999999999E-2</v>
      </c>
      <c r="G80">
        <v>0.05</v>
      </c>
      <c r="H80">
        <v>-2.1554000000000002</v>
      </c>
      <c r="I80">
        <v>0</v>
      </c>
      <c r="J80">
        <v>0</v>
      </c>
      <c r="K80">
        <v>0</v>
      </c>
      <c r="L80">
        <v>0.3594</v>
      </c>
    </row>
    <row r="81" spans="1:12" x14ac:dyDescent="0.35">
      <c r="A81">
        <v>1.5</v>
      </c>
      <c r="B81">
        <v>0.64470000000000005</v>
      </c>
      <c r="C81">
        <v>6.5100000000000002E-3</v>
      </c>
      <c r="D81">
        <v>1.82E-3</v>
      </c>
      <c r="E81">
        <v>-6.9500000000000006E-2</v>
      </c>
      <c r="F81">
        <v>1.03E-2</v>
      </c>
      <c r="G81">
        <v>0.05</v>
      </c>
      <c r="H81">
        <v>-2.2970999999999999</v>
      </c>
      <c r="I81">
        <v>0</v>
      </c>
      <c r="J81">
        <v>0</v>
      </c>
      <c r="K81">
        <v>0</v>
      </c>
      <c r="L81">
        <v>0.35680000000000001</v>
      </c>
    </row>
    <row r="82" spans="1:12" x14ac:dyDescent="0.35">
      <c r="A82">
        <v>1.55</v>
      </c>
      <c r="B82">
        <v>0.65649999999999997</v>
      </c>
      <c r="C82">
        <v>6.5500000000000003E-3</v>
      </c>
      <c r="D82">
        <v>1.8799999999999999E-3</v>
      </c>
      <c r="E82">
        <v>-6.9099999999999995E-2</v>
      </c>
      <c r="F82">
        <v>0.01</v>
      </c>
      <c r="G82">
        <v>0.05</v>
      </c>
      <c r="H82">
        <v>-2.4432</v>
      </c>
      <c r="I82">
        <v>0</v>
      </c>
      <c r="J82">
        <v>0</v>
      </c>
      <c r="K82">
        <v>0</v>
      </c>
      <c r="L82">
        <v>0.35420000000000001</v>
      </c>
    </row>
    <row r="83" spans="1:12" x14ac:dyDescent="0.35">
      <c r="A83">
        <v>1.6</v>
      </c>
      <c r="B83">
        <v>0.66820000000000002</v>
      </c>
      <c r="C83">
        <v>6.6E-3</v>
      </c>
      <c r="D83">
        <v>1.9599999999999999E-3</v>
      </c>
      <c r="E83">
        <v>-6.8599999999999994E-2</v>
      </c>
      <c r="F83">
        <v>9.7000000000000003E-3</v>
      </c>
      <c r="G83">
        <v>0.05</v>
      </c>
      <c r="H83">
        <v>-2.59</v>
      </c>
      <c r="I83">
        <v>0</v>
      </c>
      <c r="J83">
        <v>0</v>
      </c>
      <c r="K83">
        <v>0</v>
      </c>
      <c r="L83">
        <v>0.35160000000000002</v>
      </c>
    </row>
    <row r="84" spans="1:12" x14ac:dyDescent="0.35">
      <c r="A84">
        <v>1.65</v>
      </c>
      <c r="B84">
        <v>0.67949999999999999</v>
      </c>
      <c r="C84">
        <v>6.6800000000000002E-3</v>
      </c>
      <c r="D84">
        <v>2.0699999999999998E-3</v>
      </c>
      <c r="E84">
        <v>-6.8099999999999994E-2</v>
      </c>
      <c r="F84">
        <v>9.2999999999999992E-3</v>
      </c>
      <c r="G84">
        <v>0.05</v>
      </c>
      <c r="H84">
        <v>-2.7317</v>
      </c>
      <c r="I84">
        <v>0</v>
      </c>
      <c r="J84">
        <v>0</v>
      </c>
      <c r="K84">
        <v>0</v>
      </c>
      <c r="L84">
        <v>0.34899999999999998</v>
      </c>
    </row>
    <row r="85" spans="1:12" x14ac:dyDescent="0.35">
      <c r="A85">
        <v>1.7</v>
      </c>
      <c r="B85">
        <v>0.69040000000000001</v>
      </c>
      <c r="C85">
        <v>6.79E-3</v>
      </c>
      <c r="D85">
        <v>2.2300000000000002E-3</v>
      </c>
      <c r="E85">
        <v>-6.7299999999999999E-2</v>
      </c>
      <c r="F85">
        <v>8.8000000000000005E-3</v>
      </c>
      <c r="G85">
        <v>0.05</v>
      </c>
      <c r="H85">
        <v>-2.8624000000000001</v>
      </c>
      <c r="I85">
        <v>0</v>
      </c>
      <c r="J85">
        <v>0</v>
      </c>
      <c r="K85">
        <v>0</v>
      </c>
      <c r="L85">
        <v>0.34639999999999999</v>
      </c>
    </row>
    <row r="86" spans="1:12" x14ac:dyDescent="0.35">
      <c r="A86">
        <v>1.75</v>
      </c>
      <c r="B86">
        <v>0.7006</v>
      </c>
      <c r="C86">
        <v>6.94E-3</v>
      </c>
      <c r="D86">
        <v>2.4299999999999999E-3</v>
      </c>
      <c r="E86">
        <v>-6.6500000000000004E-2</v>
      </c>
      <c r="F86">
        <v>8.3999999999999995E-3</v>
      </c>
      <c r="G86">
        <v>0.05</v>
      </c>
      <c r="H86">
        <v>-2.9742999999999999</v>
      </c>
      <c r="I86">
        <v>0</v>
      </c>
      <c r="J86">
        <v>0</v>
      </c>
      <c r="K86">
        <v>0</v>
      </c>
      <c r="L86">
        <v>0.34370000000000001</v>
      </c>
    </row>
    <row r="87" spans="1:12" x14ac:dyDescent="0.35">
      <c r="A87">
        <v>1.8</v>
      </c>
      <c r="B87">
        <v>0.71009999999999995</v>
      </c>
      <c r="C87">
        <v>7.1300000000000001E-3</v>
      </c>
      <c r="D87">
        <v>2.6700000000000001E-3</v>
      </c>
      <c r="E87">
        <v>-6.5500000000000003E-2</v>
      </c>
      <c r="F87">
        <v>8.0999999999999996E-3</v>
      </c>
      <c r="G87">
        <v>0.05</v>
      </c>
      <c r="H87">
        <v>-3.0529000000000002</v>
      </c>
      <c r="I87">
        <v>0</v>
      </c>
      <c r="J87">
        <v>0</v>
      </c>
      <c r="K87">
        <v>0</v>
      </c>
      <c r="L87">
        <v>0.34110000000000001</v>
      </c>
    </row>
    <row r="88" spans="1:12" x14ac:dyDescent="0.35">
      <c r="A88">
        <v>1.85</v>
      </c>
      <c r="B88">
        <v>0.71909999999999996</v>
      </c>
      <c r="C88">
        <v>7.3400000000000002E-3</v>
      </c>
      <c r="D88">
        <v>2.9299999999999999E-3</v>
      </c>
      <c r="E88">
        <v>-6.4500000000000002E-2</v>
      </c>
      <c r="F88">
        <v>7.7999999999999996E-3</v>
      </c>
      <c r="G88">
        <v>0.05</v>
      </c>
      <c r="H88">
        <v>-3.101</v>
      </c>
      <c r="I88">
        <v>0</v>
      </c>
      <c r="J88">
        <v>0</v>
      </c>
      <c r="K88">
        <v>0</v>
      </c>
      <c r="L88">
        <v>0.33839999999999998</v>
      </c>
    </row>
    <row r="89" spans="1:12" x14ac:dyDescent="0.35">
      <c r="A89">
        <v>1.9</v>
      </c>
      <c r="B89">
        <v>0.7278</v>
      </c>
      <c r="C89">
        <v>7.5700000000000003E-3</v>
      </c>
      <c r="D89">
        <v>3.2100000000000002E-3</v>
      </c>
      <c r="E89">
        <v>-6.3399999999999998E-2</v>
      </c>
      <c r="F89">
        <v>7.7000000000000002E-3</v>
      </c>
      <c r="G89">
        <v>0.05</v>
      </c>
      <c r="H89">
        <v>-3.1315</v>
      </c>
      <c r="I89">
        <v>0</v>
      </c>
      <c r="J89">
        <v>0</v>
      </c>
      <c r="K89">
        <v>0</v>
      </c>
      <c r="L89">
        <v>0.33579999999999999</v>
      </c>
    </row>
    <row r="90" spans="1:12" x14ac:dyDescent="0.35">
      <c r="A90">
        <v>1.95</v>
      </c>
      <c r="B90">
        <v>0.73629999999999995</v>
      </c>
      <c r="C90">
        <v>7.8100000000000001E-3</v>
      </c>
      <c r="D90">
        <v>3.5000000000000001E-3</v>
      </c>
      <c r="E90">
        <v>-6.2300000000000001E-2</v>
      </c>
      <c r="F90">
        <v>7.4999999999999997E-3</v>
      </c>
      <c r="G90">
        <v>0.05</v>
      </c>
      <c r="H90">
        <v>-3.1526999999999998</v>
      </c>
      <c r="I90">
        <v>0</v>
      </c>
      <c r="J90">
        <v>0</v>
      </c>
      <c r="K90">
        <v>0</v>
      </c>
      <c r="L90">
        <v>0.33329999999999999</v>
      </c>
    </row>
    <row r="91" spans="1:12" x14ac:dyDescent="0.35">
      <c r="A91">
        <v>2</v>
      </c>
      <c r="B91">
        <v>0.74460000000000004</v>
      </c>
      <c r="C91">
        <v>8.0599999999999995E-3</v>
      </c>
      <c r="D91">
        <v>3.79E-3</v>
      </c>
      <c r="E91">
        <v>-6.1100000000000002E-2</v>
      </c>
      <c r="F91">
        <v>7.4000000000000003E-3</v>
      </c>
      <c r="G91">
        <v>0.05</v>
      </c>
      <c r="H91">
        <v>-3.1684999999999999</v>
      </c>
      <c r="I91">
        <v>0</v>
      </c>
      <c r="J91">
        <v>0</v>
      </c>
      <c r="K91">
        <v>0</v>
      </c>
      <c r="L91">
        <v>0.33079999999999998</v>
      </c>
    </row>
    <row r="92" spans="1:12" x14ac:dyDescent="0.35">
      <c r="A92">
        <v>2.0499999999999998</v>
      </c>
      <c r="B92">
        <v>0.753</v>
      </c>
      <c r="C92">
        <v>8.3199999999999993E-3</v>
      </c>
      <c r="D92">
        <v>4.1000000000000003E-3</v>
      </c>
      <c r="E92">
        <v>-0.06</v>
      </c>
      <c r="F92">
        <v>7.4000000000000003E-3</v>
      </c>
      <c r="G92">
        <v>0.05</v>
      </c>
      <c r="H92">
        <v>-3.1808999999999998</v>
      </c>
      <c r="I92">
        <v>0</v>
      </c>
      <c r="J92">
        <v>0</v>
      </c>
      <c r="K92">
        <v>0</v>
      </c>
      <c r="L92">
        <v>0.32829999999999998</v>
      </c>
    </row>
    <row r="93" spans="1:12" x14ac:dyDescent="0.35">
      <c r="A93">
        <v>2.1</v>
      </c>
      <c r="B93">
        <v>0.76149999999999995</v>
      </c>
      <c r="C93">
        <v>8.5900000000000004E-3</v>
      </c>
      <c r="D93">
        <v>4.4099999999999999E-3</v>
      </c>
      <c r="E93">
        <v>-5.8799999999999998E-2</v>
      </c>
      <c r="F93">
        <v>7.3000000000000001E-3</v>
      </c>
      <c r="G93">
        <v>0.05</v>
      </c>
      <c r="H93">
        <v>-3.1918000000000002</v>
      </c>
      <c r="I93">
        <v>0</v>
      </c>
      <c r="J93">
        <v>0</v>
      </c>
      <c r="K93">
        <v>0</v>
      </c>
      <c r="L93">
        <v>0.32579999999999998</v>
      </c>
    </row>
    <row r="94" spans="1:12" x14ac:dyDescent="0.35">
      <c r="A94">
        <v>2.15</v>
      </c>
      <c r="B94">
        <v>0.77039999999999997</v>
      </c>
      <c r="C94">
        <v>8.8800000000000007E-3</v>
      </c>
      <c r="D94">
        <v>4.7400000000000003E-3</v>
      </c>
      <c r="E94">
        <v>-5.7599999999999998E-2</v>
      </c>
      <c r="F94">
        <v>7.1999999999999998E-3</v>
      </c>
      <c r="G94">
        <v>0.05</v>
      </c>
      <c r="H94">
        <v>-3.2014999999999998</v>
      </c>
      <c r="I94">
        <v>0</v>
      </c>
      <c r="J94">
        <v>0</v>
      </c>
      <c r="K94">
        <v>0</v>
      </c>
      <c r="L94">
        <v>0.32340000000000002</v>
      </c>
    </row>
    <row r="95" spans="1:12" x14ac:dyDescent="0.35">
      <c r="A95">
        <v>2.2000000000000002</v>
      </c>
      <c r="B95">
        <v>0.77949999999999997</v>
      </c>
      <c r="C95">
        <v>9.1900000000000003E-3</v>
      </c>
      <c r="D95">
        <v>5.0899999999999999E-3</v>
      </c>
      <c r="E95">
        <v>-5.6500000000000002E-2</v>
      </c>
      <c r="F95">
        <v>7.1999999999999998E-3</v>
      </c>
      <c r="G95">
        <v>0.05</v>
      </c>
      <c r="H95">
        <v>-3.2096</v>
      </c>
      <c r="I95">
        <v>0</v>
      </c>
      <c r="J95">
        <v>0</v>
      </c>
      <c r="K95">
        <v>0</v>
      </c>
      <c r="L95">
        <v>0.3211</v>
      </c>
    </row>
    <row r="96" spans="1:12" x14ac:dyDescent="0.35">
      <c r="A96">
        <v>2.25</v>
      </c>
      <c r="B96">
        <v>0.78910000000000002</v>
      </c>
      <c r="C96">
        <v>9.5099999999999994E-3</v>
      </c>
      <c r="D96">
        <v>5.4599999999999996E-3</v>
      </c>
      <c r="E96">
        <v>-5.5399999999999998E-2</v>
      </c>
      <c r="F96">
        <v>7.1999999999999998E-3</v>
      </c>
      <c r="G96">
        <v>0.05</v>
      </c>
      <c r="H96">
        <v>-3.2166999999999999</v>
      </c>
      <c r="I96">
        <v>0</v>
      </c>
      <c r="J96">
        <v>0</v>
      </c>
      <c r="K96">
        <v>0</v>
      </c>
      <c r="L96">
        <v>0.31879999999999997</v>
      </c>
    </row>
    <row r="97" spans="1:12" x14ac:dyDescent="0.35">
      <c r="A97">
        <v>2.2999999999999998</v>
      </c>
      <c r="B97">
        <v>0.79900000000000004</v>
      </c>
      <c r="C97">
        <v>9.8600000000000007E-3</v>
      </c>
      <c r="D97">
        <v>5.8500000000000002E-3</v>
      </c>
      <c r="E97">
        <v>-5.4399999999999997E-2</v>
      </c>
      <c r="F97">
        <v>7.1000000000000004E-3</v>
      </c>
      <c r="G97">
        <v>0.05</v>
      </c>
      <c r="H97">
        <v>-3.2225000000000001</v>
      </c>
      <c r="I97">
        <v>0</v>
      </c>
      <c r="J97">
        <v>0</v>
      </c>
      <c r="K97">
        <v>0</v>
      </c>
      <c r="L97">
        <v>0.31659999999999999</v>
      </c>
    </row>
    <row r="98" spans="1:12" x14ac:dyDescent="0.35">
      <c r="A98">
        <v>2.35</v>
      </c>
      <c r="B98">
        <v>0.80920000000000003</v>
      </c>
      <c r="C98">
        <v>1.023E-2</v>
      </c>
      <c r="D98">
        <v>6.2700000000000004E-3</v>
      </c>
      <c r="E98">
        <v>-5.3400000000000003E-2</v>
      </c>
      <c r="F98">
        <v>7.1000000000000004E-3</v>
      </c>
      <c r="G98">
        <v>0.05</v>
      </c>
      <c r="H98">
        <v>-3.2265999999999999</v>
      </c>
      <c r="I98">
        <v>0</v>
      </c>
      <c r="J98">
        <v>0</v>
      </c>
      <c r="K98">
        <v>0</v>
      </c>
      <c r="L98">
        <v>0.31440000000000001</v>
      </c>
    </row>
    <row r="99" spans="1:12" x14ac:dyDescent="0.35">
      <c r="A99">
        <v>2.4</v>
      </c>
      <c r="B99">
        <v>0.81950000000000001</v>
      </c>
      <c r="C99">
        <v>1.0630000000000001E-2</v>
      </c>
      <c r="D99">
        <v>6.7200000000000003E-3</v>
      </c>
      <c r="E99">
        <v>-5.2299999999999999E-2</v>
      </c>
      <c r="F99">
        <v>7.1000000000000004E-3</v>
      </c>
      <c r="G99">
        <v>0.05</v>
      </c>
      <c r="H99">
        <v>-3.2288000000000001</v>
      </c>
      <c r="I99">
        <v>0</v>
      </c>
      <c r="J99">
        <v>0</v>
      </c>
      <c r="K99">
        <v>0</v>
      </c>
      <c r="L99">
        <v>0.31230000000000002</v>
      </c>
    </row>
    <row r="100" spans="1:12" x14ac:dyDescent="0.35">
      <c r="A100">
        <v>2.4500000000000002</v>
      </c>
      <c r="B100">
        <v>0.82979999999999998</v>
      </c>
      <c r="C100">
        <v>1.107E-2</v>
      </c>
      <c r="D100">
        <v>7.2100000000000003E-3</v>
      </c>
      <c r="E100">
        <v>-5.1299999999999998E-2</v>
      </c>
      <c r="F100">
        <v>7.1000000000000004E-3</v>
      </c>
      <c r="G100">
        <v>0.05</v>
      </c>
      <c r="H100">
        <v>-3.2284999999999999</v>
      </c>
      <c r="I100">
        <v>0</v>
      </c>
      <c r="J100">
        <v>0</v>
      </c>
      <c r="K100">
        <v>0</v>
      </c>
      <c r="L100">
        <v>0.31019999999999998</v>
      </c>
    </row>
    <row r="101" spans="1:12" x14ac:dyDescent="0.35">
      <c r="A101">
        <v>2.5</v>
      </c>
      <c r="B101">
        <v>0.83989999999999998</v>
      </c>
      <c r="C101">
        <v>1.153E-2</v>
      </c>
      <c r="D101">
        <v>7.7299999999999999E-3</v>
      </c>
      <c r="E101">
        <v>-5.0200000000000002E-2</v>
      </c>
      <c r="F101">
        <v>7.1000000000000004E-3</v>
      </c>
      <c r="G101">
        <v>0.05</v>
      </c>
      <c r="H101">
        <v>-3.2271000000000001</v>
      </c>
      <c r="I101">
        <v>0</v>
      </c>
      <c r="J101">
        <v>0</v>
      </c>
      <c r="K101">
        <v>0</v>
      </c>
      <c r="L101">
        <v>0.30819999999999997</v>
      </c>
    </row>
    <row r="102" spans="1:12" x14ac:dyDescent="0.35">
      <c r="A102">
        <v>2.5499999999999998</v>
      </c>
      <c r="B102">
        <v>0.84960000000000002</v>
      </c>
      <c r="C102">
        <v>1.2030000000000001E-2</v>
      </c>
      <c r="D102">
        <v>8.2900000000000005E-3</v>
      </c>
      <c r="E102">
        <v>-4.9099999999999998E-2</v>
      </c>
      <c r="F102">
        <v>7.0000000000000001E-3</v>
      </c>
      <c r="G102">
        <v>0.05</v>
      </c>
      <c r="H102">
        <v>-3.2273000000000001</v>
      </c>
      <c r="I102">
        <v>0</v>
      </c>
      <c r="J102">
        <v>0</v>
      </c>
      <c r="K102">
        <v>0</v>
      </c>
      <c r="L102">
        <v>0.30620000000000003</v>
      </c>
    </row>
    <row r="103" spans="1:12" x14ac:dyDescent="0.35">
      <c r="A103">
        <v>2.6</v>
      </c>
      <c r="B103">
        <v>0.85870000000000002</v>
      </c>
      <c r="C103">
        <v>1.256E-2</v>
      </c>
      <c r="D103">
        <v>8.8900000000000003E-3</v>
      </c>
      <c r="E103">
        <v>-4.8000000000000001E-2</v>
      </c>
      <c r="F103">
        <v>7.0000000000000001E-3</v>
      </c>
      <c r="G103">
        <v>0.05</v>
      </c>
      <c r="H103">
        <v>-3.2290000000000001</v>
      </c>
      <c r="I103">
        <v>0</v>
      </c>
      <c r="J103">
        <v>0</v>
      </c>
      <c r="K103">
        <v>0</v>
      </c>
      <c r="L103">
        <v>0.30420000000000003</v>
      </c>
    </row>
    <row r="104" spans="1:12" x14ac:dyDescent="0.35">
      <c r="A104">
        <v>2.65</v>
      </c>
      <c r="B104">
        <v>0.86719999999999997</v>
      </c>
      <c r="C104">
        <v>1.312E-2</v>
      </c>
      <c r="D104">
        <v>9.5099999999999994E-3</v>
      </c>
      <c r="E104">
        <v>-4.6899999999999997E-2</v>
      </c>
      <c r="F104">
        <v>6.8999999999999999E-3</v>
      </c>
      <c r="G104">
        <v>0.05</v>
      </c>
      <c r="H104">
        <v>-3.2282000000000002</v>
      </c>
      <c r="I104">
        <v>0</v>
      </c>
      <c r="J104">
        <v>0</v>
      </c>
      <c r="K104">
        <v>0</v>
      </c>
      <c r="L104">
        <v>0.30230000000000001</v>
      </c>
    </row>
    <row r="105" spans="1:12" x14ac:dyDescent="0.35">
      <c r="A105">
        <v>2.7</v>
      </c>
      <c r="B105">
        <v>0.87509999999999999</v>
      </c>
      <c r="C105">
        <v>1.37E-2</v>
      </c>
      <c r="D105">
        <v>1.0160000000000001E-2</v>
      </c>
      <c r="E105">
        <v>-4.5699999999999998E-2</v>
      </c>
      <c r="F105">
        <v>7.0000000000000001E-3</v>
      </c>
      <c r="G105">
        <v>0.05</v>
      </c>
      <c r="H105">
        <v>-3.2233999999999998</v>
      </c>
      <c r="I105">
        <v>0</v>
      </c>
      <c r="J105">
        <v>0</v>
      </c>
      <c r="K105">
        <v>0</v>
      </c>
      <c r="L105">
        <v>0.3004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922930-D6C6-4BAA-BCAB-596AE153D16B}">
  <sheetPr codeName="Sheet27"/>
  <dimension ref="A1:L113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-2.65</v>
      </c>
      <c r="B2">
        <v>-0.2515</v>
      </c>
      <c r="C2">
        <v>1.9570000000000001E-2</v>
      </c>
      <c r="D2">
        <v>1.6E-2</v>
      </c>
      <c r="E2">
        <v>-8.1799999999999998E-2</v>
      </c>
      <c r="F2">
        <v>0.05</v>
      </c>
      <c r="G2">
        <v>3.5000000000000001E-3</v>
      </c>
      <c r="H2">
        <v>-2.7795000000000001</v>
      </c>
      <c r="I2">
        <v>0</v>
      </c>
      <c r="J2">
        <v>0</v>
      </c>
      <c r="K2">
        <v>0</v>
      </c>
      <c r="L2">
        <v>-7.7200000000000005E-2</v>
      </c>
    </row>
    <row r="3" spans="1:12" x14ac:dyDescent="0.35">
      <c r="A3">
        <v>-2.6</v>
      </c>
      <c r="B3">
        <v>-0.24440000000000001</v>
      </c>
      <c r="C3">
        <v>1.882E-2</v>
      </c>
      <c r="D3">
        <v>1.52E-2</v>
      </c>
      <c r="E3">
        <v>-8.1699999999999995E-2</v>
      </c>
      <c r="F3">
        <v>0.05</v>
      </c>
      <c r="G3">
        <v>3.5000000000000001E-3</v>
      </c>
      <c r="H3">
        <v>-2.7383999999999999</v>
      </c>
      <c r="I3">
        <v>0</v>
      </c>
      <c r="J3">
        <v>0</v>
      </c>
      <c r="K3">
        <v>0</v>
      </c>
      <c r="L3">
        <v>-8.6300000000000002E-2</v>
      </c>
    </row>
    <row r="4" spans="1:12" x14ac:dyDescent="0.35">
      <c r="A4">
        <v>-2.5499999999999998</v>
      </c>
      <c r="B4">
        <v>-0.23699999999999999</v>
      </c>
      <c r="C4">
        <v>1.8100000000000002E-2</v>
      </c>
      <c r="D4">
        <v>1.4420000000000001E-2</v>
      </c>
      <c r="E4">
        <v>-8.1500000000000003E-2</v>
      </c>
      <c r="F4">
        <v>0.05</v>
      </c>
      <c r="G4">
        <v>3.5000000000000001E-3</v>
      </c>
      <c r="H4">
        <v>-2.7665000000000002</v>
      </c>
      <c r="I4">
        <v>0</v>
      </c>
      <c r="J4">
        <v>0</v>
      </c>
      <c r="K4">
        <v>0</v>
      </c>
      <c r="L4">
        <v>-9.6299999999999997E-2</v>
      </c>
    </row>
    <row r="5" spans="1:12" x14ac:dyDescent="0.35">
      <c r="A5">
        <v>-2.5</v>
      </c>
      <c r="B5">
        <v>-0.22919999999999999</v>
      </c>
      <c r="C5">
        <v>1.7399999999999999E-2</v>
      </c>
      <c r="D5">
        <v>1.366E-2</v>
      </c>
      <c r="E5">
        <v>-8.14E-2</v>
      </c>
      <c r="F5">
        <v>0.05</v>
      </c>
      <c r="G5">
        <v>3.5000000000000001E-3</v>
      </c>
      <c r="H5">
        <v>-2.7930000000000001</v>
      </c>
      <c r="I5">
        <v>0</v>
      </c>
      <c r="J5">
        <v>0</v>
      </c>
      <c r="K5">
        <v>0</v>
      </c>
      <c r="L5">
        <v>-0.10730000000000001</v>
      </c>
    </row>
    <row r="6" spans="1:12" x14ac:dyDescent="0.35">
      <c r="A6">
        <v>-2.4500000000000002</v>
      </c>
      <c r="B6">
        <v>-0.22109999999999999</v>
      </c>
      <c r="C6">
        <v>1.6719999999999999E-2</v>
      </c>
      <c r="D6">
        <v>1.2919999999999999E-2</v>
      </c>
      <c r="E6">
        <v>-8.1199999999999994E-2</v>
      </c>
      <c r="F6">
        <v>0.05</v>
      </c>
      <c r="G6">
        <v>3.5000000000000001E-3</v>
      </c>
      <c r="H6">
        <v>-2.8163999999999998</v>
      </c>
      <c r="I6">
        <v>0</v>
      </c>
      <c r="J6">
        <v>0</v>
      </c>
      <c r="K6">
        <v>0</v>
      </c>
      <c r="L6">
        <v>-0.1195</v>
      </c>
    </row>
    <row r="7" spans="1:12" x14ac:dyDescent="0.35">
      <c r="A7">
        <v>-2.4</v>
      </c>
      <c r="B7">
        <v>-0.2127</v>
      </c>
      <c r="C7">
        <v>1.6070000000000001E-2</v>
      </c>
      <c r="D7">
        <v>1.2200000000000001E-2</v>
      </c>
      <c r="E7">
        <v>-8.1000000000000003E-2</v>
      </c>
      <c r="F7">
        <v>0.05</v>
      </c>
      <c r="G7">
        <v>3.5000000000000001E-3</v>
      </c>
      <c r="H7">
        <v>-2.8369</v>
      </c>
      <c r="I7">
        <v>0</v>
      </c>
      <c r="J7">
        <v>0</v>
      </c>
      <c r="K7">
        <v>0</v>
      </c>
      <c r="L7">
        <v>-0.13300000000000001</v>
      </c>
    </row>
    <row r="8" spans="1:12" x14ac:dyDescent="0.35">
      <c r="A8">
        <v>-2.35</v>
      </c>
      <c r="B8">
        <v>-0.20399999999999999</v>
      </c>
      <c r="C8">
        <v>1.5440000000000001E-2</v>
      </c>
      <c r="D8">
        <v>1.15E-2</v>
      </c>
      <c r="E8">
        <v>-8.0699999999999994E-2</v>
      </c>
      <c r="F8">
        <v>0.05</v>
      </c>
      <c r="G8">
        <v>3.5000000000000001E-3</v>
      </c>
      <c r="H8">
        <v>-2.8544999999999998</v>
      </c>
      <c r="I8">
        <v>0</v>
      </c>
      <c r="J8">
        <v>0</v>
      </c>
      <c r="K8">
        <v>0</v>
      </c>
      <c r="L8">
        <v>-0.14810000000000001</v>
      </c>
    </row>
    <row r="9" spans="1:12" x14ac:dyDescent="0.35">
      <c r="A9">
        <v>-2.2999999999999998</v>
      </c>
      <c r="B9">
        <v>-0.19500000000000001</v>
      </c>
      <c r="C9">
        <v>1.482E-2</v>
      </c>
      <c r="D9">
        <v>1.082E-2</v>
      </c>
      <c r="E9">
        <v>-8.0500000000000002E-2</v>
      </c>
      <c r="F9">
        <v>0.05</v>
      </c>
      <c r="G9">
        <v>3.5000000000000001E-3</v>
      </c>
      <c r="H9">
        <v>-2.8696000000000002</v>
      </c>
      <c r="I9">
        <v>0</v>
      </c>
      <c r="J9">
        <v>0</v>
      </c>
      <c r="K9">
        <v>0</v>
      </c>
      <c r="L9">
        <v>-0.1651</v>
      </c>
    </row>
    <row r="10" spans="1:12" x14ac:dyDescent="0.35">
      <c r="A10">
        <v>-2.25</v>
      </c>
      <c r="B10">
        <v>-0.18579999999999999</v>
      </c>
      <c r="C10">
        <v>1.423E-2</v>
      </c>
      <c r="D10">
        <v>1.0160000000000001E-2</v>
      </c>
      <c r="E10">
        <v>-8.0199999999999994E-2</v>
      </c>
      <c r="F10">
        <v>0.05</v>
      </c>
      <c r="G10">
        <v>3.5999999999999999E-3</v>
      </c>
      <c r="H10">
        <v>-2.8826999999999998</v>
      </c>
      <c r="I10">
        <v>0</v>
      </c>
      <c r="J10">
        <v>0</v>
      </c>
      <c r="K10">
        <v>0</v>
      </c>
      <c r="L10">
        <v>-0.1842</v>
      </c>
    </row>
    <row r="11" spans="1:12" x14ac:dyDescent="0.35">
      <c r="A11">
        <v>-2.2000000000000002</v>
      </c>
      <c r="B11">
        <v>-0.17630000000000001</v>
      </c>
      <c r="C11">
        <v>1.366E-2</v>
      </c>
      <c r="D11">
        <v>9.5200000000000007E-3</v>
      </c>
      <c r="E11">
        <v>-7.9899999999999999E-2</v>
      </c>
      <c r="F11">
        <v>0.05</v>
      </c>
      <c r="G11">
        <v>3.7000000000000002E-3</v>
      </c>
      <c r="H11">
        <v>-2.8940000000000001</v>
      </c>
      <c r="I11">
        <v>0</v>
      </c>
      <c r="J11">
        <v>0</v>
      </c>
      <c r="K11">
        <v>0</v>
      </c>
      <c r="L11">
        <v>-0.20580000000000001</v>
      </c>
    </row>
    <row r="12" spans="1:12" x14ac:dyDescent="0.35">
      <c r="A12">
        <v>-2.15</v>
      </c>
      <c r="B12">
        <v>-0.1666</v>
      </c>
      <c r="C12">
        <v>1.311E-2</v>
      </c>
      <c r="D12">
        <v>8.8999999999999999E-3</v>
      </c>
      <c r="E12">
        <v>-7.9600000000000004E-2</v>
      </c>
      <c r="F12">
        <v>0.05</v>
      </c>
      <c r="G12">
        <v>3.8E-3</v>
      </c>
      <c r="H12">
        <v>-2.9037999999999999</v>
      </c>
      <c r="I12">
        <v>0</v>
      </c>
      <c r="J12">
        <v>0</v>
      </c>
      <c r="K12">
        <v>0</v>
      </c>
      <c r="L12">
        <v>-0.23050000000000001</v>
      </c>
    </row>
    <row r="13" spans="1:12" x14ac:dyDescent="0.35">
      <c r="A13">
        <v>-2.1</v>
      </c>
      <c r="B13">
        <v>-0.15659999999999999</v>
      </c>
      <c r="C13">
        <v>1.257E-2</v>
      </c>
      <c r="D13">
        <v>8.3000000000000001E-3</v>
      </c>
      <c r="E13">
        <v>-7.9299999999999995E-2</v>
      </c>
      <c r="F13">
        <v>0.05</v>
      </c>
      <c r="G13">
        <v>4.0000000000000001E-3</v>
      </c>
      <c r="H13">
        <v>-2.9121000000000001</v>
      </c>
      <c r="I13">
        <v>0</v>
      </c>
      <c r="J13">
        <v>0</v>
      </c>
      <c r="K13">
        <v>0</v>
      </c>
      <c r="L13">
        <v>-0.25890000000000002</v>
      </c>
    </row>
    <row r="14" spans="1:12" x14ac:dyDescent="0.35">
      <c r="A14">
        <v>-2.0499999999999998</v>
      </c>
      <c r="B14">
        <v>-0.14649999999999999</v>
      </c>
      <c r="C14">
        <v>1.206E-2</v>
      </c>
      <c r="D14">
        <v>7.7200000000000003E-3</v>
      </c>
      <c r="E14">
        <v>-7.8899999999999998E-2</v>
      </c>
      <c r="F14">
        <v>0.05</v>
      </c>
      <c r="G14">
        <v>4.1999999999999997E-3</v>
      </c>
      <c r="H14">
        <v>-2.9184999999999999</v>
      </c>
      <c r="I14">
        <v>0</v>
      </c>
      <c r="J14">
        <v>0</v>
      </c>
      <c r="K14">
        <v>0</v>
      </c>
      <c r="L14">
        <v>-0.29160000000000003</v>
      </c>
    </row>
    <row r="15" spans="1:12" x14ac:dyDescent="0.35">
      <c r="A15">
        <v>-2</v>
      </c>
      <c r="B15">
        <v>-0.13619999999999999</v>
      </c>
      <c r="C15">
        <v>1.1560000000000001E-2</v>
      </c>
      <c r="D15">
        <v>7.1500000000000001E-3</v>
      </c>
      <c r="E15">
        <v>-7.8600000000000003E-2</v>
      </c>
      <c r="F15">
        <v>0.05</v>
      </c>
      <c r="G15">
        <v>4.4000000000000003E-3</v>
      </c>
      <c r="H15">
        <v>-2.9220999999999999</v>
      </c>
      <c r="I15">
        <v>0</v>
      </c>
      <c r="J15">
        <v>0</v>
      </c>
      <c r="K15">
        <v>0</v>
      </c>
      <c r="L15">
        <v>-0.32979999999999998</v>
      </c>
    </row>
    <row r="16" spans="1:12" x14ac:dyDescent="0.35">
      <c r="A16">
        <v>-1.95</v>
      </c>
      <c r="B16">
        <v>-0.1258</v>
      </c>
      <c r="C16">
        <v>1.107E-2</v>
      </c>
      <c r="D16">
        <v>6.5900000000000004E-3</v>
      </c>
      <c r="E16">
        <v>-7.8200000000000006E-2</v>
      </c>
      <c r="F16">
        <v>0.05</v>
      </c>
      <c r="G16">
        <v>4.5999999999999999E-3</v>
      </c>
      <c r="H16">
        <v>-2.9214000000000002</v>
      </c>
      <c r="I16">
        <v>0</v>
      </c>
      <c r="J16">
        <v>0</v>
      </c>
      <c r="K16">
        <v>0</v>
      </c>
      <c r="L16">
        <v>-0.37469999999999998</v>
      </c>
    </row>
    <row r="17" spans="1:12" x14ac:dyDescent="0.35">
      <c r="A17">
        <v>-1.9</v>
      </c>
      <c r="B17">
        <v>-0.1154</v>
      </c>
      <c r="C17">
        <v>1.06E-2</v>
      </c>
      <c r="D17">
        <v>6.0499999999999998E-3</v>
      </c>
      <c r="E17">
        <v>-7.7799999999999994E-2</v>
      </c>
      <c r="F17">
        <v>0.05</v>
      </c>
      <c r="G17">
        <v>4.7999999999999996E-3</v>
      </c>
      <c r="H17">
        <v>-2.9142000000000001</v>
      </c>
      <c r="I17">
        <v>0</v>
      </c>
      <c r="J17">
        <v>0</v>
      </c>
      <c r="K17">
        <v>0</v>
      </c>
      <c r="L17">
        <v>-0.42809999999999998</v>
      </c>
    </row>
    <row r="18" spans="1:12" x14ac:dyDescent="0.35">
      <c r="A18">
        <v>-1.85</v>
      </c>
      <c r="B18">
        <v>-0.10489999999999999</v>
      </c>
      <c r="C18">
        <v>1.013E-2</v>
      </c>
      <c r="D18">
        <v>5.5300000000000002E-3</v>
      </c>
      <c r="E18">
        <v>-7.7399999999999997E-2</v>
      </c>
      <c r="F18">
        <v>0.05</v>
      </c>
      <c r="G18">
        <v>5.0000000000000001E-3</v>
      </c>
      <c r="H18">
        <v>-2.8965000000000001</v>
      </c>
      <c r="I18">
        <v>0</v>
      </c>
      <c r="J18">
        <v>0</v>
      </c>
      <c r="K18">
        <v>0</v>
      </c>
      <c r="L18">
        <v>-0.49209999999999998</v>
      </c>
    </row>
    <row r="19" spans="1:12" x14ac:dyDescent="0.35">
      <c r="A19">
        <v>-1.8</v>
      </c>
      <c r="B19">
        <v>-9.4299999999999995E-2</v>
      </c>
      <c r="C19">
        <v>9.6900000000000007E-3</v>
      </c>
      <c r="D19">
        <v>5.0200000000000002E-3</v>
      </c>
      <c r="E19">
        <v>-7.6999999999999999E-2</v>
      </c>
      <c r="F19">
        <v>0.05</v>
      </c>
      <c r="G19">
        <v>5.1999999999999998E-3</v>
      </c>
      <c r="H19">
        <v>-2.8589000000000002</v>
      </c>
      <c r="I19">
        <v>0</v>
      </c>
      <c r="J19">
        <v>0</v>
      </c>
      <c r="K19">
        <v>0</v>
      </c>
      <c r="L19">
        <v>-0.57030000000000003</v>
      </c>
    </row>
    <row r="20" spans="1:12" x14ac:dyDescent="0.35">
      <c r="A20">
        <v>-1.75</v>
      </c>
      <c r="B20">
        <v>-8.3799999999999999E-2</v>
      </c>
      <c r="C20">
        <v>9.2800000000000001E-3</v>
      </c>
      <c r="D20">
        <v>4.5500000000000002E-3</v>
      </c>
      <c r="E20">
        <v>-7.6600000000000001E-2</v>
      </c>
      <c r="F20">
        <v>0.05</v>
      </c>
      <c r="G20">
        <v>5.4000000000000003E-3</v>
      </c>
      <c r="H20">
        <v>-2.8045</v>
      </c>
      <c r="I20">
        <v>0</v>
      </c>
      <c r="J20">
        <v>0</v>
      </c>
      <c r="K20">
        <v>0</v>
      </c>
      <c r="L20">
        <v>-0.66820000000000002</v>
      </c>
    </row>
    <row r="21" spans="1:12" x14ac:dyDescent="0.35">
      <c r="A21">
        <v>-1.7</v>
      </c>
      <c r="B21">
        <v>-7.3300000000000004E-2</v>
      </c>
      <c r="C21">
        <v>8.8900000000000003E-3</v>
      </c>
      <c r="D21">
        <v>4.1099999999999999E-3</v>
      </c>
      <c r="E21">
        <v>-7.6100000000000001E-2</v>
      </c>
      <c r="F21">
        <v>0.05</v>
      </c>
      <c r="G21">
        <v>5.5999999999999999E-3</v>
      </c>
      <c r="H21">
        <v>-2.7503000000000002</v>
      </c>
      <c r="I21">
        <v>0</v>
      </c>
      <c r="J21">
        <v>0</v>
      </c>
      <c r="K21">
        <v>0</v>
      </c>
      <c r="L21">
        <v>-0.79269999999999996</v>
      </c>
    </row>
    <row r="22" spans="1:12" x14ac:dyDescent="0.35">
      <c r="A22">
        <v>-1.65</v>
      </c>
      <c r="B22">
        <v>-6.2899999999999998E-2</v>
      </c>
      <c r="C22">
        <v>8.5400000000000007E-3</v>
      </c>
      <c r="D22">
        <v>3.7000000000000002E-3</v>
      </c>
      <c r="E22">
        <v>-7.5700000000000003E-2</v>
      </c>
      <c r="F22">
        <v>0.05</v>
      </c>
      <c r="G22">
        <v>6.0000000000000001E-3</v>
      </c>
      <c r="H22">
        <v>-2.7454000000000001</v>
      </c>
      <c r="I22">
        <v>0</v>
      </c>
      <c r="J22">
        <v>0</v>
      </c>
      <c r="K22">
        <v>0</v>
      </c>
      <c r="L22">
        <v>-0.95779999999999998</v>
      </c>
    </row>
    <row r="23" spans="1:12" x14ac:dyDescent="0.35">
      <c r="A23">
        <v>-1.6</v>
      </c>
      <c r="B23">
        <v>-5.2600000000000001E-2</v>
      </c>
      <c r="C23">
        <v>8.2000000000000007E-3</v>
      </c>
      <c r="D23">
        <v>3.32E-3</v>
      </c>
      <c r="E23">
        <v>-7.5200000000000003E-2</v>
      </c>
      <c r="F23">
        <v>0.05</v>
      </c>
      <c r="G23">
        <v>6.3E-3</v>
      </c>
      <c r="H23">
        <v>-2.7450999999999999</v>
      </c>
      <c r="I23">
        <v>0</v>
      </c>
      <c r="J23">
        <v>0</v>
      </c>
      <c r="K23">
        <v>0</v>
      </c>
      <c r="L23">
        <v>-1.1868000000000001</v>
      </c>
    </row>
    <row r="24" spans="1:12" x14ac:dyDescent="0.35">
      <c r="A24">
        <v>-1.55</v>
      </c>
      <c r="B24">
        <v>-4.2099999999999999E-2</v>
      </c>
      <c r="C24">
        <v>7.9100000000000004E-3</v>
      </c>
      <c r="D24">
        <v>2.97E-3</v>
      </c>
      <c r="E24">
        <v>-7.4800000000000005E-2</v>
      </c>
      <c r="F24">
        <v>0.05</v>
      </c>
      <c r="G24">
        <v>6.7999999999999996E-3</v>
      </c>
      <c r="H24">
        <v>-2.7229000000000001</v>
      </c>
      <c r="I24">
        <v>0</v>
      </c>
      <c r="J24">
        <v>0</v>
      </c>
      <c r="K24">
        <v>0</v>
      </c>
      <c r="L24">
        <v>-1.5344</v>
      </c>
    </row>
    <row r="25" spans="1:12" x14ac:dyDescent="0.35">
      <c r="A25">
        <v>-1.5</v>
      </c>
      <c r="B25">
        <v>-3.1300000000000001E-2</v>
      </c>
      <c r="C25">
        <v>7.6600000000000001E-3</v>
      </c>
      <c r="D25">
        <v>2.6700000000000001E-3</v>
      </c>
      <c r="E25">
        <v>-7.4499999999999997E-2</v>
      </c>
      <c r="F25">
        <v>0.05</v>
      </c>
      <c r="G25">
        <v>7.4000000000000003E-3</v>
      </c>
      <c r="H25">
        <v>-2.6644999999999999</v>
      </c>
      <c r="I25">
        <v>0</v>
      </c>
      <c r="J25">
        <v>0</v>
      </c>
      <c r="K25">
        <v>0</v>
      </c>
      <c r="L25">
        <v>-2.1354000000000002</v>
      </c>
    </row>
    <row r="26" spans="1:12" x14ac:dyDescent="0.35">
      <c r="A26">
        <v>-1.45</v>
      </c>
      <c r="B26">
        <v>-2.0299999999999999E-2</v>
      </c>
      <c r="C26">
        <v>7.4599999999999996E-3</v>
      </c>
      <c r="D26">
        <v>2.4199999999999998E-3</v>
      </c>
      <c r="E26">
        <v>-7.4200000000000002E-2</v>
      </c>
      <c r="F26">
        <v>0.05</v>
      </c>
      <c r="G26">
        <v>8.0999999999999996E-3</v>
      </c>
      <c r="H26">
        <v>-2.5714000000000001</v>
      </c>
      <c r="I26">
        <v>0</v>
      </c>
      <c r="J26">
        <v>0</v>
      </c>
      <c r="K26">
        <v>0</v>
      </c>
      <c r="L26">
        <v>-3.4176000000000002</v>
      </c>
    </row>
    <row r="27" spans="1:12" x14ac:dyDescent="0.35">
      <c r="A27">
        <v>-1.4</v>
      </c>
      <c r="B27">
        <v>-8.9999999999999993E-3</v>
      </c>
      <c r="C27">
        <v>7.3099999999999997E-3</v>
      </c>
      <c r="D27">
        <v>2.2200000000000002E-3</v>
      </c>
      <c r="E27">
        <v>-7.3899999999999993E-2</v>
      </c>
      <c r="F27">
        <v>0.05</v>
      </c>
      <c r="G27">
        <v>8.6999999999999994E-3</v>
      </c>
      <c r="H27">
        <v>-2.4445000000000001</v>
      </c>
      <c r="I27">
        <v>0</v>
      </c>
      <c r="J27">
        <v>0</v>
      </c>
      <c r="K27">
        <v>0</v>
      </c>
      <c r="L27">
        <v>-8.0153999999999996</v>
      </c>
    </row>
    <row r="28" spans="1:12" x14ac:dyDescent="0.35">
      <c r="A28">
        <v>-1.35</v>
      </c>
      <c r="B28">
        <v>2.5000000000000001E-3</v>
      </c>
      <c r="C28">
        <v>7.1900000000000002E-3</v>
      </c>
      <c r="D28">
        <v>2.0600000000000002E-3</v>
      </c>
      <c r="E28">
        <v>-7.3599999999999999E-2</v>
      </c>
      <c r="F28">
        <v>0.05</v>
      </c>
      <c r="G28">
        <v>9.1000000000000004E-3</v>
      </c>
      <c r="H28">
        <v>-2.3033000000000001</v>
      </c>
      <c r="I28">
        <v>0</v>
      </c>
      <c r="J28">
        <v>0</v>
      </c>
      <c r="K28">
        <v>0</v>
      </c>
      <c r="L28">
        <v>29.889500000000002</v>
      </c>
    </row>
    <row r="29" spans="1:12" x14ac:dyDescent="0.35">
      <c r="A29">
        <v>-1.3</v>
      </c>
      <c r="B29">
        <v>1.4E-2</v>
      </c>
      <c r="C29">
        <v>7.1000000000000004E-3</v>
      </c>
      <c r="D29">
        <v>1.9400000000000001E-3</v>
      </c>
      <c r="E29">
        <v>-7.3400000000000007E-2</v>
      </c>
      <c r="F29">
        <v>0.05</v>
      </c>
      <c r="G29">
        <v>9.2999999999999992E-3</v>
      </c>
      <c r="H29">
        <v>-2.1602999999999999</v>
      </c>
      <c r="I29">
        <v>0</v>
      </c>
      <c r="J29">
        <v>0</v>
      </c>
      <c r="K29">
        <v>0</v>
      </c>
      <c r="L29">
        <v>5.5101000000000004</v>
      </c>
    </row>
    <row r="30" spans="1:12" x14ac:dyDescent="0.35">
      <c r="A30">
        <v>-1.25</v>
      </c>
      <c r="B30">
        <v>2.5499999999999998E-2</v>
      </c>
      <c r="C30">
        <v>7.0200000000000002E-3</v>
      </c>
      <c r="D30">
        <v>1.83E-3</v>
      </c>
      <c r="E30">
        <v>-7.3200000000000001E-2</v>
      </c>
      <c r="F30">
        <v>0.05</v>
      </c>
      <c r="G30">
        <v>9.4999999999999998E-3</v>
      </c>
      <c r="H30">
        <v>-2.0543999999999998</v>
      </c>
      <c r="I30">
        <v>0</v>
      </c>
      <c r="J30">
        <v>0</v>
      </c>
      <c r="K30">
        <v>0</v>
      </c>
      <c r="L30">
        <v>3.1294</v>
      </c>
    </row>
    <row r="31" spans="1:12" x14ac:dyDescent="0.35">
      <c r="A31">
        <v>-1.2</v>
      </c>
      <c r="B31">
        <v>3.6900000000000002E-2</v>
      </c>
      <c r="C31">
        <v>6.94E-3</v>
      </c>
      <c r="D31">
        <v>1.72E-3</v>
      </c>
      <c r="E31">
        <v>-7.2999999999999995E-2</v>
      </c>
      <c r="F31">
        <v>0.05</v>
      </c>
      <c r="G31">
        <v>9.4999999999999998E-3</v>
      </c>
      <c r="H31">
        <v>-1.9830000000000001</v>
      </c>
      <c r="I31">
        <v>0</v>
      </c>
      <c r="J31">
        <v>0</v>
      </c>
      <c r="K31">
        <v>0</v>
      </c>
      <c r="L31">
        <v>2.2320000000000002</v>
      </c>
    </row>
    <row r="32" spans="1:12" x14ac:dyDescent="0.35">
      <c r="A32">
        <v>-1.1499999999999999</v>
      </c>
      <c r="B32">
        <v>4.8399999999999999E-2</v>
      </c>
      <c r="C32">
        <v>6.8799999999999998E-3</v>
      </c>
      <c r="D32">
        <v>1.6199999999999999E-3</v>
      </c>
      <c r="E32">
        <v>-7.2800000000000004E-2</v>
      </c>
      <c r="F32">
        <v>0.05</v>
      </c>
      <c r="G32">
        <v>9.4999999999999998E-3</v>
      </c>
      <c r="H32">
        <v>-1.9069</v>
      </c>
      <c r="I32">
        <v>0</v>
      </c>
      <c r="J32">
        <v>0</v>
      </c>
      <c r="K32">
        <v>0</v>
      </c>
      <c r="L32">
        <v>1.7595000000000001</v>
      </c>
    </row>
    <row r="33" spans="1:12" x14ac:dyDescent="0.35">
      <c r="A33">
        <v>-1.1000000000000001</v>
      </c>
      <c r="B33">
        <v>5.9799999999999999E-2</v>
      </c>
      <c r="C33">
        <v>6.8300000000000001E-3</v>
      </c>
      <c r="D33">
        <v>1.5499999999999999E-3</v>
      </c>
      <c r="E33">
        <v>-7.2599999999999998E-2</v>
      </c>
      <c r="F33">
        <v>0.05</v>
      </c>
      <c r="G33">
        <v>9.4999999999999998E-3</v>
      </c>
      <c r="H33">
        <v>-1.827</v>
      </c>
      <c r="I33">
        <v>0</v>
      </c>
      <c r="J33">
        <v>0</v>
      </c>
      <c r="K33">
        <v>0</v>
      </c>
      <c r="L33">
        <v>1.4682999999999999</v>
      </c>
    </row>
    <row r="34" spans="1:12" x14ac:dyDescent="0.35">
      <c r="A34">
        <v>-1.05</v>
      </c>
      <c r="B34">
        <v>7.1199999999999999E-2</v>
      </c>
      <c r="C34">
        <v>6.79E-3</v>
      </c>
      <c r="D34">
        <v>1.49E-3</v>
      </c>
      <c r="E34">
        <v>-7.2499999999999995E-2</v>
      </c>
      <c r="F34">
        <v>0.05</v>
      </c>
      <c r="G34">
        <v>9.5999999999999992E-3</v>
      </c>
      <c r="H34">
        <v>-1.7444</v>
      </c>
      <c r="I34">
        <v>0</v>
      </c>
      <c r="J34">
        <v>0</v>
      </c>
      <c r="K34">
        <v>0</v>
      </c>
      <c r="L34">
        <v>1.2710999999999999</v>
      </c>
    </row>
    <row r="35" spans="1:12" x14ac:dyDescent="0.35">
      <c r="A35">
        <v>-1</v>
      </c>
      <c r="B35">
        <v>8.2500000000000004E-2</v>
      </c>
      <c r="C35">
        <v>6.7600000000000004E-3</v>
      </c>
      <c r="D35">
        <v>1.4400000000000001E-3</v>
      </c>
      <c r="E35">
        <v>-7.2400000000000006E-2</v>
      </c>
      <c r="F35">
        <v>0.05</v>
      </c>
      <c r="G35">
        <v>9.5999999999999992E-3</v>
      </c>
      <c r="H35">
        <v>-1.6598999999999999</v>
      </c>
      <c r="I35">
        <v>0</v>
      </c>
      <c r="J35">
        <v>0</v>
      </c>
      <c r="K35">
        <v>0</v>
      </c>
      <c r="L35">
        <v>1.1289</v>
      </c>
    </row>
    <row r="36" spans="1:12" x14ac:dyDescent="0.35">
      <c r="A36">
        <v>-0.95</v>
      </c>
      <c r="B36">
        <v>9.3799999999999994E-2</v>
      </c>
      <c r="C36">
        <v>6.7400000000000003E-3</v>
      </c>
      <c r="D36">
        <v>1.4E-3</v>
      </c>
      <c r="E36">
        <v>-7.22E-2</v>
      </c>
      <c r="F36">
        <v>0.05</v>
      </c>
      <c r="G36">
        <v>9.7000000000000003E-3</v>
      </c>
      <c r="H36">
        <v>-1.5746</v>
      </c>
      <c r="I36">
        <v>0</v>
      </c>
      <c r="J36">
        <v>0</v>
      </c>
      <c r="K36">
        <v>0</v>
      </c>
      <c r="L36">
        <v>1.0215000000000001</v>
      </c>
    </row>
    <row r="37" spans="1:12" x14ac:dyDescent="0.35">
      <c r="A37">
        <v>-0.9</v>
      </c>
      <c r="B37">
        <v>0.1051</v>
      </c>
      <c r="C37">
        <v>6.7200000000000003E-3</v>
      </c>
      <c r="D37">
        <v>1.3699999999999999E-3</v>
      </c>
      <c r="E37">
        <v>-7.2099999999999997E-2</v>
      </c>
      <c r="F37">
        <v>0.05</v>
      </c>
      <c r="G37">
        <v>9.7000000000000003E-3</v>
      </c>
      <c r="H37">
        <v>-1.4892000000000001</v>
      </c>
      <c r="I37">
        <v>0</v>
      </c>
      <c r="J37">
        <v>0</v>
      </c>
      <c r="K37">
        <v>0</v>
      </c>
      <c r="L37">
        <v>0.93769999999999998</v>
      </c>
    </row>
    <row r="38" spans="1:12" x14ac:dyDescent="0.35">
      <c r="A38">
        <v>-0.85</v>
      </c>
      <c r="B38">
        <v>0.1163</v>
      </c>
      <c r="C38">
        <v>6.7099999999999998E-3</v>
      </c>
      <c r="D38">
        <v>1.34E-3</v>
      </c>
      <c r="E38">
        <v>-7.1999999999999995E-2</v>
      </c>
      <c r="F38">
        <v>0.05</v>
      </c>
      <c r="G38">
        <v>9.7999999999999997E-3</v>
      </c>
      <c r="H38">
        <v>-1.4045000000000001</v>
      </c>
      <c r="I38">
        <v>0</v>
      </c>
      <c r="J38">
        <v>0</v>
      </c>
      <c r="K38">
        <v>0</v>
      </c>
      <c r="L38">
        <v>0.87039999999999995</v>
      </c>
    </row>
    <row r="39" spans="1:12" x14ac:dyDescent="0.35">
      <c r="A39">
        <v>-0.8</v>
      </c>
      <c r="B39">
        <v>0.1275</v>
      </c>
      <c r="C39">
        <v>6.7000000000000002E-3</v>
      </c>
      <c r="D39">
        <v>1.32E-3</v>
      </c>
      <c r="E39">
        <v>-7.1900000000000006E-2</v>
      </c>
      <c r="F39">
        <v>0.05</v>
      </c>
      <c r="G39">
        <v>9.9000000000000008E-3</v>
      </c>
      <c r="H39">
        <v>-1.3211999999999999</v>
      </c>
      <c r="I39">
        <v>0</v>
      </c>
      <c r="J39">
        <v>0</v>
      </c>
      <c r="K39">
        <v>0</v>
      </c>
      <c r="L39">
        <v>0.81520000000000004</v>
      </c>
    </row>
    <row r="40" spans="1:12" x14ac:dyDescent="0.35">
      <c r="A40">
        <v>-0.75</v>
      </c>
      <c r="B40">
        <v>0.1386</v>
      </c>
      <c r="C40">
        <v>6.6899999999999998E-3</v>
      </c>
      <c r="D40">
        <v>1.2999999999999999E-3</v>
      </c>
      <c r="E40">
        <v>-7.1900000000000006E-2</v>
      </c>
      <c r="F40">
        <v>0.05</v>
      </c>
      <c r="G40">
        <v>9.9000000000000008E-3</v>
      </c>
      <c r="H40">
        <v>-1.2395</v>
      </c>
      <c r="I40">
        <v>0</v>
      </c>
      <c r="J40">
        <v>0</v>
      </c>
      <c r="K40">
        <v>0</v>
      </c>
      <c r="L40">
        <v>0.76919999999999999</v>
      </c>
    </row>
    <row r="41" spans="1:12" x14ac:dyDescent="0.35">
      <c r="A41">
        <v>-0.7</v>
      </c>
      <c r="B41">
        <v>0.1497</v>
      </c>
      <c r="C41">
        <v>6.6800000000000002E-3</v>
      </c>
      <c r="D41">
        <v>1.2899999999999999E-3</v>
      </c>
      <c r="E41">
        <v>-7.1800000000000003E-2</v>
      </c>
      <c r="F41">
        <v>0.05</v>
      </c>
      <c r="G41">
        <v>0.01</v>
      </c>
      <c r="H41">
        <v>-1.1597999999999999</v>
      </c>
      <c r="I41">
        <v>0</v>
      </c>
      <c r="J41">
        <v>0</v>
      </c>
      <c r="K41">
        <v>0</v>
      </c>
      <c r="L41">
        <v>0.73019999999999996</v>
      </c>
    </row>
    <row r="42" spans="1:12" x14ac:dyDescent="0.35">
      <c r="A42">
        <v>-0.65</v>
      </c>
      <c r="B42">
        <v>0.1608</v>
      </c>
      <c r="C42">
        <v>6.6800000000000002E-3</v>
      </c>
      <c r="D42">
        <v>1.2800000000000001E-3</v>
      </c>
      <c r="E42">
        <v>-7.17E-2</v>
      </c>
      <c r="F42">
        <v>0.05</v>
      </c>
      <c r="G42">
        <v>1.01E-2</v>
      </c>
      <c r="H42">
        <v>-1.0824</v>
      </c>
      <c r="I42">
        <v>0</v>
      </c>
      <c r="J42">
        <v>0</v>
      </c>
      <c r="K42">
        <v>0</v>
      </c>
      <c r="L42">
        <v>0.69669999999999999</v>
      </c>
    </row>
    <row r="43" spans="1:12" x14ac:dyDescent="0.35">
      <c r="A43">
        <v>-0.6</v>
      </c>
      <c r="B43">
        <v>0.17180000000000001</v>
      </c>
      <c r="C43">
        <v>6.6800000000000002E-3</v>
      </c>
      <c r="D43">
        <v>1.2700000000000001E-3</v>
      </c>
      <c r="E43">
        <v>-7.17E-2</v>
      </c>
      <c r="F43">
        <v>0.05</v>
      </c>
      <c r="G43">
        <v>1.0500000000000001E-2</v>
      </c>
      <c r="H43">
        <v>-1.0087999999999999</v>
      </c>
      <c r="I43">
        <v>0</v>
      </c>
      <c r="J43">
        <v>0</v>
      </c>
      <c r="K43">
        <v>0</v>
      </c>
      <c r="L43">
        <v>0.66759999999999997</v>
      </c>
    </row>
    <row r="44" spans="1:12" x14ac:dyDescent="0.35">
      <c r="A44">
        <v>-0.55000000000000004</v>
      </c>
      <c r="B44">
        <v>0.18279999999999999</v>
      </c>
      <c r="C44">
        <v>6.6699999999999997E-3</v>
      </c>
      <c r="D44">
        <v>1.2700000000000001E-3</v>
      </c>
      <c r="E44">
        <v>-7.1599999999999997E-2</v>
      </c>
      <c r="F44">
        <v>0.05</v>
      </c>
      <c r="G44">
        <v>1.12E-2</v>
      </c>
      <c r="H44">
        <v>-0.93710000000000004</v>
      </c>
      <c r="I44">
        <v>0</v>
      </c>
      <c r="J44">
        <v>0</v>
      </c>
      <c r="K44">
        <v>0</v>
      </c>
      <c r="L44">
        <v>0.64219999999999999</v>
      </c>
    </row>
    <row r="45" spans="1:12" x14ac:dyDescent="0.35">
      <c r="A45">
        <v>-0.5</v>
      </c>
      <c r="B45">
        <v>0.1938</v>
      </c>
      <c r="C45">
        <v>6.6699999999999997E-3</v>
      </c>
      <c r="D45">
        <v>1.2600000000000001E-3</v>
      </c>
      <c r="E45">
        <v>-7.1599999999999997E-2</v>
      </c>
      <c r="F45">
        <v>0.05</v>
      </c>
      <c r="G45">
        <v>1.2200000000000001E-2</v>
      </c>
      <c r="H45">
        <v>-0.86960000000000004</v>
      </c>
      <c r="I45">
        <v>0</v>
      </c>
      <c r="J45">
        <v>0</v>
      </c>
      <c r="K45">
        <v>0</v>
      </c>
      <c r="L45">
        <v>0.61970000000000003</v>
      </c>
    </row>
    <row r="46" spans="1:12" x14ac:dyDescent="0.35">
      <c r="A46">
        <v>-0.45</v>
      </c>
      <c r="B46">
        <v>0.20480000000000001</v>
      </c>
      <c r="C46">
        <v>6.6699999999999997E-3</v>
      </c>
      <c r="D46">
        <v>1.2600000000000001E-3</v>
      </c>
      <c r="E46">
        <v>-7.1599999999999997E-2</v>
      </c>
      <c r="F46">
        <v>0.05</v>
      </c>
      <c r="G46">
        <v>1.32E-2</v>
      </c>
      <c r="H46">
        <v>-0.80020000000000002</v>
      </c>
      <c r="I46">
        <v>0</v>
      </c>
      <c r="J46">
        <v>0</v>
      </c>
      <c r="K46">
        <v>0</v>
      </c>
      <c r="L46">
        <v>0.59970000000000001</v>
      </c>
    </row>
    <row r="47" spans="1:12" x14ac:dyDescent="0.35">
      <c r="A47">
        <v>-0.4</v>
      </c>
      <c r="B47">
        <v>0.2157</v>
      </c>
      <c r="C47">
        <v>6.6699999999999997E-3</v>
      </c>
      <c r="D47">
        <v>1.2600000000000001E-3</v>
      </c>
      <c r="E47">
        <v>-7.1599999999999997E-2</v>
      </c>
      <c r="F47">
        <v>0.05</v>
      </c>
      <c r="G47">
        <v>1.41E-2</v>
      </c>
      <c r="H47">
        <v>-0.7329</v>
      </c>
      <c r="I47">
        <v>0</v>
      </c>
      <c r="J47">
        <v>0</v>
      </c>
      <c r="K47">
        <v>0</v>
      </c>
      <c r="L47">
        <v>0.58189999999999997</v>
      </c>
    </row>
    <row r="48" spans="1:12" x14ac:dyDescent="0.35">
      <c r="A48">
        <v>-0.35</v>
      </c>
      <c r="B48">
        <v>0.2266</v>
      </c>
      <c r="C48">
        <v>6.6600000000000001E-3</v>
      </c>
      <c r="D48">
        <v>1.2600000000000001E-3</v>
      </c>
      <c r="E48">
        <v>-7.1499999999999994E-2</v>
      </c>
      <c r="F48">
        <v>0.05</v>
      </c>
      <c r="G48">
        <v>1.5100000000000001E-2</v>
      </c>
      <c r="H48">
        <v>-0.66779999999999995</v>
      </c>
      <c r="I48">
        <v>0</v>
      </c>
      <c r="J48">
        <v>0</v>
      </c>
      <c r="K48">
        <v>0</v>
      </c>
      <c r="L48">
        <v>0.56569999999999998</v>
      </c>
    </row>
    <row r="49" spans="1:12" x14ac:dyDescent="0.35">
      <c r="A49">
        <v>-0.3</v>
      </c>
      <c r="B49">
        <v>0.23749999999999999</v>
      </c>
      <c r="C49">
        <v>6.6600000000000001E-3</v>
      </c>
      <c r="D49">
        <v>1.2600000000000001E-3</v>
      </c>
      <c r="E49">
        <v>-7.1499999999999994E-2</v>
      </c>
      <c r="F49">
        <v>0.05</v>
      </c>
      <c r="G49">
        <v>1.6199999999999999E-2</v>
      </c>
      <c r="H49">
        <v>-0.6048</v>
      </c>
      <c r="I49">
        <v>0</v>
      </c>
      <c r="J49">
        <v>0</v>
      </c>
      <c r="K49">
        <v>0</v>
      </c>
      <c r="L49">
        <v>0.55110000000000003</v>
      </c>
    </row>
    <row r="50" spans="1:12" x14ac:dyDescent="0.35">
      <c r="A50">
        <v>-0.25</v>
      </c>
      <c r="B50">
        <v>0.24840000000000001</v>
      </c>
      <c r="C50">
        <v>6.6600000000000001E-3</v>
      </c>
      <c r="D50">
        <v>1.2600000000000001E-3</v>
      </c>
      <c r="E50">
        <v>-7.1499999999999994E-2</v>
      </c>
      <c r="F50">
        <v>0.05</v>
      </c>
      <c r="G50">
        <v>1.72E-2</v>
      </c>
      <c r="H50">
        <v>-0.54390000000000005</v>
      </c>
      <c r="I50">
        <v>0</v>
      </c>
      <c r="J50">
        <v>0</v>
      </c>
      <c r="K50">
        <v>0</v>
      </c>
      <c r="L50">
        <v>0.53779999999999994</v>
      </c>
    </row>
    <row r="51" spans="1:12" x14ac:dyDescent="0.35">
      <c r="A51">
        <v>-0.2</v>
      </c>
      <c r="B51">
        <v>0.25929999999999997</v>
      </c>
      <c r="C51">
        <v>6.6600000000000001E-3</v>
      </c>
      <c r="D51">
        <v>1.2600000000000001E-3</v>
      </c>
      <c r="E51">
        <v>-7.1499999999999994E-2</v>
      </c>
      <c r="F51">
        <v>0.05</v>
      </c>
      <c r="G51">
        <v>1.8100000000000002E-2</v>
      </c>
      <c r="H51">
        <v>-0.50949999999999995</v>
      </c>
      <c r="I51">
        <v>0</v>
      </c>
      <c r="J51">
        <v>0</v>
      </c>
      <c r="K51">
        <v>0</v>
      </c>
      <c r="L51">
        <v>0.52569999999999995</v>
      </c>
    </row>
    <row r="52" spans="1:12" x14ac:dyDescent="0.35">
      <c r="A52">
        <v>-0.15</v>
      </c>
      <c r="B52">
        <v>0.27010000000000001</v>
      </c>
      <c r="C52">
        <v>6.6600000000000001E-3</v>
      </c>
      <c r="D52">
        <v>1.2700000000000001E-3</v>
      </c>
      <c r="E52">
        <v>-7.1499999999999994E-2</v>
      </c>
      <c r="F52">
        <v>0.05</v>
      </c>
      <c r="G52">
        <v>1.9099999999999999E-2</v>
      </c>
      <c r="H52">
        <v>-0.51429999999999998</v>
      </c>
      <c r="I52">
        <v>0</v>
      </c>
      <c r="J52">
        <v>0</v>
      </c>
      <c r="K52">
        <v>0</v>
      </c>
      <c r="L52">
        <v>0.51449999999999996</v>
      </c>
    </row>
    <row r="53" spans="1:12" x14ac:dyDescent="0.35">
      <c r="A53">
        <v>-0.1</v>
      </c>
      <c r="B53">
        <v>0.28100000000000003</v>
      </c>
      <c r="C53">
        <v>6.6600000000000001E-3</v>
      </c>
      <c r="D53">
        <v>1.2700000000000001E-3</v>
      </c>
      <c r="E53">
        <v>-7.1499999999999994E-2</v>
      </c>
      <c r="F53">
        <v>0.05</v>
      </c>
      <c r="G53">
        <v>2.2499999999999999E-2</v>
      </c>
      <c r="H53">
        <v>-0.51919999999999999</v>
      </c>
      <c r="I53">
        <v>0</v>
      </c>
      <c r="J53">
        <v>0</v>
      </c>
      <c r="K53">
        <v>0</v>
      </c>
      <c r="L53">
        <v>0.50419999999999998</v>
      </c>
    </row>
    <row r="54" spans="1:12" x14ac:dyDescent="0.35">
      <c r="A54">
        <v>-0.05</v>
      </c>
      <c r="B54">
        <v>0.29189999999999999</v>
      </c>
      <c r="C54">
        <v>6.6600000000000001E-3</v>
      </c>
      <c r="D54">
        <v>1.2800000000000001E-3</v>
      </c>
      <c r="E54">
        <v>-7.1499999999999994E-2</v>
      </c>
      <c r="F54">
        <v>0.05</v>
      </c>
      <c r="G54">
        <v>2.6100000000000002E-2</v>
      </c>
      <c r="H54">
        <v>-0.5242</v>
      </c>
      <c r="I54">
        <v>0</v>
      </c>
      <c r="J54">
        <v>0</v>
      </c>
      <c r="K54">
        <v>0</v>
      </c>
      <c r="L54">
        <v>0.49469999999999997</v>
      </c>
    </row>
    <row r="55" spans="1:12" x14ac:dyDescent="0.35">
      <c r="A55">
        <v>0</v>
      </c>
      <c r="B55">
        <v>0.30270000000000002</v>
      </c>
      <c r="C55">
        <v>6.6600000000000001E-3</v>
      </c>
      <c r="D55">
        <v>1.2800000000000001E-3</v>
      </c>
      <c r="E55">
        <v>-7.1499999999999994E-2</v>
      </c>
      <c r="F55">
        <v>0.05</v>
      </c>
      <c r="G55">
        <v>2.7900000000000001E-2</v>
      </c>
      <c r="H55">
        <v>-0.5292</v>
      </c>
      <c r="I55">
        <v>0</v>
      </c>
      <c r="J55">
        <v>0</v>
      </c>
      <c r="K55">
        <v>0</v>
      </c>
      <c r="L55">
        <v>0.48580000000000001</v>
      </c>
    </row>
    <row r="56" spans="1:12" x14ac:dyDescent="0.35">
      <c r="A56">
        <v>0.05</v>
      </c>
      <c r="B56">
        <v>0.31359999999999999</v>
      </c>
      <c r="C56">
        <v>6.6600000000000001E-3</v>
      </c>
      <c r="D56">
        <v>1.2899999999999999E-3</v>
      </c>
      <c r="E56">
        <v>-7.1400000000000005E-2</v>
      </c>
      <c r="F56">
        <v>0.05</v>
      </c>
      <c r="G56">
        <v>2.87E-2</v>
      </c>
      <c r="H56">
        <v>-0.5343</v>
      </c>
      <c r="I56">
        <v>0</v>
      </c>
      <c r="J56">
        <v>0</v>
      </c>
      <c r="K56">
        <v>0</v>
      </c>
      <c r="L56">
        <v>0.47760000000000002</v>
      </c>
    </row>
    <row r="57" spans="1:12" x14ac:dyDescent="0.35">
      <c r="A57">
        <v>0.1</v>
      </c>
      <c r="B57">
        <v>0.32450000000000001</v>
      </c>
      <c r="C57">
        <v>6.6699999999999997E-3</v>
      </c>
      <c r="D57">
        <v>1.2999999999999999E-3</v>
      </c>
      <c r="E57">
        <v>-7.1400000000000005E-2</v>
      </c>
      <c r="F57">
        <v>0.05</v>
      </c>
      <c r="G57">
        <v>2.93E-2</v>
      </c>
      <c r="H57">
        <v>-0.53939999999999999</v>
      </c>
      <c r="I57">
        <v>0</v>
      </c>
      <c r="J57">
        <v>0</v>
      </c>
      <c r="K57">
        <v>0</v>
      </c>
      <c r="L57">
        <v>0.46989999999999998</v>
      </c>
    </row>
    <row r="58" spans="1:12" x14ac:dyDescent="0.35">
      <c r="A58">
        <v>0.15</v>
      </c>
      <c r="B58">
        <v>0.33529999999999999</v>
      </c>
      <c r="C58">
        <v>6.6699999999999997E-3</v>
      </c>
      <c r="D58">
        <v>1.31E-3</v>
      </c>
      <c r="E58">
        <v>-7.1400000000000005E-2</v>
      </c>
      <c r="F58">
        <v>0.05</v>
      </c>
      <c r="G58">
        <v>3.1099999999999999E-2</v>
      </c>
      <c r="H58">
        <v>-0.54459999999999997</v>
      </c>
      <c r="I58">
        <v>0</v>
      </c>
      <c r="J58">
        <v>0</v>
      </c>
      <c r="K58">
        <v>0</v>
      </c>
      <c r="L58">
        <v>0.4627</v>
      </c>
    </row>
    <row r="59" spans="1:12" x14ac:dyDescent="0.35">
      <c r="A59">
        <v>0.2</v>
      </c>
      <c r="B59">
        <v>0.34620000000000001</v>
      </c>
      <c r="C59">
        <v>6.6800000000000002E-3</v>
      </c>
      <c r="D59">
        <v>1.32E-3</v>
      </c>
      <c r="E59">
        <v>-7.1400000000000005E-2</v>
      </c>
      <c r="F59">
        <v>0.05</v>
      </c>
      <c r="G59">
        <v>3.39E-2</v>
      </c>
      <c r="H59">
        <v>-0.54979999999999996</v>
      </c>
      <c r="I59">
        <v>0</v>
      </c>
      <c r="J59">
        <v>0</v>
      </c>
      <c r="K59">
        <v>0</v>
      </c>
      <c r="L59">
        <v>0.45590000000000003</v>
      </c>
    </row>
    <row r="60" spans="1:12" x14ac:dyDescent="0.35">
      <c r="A60">
        <v>0.25</v>
      </c>
      <c r="B60">
        <v>0.35709999999999997</v>
      </c>
      <c r="C60">
        <v>6.6800000000000002E-3</v>
      </c>
      <c r="D60">
        <v>1.33E-3</v>
      </c>
      <c r="E60">
        <v>-7.1400000000000005E-2</v>
      </c>
      <c r="F60">
        <v>0.05</v>
      </c>
      <c r="G60">
        <v>3.6499999999999998E-2</v>
      </c>
      <c r="H60">
        <v>-0.55510000000000004</v>
      </c>
      <c r="I60">
        <v>0</v>
      </c>
      <c r="J60">
        <v>0</v>
      </c>
      <c r="K60">
        <v>0</v>
      </c>
      <c r="L60">
        <v>0.4496</v>
      </c>
    </row>
    <row r="61" spans="1:12" x14ac:dyDescent="0.35">
      <c r="A61">
        <v>0.3</v>
      </c>
      <c r="B61">
        <v>0.36799999999999999</v>
      </c>
      <c r="C61">
        <v>6.6800000000000002E-3</v>
      </c>
      <c r="D61">
        <v>1.34E-3</v>
      </c>
      <c r="E61">
        <v>-7.1400000000000005E-2</v>
      </c>
      <c r="F61">
        <v>0.05</v>
      </c>
      <c r="G61">
        <v>3.9300000000000002E-2</v>
      </c>
      <c r="H61">
        <v>-0.56030000000000002</v>
      </c>
      <c r="I61">
        <v>0</v>
      </c>
      <c r="J61">
        <v>0</v>
      </c>
      <c r="K61">
        <v>0</v>
      </c>
      <c r="L61">
        <v>0.44359999999999999</v>
      </c>
    </row>
    <row r="62" spans="1:12" x14ac:dyDescent="0.35">
      <c r="A62">
        <v>0.35</v>
      </c>
      <c r="B62">
        <v>0.37890000000000001</v>
      </c>
      <c r="C62">
        <v>6.6699999999999997E-3</v>
      </c>
      <c r="D62">
        <v>1.3500000000000001E-3</v>
      </c>
      <c r="E62">
        <v>-7.1400000000000005E-2</v>
      </c>
      <c r="F62">
        <v>0.05</v>
      </c>
      <c r="G62">
        <v>0.05</v>
      </c>
      <c r="H62">
        <v>-0.56569999999999998</v>
      </c>
      <c r="I62">
        <v>0</v>
      </c>
      <c r="J62">
        <v>0</v>
      </c>
      <c r="K62">
        <v>0</v>
      </c>
      <c r="L62">
        <v>0.43790000000000001</v>
      </c>
    </row>
    <row r="63" spans="1:12" x14ac:dyDescent="0.35">
      <c r="A63">
        <v>0.4</v>
      </c>
      <c r="B63">
        <v>0.38979999999999998</v>
      </c>
      <c r="C63">
        <v>6.6800000000000002E-3</v>
      </c>
      <c r="D63">
        <v>1.3699999999999999E-3</v>
      </c>
      <c r="E63">
        <v>-7.1300000000000002E-2</v>
      </c>
      <c r="F63">
        <v>0.05</v>
      </c>
      <c r="G63">
        <v>0.05</v>
      </c>
      <c r="H63">
        <v>-0.57110000000000005</v>
      </c>
      <c r="I63">
        <v>0</v>
      </c>
      <c r="J63">
        <v>0</v>
      </c>
      <c r="K63">
        <v>0</v>
      </c>
      <c r="L63">
        <v>0.43259999999999998</v>
      </c>
    </row>
    <row r="64" spans="1:12" x14ac:dyDescent="0.35">
      <c r="A64">
        <v>0.45</v>
      </c>
      <c r="B64">
        <v>0.39979999999999999</v>
      </c>
      <c r="C64">
        <v>6.7499999999999999E-3</v>
      </c>
      <c r="D64">
        <v>1.4E-3</v>
      </c>
      <c r="E64">
        <v>-7.1199999999999999E-2</v>
      </c>
      <c r="F64">
        <v>3.32E-2</v>
      </c>
      <c r="G64">
        <v>0.05</v>
      </c>
      <c r="H64">
        <v>-0.57599999999999996</v>
      </c>
      <c r="I64">
        <v>0</v>
      </c>
      <c r="J64">
        <v>0</v>
      </c>
      <c r="K64">
        <v>0</v>
      </c>
      <c r="L64">
        <v>0.42749999999999999</v>
      </c>
    </row>
    <row r="65" spans="1:12" x14ac:dyDescent="0.35">
      <c r="A65">
        <v>0.5</v>
      </c>
      <c r="B65">
        <v>0.41060000000000002</v>
      </c>
      <c r="C65">
        <v>6.7600000000000004E-3</v>
      </c>
      <c r="D65">
        <v>1.42E-3</v>
      </c>
      <c r="E65">
        <v>-7.1099999999999997E-2</v>
      </c>
      <c r="F65">
        <v>3.1399999999999997E-2</v>
      </c>
      <c r="G65">
        <v>0.05</v>
      </c>
      <c r="H65">
        <v>-0.60670000000000002</v>
      </c>
      <c r="I65">
        <v>0</v>
      </c>
      <c r="J65">
        <v>0</v>
      </c>
      <c r="K65">
        <v>0</v>
      </c>
      <c r="L65">
        <v>0.42259999999999998</v>
      </c>
    </row>
    <row r="66" spans="1:12" x14ac:dyDescent="0.35">
      <c r="A66">
        <v>0.55000000000000004</v>
      </c>
      <c r="B66">
        <v>0.4214</v>
      </c>
      <c r="C66">
        <v>6.79E-3</v>
      </c>
      <c r="D66">
        <v>1.4400000000000001E-3</v>
      </c>
      <c r="E66">
        <v>-7.0999999999999994E-2</v>
      </c>
      <c r="F66">
        <v>2.9499999999999998E-2</v>
      </c>
      <c r="G66">
        <v>0.05</v>
      </c>
      <c r="H66">
        <v>-0.66</v>
      </c>
      <c r="I66">
        <v>0</v>
      </c>
      <c r="J66">
        <v>0</v>
      </c>
      <c r="K66">
        <v>0</v>
      </c>
      <c r="L66">
        <v>0.41799999999999998</v>
      </c>
    </row>
    <row r="67" spans="1:12" x14ac:dyDescent="0.35">
      <c r="A67">
        <v>0.6</v>
      </c>
      <c r="B67">
        <v>0.43219999999999997</v>
      </c>
      <c r="C67">
        <v>6.8100000000000001E-3</v>
      </c>
      <c r="D67">
        <v>1.4599999999999999E-3</v>
      </c>
      <c r="E67">
        <v>-7.0900000000000005E-2</v>
      </c>
      <c r="F67">
        <v>2.7699999999999999E-2</v>
      </c>
      <c r="G67">
        <v>0.05</v>
      </c>
      <c r="H67">
        <v>-0.71499999999999997</v>
      </c>
      <c r="I67">
        <v>0</v>
      </c>
      <c r="J67">
        <v>0</v>
      </c>
      <c r="K67">
        <v>0</v>
      </c>
      <c r="L67">
        <v>0.41360000000000002</v>
      </c>
    </row>
    <row r="68" spans="1:12" x14ac:dyDescent="0.35">
      <c r="A68">
        <v>0.65</v>
      </c>
      <c r="B68">
        <v>0.44309999999999999</v>
      </c>
      <c r="C68">
        <v>6.8300000000000001E-3</v>
      </c>
      <c r="D68">
        <v>1.48E-3</v>
      </c>
      <c r="E68">
        <v>-7.0900000000000005E-2</v>
      </c>
      <c r="F68">
        <v>2.5700000000000001E-2</v>
      </c>
      <c r="G68">
        <v>0.05</v>
      </c>
      <c r="H68">
        <v>-0.77170000000000005</v>
      </c>
      <c r="I68">
        <v>0</v>
      </c>
      <c r="J68">
        <v>0</v>
      </c>
      <c r="K68">
        <v>0</v>
      </c>
      <c r="L68">
        <v>0.40939999999999999</v>
      </c>
    </row>
    <row r="69" spans="1:12" x14ac:dyDescent="0.35">
      <c r="A69">
        <v>0.7</v>
      </c>
      <c r="B69">
        <v>0.45400000000000001</v>
      </c>
      <c r="C69">
        <v>6.8500000000000002E-3</v>
      </c>
      <c r="D69">
        <v>1.5E-3</v>
      </c>
      <c r="E69">
        <v>-7.0800000000000002E-2</v>
      </c>
      <c r="F69">
        <v>2.3900000000000001E-2</v>
      </c>
      <c r="G69">
        <v>0.05</v>
      </c>
      <c r="H69">
        <v>-0.83030000000000004</v>
      </c>
      <c r="I69">
        <v>0</v>
      </c>
      <c r="J69">
        <v>0</v>
      </c>
      <c r="K69">
        <v>0</v>
      </c>
      <c r="L69">
        <v>0.40529999999999999</v>
      </c>
    </row>
    <row r="70" spans="1:12" x14ac:dyDescent="0.35">
      <c r="A70">
        <v>0.75</v>
      </c>
      <c r="B70">
        <v>0.46500000000000002</v>
      </c>
      <c r="C70">
        <v>6.8599999999999998E-3</v>
      </c>
      <c r="D70">
        <v>1.5299999999999999E-3</v>
      </c>
      <c r="E70">
        <v>-7.0699999999999999E-2</v>
      </c>
      <c r="F70">
        <v>2.3300000000000001E-2</v>
      </c>
      <c r="G70">
        <v>0.05</v>
      </c>
      <c r="H70">
        <v>-0.89119999999999999</v>
      </c>
      <c r="I70">
        <v>0</v>
      </c>
      <c r="J70">
        <v>0</v>
      </c>
      <c r="K70">
        <v>0</v>
      </c>
      <c r="L70">
        <v>0.40139999999999998</v>
      </c>
    </row>
    <row r="71" spans="1:12" x14ac:dyDescent="0.35">
      <c r="A71">
        <v>0.8</v>
      </c>
      <c r="B71">
        <v>0.47599999999999998</v>
      </c>
      <c r="C71">
        <v>6.8799999999999998E-3</v>
      </c>
      <c r="D71">
        <v>1.5499999999999999E-3</v>
      </c>
      <c r="E71">
        <v>-7.0599999999999996E-2</v>
      </c>
      <c r="F71">
        <v>2.3E-2</v>
      </c>
      <c r="G71">
        <v>0.05</v>
      </c>
      <c r="H71">
        <v>-0.95409999999999995</v>
      </c>
      <c r="I71">
        <v>0</v>
      </c>
      <c r="J71">
        <v>0</v>
      </c>
      <c r="K71">
        <v>0</v>
      </c>
      <c r="L71">
        <v>0.3977</v>
      </c>
    </row>
    <row r="72" spans="1:12" x14ac:dyDescent="0.35">
      <c r="A72">
        <v>0.85</v>
      </c>
      <c r="B72">
        <v>0.48699999999999999</v>
      </c>
      <c r="C72">
        <v>6.8999999999999999E-3</v>
      </c>
      <c r="D72">
        <v>1.57E-3</v>
      </c>
      <c r="E72">
        <v>-7.0499999999999993E-2</v>
      </c>
      <c r="F72">
        <v>2.2599999999999999E-2</v>
      </c>
      <c r="G72">
        <v>0.05</v>
      </c>
      <c r="H72">
        <v>-1.0192000000000001</v>
      </c>
      <c r="I72">
        <v>0</v>
      </c>
      <c r="J72">
        <v>0</v>
      </c>
      <c r="K72">
        <v>0</v>
      </c>
      <c r="L72">
        <v>0.39410000000000001</v>
      </c>
    </row>
    <row r="73" spans="1:12" x14ac:dyDescent="0.35">
      <c r="A73">
        <v>0.9</v>
      </c>
      <c r="B73">
        <v>0.498</v>
      </c>
      <c r="C73">
        <v>6.9199999999999999E-3</v>
      </c>
      <c r="D73">
        <v>1.6000000000000001E-3</v>
      </c>
      <c r="E73">
        <v>-7.0400000000000004E-2</v>
      </c>
      <c r="F73">
        <v>2.1700000000000001E-2</v>
      </c>
      <c r="G73">
        <v>0.05</v>
      </c>
      <c r="H73">
        <v>-1.0868</v>
      </c>
      <c r="I73">
        <v>0</v>
      </c>
      <c r="J73">
        <v>0</v>
      </c>
      <c r="K73">
        <v>0</v>
      </c>
      <c r="L73">
        <v>0.3906</v>
      </c>
    </row>
    <row r="74" spans="1:12" x14ac:dyDescent="0.35">
      <c r="A74">
        <v>0.95</v>
      </c>
      <c r="B74">
        <v>0.50890000000000002</v>
      </c>
      <c r="C74">
        <v>6.9499999999999996E-3</v>
      </c>
      <c r="D74">
        <v>1.6299999999999999E-3</v>
      </c>
      <c r="E74">
        <v>-7.0199999999999999E-2</v>
      </c>
      <c r="F74">
        <v>1.95E-2</v>
      </c>
      <c r="G74">
        <v>0.05</v>
      </c>
      <c r="H74">
        <v>-1.157</v>
      </c>
      <c r="I74">
        <v>0</v>
      </c>
      <c r="J74">
        <v>0</v>
      </c>
      <c r="K74">
        <v>0</v>
      </c>
      <c r="L74">
        <v>0.38729999999999998</v>
      </c>
    </row>
    <row r="75" spans="1:12" x14ac:dyDescent="0.35">
      <c r="A75">
        <v>1</v>
      </c>
      <c r="B75">
        <v>0.51980000000000004</v>
      </c>
      <c r="C75">
        <v>6.9800000000000001E-3</v>
      </c>
      <c r="D75">
        <v>1.66E-3</v>
      </c>
      <c r="E75">
        <v>-7.0099999999999996E-2</v>
      </c>
      <c r="F75">
        <v>1.7399999999999999E-2</v>
      </c>
      <c r="G75">
        <v>0.05</v>
      </c>
      <c r="H75">
        <v>-1.2289000000000001</v>
      </c>
      <c r="I75">
        <v>0</v>
      </c>
      <c r="J75">
        <v>0</v>
      </c>
      <c r="K75">
        <v>0</v>
      </c>
      <c r="L75">
        <v>0.38400000000000001</v>
      </c>
    </row>
    <row r="76" spans="1:12" x14ac:dyDescent="0.35">
      <c r="A76">
        <v>1.05</v>
      </c>
      <c r="B76">
        <v>0.53090000000000004</v>
      </c>
      <c r="C76">
        <v>7.0099999999999997E-3</v>
      </c>
      <c r="D76">
        <v>1.6999999999999999E-3</v>
      </c>
      <c r="E76">
        <v>-6.9900000000000004E-2</v>
      </c>
      <c r="F76">
        <v>1.55E-2</v>
      </c>
      <c r="G76">
        <v>0.05</v>
      </c>
      <c r="H76">
        <v>-1.3030999999999999</v>
      </c>
      <c r="I76">
        <v>0</v>
      </c>
      <c r="J76">
        <v>0</v>
      </c>
      <c r="K76">
        <v>0</v>
      </c>
      <c r="L76">
        <v>0.38090000000000002</v>
      </c>
    </row>
    <row r="77" spans="1:12" x14ac:dyDescent="0.35">
      <c r="A77">
        <v>1.1000000000000001</v>
      </c>
      <c r="B77">
        <v>0.54200000000000004</v>
      </c>
      <c r="C77">
        <v>7.0299999999999998E-3</v>
      </c>
      <c r="D77">
        <v>1.73E-3</v>
      </c>
      <c r="E77">
        <v>-6.9699999999999998E-2</v>
      </c>
      <c r="F77">
        <v>1.4E-2</v>
      </c>
      <c r="G77">
        <v>0.05</v>
      </c>
      <c r="H77">
        <v>-1.3791</v>
      </c>
      <c r="I77">
        <v>0</v>
      </c>
      <c r="J77">
        <v>0</v>
      </c>
      <c r="K77">
        <v>0</v>
      </c>
      <c r="L77">
        <v>0.37780000000000002</v>
      </c>
    </row>
    <row r="78" spans="1:12" x14ac:dyDescent="0.35">
      <c r="A78">
        <v>1.1499999999999999</v>
      </c>
      <c r="B78">
        <v>0.55320000000000003</v>
      </c>
      <c r="C78">
        <v>7.0600000000000003E-3</v>
      </c>
      <c r="D78">
        <v>1.7600000000000001E-3</v>
      </c>
      <c r="E78">
        <v>-6.9500000000000006E-2</v>
      </c>
      <c r="F78">
        <v>1.3599999999999999E-2</v>
      </c>
      <c r="G78">
        <v>0.05</v>
      </c>
      <c r="H78">
        <v>-1.4590000000000001</v>
      </c>
      <c r="I78">
        <v>0</v>
      </c>
      <c r="J78">
        <v>0</v>
      </c>
      <c r="K78">
        <v>0</v>
      </c>
      <c r="L78">
        <v>0.37480000000000002</v>
      </c>
    </row>
    <row r="79" spans="1:12" x14ac:dyDescent="0.35">
      <c r="A79">
        <v>1.2</v>
      </c>
      <c r="B79">
        <v>0.5645</v>
      </c>
      <c r="C79">
        <v>7.0800000000000004E-3</v>
      </c>
      <c r="D79">
        <v>1.8E-3</v>
      </c>
      <c r="E79">
        <v>-6.93E-2</v>
      </c>
      <c r="F79">
        <v>1.34E-2</v>
      </c>
      <c r="G79">
        <v>0.05</v>
      </c>
      <c r="H79">
        <v>-1.5423</v>
      </c>
      <c r="I79">
        <v>0</v>
      </c>
      <c r="J79">
        <v>0</v>
      </c>
      <c r="K79">
        <v>0</v>
      </c>
      <c r="L79">
        <v>0.372</v>
      </c>
    </row>
    <row r="80" spans="1:12" x14ac:dyDescent="0.35">
      <c r="A80">
        <v>1.25</v>
      </c>
      <c r="B80">
        <v>0.57579999999999998</v>
      </c>
      <c r="C80">
        <v>7.11E-3</v>
      </c>
      <c r="D80">
        <v>1.8400000000000001E-3</v>
      </c>
      <c r="E80">
        <v>-6.9099999999999995E-2</v>
      </c>
      <c r="F80">
        <v>1.3100000000000001E-2</v>
      </c>
      <c r="G80">
        <v>0.05</v>
      </c>
      <c r="H80">
        <v>-1.629</v>
      </c>
      <c r="I80">
        <v>0</v>
      </c>
      <c r="J80">
        <v>0</v>
      </c>
      <c r="K80">
        <v>0</v>
      </c>
      <c r="L80">
        <v>0.36909999999999998</v>
      </c>
    </row>
    <row r="81" spans="1:12" x14ac:dyDescent="0.35">
      <c r="A81">
        <v>1.3</v>
      </c>
      <c r="B81">
        <v>0.58709999999999996</v>
      </c>
      <c r="C81">
        <v>7.1399999999999996E-3</v>
      </c>
      <c r="D81">
        <v>1.8799999999999999E-3</v>
      </c>
      <c r="E81">
        <v>-6.88E-2</v>
      </c>
      <c r="F81">
        <v>1.2800000000000001E-2</v>
      </c>
      <c r="G81">
        <v>0.05</v>
      </c>
      <c r="H81">
        <v>-1.7194</v>
      </c>
      <c r="I81">
        <v>0</v>
      </c>
      <c r="J81">
        <v>0</v>
      </c>
      <c r="K81">
        <v>0</v>
      </c>
      <c r="L81">
        <v>0.3664</v>
      </c>
    </row>
    <row r="82" spans="1:12" x14ac:dyDescent="0.35">
      <c r="A82">
        <v>1.35</v>
      </c>
      <c r="B82">
        <v>0.59840000000000004</v>
      </c>
      <c r="C82">
        <v>7.1700000000000002E-3</v>
      </c>
      <c r="D82">
        <v>1.9400000000000001E-3</v>
      </c>
      <c r="E82">
        <v>-6.8599999999999994E-2</v>
      </c>
      <c r="F82">
        <v>1.2500000000000001E-2</v>
      </c>
      <c r="G82">
        <v>0.05</v>
      </c>
      <c r="H82">
        <v>-1.8147</v>
      </c>
      <c r="I82">
        <v>0</v>
      </c>
      <c r="J82">
        <v>0</v>
      </c>
      <c r="K82">
        <v>0</v>
      </c>
      <c r="L82">
        <v>0.36370000000000002</v>
      </c>
    </row>
    <row r="83" spans="1:12" x14ac:dyDescent="0.35">
      <c r="A83">
        <v>1.4</v>
      </c>
      <c r="B83">
        <v>0.60980000000000001</v>
      </c>
      <c r="C83">
        <v>7.2100000000000003E-3</v>
      </c>
      <c r="D83">
        <v>1.99E-3</v>
      </c>
      <c r="E83">
        <v>-6.83E-2</v>
      </c>
      <c r="F83">
        <v>1.23E-2</v>
      </c>
      <c r="G83">
        <v>0.05</v>
      </c>
      <c r="H83">
        <v>-1.9120999999999999</v>
      </c>
      <c r="I83">
        <v>0</v>
      </c>
      <c r="J83">
        <v>0</v>
      </c>
      <c r="K83">
        <v>0</v>
      </c>
      <c r="L83">
        <v>0.36099999999999999</v>
      </c>
    </row>
    <row r="84" spans="1:12" x14ac:dyDescent="0.35">
      <c r="A84">
        <v>1.45</v>
      </c>
      <c r="B84">
        <v>0.62119999999999997</v>
      </c>
      <c r="C84">
        <v>7.2500000000000004E-3</v>
      </c>
      <c r="D84">
        <v>2.0500000000000002E-3</v>
      </c>
      <c r="E84">
        <v>-6.7900000000000002E-2</v>
      </c>
      <c r="F84">
        <v>1.2E-2</v>
      </c>
      <c r="G84">
        <v>0.05</v>
      </c>
      <c r="H84">
        <v>-2.0276000000000001</v>
      </c>
      <c r="I84">
        <v>0</v>
      </c>
      <c r="J84">
        <v>0</v>
      </c>
      <c r="K84">
        <v>0</v>
      </c>
      <c r="L84">
        <v>0.3584</v>
      </c>
    </row>
    <row r="85" spans="1:12" x14ac:dyDescent="0.35">
      <c r="A85">
        <v>1.5</v>
      </c>
      <c r="B85">
        <v>0.63249999999999995</v>
      </c>
      <c r="C85">
        <v>7.3000000000000001E-3</v>
      </c>
      <c r="D85">
        <v>2.1199999999999999E-3</v>
      </c>
      <c r="E85">
        <v>-6.7500000000000004E-2</v>
      </c>
      <c r="F85">
        <v>1.17E-2</v>
      </c>
      <c r="G85">
        <v>0.05</v>
      </c>
      <c r="H85">
        <v>-2.1507999999999998</v>
      </c>
      <c r="I85">
        <v>0</v>
      </c>
      <c r="J85">
        <v>0</v>
      </c>
      <c r="K85">
        <v>0</v>
      </c>
      <c r="L85">
        <v>0.35580000000000001</v>
      </c>
    </row>
    <row r="86" spans="1:12" x14ac:dyDescent="0.35">
      <c r="A86">
        <v>1.55</v>
      </c>
      <c r="B86">
        <v>0.64380000000000004</v>
      </c>
      <c r="C86">
        <v>7.3499999999999998E-3</v>
      </c>
      <c r="D86">
        <v>2.2100000000000002E-3</v>
      </c>
      <c r="E86">
        <v>-6.7100000000000007E-2</v>
      </c>
      <c r="F86">
        <v>1.1299999999999999E-2</v>
      </c>
      <c r="G86">
        <v>0.05</v>
      </c>
      <c r="H86">
        <v>-2.2749999999999999</v>
      </c>
      <c r="I86">
        <v>0</v>
      </c>
      <c r="J86">
        <v>0</v>
      </c>
      <c r="K86">
        <v>0</v>
      </c>
      <c r="L86">
        <v>0.35320000000000001</v>
      </c>
    </row>
    <row r="87" spans="1:12" x14ac:dyDescent="0.35">
      <c r="A87">
        <v>1.6</v>
      </c>
      <c r="B87">
        <v>0.65490000000000004</v>
      </c>
      <c r="C87">
        <v>7.43E-3</v>
      </c>
      <c r="D87">
        <v>2.31E-3</v>
      </c>
      <c r="E87">
        <v>-6.6600000000000006E-2</v>
      </c>
      <c r="F87">
        <v>1.11E-2</v>
      </c>
      <c r="G87">
        <v>0.05</v>
      </c>
      <c r="H87">
        <v>-2.3980999999999999</v>
      </c>
      <c r="I87">
        <v>0</v>
      </c>
      <c r="J87">
        <v>0</v>
      </c>
      <c r="K87">
        <v>0</v>
      </c>
      <c r="L87">
        <v>0.35060000000000002</v>
      </c>
    </row>
    <row r="88" spans="1:12" x14ac:dyDescent="0.35">
      <c r="A88">
        <v>1.65</v>
      </c>
      <c r="B88">
        <v>0.66579999999999995</v>
      </c>
      <c r="C88">
        <v>7.5199999999999998E-3</v>
      </c>
      <c r="D88">
        <v>2.4399999999999999E-3</v>
      </c>
      <c r="E88">
        <v>-6.6000000000000003E-2</v>
      </c>
      <c r="F88">
        <v>1.0800000000000001E-2</v>
      </c>
      <c r="G88">
        <v>0.05</v>
      </c>
      <c r="H88">
        <v>-2.5173999999999999</v>
      </c>
      <c r="I88">
        <v>0</v>
      </c>
      <c r="J88">
        <v>0</v>
      </c>
      <c r="K88">
        <v>0</v>
      </c>
      <c r="L88">
        <v>0.34799999999999998</v>
      </c>
    </row>
    <row r="89" spans="1:12" x14ac:dyDescent="0.35">
      <c r="A89">
        <v>1.7</v>
      </c>
      <c r="B89">
        <v>0.67630000000000001</v>
      </c>
      <c r="C89">
        <v>7.6299999999999996E-3</v>
      </c>
      <c r="D89">
        <v>2.5999999999999999E-3</v>
      </c>
      <c r="E89">
        <v>-6.5299999999999997E-2</v>
      </c>
      <c r="F89">
        <v>1.0500000000000001E-2</v>
      </c>
      <c r="G89">
        <v>0.05</v>
      </c>
      <c r="H89">
        <v>-2.6314000000000002</v>
      </c>
      <c r="I89">
        <v>0</v>
      </c>
      <c r="J89">
        <v>0</v>
      </c>
      <c r="K89">
        <v>0</v>
      </c>
      <c r="L89">
        <v>0.34539999999999998</v>
      </c>
    </row>
    <row r="90" spans="1:12" x14ac:dyDescent="0.35">
      <c r="A90">
        <v>1.75</v>
      </c>
      <c r="B90">
        <v>0.6865</v>
      </c>
      <c r="C90">
        <v>7.77E-3</v>
      </c>
      <c r="D90">
        <v>2.7799999999999999E-3</v>
      </c>
      <c r="E90">
        <v>-6.4500000000000002E-2</v>
      </c>
      <c r="F90">
        <v>1.0200000000000001E-2</v>
      </c>
      <c r="G90">
        <v>0.05</v>
      </c>
      <c r="H90">
        <v>-2.7364000000000002</v>
      </c>
      <c r="I90">
        <v>0</v>
      </c>
      <c r="J90">
        <v>0</v>
      </c>
      <c r="K90">
        <v>0</v>
      </c>
      <c r="L90">
        <v>0.34279999999999999</v>
      </c>
    </row>
    <row r="91" spans="1:12" x14ac:dyDescent="0.35">
      <c r="A91">
        <v>1.8</v>
      </c>
      <c r="B91">
        <v>0.69610000000000005</v>
      </c>
      <c r="C91">
        <v>7.9399999999999991E-3</v>
      </c>
      <c r="D91">
        <v>3.0000000000000001E-3</v>
      </c>
      <c r="E91">
        <v>-6.3600000000000004E-2</v>
      </c>
      <c r="F91">
        <v>9.9000000000000008E-3</v>
      </c>
      <c r="G91">
        <v>0.05</v>
      </c>
      <c r="H91">
        <v>-2.8279000000000001</v>
      </c>
      <c r="I91">
        <v>0</v>
      </c>
      <c r="J91">
        <v>0</v>
      </c>
      <c r="K91">
        <v>0</v>
      </c>
      <c r="L91">
        <v>0.3402</v>
      </c>
    </row>
    <row r="92" spans="1:12" x14ac:dyDescent="0.35">
      <c r="A92">
        <v>1.85</v>
      </c>
      <c r="B92">
        <v>0.70530000000000004</v>
      </c>
      <c r="C92">
        <v>8.1399999999999997E-3</v>
      </c>
      <c r="D92">
        <v>3.2499999999999999E-3</v>
      </c>
      <c r="E92">
        <v>-6.2700000000000006E-2</v>
      </c>
      <c r="F92">
        <v>9.5999999999999992E-3</v>
      </c>
      <c r="G92">
        <v>0.05</v>
      </c>
      <c r="H92">
        <v>-2.9011999999999998</v>
      </c>
      <c r="I92">
        <v>0</v>
      </c>
      <c r="J92">
        <v>0</v>
      </c>
      <c r="K92">
        <v>0</v>
      </c>
      <c r="L92">
        <v>0.33760000000000001</v>
      </c>
    </row>
    <row r="93" spans="1:12" x14ac:dyDescent="0.35">
      <c r="A93">
        <v>1.9</v>
      </c>
      <c r="B93">
        <v>0.71399999999999997</v>
      </c>
      <c r="C93">
        <v>8.3599999999999994E-3</v>
      </c>
      <c r="D93">
        <v>3.5200000000000001E-3</v>
      </c>
      <c r="E93">
        <v>-6.1600000000000002E-2</v>
      </c>
      <c r="F93">
        <v>9.2999999999999992E-3</v>
      </c>
      <c r="G93">
        <v>0.05</v>
      </c>
      <c r="H93">
        <v>-2.9565000000000001</v>
      </c>
      <c r="I93">
        <v>0</v>
      </c>
      <c r="J93">
        <v>0</v>
      </c>
      <c r="K93">
        <v>0</v>
      </c>
      <c r="L93">
        <v>0.33500000000000002</v>
      </c>
    </row>
    <row r="94" spans="1:12" x14ac:dyDescent="0.35">
      <c r="A94">
        <v>1.95</v>
      </c>
      <c r="B94">
        <v>0.72230000000000005</v>
      </c>
      <c r="C94">
        <v>8.5900000000000004E-3</v>
      </c>
      <c r="D94">
        <v>3.8E-3</v>
      </c>
      <c r="E94">
        <v>-6.0499999999999998E-2</v>
      </c>
      <c r="F94">
        <v>9.1000000000000004E-3</v>
      </c>
      <c r="G94">
        <v>0.05</v>
      </c>
      <c r="H94">
        <v>-2.9973999999999998</v>
      </c>
      <c r="I94">
        <v>0</v>
      </c>
      <c r="J94">
        <v>0</v>
      </c>
      <c r="K94">
        <v>0</v>
      </c>
      <c r="L94">
        <v>0.33239999999999997</v>
      </c>
    </row>
    <row r="95" spans="1:12" x14ac:dyDescent="0.35">
      <c r="A95">
        <v>2</v>
      </c>
      <c r="B95">
        <v>0.73050000000000004</v>
      </c>
      <c r="C95">
        <v>8.8400000000000006E-3</v>
      </c>
      <c r="D95">
        <v>4.1000000000000003E-3</v>
      </c>
      <c r="E95">
        <v>-5.9299999999999999E-2</v>
      </c>
      <c r="F95">
        <v>8.8999999999999999E-3</v>
      </c>
      <c r="G95">
        <v>0.05</v>
      </c>
      <c r="H95">
        <v>-3.0278</v>
      </c>
      <c r="I95">
        <v>0</v>
      </c>
      <c r="J95">
        <v>0</v>
      </c>
      <c r="K95">
        <v>0</v>
      </c>
      <c r="L95">
        <v>0.32990000000000003</v>
      </c>
    </row>
    <row r="96" spans="1:12" x14ac:dyDescent="0.35">
      <c r="A96">
        <v>2.0499999999999998</v>
      </c>
      <c r="B96">
        <v>0.73870000000000002</v>
      </c>
      <c r="C96">
        <v>9.11E-3</v>
      </c>
      <c r="D96">
        <v>4.4099999999999999E-3</v>
      </c>
      <c r="E96">
        <v>-5.8200000000000002E-2</v>
      </c>
      <c r="F96">
        <v>8.8000000000000005E-3</v>
      </c>
      <c r="G96">
        <v>0.05</v>
      </c>
      <c r="H96">
        <v>-3.0514000000000001</v>
      </c>
      <c r="I96">
        <v>0</v>
      </c>
      <c r="J96">
        <v>0</v>
      </c>
      <c r="K96">
        <v>0</v>
      </c>
      <c r="L96">
        <v>0.32740000000000002</v>
      </c>
    </row>
    <row r="97" spans="1:12" x14ac:dyDescent="0.35">
      <c r="A97">
        <v>2.1</v>
      </c>
      <c r="B97">
        <v>0.74709999999999999</v>
      </c>
      <c r="C97">
        <v>9.3799999999999994E-3</v>
      </c>
      <c r="D97">
        <v>4.7299999999999998E-3</v>
      </c>
      <c r="E97">
        <v>-5.7000000000000002E-2</v>
      </c>
      <c r="F97">
        <v>8.6E-3</v>
      </c>
      <c r="G97">
        <v>0.05</v>
      </c>
      <c r="H97">
        <v>-3.0709</v>
      </c>
      <c r="I97">
        <v>0</v>
      </c>
      <c r="J97">
        <v>0</v>
      </c>
      <c r="K97">
        <v>0</v>
      </c>
      <c r="L97">
        <v>0.32490000000000002</v>
      </c>
    </row>
    <row r="98" spans="1:12" x14ac:dyDescent="0.35">
      <c r="A98">
        <v>2.15</v>
      </c>
      <c r="B98">
        <v>0.75560000000000005</v>
      </c>
      <c r="C98">
        <v>9.6699999999999998E-3</v>
      </c>
      <c r="D98">
        <v>5.0699999999999999E-3</v>
      </c>
      <c r="E98">
        <v>-5.5800000000000002E-2</v>
      </c>
      <c r="F98">
        <v>8.5000000000000006E-3</v>
      </c>
      <c r="G98">
        <v>0.05</v>
      </c>
      <c r="H98">
        <v>-3.0871</v>
      </c>
      <c r="I98">
        <v>0</v>
      </c>
      <c r="J98">
        <v>0</v>
      </c>
      <c r="K98">
        <v>0</v>
      </c>
      <c r="L98">
        <v>0.32250000000000001</v>
      </c>
    </row>
    <row r="99" spans="1:12" x14ac:dyDescent="0.35">
      <c r="A99">
        <v>2.2000000000000002</v>
      </c>
      <c r="B99">
        <v>0.76449999999999996</v>
      </c>
      <c r="C99">
        <v>9.9699999999999997E-3</v>
      </c>
      <c r="D99">
        <v>5.4200000000000003E-3</v>
      </c>
      <c r="E99">
        <v>-5.4699999999999999E-2</v>
      </c>
      <c r="F99">
        <v>8.5000000000000006E-3</v>
      </c>
      <c r="G99">
        <v>0.05</v>
      </c>
      <c r="H99">
        <v>-3.1004</v>
      </c>
      <c r="I99">
        <v>0</v>
      </c>
      <c r="J99">
        <v>0</v>
      </c>
      <c r="K99">
        <v>0</v>
      </c>
      <c r="L99">
        <v>0.3201</v>
      </c>
    </row>
    <row r="100" spans="1:12" x14ac:dyDescent="0.35">
      <c r="A100">
        <v>2.25</v>
      </c>
      <c r="B100">
        <v>0.77380000000000004</v>
      </c>
      <c r="C100">
        <v>1.0290000000000001E-2</v>
      </c>
      <c r="D100">
        <v>5.79E-3</v>
      </c>
      <c r="E100">
        <v>-5.3600000000000002E-2</v>
      </c>
      <c r="F100">
        <v>8.3999999999999995E-3</v>
      </c>
      <c r="G100">
        <v>0.05</v>
      </c>
      <c r="H100">
        <v>-3.1116999999999999</v>
      </c>
      <c r="I100">
        <v>0</v>
      </c>
      <c r="J100">
        <v>0</v>
      </c>
      <c r="K100">
        <v>0</v>
      </c>
      <c r="L100">
        <v>0.31780000000000003</v>
      </c>
    </row>
    <row r="101" spans="1:12" x14ac:dyDescent="0.35">
      <c r="A101">
        <v>2.2999999999999998</v>
      </c>
      <c r="B101">
        <v>0.78339999999999999</v>
      </c>
      <c r="C101">
        <v>1.064E-2</v>
      </c>
      <c r="D101">
        <v>6.1799999999999997E-3</v>
      </c>
      <c r="E101">
        <v>-5.2499999999999998E-2</v>
      </c>
      <c r="F101">
        <v>8.3000000000000001E-3</v>
      </c>
      <c r="G101">
        <v>0.05</v>
      </c>
      <c r="H101">
        <v>-3.1212</v>
      </c>
      <c r="I101">
        <v>0</v>
      </c>
      <c r="J101">
        <v>0</v>
      </c>
      <c r="K101">
        <v>0</v>
      </c>
      <c r="L101">
        <v>0.3155</v>
      </c>
    </row>
    <row r="102" spans="1:12" x14ac:dyDescent="0.35">
      <c r="A102">
        <v>2.35</v>
      </c>
      <c r="B102">
        <v>0.79349999999999998</v>
      </c>
      <c r="C102">
        <v>1.0999999999999999E-2</v>
      </c>
      <c r="D102">
        <v>6.5900000000000004E-3</v>
      </c>
      <c r="E102">
        <v>-5.1499999999999997E-2</v>
      </c>
      <c r="F102">
        <v>8.2000000000000007E-3</v>
      </c>
      <c r="G102">
        <v>0.05</v>
      </c>
      <c r="H102">
        <v>-3.1286</v>
      </c>
      <c r="I102">
        <v>0</v>
      </c>
      <c r="J102">
        <v>0</v>
      </c>
      <c r="K102">
        <v>0</v>
      </c>
      <c r="L102">
        <v>0.31340000000000001</v>
      </c>
    </row>
    <row r="103" spans="1:12" x14ac:dyDescent="0.35">
      <c r="A103">
        <v>2.4</v>
      </c>
      <c r="B103">
        <v>0.80369999999999997</v>
      </c>
      <c r="C103">
        <v>1.1390000000000001E-2</v>
      </c>
      <c r="D103">
        <v>7.0400000000000003E-3</v>
      </c>
      <c r="E103">
        <v>-5.0500000000000003E-2</v>
      </c>
      <c r="F103">
        <v>8.2000000000000007E-3</v>
      </c>
      <c r="G103">
        <v>0.05</v>
      </c>
      <c r="H103">
        <v>-3.1341999999999999</v>
      </c>
      <c r="I103">
        <v>0</v>
      </c>
      <c r="J103">
        <v>0</v>
      </c>
      <c r="K103">
        <v>0</v>
      </c>
      <c r="L103">
        <v>0.31119999999999998</v>
      </c>
    </row>
    <row r="104" spans="1:12" x14ac:dyDescent="0.35">
      <c r="A104">
        <v>2.4500000000000002</v>
      </c>
      <c r="B104">
        <v>0.81399999999999995</v>
      </c>
      <c r="C104">
        <v>1.1809999999999999E-2</v>
      </c>
      <c r="D104">
        <v>7.5199999999999998E-3</v>
      </c>
      <c r="E104">
        <v>-4.9500000000000002E-2</v>
      </c>
      <c r="F104">
        <v>8.2000000000000007E-3</v>
      </c>
      <c r="G104">
        <v>0.05</v>
      </c>
      <c r="H104">
        <v>-3.1374</v>
      </c>
      <c r="I104">
        <v>0</v>
      </c>
      <c r="J104">
        <v>0</v>
      </c>
      <c r="K104">
        <v>0</v>
      </c>
      <c r="L104">
        <v>0.30919999999999997</v>
      </c>
    </row>
    <row r="105" spans="1:12" x14ac:dyDescent="0.35">
      <c r="A105">
        <v>2.5</v>
      </c>
      <c r="B105">
        <v>0.82430000000000003</v>
      </c>
      <c r="C105">
        <v>1.226E-2</v>
      </c>
      <c r="D105">
        <v>8.0300000000000007E-3</v>
      </c>
      <c r="E105">
        <v>-4.8500000000000001E-2</v>
      </c>
      <c r="F105">
        <v>8.0999999999999996E-3</v>
      </c>
      <c r="G105">
        <v>0.05</v>
      </c>
      <c r="H105">
        <v>-3.1383000000000001</v>
      </c>
      <c r="I105">
        <v>0</v>
      </c>
      <c r="J105">
        <v>0</v>
      </c>
      <c r="K105">
        <v>0</v>
      </c>
      <c r="L105">
        <v>0.30719999999999997</v>
      </c>
    </row>
    <row r="106" spans="1:12" x14ac:dyDescent="0.35">
      <c r="A106">
        <v>2.5499999999999998</v>
      </c>
      <c r="B106">
        <v>0.83430000000000004</v>
      </c>
      <c r="C106">
        <v>1.274E-2</v>
      </c>
      <c r="D106">
        <v>8.5699999999999995E-3</v>
      </c>
      <c r="E106">
        <v>-4.7399999999999998E-2</v>
      </c>
      <c r="F106">
        <v>8.0999999999999996E-3</v>
      </c>
      <c r="G106">
        <v>0.05</v>
      </c>
      <c r="H106">
        <v>-3.1372</v>
      </c>
      <c r="I106">
        <v>0</v>
      </c>
      <c r="J106">
        <v>0</v>
      </c>
      <c r="K106">
        <v>0</v>
      </c>
      <c r="L106">
        <v>0.30520000000000003</v>
      </c>
    </row>
    <row r="107" spans="1:12" x14ac:dyDescent="0.35">
      <c r="A107">
        <v>2.6</v>
      </c>
      <c r="B107">
        <v>0.84379999999999999</v>
      </c>
      <c r="C107">
        <v>1.325E-2</v>
      </c>
      <c r="D107">
        <v>9.1400000000000006E-3</v>
      </c>
      <c r="E107">
        <v>-4.6399999999999997E-2</v>
      </c>
      <c r="F107">
        <v>8.0000000000000002E-3</v>
      </c>
      <c r="G107">
        <v>0.05</v>
      </c>
      <c r="H107">
        <v>-3.1358000000000001</v>
      </c>
      <c r="I107">
        <v>0</v>
      </c>
      <c r="J107">
        <v>0</v>
      </c>
      <c r="K107">
        <v>0</v>
      </c>
      <c r="L107">
        <v>0.30330000000000001</v>
      </c>
    </row>
    <row r="108" spans="1:12" x14ac:dyDescent="0.35">
      <c r="A108">
        <v>2.65</v>
      </c>
      <c r="B108">
        <v>0.8528</v>
      </c>
      <c r="C108">
        <v>1.3780000000000001E-2</v>
      </c>
      <c r="D108">
        <v>9.75E-3</v>
      </c>
      <c r="E108">
        <v>-4.53E-2</v>
      </c>
      <c r="F108">
        <v>7.9000000000000008E-3</v>
      </c>
      <c r="G108">
        <v>0.05</v>
      </c>
      <c r="H108">
        <v>-3.1353</v>
      </c>
      <c r="I108">
        <v>0</v>
      </c>
      <c r="J108">
        <v>0</v>
      </c>
      <c r="K108">
        <v>0</v>
      </c>
      <c r="L108">
        <v>0.3014</v>
      </c>
    </row>
    <row r="109" spans="1:12" x14ac:dyDescent="0.35">
      <c r="A109">
        <v>2.7</v>
      </c>
      <c r="B109">
        <v>0.86119999999999997</v>
      </c>
      <c r="C109">
        <v>1.434E-2</v>
      </c>
      <c r="D109">
        <v>1.038E-2</v>
      </c>
      <c r="E109">
        <v>-4.4200000000000003E-2</v>
      </c>
      <c r="F109">
        <v>7.7999999999999996E-3</v>
      </c>
      <c r="G109">
        <v>0.05</v>
      </c>
      <c r="H109">
        <v>-3.1353</v>
      </c>
      <c r="I109">
        <v>0</v>
      </c>
      <c r="J109">
        <v>0</v>
      </c>
      <c r="K109">
        <v>0</v>
      </c>
      <c r="L109">
        <v>0.29949999999999999</v>
      </c>
    </row>
    <row r="110" spans="1:12" x14ac:dyDescent="0.35">
      <c r="A110">
        <v>2.75</v>
      </c>
      <c r="B110">
        <v>0.86890000000000001</v>
      </c>
      <c r="C110">
        <v>1.4919999999999999E-2</v>
      </c>
      <c r="D110">
        <v>1.102E-2</v>
      </c>
      <c r="E110">
        <v>-4.2999999999999997E-2</v>
      </c>
      <c r="F110">
        <v>7.7999999999999996E-3</v>
      </c>
      <c r="G110">
        <v>0.05</v>
      </c>
      <c r="H110">
        <v>-3.1339999999999999</v>
      </c>
      <c r="I110">
        <v>0</v>
      </c>
      <c r="J110">
        <v>0</v>
      </c>
      <c r="K110">
        <v>0</v>
      </c>
      <c r="L110">
        <v>0.29770000000000002</v>
      </c>
    </row>
    <row r="111" spans="1:12" x14ac:dyDescent="0.35">
      <c r="A111">
        <v>2.8</v>
      </c>
      <c r="B111">
        <v>0.876</v>
      </c>
      <c r="C111">
        <v>1.5509999999999999E-2</v>
      </c>
      <c r="D111">
        <v>1.17E-2</v>
      </c>
      <c r="E111">
        <v>-4.1799999999999997E-2</v>
      </c>
      <c r="F111">
        <v>7.7999999999999996E-3</v>
      </c>
      <c r="G111">
        <v>0.05</v>
      </c>
      <c r="H111">
        <v>-3.1307999999999998</v>
      </c>
      <c r="I111">
        <v>0</v>
      </c>
      <c r="J111">
        <v>0</v>
      </c>
      <c r="K111">
        <v>0</v>
      </c>
      <c r="L111">
        <v>0.29599999999999999</v>
      </c>
    </row>
    <row r="112" spans="1:12" x14ac:dyDescent="0.35">
      <c r="A112">
        <v>2.85</v>
      </c>
      <c r="B112">
        <v>0.88239999999999996</v>
      </c>
      <c r="C112">
        <v>1.6129999999999999E-2</v>
      </c>
      <c r="D112">
        <v>1.239E-2</v>
      </c>
      <c r="E112">
        <v>-4.07E-2</v>
      </c>
      <c r="F112">
        <v>7.7999999999999996E-3</v>
      </c>
      <c r="G112">
        <v>0.05</v>
      </c>
      <c r="H112">
        <v>-3.1251000000000002</v>
      </c>
      <c r="I112">
        <v>0</v>
      </c>
      <c r="J112">
        <v>0</v>
      </c>
      <c r="K112">
        <v>0</v>
      </c>
      <c r="L112">
        <v>0.29430000000000001</v>
      </c>
    </row>
    <row r="113" spans="1:12" x14ac:dyDescent="0.35">
      <c r="A113">
        <v>2.9</v>
      </c>
      <c r="B113">
        <v>0.88800000000000001</v>
      </c>
      <c r="C113">
        <v>1.678E-2</v>
      </c>
      <c r="D113">
        <v>1.3100000000000001E-2</v>
      </c>
      <c r="E113">
        <v>-3.95E-2</v>
      </c>
      <c r="F113">
        <v>7.7999999999999996E-3</v>
      </c>
      <c r="G113">
        <v>0.05</v>
      </c>
      <c r="H113">
        <v>-3.1168999999999998</v>
      </c>
      <c r="I113">
        <v>0</v>
      </c>
      <c r="J113">
        <v>0</v>
      </c>
      <c r="K113">
        <v>0</v>
      </c>
      <c r="L113">
        <v>0.29260000000000003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A4926-598B-43B7-8A58-B114FB133F08}">
  <sheetPr codeName="Sheet28"/>
  <dimension ref="A1:L170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-5</v>
      </c>
      <c r="B2">
        <v>-0.38109999999999999</v>
      </c>
      <c r="C2">
        <v>5.985E-2</v>
      </c>
      <c r="D2">
        <v>5.6579999999999998E-2</v>
      </c>
      <c r="E2">
        <v>-5.0599999999999999E-2</v>
      </c>
      <c r="F2">
        <v>0.05</v>
      </c>
      <c r="G2">
        <v>2.0999999999999999E-3</v>
      </c>
      <c r="H2">
        <v>-2.4293999999999998</v>
      </c>
      <c r="I2">
        <v>0</v>
      </c>
      <c r="J2">
        <v>0</v>
      </c>
      <c r="K2">
        <v>0</v>
      </c>
      <c r="L2">
        <v>0.1144</v>
      </c>
    </row>
    <row r="3" spans="1:12" x14ac:dyDescent="0.35">
      <c r="A3">
        <v>-4.95</v>
      </c>
      <c r="B3">
        <v>-0.37940000000000002</v>
      </c>
      <c r="C3">
        <v>5.8990000000000001E-2</v>
      </c>
      <c r="D3">
        <v>5.5730000000000002E-2</v>
      </c>
      <c r="E3">
        <v>-5.1200000000000002E-2</v>
      </c>
      <c r="F3">
        <v>0.05</v>
      </c>
      <c r="G3">
        <v>2.0999999999999999E-3</v>
      </c>
      <c r="H3">
        <v>-2.44</v>
      </c>
      <c r="I3">
        <v>0</v>
      </c>
      <c r="J3">
        <v>0</v>
      </c>
      <c r="K3">
        <v>0</v>
      </c>
      <c r="L3">
        <v>0.11219999999999999</v>
      </c>
    </row>
    <row r="4" spans="1:12" x14ac:dyDescent="0.35">
      <c r="A4">
        <v>-4.9000000000000004</v>
      </c>
      <c r="B4">
        <v>-0.37780000000000002</v>
      </c>
      <c r="C4">
        <v>5.8139999999999997E-2</v>
      </c>
      <c r="D4">
        <v>5.4879999999999998E-2</v>
      </c>
      <c r="E4">
        <v>-5.1799999999999999E-2</v>
      </c>
      <c r="F4">
        <v>0.05</v>
      </c>
      <c r="G4">
        <v>2.0999999999999999E-3</v>
      </c>
      <c r="H4">
        <v>-2.4506999999999999</v>
      </c>
      <c r="I4">
        <v>0</v>
      </c>
      <c r="J4">
        <v>0</v>
      </c>
      <c r="K4">
        <v>0</v>
      </c>
      <c r="L4">
        <v>0.11</v>
      </c>
    </row>
    <row r="5" spans="1:12" x14ac:dyDescent="0.35">
      <c r="A5">
        <v>-4.8499999999999996</v>
      </c>
      <c r="B5">
        <v>-0.37619999999999998</v>
      </c>
      <c r="C5">
        <v>5.7290000000000001E-2</v>
      </c>
      <c r="D5">
        <v>5.4030000000000002E-2</v>
      </c>
      <c r="E5">
        <v>-5.2499999999999998E-2</v>
      </c>
      <c r="F5">
        <v>0.05</v>
      </c>
      <c r="G5">
        <v>2.0999999999999999E-3</v>
      </c>
      <c r="H5">
        <v>-2.4615</v>
      </c>
      <c r="I5">
        <v>0</v>
      </c>
      <c r="J5">
        <v>0</v>
      </c>
      <c r="K5">
        <v>0</v>
      </c>
      <c r="L5">
        <v>0.1077</v>
      </c>
    </row>
    <row r="6" spans="1:12" x14ac:dyDescent="0.35">
      <c r="A6">
        <v>-4.8</v>
      </c>
      <c r="B6">
        <v>-0.37469999999999998</v>
      </c>
      <c r="C6">
        <v>5.6430000000000001E-2</v>
      </c>
      <c r="D6">
        <v>5.3179999999999998E-2</v>
      </c>
      <c r="E6">
        <v>-5.3199999999999997E-2</v>
      </c>
      <c r="F6">
        <v>0.05</v>
      </c>
      <c r="G6">
        <v>2.0999999999999999E-3</v>
      </c>
      <c r="H6">
        <v>-2.4723000000000002</v>
      </c>
      <c r="I6">
        <v>0</v>
      </c>
      <c r="J6">
        <v>0</v>
      </c>
      <c r="K6">
        <v>0</v>
      </c>
      <c r="L6">
        <v>0.10539999999999999</v>
      </c>
    </row>
    <row r="7" spans="1:12" x14ac:dyDescent="0.35">
      <c r="A7">
        <v>-4.75</v>
      </c>
      <c r="B7">
        <v>-0.37319999999999998</v>
      </c>
      <c r="C7">
        <v>5.5579999999999997E-2</v>
      </c>
      <c r="D7">
        <v>5.2319999999999998E-2</v>
      </c>
      <c r="E7">
        <v>-5.3800000000000001E-2</v>
      </c>
      <c r="F7">
        <v>0.05</v>
      </c>
      <c r="G7">
        <v>2.0999999999999999E-3</v>
      </c>
      <c r="H7">
        <v>-2.4832000000000001</v>
      </c>
      <c r="I7">
        <v>0</v>
      </c>
      <c r="J7">
        <v>0</v>
      </c>
      <c r="K7">
        <v>0</v>
      </c>
      <c r="L7">
        <v>0.10299999999999999</v>
      </c>
    </row>
    <row r="8" spans="1:12" x14ac:dyDescent="0.35">
      <c r="A8">
        <v>-4.7</v>
      </c>
      <c r="B8">
        <v>-0.37169999999999997</v>
      </c>
      <c r="C8">
        <v>5.4719999999999998E-2</v>
      </c>
      <c r="D8">
        <v>5.1470000000000002E-2</v>
      </c>
      <c r="E8">
        <v>-5.45E-2</v>
      </c>
      <c r="F8">
        <v>0.05</v>
      </c>
      <c r="G8">
        <v>2.0999999999999999E-3</v>
      </c>
      <c r="H8">
        <v>-2.4942000000000002</v>
      </c>
      <c r="I8">
        <v>0</v>
      </c>
      <c r="J8">
        <v>0</v>
      </c>
      <c r="K8">
        <v>0</v>
      </c>
      <c r="L8">
        <v>0.10059999999999999</v>
      </c>
    </row>
    <row r="9" spans="1:12" x14ac:dyDescent="0.35">
      <c r="A9">
        <v>-4.6500000000000004</v>
      </c>
      <c r="B9">
        <v>-0.37030000000000002</v>
      </c>
      <c r="C9">
        <v>5.3859999999999998E-2</v>
      </c>
      <c r="D9">
        <v>5.0610000000000002E-2</v>
      </c>
      <c r="E9">
        <v>-5.5199999999999999E-2</v>
      </c>
      <c r="F9">
        <v>0.05</v>
      </c>
      <c r="G9">
        <v>2.2000000000000001E-3</v>
      </c>
      <c r="H9">
        <v>-2.5053999999999998</v>
      </c>
      <c r="I9">
        <v>0</v>
      </c>
      <c r="J9">
        <v>0</v>
      </c>
      <c r="K9">
        <v>0</v>
      </c>
      <c r="L9">
        <v>9.8199999999999996E-2</v>
      </c>
    </row>
    <row r="10" spans="1:12" x14ac:dyDescent="0.35">
      <c r="A10">
        <v>-4.5999999999999996</v>
      </c>
      <c r="B10">
        <v>-0.36890000000000001</v>
      </c>
      <c r="C10">
        <v>5.2999999999999999E-2</v>
      </c>
      <c r="D10">
        <v>4.9750000000000003E-2</v>
      </c>
      <c r="E10">
        <v>-5.6000000000000001E-2</v>
      </c>
      <c r="F10">
        <v>0.05</v>
      </c>
      <c r="G10">
        <v>2.2000000000000001E-3</v>
      </c>
      <c r="H10">
        <v>-2.5167000000000002</v>
      </c>
      <c r="I10">
        <v>0</v>
      </c>
      <c r="J10">
        <v>0</v>
      </c>
      <c r="K10">
        <v>0</v>
      </c>
      <c r="L10">
        <v>9.5699999999999993E-2</v>
      </c>
    </row>
    <row r="11" spans="1:12" x14ac:dyDescent="0.35">
      <c r="A11">
        <v>-4.55</v>
      </c>
      <c r="B11">
        <v>-0.36749999999999999</v>
      </c>
      <c r="C11">
        <v>5.2130000000000003E-2</v>
      </c>
      <c r="D11">
        <v>4.8890000000000003E-2</v>
      </c>
      <c r="E11">
        <v>-5.67E-2</v>
      </c>
      <c r="F11">
        <v>0.05</v>
      </c>
      <c r="G11">
        <v>2.2000000000000001E-3</v>
      </c>
      <c r="H11">
        <v>-2.5282</v>
      </c>
      <c r="I11">
        <v>0</v>
      </c>
      <c r="J11">
        <v>0</v>
      </c>
      <c r="K11">
        <v>0</v>
      </c>
      <c r="L11">
        <v>9.3100000000000002E-2</v>
      </c>
    </row>
    <row r="12" spans="1:12" x14ac:dyDescent="0.35">
      <c r="A12">
        <v>-4.5</v>
      </c>
      <c r="B12">
        <v>-0.36630000000000001</v>
      </c>
      <c r="C12">
        <v>5.126E-2</v>
      </c>
      <c r="D12">
        <v>4.8030000000000003E-2</v>
      </c>
      <c r="E12">
        <v>-5.7500000000000002E-2</v>
      </c>
      <c r="F12">
        <v>0.05</v>
      </c>
      <c r="G12">
        <v>2.2000000000000001E-3</v>
      </c>
      <c r="H12">
        <v>-2.5398999999999998</v>
      </c>
      <c r="I12">
        <v>0</v>
      </c>
      <c r="J12">
        <v>0</v>
      </c>
      <c r="K12">
        <v>0</v>
      </c>
      <c r="L12">
        <v>9.0499999999999997E-2</v>
      </c>
    </row>
    <row r="13" spans="1:12" x14ac:dyDescent="0.35">
      <c r="A13">
        <v>-4.45</v>
      </c>
      <c r="B13">
        <v>-0.36509999999999998</v>
      </c>
      <c r="C13">
        <v>5.0389999999999997E-2</v>
      </c>
      <c r="D13">
        <v>4.7160000000000001E-2</v>
      </c>
      <c r="E13">
        <v>-5.8299999999999998E-2</v>
      </c>
      <c r="F13">
        <v>0.05</v>
      </c>
      <c r="G13">
        <v>2.3E-3</v>
      </c>
      <c r="H13">
        <v>-2.5518000000000001</v>
      </c>
      <c r="I13">
        <v>0</v>
      </c>
      <c r="J13">
        <v>0</v>
      </c>
      <c r="K13">
        <v>0</v>
      </c>
      <c r="L13">
        <v>8.7800000000000003E-2</v>
      </c>
    </row>
    <row r="14" spans="1:12" x14ac:dyDescent="0.35">
      <c r="A14">
        <v>-4.4000000000000004</v>
      </c>
      <c r="B14">
        <v>-0.36409999999999998</v>
      </c>
      <c r="C14">
        <v>4.9509999999999998E-2</v>
      </c>
      <c r="D14">
        <v>4.6280000000000002E-2</v>
      </c>
      <c r="E14">
        <v>-5.91E-2</v>
      </c>
      <c r="F14">
        <v>0.05</v>
      </c>
      <c r="G14">
        <v>2.3E-3</v>
      </c>
      <c r="H14">
        <v>-2.5642</v>
      </c>
      <c r="I14">
        <v>0</v>
      </c>
      <c r="J14">
        <v>0</v>
      </c>
      <c r="K14">
        <v>0</v>
      </c>
      <c r="L14">
        <v>8.5099999999999995E-2</v>
      </c>
    </row>
    <row r="15" spans="1:12" x14ac:dyDescent="0.35">
      <c r="A15">
        <v>-4.3499999999999996</v>
      </c>
      <c r="B15">
        <v>-0.36320000000000002</v>
      </c>
      <c r="C15">
        <v>4.8640000000000003E-2</v>
      </c>
      <c r="D15">
        <v>4.5409999999999999E-2</v>
      </c>
      <c r="E15">
        <v>-0.06</v>
      </c>
      <c r="F15">
        <v>0.05</v>
      </c>
      <c r="G15">
        <v>2.3E-3</v>
      </c>
      <c r="H15">
        <v>-2.577</v>
      </c>
      <c r="I15">
        <v>0</v>
      </c>
      <c r="J15">
        <v>0</v>
      </c>
      <c r="K15">
        <v>0</v>
      </c>
      <c r="L15">
        <v>8.2400000000000001E-2</v>
      </c>
    </row>
    <row r="16" spans="1:12" x14ac:dyDescent="0.35">
      <c r="A16">
        <v>-4.3</v>
      </c>
      <c r="B16">
        <v>-0.36280000000000001</v>
      </c>
      <c r="C16">
        <v>4.7780000000000003E-2</v>
      </c>
      <c r="D16">
        <v>4.4549999999999999E-2</v>
      </c>
      <c r="E16">
        <v>-6.0900000000000003E-2</v>
      </c>
      <c r="F16">
        <v>0.05</v>
      </c>
      <c r="G16">
        <v>2.3999999999999998E-3</v>
      </c>
      <c r="H16">
        <v>-2.5903999999999998</v>
      </c>
      <c r="I16">
        <v>0</v>
      </c>
      <c r="J16">
        <v>0</v>
      </c>
      <c r="K16">
        <v>0</v>
      </c>
      <c r="L16">
        <v>7.9799999999999996E-2</v>
      </c>
    </row>
    <row r="17" spans="1:12" x14ac:dyDescent="0.35">
      <c r="A17">
        <v>-4.25</v>
      </c>
      <c r="B17">
        <v>-0.3629</v>
      </c>
      <c r="C17">
        <v>4.6949999999999999E-2</v>
      </c>
      <c r="D17">
        <v>4.3729999999999998E-2</v>
      </c>
      <c r="E17">
        <v>-6.1800000000000001E-2</v>
      </c>
      <c r="F17">
        <v>0.05</v>
      </c>
      <c r="G17">
        <v>2.3999999999999998E-3</v>
      </c>
      <c r="H17">
        <v>-2.6044</v>
      </c>
      <c r="I17">
        <v>0</v>
      </c>
      <c r="J17">
        <v>0</v>
      </c>
      <c r="K17">
        <v>0</v>
      </c>
      <c r="L17">
        <v>7.7299999999999994E-2</v>
      </c>
    </row>
    <row r="18" spans="1:12" x14ac:dyDescent="0.35">
      <c r="A18">
        <v>-4.2</v>
      </c>
      <c r="B18">
        <v>-0.36270000000000002</v>
      </c>
      <c r="C18">
        <v>4.6059999999999997E-2</v>
      </c>
      <c r="D18">
        <v>4.2840000000000003E-2</v>
      </c>
      <c r="E18">
        <v>-6.3100000000000003E-2</v>
      </c>
      <c r="F18">
        <v>0.05</v>
      </c>
      <c r="G18">
        <v>2.3999999999999998E-3</v>
      </c>
      <c r="H18">
        <v>-2.6200999999999999</v>
      </c>
      <c r="I18">
        <v>0</v>
      </c>
      <c r="J18">
        <v>0</v>
      </c>
      <c r="K18">
        <v>0</v>
      </c>
      <c r="L18">
        <v>7.3800000000000004E-2</v>
      </c>
    </row>
    <row r="19" spans="1:12" x14ac:dyDescent="0.35">
      <c r="A19">
        <v>-4.1500000000000004</v>
      </c>
      <c r="B19">
        <v>-0.36120000000000002</v>
      </c>
      <c r="C19">
        <v>4.5060000000000003E-2</v>
      </c>
      <c r="D19">
        <v>4.1849999999999998E-2</v>
      </c>
      <c r="E19">
        <v>-6.4699999999999994E-2</v>
      </c>
      <c r="F19">
        <v>0.05</v>
      </c>
      <c r="G19">
        <v>2.5000000000000001E-3</v>
      </c>
      <c r="H19">
        <v>-2.6383000000000001</v>
      </c>
      <c r="I19">
        <v>0</v>
      </c>
      <c r="J19">
        <v>0</v>
      </c>
      <c r="K19">
        <v>0</v>
      </c>
      <c r="L19">
        <v>6.8500000000000005E-2</v>
      </c>
    </row>
    <row r="20" spans="1:12" x14ac:dyDescent="0.35">
      <c r="A20">
        <v>-4.0999999999999996</v>
      </c>
      <c r="B20">
        <v>-0.35959999999999998</v>
      </c>
      <c r="C20">
        <v>4.4130000000000003E-2</v>
      </c>
      <c r="D20">
        <v>4.0910000000000002E-2</v>
      </c>
      <c r="E20">
        <v>-6.6000000000000003E-2</v>
      </c>
      <c r="F20">
        <v>0.05</v>
      </c>
      <c r="G20">
        <v>2.5000000000000001E-3</v>
      </c>
      <c r="H20">
        <v>-2.6591</v>
      </c>
      <c r="I20">
        <v>0</v>
      </c>
      <c r="J20">
        <v>0</v>
      </c>
      <c r="K20">
        <v>0</v>
      </c>
      <c r="L20">
        <v>6.4199999999999993E-2</v>
      </c>
    </row>
    <row r="21" spans="1:12" x14ac:dyDescent="0.35">
      <c r="A21">
        <v>-4.05</v>
      </c>
      <c r="B21">
        <v>-0.3579</v>
      </c>
      <c r="C21">
        <v>4.3240000000000001E-2</v>
      </c>
      <c r="D21">
        <v>4.0009999999999997E-2</v>
      </c>
      <c r="E21">
        <v>-6.7000000000000004E-2</v>
      </c>
      <c r="F21">
        <v>0.05</v>
      </c>
      <c r="G21">
        <v>2.5999999999999999E-3</v>
      </c>
      <c r="H21">
        <v>-2.6732999999999998</v>
      </c>
      <c r="I21">
        <v>0</v>
      </c>
      <c r="J21">
        <v>0</v>
      </c>
      <c r="K21">
        <v>0</v>
      </c>
      <c r="L21">
        <v>6.0499999999999998E-2</v>
      </c>
    </row>
    <row r="22" spans="1:12" x14ac:dyDescent="0.35">
      <c r="A22">
        <v>-4</v>
      </c>
      <c r="B22">
        <v>-0.35610000000000003</v>
      </c>
      <c r="C22">
        <v>4.2349999999999999E-2</v>
      </c>
      <c r="D22">
        <v>3.9120000000000002E-2</v>
      </c>
      <c r="E22">
        <v>-6.8000000000000005E-2</v>
      </c>
      <c r="F22">
        <v>0.05</v>
      </c>
      <c r="G22">
        <v>2.5999999999999999E-3</v>
      </c>
      <c r="H22">
        <v>-2.6745000000000001</v>
      </c>
      <c r="I22">
        <v>0</v>
      </c>
      <c r="J22">
        <v>0</v>
      </c>
      <c r="K22">
        <v>0</v>
      </c>
      <c r="L22">
        <v>5.6899999999999999E-2</v>
      </c>
    </row>
    <row r="23" spans="1:12" x14ac:dyDescent="0.35">
      <c r="A23">
        <v>-3.95</v>
      </c>
      <c r="B23">
        <v>-0.3543</v>
      </c>
      <c r="C23">
        <v>4.1480000000000003E-2</v>
      </c>
      <c r="D23">
        <v>3.8240000000000003E-2</v>
      </c>
      <c r="E23">
        <v>-6.8900000000000003E-2</v>
      </c>
      <c r="F23">
        <v>0.05</v>
      </c>
      <c r="G23">
        <v>2.5999999999999999E-3</v>
      </c>
      <c r="H23">
        <v>-2.6758000000000002</v>
      </c>
      <c r="I23">
        <v>0</v>
      </c>
      <c r="J23">
        <v>0</v>
      </c>
      <c r="K23">
        <v>0</v>
      </c>
      <c r="L23">
        <v>5.3400000000000003E-2</v>
      </c>
    </row>
    <row r="24" spans="1:12" x14ac:dyDescent="0.35">
      <c r="A24">
        <v>-3.9</v>
      </c>
      <c r="B24">
        <v>-0.35239999999999999</v>
      </c>
      <c r="C24">
        <v>4.061E-2</v>
      </c>
      <c r="D24">
        <v>3.7359999999999997E-2</v>
      </c>
      <c r="E24">
        <v>-6.9800000000000001E-2</v>
      </c>
      <c r="F24">
        <v>0.05</v>
      </c>
      <c r="G24">
        <v>2.7000000000000001E-3</v>
      </c>
      <c r="H24">
        <v>-2.6774</v>
      </c>
      <c r="I24">
        <v>0</v>
      </c>
      <c r="J24">
        <v>0</v>
      </c>
      <c r="K24">
        <v>0</v>
      </c>
      <c r="L24">
        <v>4.99E-2</v>
      </c>
    </row>
    <row r="25" spans="1:12" x14ac:dyDescent="0.35">
      <c r="A25">
        <v>-3.85</v>
      </c>
      <c r="B25">
        <v>-0.35049999999999998</v>
      </c>
      <c r="C25">
        <v>3.9739999999999998E-2</v>
      </c>
      <c r="D25">
        <v>3.6479999999999999E-2</v>
      </c>
      <c r="E25">
        <v>-7.0599999999999996E-2</v>
      </c>
      <c r="F25">
        <v>0.05</v>
      </c>
      <c r="G25">
        <v>2.7000000000000001E-3</v>
      </c>
      <c r="H25">
        <v>-2.6791999999999998</v>
      </c>
      <c r="I25">
        <v>0</v>
      </c>
      <c r="J25">
        <v>0</v>
      </c>
      <c r="K25">
        <v>0</v>
      </c>
      <c r="L25">
        <v>4.6399999999999997E-2</v>
      </c>
    </row>
    <row r="26" spans="1:12" x14ac:dyDescent="0.35">
      <c r="A26">
        <v>-3.8</v>
      </c>
      <c r="B26">
        <v>-0.34839999999999999</v>
      </c>
      <c r="C26">
        <v>3.8879999999999998E-2</v>
      </c>
      <c r="D26">
        <v>3.5610000000000003E-2</v>
      </c>
      <c r="E26">
        <v>-7.1400000000000005E-2</v>
      </c>
      <c r="F26">
        <v>0.05</v>
      </c>
      <c r="G26">
        <v>2.7000000000000001E-3</v>
      </c>
      <c r="H26">
        <v>-2.6812999999999998</v>
      </c>
      <c r="I26">
        <v>0</v>
      </c>
      <c r="J26">
        <v>0</v>
      </c>
      <c r="K26">
        <v>0</v>
      </c>
      <c r="L26">
        <v>4.2900000000000001E-2</v>
      </c>
    </row>
    <row r="27" spans="1:12" x14ac:dyDescent="0.35">
      <c r="A27">
        <v>-3.75</v>
      </c>
      <c r="B27">
        <v>-0.34639999999999999</v>
      </c>
      <c r="C27">
        <v>3.8030000000000001E-2</v>
      </c>
      <c r="D27">
        <v>3.4750000000000003E-2</v>
      </c>
      <c r="E27">
        <v>-7.22E-2</v>
      </c>
      <c r="F27">
        <v>0.05</v>
      </c>
      <c r="G27">
        <v>2.8E-3</v>
      </c>
      <c r="H27">
        <v>-2.6837</v>
      </c>
      <c r="I27">
        <v>0</v>
      </c>
      <c r="J27">
        <v>0</v>
      </c>
      <c r="K27">
        <v>0</v>
      </c>
      <c r="L27">
        <v>3.9399999999999998E-2</v>
      </c>
    </row>
    <row r="28" spans="1:12" x14ac:dyDescent="0.35">
      <c r="A28">
        <v>-3.7</v>
      </c>
      <c r="B28">
        <v>-0.34420000000000001</v>
      </c>
      <c r="C28">
        <v>3.7179999999999998E-2</v>
      </c>
      <c r="D28">
        <v>3.3890000000000003E-2</v>
      </c>
      <c r="E28">
        <v>-7.2999999999999995E-2</v>
      </c>
      <c r="F28">
        <v>0.05</v>
      </c>
      <c r="G28">
        <v>2.8E-3</v>
      </c>
      <c r="H28">
        <v>-2.6863000000000001</v>
      </c>
      <c r="I28">
        <v>0</v>
      </c>
      <c r="J28">
        <v>0</v>
      </c>
      <c r="K28">
        <v>0</v>
      </c>
      <c r="L28">
        <v>3.5900000000000001E-2</v>
      </c>
    </row>
    <row r="29" spans="1:12" x14ac:dyDescent="0.35">
      <c r="A29">
        <v>-3.65</v>
      </c>
      <c r="B29">
        <v>-0.34189999999999998</v>
      </c>
      <c r="C29">
        <v>3.6339999999999997E-2</v>
      </c>
      <c r="D29">
        <v>3.3029999999999997E-2</v>
      </c>
      <c r="E29">
        <v>-7.3700000000000002E-2</v>
      </c>
      <c r="F29">
        <v>0.05</v>
      </c>
      <c r="G29">
        <v>2.8999999999999998E-3</v>
      </c>
      <c r="H29">
        <v>-2.6890999999999998</v>
      </c>
      <c r="I29">
        <v>0</v>
      </c>
      <c r="J29">
        <v>0</v>
      </c>
      <c r="K29">
        <v>0</v>
      </c>
      <c r="L29">
        <v>3.2399999999999998E-2</v>
      </c>
    </row>
    <row r="30" spans="1:12" x14ac:dyDescent="0.35">
      <c r="A30">
        <v>-3.6</v>
      </c>
      <c r="B30">
        <v>-0.33950000000000002</v>
      </c>
      <c r="C30">
        <v>3.5499999999999997E-2</v>
      </c>
      <c r="D30">
        <v>3.218E-2</v>
      </c>
      <c r="E30">
        <v>-7.4399999999999994E-2</v>
      </c>
      <c r="F30">
        <v>0.05</v>
      </c>
      <c r="G30">
        <v>2.8999999999999998E-3</v>
      </c>
      <c r="H30">
        <v>-2.6922000000000001</v>
      </c>
      <c r="I30">
        <v>0</v>
      </c>
      <c r="J30">
        <v>0</v>
      </c>
      <c r="K30">
        <v>0</v>
      </c>
      <c r="L30">
        <v>2.8799999999999999E-2</v>
      </c>
    </row>
    <row r="31" spans="1:12" x14ac:dyDescent="0.35">
      <c r="A31">
        <v>-3.55</v>
      </c>
      <c r="B31">
        <v>-0.33700000000000002</v>
      </c>
      <c r="C31">
        <v>3.4669999999999999E-2</v>
      </c>
      <c r="D31">
        <v>3.1329999999999997E-2</v>
      </c>
      <c r="E31">
        <v>-7.4999999999999997E-2</v>
      </c>
      <c r="F31">
        <v>0.05</v>
      </c>
      <c r="G31">
        <v>3.0000000000000001E-3</v>
      </c>
      <c r="H31">
        <v>-2.6953</v>
      </c>
      <c r="I31">
        <v>0</v>
      </c>
      <c r="J31">
        <v>0</v>
      </c>
      <c r="K31">
        <v>0</v>
      </c>
      <c r="L31">
        <v>2.52E-2</v>
      </c>
    </row>
    <row r="32" spans="1:12" x14ac:dyDescent="0.35">
      <c r="A32">
        <v>-3.5</v>
      </c>
      <c r="B32">
        <v>-0.33429999999999999</v>
      </c>
      <c r="C32">
        <v>3.3840000000000002E-2</v>
      </c>
      <c r="D32">
        <v>3.049E-2</v>
      </c>
      <c r="E32">
        <v>-7.5700000000000003E-2</v>
      </c>
      <c r="F32">
        <v>0.05</v>
      </c>
      <c r="G32">
        <v>3.0000000000000001E-3</v>
      </c>
      <c r="H32">
        <v>-2.6985000000000001</v>
      </c>
      <c r="I32">
        <v>0</v>
      </c>
      <c r="J32">
        <v>0</v>
      </c>
      <c r="K32">
        <v>0</v>
      </c>
      <c r="L32">
        <v>2.1600000000000001E-2</v>
      </c>
    </row>
    <row r="33" spans="1:12" x14ac:dyDescent="0.35">
      <c r="A33">
        <v>-3.45</v>
      </c>
      <c r="B33">
        <v>-0.33150000000000002</v>
      </c>
      <c r="C33">
        <v>3.3020000000000001E-2</v>
      </c>
      <c r="D33">
        <v>2.964E-2</v>
      </c>
      <c r="E33">
        <v>-7.6300000000000007E-2</v>
      </c>
      <c r="F33">
        <v>0.05</v>
      </c>
      <c r="G33">
        <v>3.0999999999999999E-3</v>
      </c>
      <c r="H33">
        <v>-2.7017000000000002</v>
      </c>
      <c r="I33">
        <v>0</v>
      </c>
      <c r="J33">
        <v>0</v>
      </c>
      <c r="K33">
        <v>0</v>
      </c>
      <c r="L33">
        <v>1.7899999999999999E-2</v>
      </c>
    </row>
    <row r="34" spans="1:12" x14ac:dyDescent="0.35">
      <c r="A34">
        <v>-3.4</v>
      </c>
      <c r="B34">
        <v>-0.32840000000000003</v>
      </c>
      <c r="C34">
        <v>3.2199999999999999E-2</v>
      </c>
      <c r="D34">
        <v>2.8799999999999999E-2</v>
      </c>
      <c r="E34">
        <v>-7.6799999999999993E-2</v>
      </c>
      <c r="F34">
        <v>0.05</v>
      </c>
      <c r="G34">
        <v>3.2000000000000002E-3</v>
      </c>
      <c r="H34">
        <v>-2.7046999999999999</v>
      </c>
      <c r="I34">
        <v>0</v>
      </c>
      <c r="J34">
        <v>0</v>
      </c>
      <c r="K34">
        <v>0</v>
      </c>
      <c r="L34">
        <v>1.41E-2</v>
      </c>
    </row>
    <row r="35" spans="1:12" x14ac:dyDescent="0.35">
      <c r="A35">
        <v>-3.35</v>
      </c>
      <c r="B35">
        <v>-0.32519999999999999</v>
      </c>
      <c r="C35">
        <v>3.1379999999999998E-2</v>
      </c>
      <c r="D35">
        <v>2.7959999999999999E-2</v>
      </c>
      <c r="E35">
        <v>-7.7299999999999994E-2</v>
      </c>
      <c r="F35">
        <v>0.05</v>
      </c>
      <c r="G35">
        <v>3.3E-3</v>
      </c>
      <c r="H35">
        <v>-2.7073999999999998</v>
      </c>
      <c r="I35">
        <v>0</v>
      </c>
      <c r="J35">
        <v>0</v>
      </c>
      <c r="K35">
        <v>0</v>
      </c>
      <c r="L35">
        <v>1.0200000000000001E-2</v>
      </c>
    </row>
    <row r="36" spans="1:12" x14ac:dyDescent="0.35">
      <c r="A36">
        <v>-3.3</v>
      </c>
      <c r="B36">
        <v>-0.32190000000000002</v>
      </c>
      <c r="C36">
        <v>3.057E-2</v>
      </c>
      <c r="D36">
        <v>2.7130000000000001E-2</v>
      </c>
      <c r="E36">
        <v>-7.7799999999999994E-2</v>
      </c>
      <c r="F36">
        <v>0.05</v>
      </c>
      <c r="G36">
        <v>3.3999999999999998E-3</v>
      </c>
      <c r="H36">
        <v>-2.7094999999999998</v>
      </c>
      <c r="I36">
        <v>0</v>
      </c>
      <c r="J36">
        <v>0</v>
      </c>
      <c r="K36">
        <v>0</v>
      </c>
      <c r="L36">
        <v>6.1999999999999998E-3</v>
      </c>
    </row>
    <row r="37" spans="1:12" x14ac:dyDescent="0.35">
      <c r="A37">
        <v>-3.25</v>
      </c>
      <c r="B37">
        <v>-0.31819999999999998</v>
      </c>
      <c r="C37">
        <v>2.9770000000000001E-2</v>
      </c>
      <c r="D37">
        <v>2.63E-2</v>
      </c>
      <c r="E37">
        <v>-7.8299999999999995E-2</v>
      </c>
      <c r="F37">
        <v>0.05</v>
      </c>
      <c r="G37">
        <v>3.3999999999999998E-3</v>
      </c>
      <c r="H37">
        <v>-2.7107999999999999</v>
      </c>
      <c r="I37">
        <v>0</v>
      </c>
      <c r="J37">
        <v>0</v>
      </c>
      <c r="K37">
        <v>0</v>
      </c>
      <c r="L37">
        <v>2.0999999999999999E-3</v>
      </c>
    </row>
    <row r="38" spans="1:12" x14ac:dyDescent="0.35">
      <c r="A38">
        <v>-3.2</v>
      </c>
      <c r="B38">
        <v>-0.31440000000000001</v>
      </c>
      <c r="C38">
        <v>2.8969999999999999E-2</v>
      </c>
      <c r="D38">
        <v>2.547E-2</v>
      </c>
      <c r="E38">
        <v>-7.8700000000000006E-2</v>
      </c>
      <c r="F38">
        <v>0.05</v>
      </c>
      <c r="G38">
        <v>3.5000000000000001E-3</v>
      </c>
      <c r="H38">
        <v>-2.7109999999999999</v>
      </c>
      <c r="I38">
        <v>0</v>
      </c>
      <c r="J38">
        <v>0</v>
      </c>
      <c r="K38">
        <v>0</v>
      </c>
      <c r="L38">
        <v>-2.2000000000000001E-3</v>
      </c>
    </row>
    <row r="39" spans="1:12" x14ac:dyDescent="0.35">
      <c r="A39">
        <v>-3.15</v>
      </c>
      <c r="B39">
        <v>-0.31040000000000001</v>
      </c>
      <c r="C39">
        <v>2.8170000000000001E-2</v>
      </c>
      <c r="D39">
        <v>2.4639999999999999E-2</v>
      </c>
      <c r="E39">
        <v>-7.9100000000000004E-2</v>
      </c>
      <c r="F39">
        <v>0.05</v>
      </c>
      <c r="G39">
        <v>3.5999999999999999E-3</v>
      </c>
      <c r="H39">
        <v>-2.7094999999999998</v>
      </c>
      <c r="I39">
        <v>0</v>
      </c>
      <c r="J39">
        <v>0</v>
      </c>
      <c r="K39">
        <v>0</v>
      </c>
      <c r="L39">
        <v>-6.7000000000000002E-3</v>
      </c>
    </row>
    <row r="40" spans="1:12" x14ac:dyDescent="0.35">
      <c r="A40">
        <v>-3.1</v>
      </c>
      <c r="B40">
        <v>-0.30609999999999998</v>
      </c>
      <c r="C40">
        <v>2.7380000000000002E-2</v>
      </c>
      <c r="D40">
        <v>2.3810000000000001E-2</v>
      </c>
      <c r="E40">
        <v>-7.9399999999999998E-2</v>
      </c>
      <c r="F40">
        <v>0.05</v>
      </c>
      <c r="G40">
        <v>3.7000000000000002E-3</v>
      </c>
      <c r="H40">
        <v>-2.7058</v>
      </c>
      <c r="I40">
        <v>0</v>
      </c>
      <c r="J40">
        <v>0</v>
      </c>
      <c r="K40">
        <v>0</v>
      </c>
      <c r="L40">
        <v>-1.14E-2</v>
      </c>
    </row>
    <row r="41" spans="1:12" x14ac:dyDescent="0.35">
      <c r="A41">
        <v>-3.05</v>
      </c>
      <c r="B41">
        <v>-0.30149999999999999</v>
      </c>
      <c r="C41">
        <v>2.6589999999999999E-2</v>
      </c>
      <c r="D41">
        <v>2.298E-2</v>
      </c>
      <c r="E41">
        <v>-7.9699999999999993E-2</v>
      </c>
      <c r="F41">
        <v>0.05</v>
      </c>
      <c r="G41">
        <v>3.8E-3</v>
      </c>
      <c r="H41">
        <v>-2.6993</v>
      </c>
      <c r="I41">
        <v>0</v>
      </c>
      <c r="J41">
        <v>0</v>
      </c>
      <c r="K41">
        <v>0</v>
      </c>
      <c r="L41">
        <v>-1.6199999999999999E-2</v>
      </c>
    </row>
    <row r="42" spans="1:12" x14ac:dyDescent="0.35">
      <c r="A42">
        <v>-3</v>
      </c>
      <c r="B42">
        <v>-0.29670000000000002</v>
      </c>
      <c r="C42">
        <v>2.58E-2</v>
      </c>
      <c r="D42">
        <v>2.2159999999999999E-2</v>
      </c>
      <c r="E42">
        <v>-7.9899999999999999E-2</v>
      </c>
      <c r="F42">
        <v>0.05</v>
      </c>
      <c r="G42">
        <v>3.8E-3</v>
      </c>
      <c r="H42">
        <v>-2.6894999999999998</v>
      </c>
      <c r="I42">
        <v>0</v>
      </c>
      <c r="J42">
        <v>0</v>
      </c>
      <c r="K42">
        <v>0</v>
      </c>
      <c r="L42">
        <v>-2.1399999999999999E-2</v>
      </c>
    </row>
    <row r="43" spans="1:12" x14ac:dyDescent="0.35">
      <c r="A43">
        <v>-2.95</v>
      </c>
      <c r="B43">
        <v>-0.29170000000000001</v>
      </c>
      <c r="C43">
        <v>2.5020000000000001E-2</v>
      </c>
      <c r="D43">
        <v>2.1340000000000001E-2</v>
      </c>
      <c r="E43">
        <v>-8.0100000000000005E-2</v>
      </c>
      <c r="F43">
        <v>0.05</v>
      </c>
      <c r="G43">
        <v>3.8999999999999998E-3</v>
      </c>
      <c r="H43">
        <v>-2.6757</v>
      </c>
      <c r="I43">
        <v>0</v>
      </c>
      <c r="J43">
        <v>0</v>
      </c>
      <c r="K43">
        <v>0</v>
      </c>
      <c r="L43">
        <v>-2.6800000000000001E-2</v>
      </c>
    </row>
    <row r="44" spans="1:12" x14ac:dyDescent="0.35">
      <c r="A44">
        <v>-2.9</v>
      </c>
      <c r="B44">
        <v>-0.2863</v>
      </c>
      <c r="C44">
        <v>2.4240000000000001E-2</v>
      </c>
      <c r="D44">
        <v>2.052E-2</v>
      </c>
      <c r="E44">
        <v>-8.0299999999999996E-2</v>
      </c>
      <c r="F44">
        <v>0.05</v>
      </c>
      <c r="G44">
        <v>4.0000000000000001E-3</v>
      </c>
      <c r="H44">
        <v>-2.6577999999999999</v>
      </c>
      <c r="I44">
        <v>0</v>
      </c>
      <c r="J44">
        <v>0</v>
      </c>
      <c r="K44">
        <v>0</v>
      </c>
      <c r="L44">
        <v>-3.2500000000000001E-2</v>
      </c>
    </row>
    <row r="45" spans="1:12" x14ac:dyDescent="0.35">
      <c r="A45">
        <v>-2.85</v>
      </c>
      <c r="B45">
        <v>-0.28070000000000001</v>
      </c>
      <c r="C45">
        <v>2.3480000000000001E-2</v>
      </c>
      <c r="D45">
        <v>1.9699999999999999E-2</v>
      </c>
      <c r="E45">
        <v>-8.0500000000000002E-2</v>
      </c>
      <c r="F45">
        <v>0.05</v>
      </c>
      <c r="G45">
        <v>4.1999999999999997E-3</v>
      </c>
      <c r="H45">
        <v>-2.6362999999999999</v>
      </c>
      <c r="I45">
        <v>0</v>
      </c>
      <c r="J45">
        <v>0</v>
      </c>
      <c r="K45">
        <v>0</v>
      </c>
      <c r="L45">
        <v>-3.8600000000000002E-2</v>
      </c>
    </row>
    <row r="46" spans="1:12" x14ac:dyDescent="0.35">
      <c r="A46">
        <v>-2.8</v>
      </c>
      <c r="B46">
        <v>-0.27479999999999999</v>
      </c>
      <c r="C46">
        <v>2.2710000000000001E-2</v>
      </c>
      <c r="D46">
        <v>1.8890000000000001E-2</v>
      </c>
      <c r="E46">
        <v>-8.0500000000000002E-2</v>
      </c>
      <c r="F46">
        <v>0.05</v>
      </c>
      <c r="G46">
        <v>4.1999999999999997E-3</v>
      </c>
      <c r="H46">
        <v>-2.6406000000000001</v>
      </c>
      <c r="I46">
        <v>0</v>
      </c>
      <c r="J46">
        <v>0</v>
      </c>
      <c r="K46">
        <v>0</v>
      </c>
      <c r="L46">
        <v>-4.5199999999999997E-2</v>
      </c>
    </row>
    <row r="47" spans="1:12" x14ac:dyDescent="0.35">
      <c r="A47">
        <v>-2.75</v>
      </c>
      <c r="B47">
        <v>-0.26850000000000002</v>
      </c>
      <c r="C47">
        <v>2.196E-2</v>
      </c>
      <c r="D47">
        <v>1.8089999999999998E-2</v>
      </c>
      <c r="E47">
        <v>-8.0600000000000005E-2</v>
      </c>
      <c r="F47">
        <v>0.05</v>
      </c>
      <c r="G47">
        <v>4.1999999999999997E-3</v>
      </c>
      <c r="H47">
        <v>-2.6577000000000002</v>
      </c>
      <c r="I47">
        <v>0</v>
      </c>
      <c r="J47">
        <v>0</v>
      </c>
      <c r="K47">
        <v>0</v>
      </c>
      <c r="L47">
        <v>-5.2200000000000003E-2</v>
      </c>
    </row>
    <row r="48" spans="1:12" x14ac:dyDescent="0.35">
      <c r="A48">
        <v>-2.7</v>
      </c>
      <c r="B48">
        <v>-0.26200000000000001</v>
      </c>
      <c r="C48">
        <v>2.1229999999999999E-2</v>
      </c>
      <c r="D48">
        <v>1.7299999999999999E-2</v>
      </c>
      <c r="E48">
        <v>-8.0600000000000005E-2</v>
      </c>
      <c r="F48">
        <v>0.05</v>
      </c>
      <c r="G48">
        <v>4.1999999999999997E-3</v>
      </c>
      <c r="H48">
        <v>-2.6751</v>
      </c>
      <c r="I48">
        <v>0</v>
      </c>
      <c r="J48">
        <v>0</v>
      </c>
      <c r="K48">
        <v>0</v>
      </c>
      <c r="L48">
        <v>-5.9700000000000003E-2</v>
      </c>
    </row>
    <row r="49" spans="1:12" x14ac:dyDescent="0.35">
      <c r="A49">
        <v>-2.65</v>
      </c>
      <c r="B49">
        <v>-0.25509999999999999</v>
      </c>
      <c r="C49">
        <v>2.0500000000000001E-2</v>
      </c>
      <c r="D49">
        <v>1.652E-2</v>
      </c>
      <c r="E49">
        <v>-8.0600000000000005E-2</v>
      </c>
      <c r="F49">
        <v>0.05</v>
      </c>
      <c r="G49">
        <v>4.1999999999999997E-3</v>
      </c>
      <c r="H49">
        <v>-2.6924000000000001</v>
      </c>
      <c r="I49">
        <v>0</v>
      </c>
      <c r="J49">
        <v>0</v>
      </c>
      <c r="K49">
        <v>0</v>
      </c>
      <c r="L49">
        <v>-6.7900000000000002E-2</v>
      </c>
    </row>
    <row r="50" spans="1:12" x14ac:dyDescent="0.35">
      <c r="A50">
        <v>-2.6</v>
      </c>
      <c r="B50">
        <v>-0.24790000000000001</v>
      </c>
      <c r="C50">
        <v>1.9789999999999999E-2</v>
      </c>
      <c r="D50">
        <v>1.575E-2</v>
      </c>
      <c r="E50">
        <v>-8.0500000000000002E-2</v>
      </c>
      <c r="F50">
        <v>0.05</v>
      </c>
      <c r="G50">
        <v>4.1999999999999997E-3</v>
      </c>
      <c r="H50">
        <v>-2.7090999999999998</v>
      </c>
      <c r="I50">
        <v>0</v>
      </c>
      <c r="J50">
        <v>0</v>
      </c>
      <c r="K50">
        <v>0</v>
      </c>
      <c r="L50">
        <v>-7.6799999999999993E-2</v>
      </c>
    </row>
    <row r="51" spans="1:12" x14ac:dyDescent="0.35">
      <c r="A51">
        <v>-2.5499999999999998</v>
      </c>
      <c r="B51">
        <v>-0.2404</v>
      </c>
      <c r="C51">
        <v>1.9099999999999999E-2</v>
      </c>
      <c r="D51">
        <v>1.499E-2</v>
      </c>
      <c r="E51">
        <v>-8.0399999999999999E-2</v>
      </c>
      <c r="F51">
        <v>0.05</v>
      </c>
      <c r="G51">
        <v>4.1999999999999997E-3</v>
      </c>
      <c r="H51">
        <v>-2.7250999999999999</v>
      </c>
      <c r="I51">
        <v>0</v>
      </c>
      <c r="J51">
        <v>0</v>
      </c>
      <c r="K51">
        <v>0</v>
      </c>
      <c r="L51">
        <v>-8.6599999999999996E-2</v>
      </c>
    </row>
    <row r="52" spans="1:12" x14ac:dyDescent="0.35">
      <c r="A52">
        <v>-2.5</v>
      </c>
      <c r="B52">
        <v>-0.2326</v>
      </c>
      <c r="C52">
        <v>1.8419999999999999E-2</v>
      </c>
      <c r="D52">
        <v>1.4250000000000001E-2</v>
      </c>
      <c r="E52">
        <v>-8.0299999999999996E-2</v>
      </c>
      <c r="F52">
        <v>0.05</v>
      </c>
      <c r="G52">
        <v>4.1999999999999997E-3</v>
      </c>
      <c r="H52">
        <v>-2.7399</v>
      </c>
      <c r="I52">
        <v>0</v>
      </c>
      <c r="J52">
        <v>0</v>
      </c>
      <c r="K52">
        <v>0</v>
      </c>
      <c r="L52">
        <v>-9.7199999999999995E-2</v>
      </c>
    </row>
    <row r="53" spans="1:12" x14ac:dyDescent="0.35">
      <c r="A53">
        <v>-2.4500000000000002</v>
      </c>
      <c r="B53">
        <v>-0.22450000000000001</v>
      </c>
      <c r="C53">
        <v>1.7760000000000001E-2</v>
      </c>
      <c r="D53">
        <v>1.3520000000000001E-2</v>
      </c>
      <c r="E53">
        <v>-8.0100000000000005E-2</v>
      </c>
      <c r="F53">
        <v>0.05</v>
      </c>
      <c r="G53">
        <v>4.3E-3</v>
      </c>
      <c r="H53">
        <v>-2.7534999999999998</v>
      </c>
      <c r="I53">
        <v>0</v>
      </c>
      <c r="J53">
        <v>0</v>
      </c>
      <c r="K53">
        <v>0</v>
      </c>
      <c r="L53">
        <v>-0.109</v>
      </c>
    </row>
    <row r="54" spans="1:12" x14ac:dyDescent="0.35">
      <c r="A54">
        <v>-2.4</v>
      </c>
      <c r="B54">
        <v>-0.2162</v>
      </c>
      <c r="C54">
        <v>1.712E-2</v>
      </c>
      <c r="D54">
        <v>1.281E-2</v>
      </c>
      <c r="E54">
        <v>-7.9899999999999999E-2</v>
      </c>
      <c r="F54">
        <v>0.05</v>
      </c>
      <c r="G54">
        <v>4.3E-3</v>
      </c>
      <c r="H54">
        <v>-2.7658</v>
      </c>
      <c r="I54">
        <v>0</v>
      </c>
      <c r="J54">
        <v>0</v>
      </c>
      <c r="K54">
        <v>0</v>
      </c>
      <c r="L54">
        <v>-0.122</v>
      </c>
    </row>
    <row r="55" spans="1:12" x14ac:dyDescent="0.35">
      <c r="A55">
        <v>-2.35</v>
      </c>
      <c r="B55">
        <v>-0.20749999999999999</v>
      </c>
      <c r="C55">
        <v>1.6490000000000001E-2</v>
      </c>
      <c r="D55">
        <v>1.2120000000000001E-2</v>
      </c>
      <c r="E55">
        <v>-7.9699999999999993E-2</v>
      </c>
      <c r="F55">
        <v>0.05</v>
      </c>
      <c r="G55">
        <v>4.4000000000000003E-3</v>
      </c>
      <c r="H55">
        <v>-2.7768000000000002</v>
      </c>
      <c r="I55">
        <v>0</v>
      </c>
      <c r="J55">
        <v>0</v>
      </c>
      <c r="K55">
        <v>0</v>
      </c>
      <c r="L55">
        <v>-0.13639999999999999</v>
      </c>
    </row>
    <row r="56" spans="1:12" x14ac:dyDescent="0.35">
      <c r="A56">
        <v>-2.2999999999999998</v>
      </c>
      <c r="B56">
        <v>-0.1986</v>
      </c>
      <c r="C56">
        <v>1.5890000000000001E-2</v>
      </c>
      <c r="D56">
        <v>1.1440000000000001E-2</v>
      </c>
      <c r="E56">
        <v>-7.9500000000000001E-2</v>
      </c>
      <c r="F56">
        <v>0.05</v>
      </c>
      <c r="G56">
        <v>4.4999999999999997E-3</v>
      </c>
      <c r="H56">
        <v>-2.7866</v>
      </c>
      <c r="I56">
        <v>0</v>
      </c>
      <c r="J56">
        <v>0</v>
      </c>
      <c r="K56">
        <v>0</v>
      </c>
      <c r="L56">
        <v>-0.15260000000000001</v>
      </c>
    </row>
    <row r="57" spans="1:12" x14ac:dyDescent="0.35">
      <c r="A57">
        <v>-2.25</v>
      </c>
      <c r="B57">
        <v>-0.18940000000000001</v>
      </c>
      <c r="C57">
        <v>1.5299999999999999E-2</v>
      </c>
      <c r="D57">
        <v>1.077E-2</v>
      </c>
      <c r="E57">
        <v>-7.9200000000000007E-2</v>
      </c>
      <c r="F57">
        <v>0.05</v>
      </c>
      <c r="G57">
        <v>4.7000000000000002E-3</v>
      </c>
      <c r="H57">
        <v>-2.7951999999999999</v>
      </c>
      <c r="I57">
        <v>0</v>
      </c>
      <c r="J57">
        <v>0</v>
      </c>
      <c r="K57">
        <v>0</v>
      </c>
      <c r="L57">
        <v>-0.1706</v>
      </c>
    </row>
    <row r="58" spans="1:12" x14ac:dyDescent="0.35">
      <c r="A58">
        <v>-2.2000000000000002</v>
      </c>
      <c r="B58">
        <v>-0.18</v>
      </c>
      <c r="C58">
        <v>1.473E-2</v>
      </c>
      <c r="D58">
        <v>1.013E-2</v>
      </c>
      <c r="E58">
        <v>-7.8899999999999998E-2</v>
      </c>
      <c r="F58">
        <v>0.05</v>
      </c>
      <c r="G58">
        <v>4.7999999999999996E-3</v>
      </c>
      <c r="H58">
        <v>-2.8029000000000002</v>
      </c>
      <c r="I58">
        <v>0</v>
      </c>
      <c r="J58">
        <v>0</v>
      </c>
      <c r="K58">
        <v>0</v>
      </c>
      <c r="L58">
        <v>-0.191</v>
      </c>
    </row>
    <row r="59" spans="1:12" x14ac:dyDescent="0.35">
      <c r="A59">
        <v>-2.15</v>
      </c>
      <c r="B59">
        <v>-0.17030000000000001</v>
      </c>
      <c r="C59">
        <v>1.417E-2</v>
      </c>
      <c r="D59">
        <v>9.4900000000000002E-3</v>
      </c>
      <c r="E59">
        <v>-7.8600000000000003E-2</v>
      </c>
      <c r="F59">
        <v>0.05</v>
      </c>
      <c r="G59">
        <v>5.0000000000000001E-3</v>
      </c>
      <c r="H59">
        <v>-2.8098000000000001</v>
      </c>
      <c r="I59">
        <v>0</v>
      </c>
      <c r="J59">
        <v>0</v>
      </c>
      <c r="K59">
        <v>0</v>
      </c>
      <c r="L59">
        <v>-0.2142</v>
      </c>
    </row>
    <row r="60" spans="1:12" x14ac:dyDescent="0.35">
      <c r="A60">
        <v>-2.1</v>
      </c>
      <c r="B60">
        <v>-0.1605</v>
      </c>
      <c r="C60">
        <v>1.363E-2</v>
      </c>
      <c r="D60">
        <v>8.8800000000000007E-3</v>
      </c>
      <c r="E60">
        <v>-7.8299999999999995E-2</v>
      </c>
      <c r="F60">
        <v>0.05</v>
      </c>
      <c r="G60">
        <v>5.1999999999999998E-3</v>
      </c>
      <c r="H60">
        <v>-2.8129</v>
      </c>
      <c r="I60">
        <v>0</v>
      </c>
      <c r="J60">
        <v>0</v>
      </c>
      <c r="K60">
        <v>0</v>
      </c>
      <c r="L60">
        <v>-0.24060000000000001</v>
      </c>
    </row>
    <row r="61" spans="1:12" x14ac:dyDescent="0.35">
      <c r="A61">
        <v>-2.0499999999999998</v>
      </c>
      <c r="B61">
        <v>-0.15029999999999999</v>
      </c>
      <c r="C61">
        <v>1.312E-2</v>
      </c>
      <c r="D61">
        <v>8.2900000000000005E-3</v>
      </c>
      <c r="E61">
        <v>-7.8E-2</v>
      </c>
      <c r="F61">
        <v>0.05</v>
      </c>
      <c r="G61">
        <v>5.3E-3</v>
      </c>
      <c r="H61">
        <v>-2.7955999999999999</v>
      </c>
      <c r="I61">
        <v>0</v>
      </c>
      <c r="J61">
        <v>0</v>
      </c>
      <c r="K61">
        <v>0</v>
      </c>
      <c r="L61">
        <v>-0.27129999999999999</v>
      </c>
    </row>
    <row r="62" spans="1:12" x14ac:dyDescent="0.35">
      <c r="A62">
        <v>-2</v>
      </c>
      <c r="B62">
        <v>-0.1401</v>
      </c>
      <c r="C62">
        <v>1.2619999999999999E-2</v>
      </c>
      <c r="D62">
        <v>7.7299999999999999E-3</v>
      </c>
      <c r="E62">
        <v>-7.7600000000000002E-2</v>
      </c>
      <c r="F62">
        <v>0.05</v>
      </c>
      <c r="G62">
        <v>5.4000000000000003E-3</v>
      </c>
      <c r="H62">
        <v>-2.7764000000000002</v>
      </c>
      <c r="I62">
        <v>0</v>
      </c>
      <c r="J62">
        <v>0</v>
      </c>
      <c r="K62">
        <v>0</v>
      </c>
      <c r="L62">
        <v>-0.30690000000000001</v>
      </c>
    </row>
    <row r="63" spans="1:12" x14ac:dyDescent="0.35">
      <c r="A63">
        <v>-1.95</v>
      </c>
      <c r="B63">
        <v>-0.12959999999999999</v>
      </c>
      <c r="C63">
        <v>1.2149999999999999E-2</v>
      </c>
      <c r="D63">
        <v>7.1799999999999998E-3</v>
      </c>
      <c r="E63">
        <v>-7.7200000000000005E-2</v>
      </c>
      <c r="F63">
        <v>0.05</v>
      </c>
      <c r="G63">
        <v>5.5999999999999999E-3</v>
      </c>
      <c r="H63">
        <v>-2.7544</v>
      </c>
      <c r="I63">
        <v>0</v>
      </c>
      <c r="J63">
        <v>0</v>
      </c>
      <c r="K63">
        <v>0</v>
      </c>
      <c r="L63">
        <v>-0.34860000000000002</v>
      </c>
    </row>
    <row r="64" spans="1:12" x14ac:dyDescent="0.35">
      <c r="A64">
        <v>-1.9</v>
      </c>
      <c r="B64">
        <v>-0.1191</v>
      </c>
      <c r="C64">
        <v>1.1679999999999999E-2</v>
      </c>
      <c r="D64">
        <v>6.6400000000000001E-3</v>
      </c>
      <c r="E64">
        <v>-7.6799999999999993E-2</v>
      </c>
      <c r="F64">
        <v>0.05</v>
      </c>
      <c r="G64">
        <v>5.7000000000000002E-3</v>
      </c>
      <c r="H64">
        <v>-2.7282000000000002</v>
      </c>
      <c r="I64">
        <v>0</v>
      </c>
      <c r="J64">
        <v>0</v>
      </c>
      <c r="K64">
        <v>0</v>
      </c>
      <c r="L64">
        <v>-0.39800000000000002</v>
      </c>
    </row>
    <row r="65" spans="1:12" x14ac:dyDescent="0.35">
      <c r="A65">
        <v>-1.85</v>
      </c>
      <c r="B65">
        <v>-0.1086</v>
      </c>
      <c r="C65">
        <v>1.124E-2</v>
      </c>
      <c r="D65">
        <v>6.13E-3</v>
      </c>
      <c r="E65">
        <v>-7.6399999999999996E-2</v>
      </c>
      <c r="F65">
        <v>0.05</v>
      </c>
      <c r="G65">
        <v>6.0000000000000001E-3</v>
      </c>
      <c r="H65">
        <v>-2.6962000000000002</v>
      </c>
      <c r="I65">
        <v>0</v>
      </c>
      <c r="J65">
        <v>0</v>
      </c>
      <c r="K65">
        <v>0</v>
      </c>
      <c r="L65">
        <v>-0.45700000000000002</v>
      </c>
    </row>
    <row r="66" spans="1:12" x14ac:dyDescent="0.35">
      <c r="A66">
        <v>-1.8</v>
      </c>
      <c r="B66">
        <v>-9.8000000000000004E-2</v>
      </c>
      <c r="C66">
        <v>1.081E-2</v>
      </c>
      <c r="D66">
        <v>5.64E-3</v>
      </c>
      <c r="E66">
        <v>-7.5999999999999998E-2</v>
      </c>
      <c r="F66">
        <v>0.05</v>
      </c>
      <c r="G66">
        <v>6.1999999999999998E-3</v>
      </c>
      <c r="H66">
        <v>-2.6566999999999998</v>
      </c>
      <c r="I66">
        <v>0</v>
      </c>
      <c r="J66">
        <v>0</v>
      </c>
      <c r="K66">
        <v>0</v>
      </c>
      <c r="L66">
        <v>-0.52849999999999997</v>
      </c>
    </row>
    <row r="67" spans="1:12" x14ac:dyDescent="0.35">
      <c r="A67">
        <v>-1.75</v>
      </c>
      <c r="B67">
        <v>-8.7499999999999994E-2</v>
      </c>
      <c r="C67">
        <v>1.0410000000000001E-2</v>
      </c>
      <c r="D67">
        <v>5.1700000000000001E-3</v>
      </c>
      <c r="E67">
        <v>-7.5499999999999998E-2</v>
      </c>
      <c r="F67">
        <v>0.05</v>
      </c>
      <c r="G67">
        <v>6.7000000000000002E-3</v>
      </c>
      <c r="H67">
        <v>-2.6072000000000002</v>
      </c>
      <c r="I67">
        <v>0</v>
      </c>
      <c r="J67">
        <v>0</v>
      </c>
      <c r="K67">
        <v>0</v>
      </c>
      <c r="L67">
        <v>-0.6169</v>
      </c>
    </row>
    <row r="68" spans="1:12" x14ac:dyDescent="0.35">
      <c r="A68">
        <v>-1.7</v>
      </c>
      <c r="B68">
        <v>-7.7100000000000002E-2</v>
      </c>
      <c r="C68">
        <v>1.0019999999999999E-2</v>
      </c>
      <c r="D68">
        <v>4.7299999999999998E-3</v>
      </c>
      <c r="E68">
        <v>-7.4999999999999997E-2</v>
      </c>
      <c r="F68">
        <v>0.05</v>
      </c>
      <c r="G68">
        <v>7.0000000000000001E-3</v>
      </c>
      <c r="H68">
        <v>-2.5966999999999998</v>
      </c>
      <c r="I68">
        <v>0</v>
      </c>
      <c r="J68">
        <v>0</v>
      </c>
      <c r="K68">
        <v>0</v>
      </c>
      <c r="L68">
        <v>-0.72819999999999996</v>
      </c>
    </row>
    <row r="69" spans="1:12" x14ac:dyDescent="0.35">
      <c r="A69">
        <v>-1.65</v>
      </c>
      <c r="B69">
        <v>-6.6699999999999995E-2</v>
      </c>
      <c r="C69">
        <v>9.6600000000000002E-3</v>
      </c>
      <c r="D69">
        <v>4.3099999999999996E-3</v>
      </c>
      <c r="E69">
        <v>-7.46E-2</v>
      </c>
      <c r="F69">
        <v>0.05</v>
      </c>
      <c r="G69">
        <v>7.3000000000000001E-3</v>
      </c>
      <c r="H69">
        <v>-2.6000999999999999</v>
      </c>
      <c r="I69">
        <v>0</v>
      </c>
      <c r="J69">
        <v>0</v>
      </c>
      <c r="K69">
        <v>0</v>
      </c>
      <c r="L69">
        <v>-0.87250000000000005</v>
      </c>
    </row>
    <row r="70" spans="1:12" x14ac:dyDescent="0.35">
      <c r="A70">
        <v>-1.6</v>
      </c>
      <c r="B70">
        <v>-5.6399999999999999E-2</v>
      </c>
      <c r="C70">
        <v>9.3299999999999998E-3</v>
      </c>
      <c r="D70">
        <v>3.9199999999999999E-3</v>
      </c>
      <c r="E70">
        <v>-7.4099999999999999E-2</v>
      </c>
      <c r="F70">
        <v>0.05</v>
      </c>
      <c r="G70">
        <v>7.7000000000000002E-3</v>
      </c>
      <c r="H70">
        <v>-2.5924</v>
      </c>
      <c r="I70">
        <v>0</v>
      </c>
      <c r="J70">
        <v>0</v>
      </c>
      <c r="K70">
        <v>0</v>
      </c>
      <c r="L70">
        <v>-1.069</v>
      </c>
    </row>
    <row r="71" spans="1:12" x14ac:dyDescent="0.35">
      <c r="A71">
        <v>-1.55</v>
      </c>
      <c r="B71">
        <v>-4.6100000000000002E-2</v>
      </c>
      <c r="C71">
        <v>9.0299999999999998E-3</v>
      </c>
      <c r="D71">
        <v>3.5599999999999998E-3</v>
      </c>
      <c r="E71">
        <v>-7.3700000000000002E-2</v>
      </c>
      <c r="F71">
        <v>0.05</v>
      </c>
      <c r="G71">
        <v>8.0999999999999996E-3</v>
      </c>
      <c r="H71">
        <v>-2.5666000000000002</v>
      </c>
      <c r="I71">
        <v>0</v>
      </c>
      <c r="J71">
        <v>0</v>
      </c>
      <c r="K71">
        <v>0</v>
      </c>
      <c r="L71">
        <v>-1.3547</v>
      </c>
    </row>
    <row r="72" spans="1:12" x14ac:dyDescent="0.35">
      <c r="A72">
        <v>-1.5</v>
      </c>
      <c r="B72">
        <v>-3.56E-2</v>
      </c>
      <c r="C72">
        <v>8.77E-3</v>
      </c>
      <c r="D72">
        <v>3.2499999999999999E-3</v>
      </c>
      <c r="E72">
        <v>-7.3300000000000004E-2</v>
      </c>
      <c r="F72">
        <v>0.05</v>
      </c>
      <c r="G72">
        <v>8.6999999999999994E-3</v>
      </c>
      <c r="H72">
        <v>-2.5141</v>
      </c>
      <c r="I72">
        <v>0</v>
      </c>
      <c r="J72">
        <v>0</v>
      </c>
      <c r="K72">
        <v>0</v>
      </c>
      <c r="L72">
        <v>-1.8153999999999999</v>
      </c>
    </row>
    <row r="73" spans="1:12" x14ac:dyDescent="0.35">
      <c r="A73">
        <v>-1.45</v>
      </c>
      <c r="B73">
        <v>-2.4899999999999999E-2</v>
      </c>
      <c r="C73">
        <v>8.5500000000000003E-3</v>
      </c>
      <c r="D73">
        <v>2.98E-3</v>
      </c>
      <c r="E73">
        <v>-7.2900000000000006E-2</v>
      </c>
      <c r="F73">
        <v>0.05</v>
      </c>
      <c r="G73">
        <v>9.1999999999999998E-3</v>
      </c>
      <c r="H73">
        <v>-2.4361999999999999</v>
      </c>
      <c r="I73">
        <v>0</v>
      </c>
      <c r="J73">
        <v>0</v>
      </c>
      <c r="K73">
        <v>0</v>
      </c>
      <c r="L73">
        <v>-2.6882999999999999</v>
      </c>
    </row>
    <row r="74" spans="1:12" x14ac:dyDescent="0.35">
      <c r="A74">
        <v>-1.4</v>
      </c>
      <c r="B74">
        <v>-1.4E-2</v>
      </c>
      <c r="C74">
        <v>8.3700000000000007E-3</v>
      </c>
      <c r="D74">
        <v>2.7499999999999998E-3</v>
      </c>
      <c r="E74">
        <v>-7.2599999999999998E-2</v>
      </c>
      <c r="F74">
        <v>0.05</v>
      </c>
      <c r="G74">
        <v>9.4999999999999998E-3</v>
      </c>
      <c r="H74">
        <v>-2.3330000000000002</v>
      </c>
      <c r="I74">
        <v>0</v>
      </c>
      <c r="J74">
        <v>0</v>
      </c>
      <c r="K74">
        <v>0</v>
      </c>
      <c r="L74">
        <v>-4.9696999999999996</v>
      </c>
    </row>
    <row r="75" spans="1:12" x14ac:dyDescent="0.35">
      <c r="A75">
        <v>-1.35</v>
      </c>
      <c r="B75">
        <v>-2.8E-3</v>
      </c>
      <c r="C75">
        <v>8.2299999999999995E-3</v>
      </c>
      <c r="D75">
        <v>2.5699999999999998E-3</v>
      </c>
      <c r="E75">
        <v>-7.2300000000000003E-2</v>
      </c>
      <c r="F75">
        <v>0.05</v>
      </c>
      <c r="G75">
        <v>9.7999999999999997E-3</v>
      </c>
      <c r="H75">
        <v>-2.2151000000000001</v>
      </c>
      <c r="I75">
        <v>0</v>
      </c>
      <c r="J75">
        <v>0</v>
      </c>
      <c r="K75">
        <v>0</v>
      </c>
      <c r="L75">
        <v>-25.254200000000001</v>
      </c>
    </row>
    <row r="76" spans="1:12" x14ac:dyDescent="0.35">
      <c r="A76">
        <v>-1.3</v>
      </c>
      <c r="B76">
        <v>8.3999999999999995E-3</v>
      </c>
      <c r="C76">
        <v>8.1099999999999992E-3</v>
      </c>
      <c r="D76">
        <v>2.4099999999999998E-3</v>
      </c>
      <c r="E76">
        <v>-7.2099999999999997E-2</v>
      </c>
      <c r="F76">
        <v>0.05</v>
      </c>
      <c r="G76">
        <v>9.9000000000000008E-3</v>
      </c>
      <c r="H76">
        <v>-2.0889000000000002</v>
      </c>
      <c r="I76">
        <v>0</v>
      </c>
      <c r="J76">
        <v>0</v>
      </c>
      <c r="K76">
        <v>0</v>
      </c>
      <c r="L76">
        <v>8.8835999999999995</v>
      </c>
    </row>
    <row r="77" spans="1:12" x14ac:dyDescent="0.35">
      <c r="A77">
        <v>-1.25</v>
      </c>
      <c r="B77">
        <v>1.9699999999999999E-2</v>
      </c>
      <c r="C77">
        <v>8.0199999999999994E-3</v>
      </c>
      <c r="D77">
        <v>2.2799999999999999E-3</v>
      </c>
      <c r="E77">
        <v>-7.1900000000000006E-2</v>
      </c>
      <c r="F77">
        <v>0.05</v>
      </c>
      <c r="G77">
        <v>0.01</v>
      </c>
      <c r="H77">
        <v>-1.9593</v>
      </c>
      <c r="I77">
        <v>0</v>
      </c>
      <c r="J77">
        <v>0</v>
      </c>
      <c r="K77">
        <v>0</v>
      </c>
      <c r="L77">
        <v>3.9173</v>
      </c>
    </row>
    <row r="78" spans="1:12" x14ac:dyDescent="0.35">
      <c r="A78">
        <v>-1.2</v>
      </c>
      <c r="B78">
        <v>3.0800000000000001E-2</v>
      </c>
      <c r="C78">
        <v>7.92E-3</v>
      </c>
      <c r="D78">
        <v>2.14E-3</v>
      </c>
      <c r="E78">
        <v>-7.17E-2</v>
      </c>
      <c r="F78">
        <v>0.05</v>
      </c>
      <c r="G78">
        <v>0.01</v>
      </c>
      <c r="H78">
        <v>-1.8862000000000001</v>
      </c>
      <c r="I78">
        <v>0</v>
      </c>
      <c r="J78">
        <v>0</v>
      </c>
      <c r="K78">
        <v>0</v>
      </c>
      <c r="L78">
        <v>2.5796000000000001</v>
      </c>
    </row>
    <row r="79" spans="1:12" x14ac:dyDescent="0.35">
      <c r="A79">
        <v>-1.1499999999999999</v>
      </c>
      <c r="B79">
        <v>4.2099999999999999E-2</v>
      </c>
      <c r="C79">
        <v>7.8300000000000002E-3</v>
      </c>
      <c r="D79">
        <v>2.0200000000000001E-3</v>
      </c>
      <c r="E79">
        <v>-7.1499999999999994E-2</v>
      </c>
      <c r="F79">
        <v>0.05</v>
      </c>
      <c r="G79">
        <v>0.01</v>
      </c>
      <c r="H79">
        <v>-1.8201000000000001</v>
      </c>
      <c r="I79">
        <v>0</v>
      </c>
      <c r="J79">
        <v>0</v>
      </c>
      <c r="K79">
        <v>0</v>
      </c>
      <c r="L79">
        <v>1.9534</v>
      </c>
    </row>
    <row r="80" spans="1:12" x14ac:dyDescent="0.35">
      <c r="A80">
        <v>-1.1000000000000001</v>
      </c>
      <c r="B80">
        <v>5.33E-2</v>
      </c>
      <c r="C80">
        <v>7.7600000000000004E-3</v>
      </c>
      <c r="D80">
        <v>1.91E-3</v>
      </c>
      <c r="E80">
        <v>-7.1300000000000002E-2</v>
      </c>
      <c r="F80">
        <v>0.05</v>
      </c>
      <c r="G80">
        <v>0.01</v>
      </c>
      <c r="H80">
        <v>-1.7511000000000001</v>
      </c>
      <c r="I80">
        <v>0</v>
      </c>
      <c r="J80">
        <v>0</v>
      </c>
      <c r="K80">
        <v>0</v>
      </c>
      <c r="L80">
        <v>1.591</v>
      </c>
    </row>
    <row r="81" spans="1:12" x14ac:dyDescent="0.35">
      <c r="A81">
        <v>-1.05</v>
      </c>
      <c r="B81">
        <v>6.4500000000000002E-2</v>
      </c>
      <c r="C81">
        <v>7.7000000000000002E-3</v>
      </c>
      <c r="D81">
        <v>1.82E-3</v>
      </c>
      <c r="E81">
        <v>-7.1099999999999997E-2</v>
      </c>
      <c r="F81">
        <v>0.05</v>
      </c>
      <c r="G81">
        <v>1.01E-2</v>
      </c>
      <c r="H81">
        <v>-1.6798</v>
      </c>
      <c r="I81">
        <v>0</v>
      </c>
      <c r="J81">
        <v>0</v>
      </c>
      <c r="K81">
        <v>0</v>
      </c>
      <c r="L81">
        <v>1.3551</v>
      </c>
    </row>
    <row r="82" spans="1:12" x14ac:dyDescent="0.35">
      <c r="A82">
        <v>-1</v>
      </c>
      <c r="B82">
        <v>7.5700000000000003E-2</v>
      </c>
      <c r="C82">
        <v>7.6499999999999997E-3</v>
      </c>
      <c r="D82">
        <v>1.75E-3</v>
      </c>
      <c r="E82">
        <v>-7.0999999999999994E-2</v>
      </c>
      <c r="F82">
        <v>0.05</v>
      </c>
      <c r="G82">
        <v>1.01E-2</v>
      </c>
      <c r="H82">
        <v>-1.6067</v>
      </c>
      <c r="I82">
        <v>0</v>
      </c>
      <c r="J82">
        <v>0</v>
      </c>
      <c r="K82">
        <v>0</v>
      </c>
      <c r="L82">
        <v>1.1895</v>
      </c>
    </row>
    <row r="83" spans="1:12" x14ac:dyDescent="0.35">
      <c r="A83">
        <v>-0.95</v>
      </c>
      <c r="B83">
        <v>8.6900000000000005E-2</v>
      </c>
      <c r="C83">
        <v>7.62E-3</v>
      </c>
      <c r="D83">
        <v>1.6900000000000001E-3</v>
      </c>
      <c r="E83">
        <v>-7.0800000000000002E-2</v>
      </c>
      <c r="F83">
        <v>0.05</v>
      </c>
      <c r="G83">
        <v>1.01E-2</v>
      </c>
      <c r="H83">
        <v>-1.5322</v>
      </c>
      <c r="I83">
        <v>0</v>
      </c>
      <c r="J83">
        <v>0</v>
      </c>
      <c r="K83">
        <v>0</v>
      </c>
      <c r="L83">
        <v>1.0669</v>
      </c>
    </row>
    <row r="84" spans="1:12" x14ac:dyDescent="0.35">
      <c r="A84">
        <v>-0.9</v>
      </c>
      <c r="B84">
        <v>9.8100000000000007E-2</v>
      </c>
      <c r="C84">
        <v>7.5799999999999999E-3</v>
      </c>
      <c r="D84">
        <v>1.6299999999999999E-3</v>
      </c>
      <c r="E84">
        <v>-7.0699999999999999E-2</v>
      </c>
      <c r="F84">
        <v>0.05</v>
      </c>
      <c r="G84">
        <v>1.01E-2</v>
      </c>
      <c r="H84">
        <v>-1.4567000000000001</v>
      </c>
      <c r="I84">
        <v>0</v>
      </c>
      <c r="J84">
        <v>0</v>
      </c>
      <c r="K84">
        <v>0</v>
      </c>
      <c r="L84">
        <v>0.97270000000000001</v>
      </c>
    </row>
    <row r="85" spans="1:12" x14ac:dyDescent="0.35">
      <c r="A85">
        <v>-0.85</v>
      </c>
      <c r="B85">
        <v>0.10920000000000001</v>
      </c>
      <c r="C85">
        <v>7.5500000000000003E-3</v>
      </c>
      <c r="D85">
        <v>1.58E-3</v>
      </c>
      <c r="E85">
        <v>-7.0599999999999996E-2</v>
      </c>
      <c r="F85">
        <v>0.05</v>
      </c>
      <c r="G85">
        <v>1.04E-2</v>
      </c>
      <c r="H85">
        <v>-1.3902000000000001</v>
      </c>
      <c r="I85">
        <v>0</v>
      </c>
      <c r="J85">
        <v>0</v>
      </c>
      <c r="K85">
        <v>0</v>
      </c>
      <c r="L85">
        <v>0.89790000000000003</v>
      </c>
    </row>
    <row r="86" spans="1:12" x14ac:dyDescent="0.35">
      <c r="A86">
        <v>-0.8</v>
      </c>
      <c r="B86">
        <v>0.1203</v>
      </c>
      <c r="C86">
        <v>7.5300000000000002E-3</v>
      </c>
      <c r="D86">
        <v>1.5399999999999999E-3</v>
      </c>
      <c r="E86">
        <v>-7.0499999999999993E-2</v>
      </c>
      <c r="F86">
        <v>0.05</v>
      </c>
      <c r="G86">
        <v>1.09E-2</v>
      </c>
      <c r="H86">
        <v>-1.3207</v>
      </c>
      <c r="I86">
        <v>0</v>
      </c>
      <c r="J86">
        <v>0</v>
      </c>
      <c r="K86">
        <v>0</v>
      </c>
      <c r="L86">
        <v>0.83720000000000006</v>
      </c>
    </row>
    <row r="87" spans="1:12" x14ac:dyDescent="0.35">
      <c r="A87">
        <v>-0.75</v>
      </c>
      <c r="B87">
        <v>0.1313</v>
      </c>
      <c r="C87">
        <v>7.5199999999999998E-3</v>
      </c>
      <c r="D87">
        <v>1.5100000000000001E-3</v>
      </c>
      <c r="E87">
        <v>-7.0400000000000004E-2</v>
      </c>
      <c r="F87">
        <v>0.05</v>
      </c>
      <c r="G87">
        <v>1.15E-2</v>
      </c>
      <c r="H87">
        <v>-1.2468999999999999</v>
      </c>
      <c r="I87">
        <v>0</v>
      </c>
      <c r="J87">
        <v>0</v>
      </c>
      <c r="K87">
        <v>0</v>
      </c>
      <c r="L87">
        <v>0.78690000000000004</v>
      </c>
    </row>
    <row r="88" spans="1:12" x14ac:dyDescent="0.35">
      <c r="A88">
        <v>-0.7</v>
      </c>
      <c r="B88">
        <v>0.14230000000000001</v>
      </c>
      <c r="C88">
        <v>7.5100000000000002E-3</v>
      </c>
      <c r="D88">
        <v>1.5E-3</v>
      </c>
      <c r="E88">
        <v>-7.0300000000000001E-2</v>
      </c>
      <c r="F88">
        <v>0.05</v>
      </c>
      <c r="G88">
        <v>1.2200000000000001E-2</v>
      </c>
      <c r="H88">
        <v>-1.1708000000000001</v>
      </c>
      <c r="I88">
        <v>0</v>
      </c>
      <c r="J88">
        <v>0</v>
      </c>
      <c r="K88">
        <v>0</v>
      </c>
      <c r="L88">
        <v>0.74470000000000003</v>
      </c>
    </row>
    <row r="89" spans="1:12" x14ac:dyDescent="0.35">
      <c r="A89">
        <v>-0.65</v>
      </c>
      <c r="B89">
        <v>0.15329999999999999</v>
      </c>
      <c r="C89">
        <v>7.4999999999999997E-3</v>
      </c>
      <c r="D89">
        <v>1.49E-3</v>
      </c>
      <c r="E89">
        <v>-7.0300000000000001E-2</v>
      </c>
      <c r="F89">
        <v>0.05</v>
      </c>
      <c r="G89">
        <v>1.2999999999999999E-2</v>
      </c>
      <c r="H89">
        <v>-1.0946</v>
      </c>
      <c r="I89">
        <v>0</v>
      </c>
      <c r="J89">
        <v>0</v>
      </c>
      <c r="K89">
        <v>0</v>
      </c>
      <c r="L89">
        <v>0.7087</v>
      </c>
    </row>
    <row r="90" spans="1:12" x14ac:dyDescent="0.35">
      <c r="A90">
        <v>-0.6</v>
      </c>
      <c r="B90">
        <v>0.16420000000000001</v>
      </c>
      <c r="C90">
        <v>7.4900000000000001E-3</v>
      </c>
      <c r="D90">
        <v>1.48E-3</v>
      </c>
      <c r="E90">
        <v>-7.0199999999999999E-2</v>
      </c>
      <c r="F90">
        <v>0.05</v>
      </c>
      <c r="G90">
        <v>1.3899999999999999E-2</v>
      </c>
      <c r="H90">
        <v>-1.0198</v>
      </c>
      <c r="I90">
        <v>0</v>
      </c>
      <c r="J90">
        <v>0</v>
      </c>
      <c r="K90">
        <v>0</v>
      </c>
      <c r="L90">
        <v>0.67769999999999997</v>
      </c>
    </row>
    <row r="91" spans="1:12" x14ac:dyDescent="0.35">
      <c r="A91">
        <v>-0.55000000000000004</v>
      </c>
      <c r="B91">
        <v>0.17519999999999999</v>
      </c>
      <c r="C91">
        <v>7.4799999999999997E-3</v>
      </c>
      <c r="D91">
        <v>1.47E-3</v>
      </c>
      <c r="E91">
        <v>-7.0099999999999996E-2</v>
      </c>
      <c r="F91">
        <v>0.05</v>
      </c>
      <c r="G91">
        <v>1.47E-2</v>
      </c>
      <c r="H91">
        <v>-0.94730000000000003</v>
      </c>
      <c r="I91">
        <v>0</v>
      </c>
      <c r="J91">
        <v>0</v>
      </c>
      <c r="K91">
        <v>0</v>
      </c>
      <c r="L91">
        <v>0.65069999999999995</v>
      </c>
    </row>
    <row r="92" spans="1:12" x14ac:dyDescent="0.35">
      <c r="A92">
        <v>-0.5</v>
      </c>
      <c r="B92">
        <v>0.186</v>
      </c>
      <c r="C92">
        <v>7.4799999999999997E-3</v>
      </c>
      <c r="D92">
        <v>1.4599999999999999E-3</v>
      </c>
      <c r="E92">
        <v>-7.0099999999999996E-2</v>
      </c>
      <c r="F92">
        <v>0.05</v>
      </c>
      <c r="G92">
        <v>1.5800000000000002E-2</v>
      </c>
      <c r="H92">
        <v>-0.88080000000000003</v>
      </c>
      <c r="I92">
        <v>0</v>
      </c>
      <c r="J92">
        <v>0</v>
      </c>
      <c r="K92">
        <v>0</v>
      </c>
      <c r="L92">
        <v>0.627</v>
      </c>
    </row>
    <row r="93" spans="1:12" x14ac:dyDescent="0.35">
      <c r="A93">
        <v>-0.45</v>
      </c>
      <c r="B93">
        <v>0.19689999999999999</v>
      </c>
      <c r="C93">
        <v>7.4700000000000001E-3</v>
      </c>
      <c r="D93">
        <v>1.4499999999999999E-3</v>
      </c>
      <c r="E93">
        <v>-7.0000000000000007E-2</v>
      </c>
      <c r="F93">
        <v>0.05</v>
      </c>
      <c r="G93">
        <v>1.67E-2</v>
      </c>
      <c r="H93">
        <v>-0.81179999999999997</v>
      </c>
      <c r="I93">
        <v>0</v>
      </c>
      <c r="J93">
        <v>0</v>
      </c>
      <c r="K93">
        <v>0</v>
      </c>
      <c r="L93">
        <v>0.60589999999999999</v>
      </c>
    </row>
    <row r="94" spans="1:12" x14ac:dyDescent="0.35">
      <c r="A94">
        <v>-0.4</v>
      </c>
      <c r="B94">
        <v>0.2077</v>
      </c>
      <c r="C94">
        <v>7.4700000000000001E-3</v>
      </c>
      <c r="D94">
        <v>1.4499999999999999E-3</v>
      </c>
      <c r="E94">
        <v>-7.0000000000000007E-2</v>
      </c>
      <c r="F94">
        <v>0.05</v>
      </c>
      <c r="G94">
        <v>1.7600000000000001E-2</v>
      </c>
      <c r="H94">
        <v>-0.74509999999999998</v>
      </c>
      <c r="I94">
        <v>0</v>
      </c>
      <c r="J94">
        <v>0</v>
      </c>
      <c r="K94">
        <v>0</v>
      </c>
      <c r="L94">
        <v>0.58709999999999996</v>
      </c>
    </row>
    <row r="95" spans="1:12" x14ac:dyDescent="0.35">
      <c r="A95">
        <v>-0.35</v>
      </c>
      <c r="B95">
        <v>0.2185</v>
      </c>
      <c r="C95">
        <v>7.4700000000000001E-3</v>
      </c>
      <c r="D95">
        <v>1.4499999999999999E-3</v>
      </c>
      <c r="E95">
        <v>-7.0000000000000007E-2</v>
      </c>
      <c r="F95">
        <v>0.05</v>
      </c>
      <c r="G95">
        <v>1.83E-2</v>
      </c>
      <c r="H95">
        <v>-0.68059999999999998</v>
      </c>
      <c r="I95">
        <v>0</v>
      </c>
      <c r="J95">
        <v>0</v>
      </c>
      <c r="K95">
        <v>0</v>
      </c>
      <c r="L95">
        <v>0.57020000000000004</v>
      </c>
    </row>
    <row r="96" spans="1:12" x14ac:dyDescent="0.35">
      <c r="A96">
        <v>-0.3</v>
      </c>
      <c r="B96">
        <v>0.2293</v>
      </c>
      <c r="C96">
        <v>7.4700000000000001E-3</v>
      </c>
      <c r="D96">
        <v>1.4499999999999999E-3</v>
      </c>
      <c r="E96">
        <v>-6.9900000000000004E-2</v>
      </c>
      <c r="F96">
        <v>0.05</v>
      </c>
      <c r="G96">
        <v>1.9400000000000001E-2</v>
      </c>
      <c r="H96">
        <v>-0.61850000000000005</v>
      </c>
      <c r="I96">
        <v>0</v>
      </c>
      <c r="J96">
        <v>0</v>
      </c>
      <c r="K96">
        <v>0</v>
      </c>
      <c r="L96">
        <v>0.55489999999999995</v>
      </c>
    </row>
    <row r="97" spans="1:12" x14ac:dyDescent="0.35">
      <c r="A97">
        <v>-0.25</v>
      </c>
      <c r="B97">
        <v>0.24010000000000001</v>
      </c>
      <c r="C97">
        <v>7.4599999999999996E-3</v>
      </c>
      <c r="D97">
        <v>1.4499999999999999E-3</v>
      </c>
      <c r="E97">
        <v>-6.9900000000000004E-2</v>
      </c>
      <c r="F97">
        <v>0.05</v>
      </c>
      <c r="G97">
        <v>2.23E-2</v>
      </c>
      <c r="H97">
        <v>-0.5585</v>
      </c>
      <c r="I97">
        <v>0</v>
      </c>
      <c r="J97">
        <v>0</v>
      </c>
      <c r="K97">
        <v>0</v>
      </c>
      <c r="L97">
        <v>0.54100000000000004</v>
      </c>
    </row>
    <row r="98" spans="1:12" x14ac:dyDescent="0.35">
      <c r="A98">
        <v>-0.2</v>
      </c>
      <c r="B98">
        <v>0.25090000000000001</v>
      </c>
      <c r="C98">
        <v>7.4599999999999996E-3</v>
      </c>
      <c r="D98">
        <v>1.4499999999999999E-3</v>
      </c>
      <c r="E98">
        <v>-6.9900000000000004E-2</v>
      </c>
      <c r="F98">
        <v>0.05</v>
      </c>
      <c r="G98">
        <v>2.53E-2</v>
      </c>
      <c r="H98">
        <v>-0.50490000000000002</v>
      </c>
      <c r="I98">
        <v>0</v>
      </c>
      <c r="J98">
        <v>0</v>
      </c>
      <c r="K98">
        <v>0</v>
      </c>
      <c r="L98">
        <v>0.52839999999999998</v>
      </c>
    </row>
    <row r="99" spans="1:12" x14ac:dyDescent="0.35">
      <c r="A99">
        <v>-0.15</v>
      </c>
      <c r="B99">
        <v>0.26169999999999999</v>
      </c>
      <c r="C99">
        <v>7.45E-3</v>
      </c>
      <c r="D99">
        <v>1.4499999999999999E-3</v>
      </c>
      <c r="E99">
        <v>-6.9800000000000001E-2</v>
      </c>
      <c r="F99">
        <v>0.05</v>
      </c>
      <c r="G99">
        <v>2.7400000000000001E-2</v>
      </c>
      <c r="H99">
        <v>-0.50980000000000003</v>
      </c>
      <c r="I99">
        <v>0</v>
      </c>
      <c r="J99">
        <v>0</v>
      </c>
      <c r="K99">
        <v>0</v>
      </c>
      <c r="L99">
        <v>0.51680000000000004</v>
      </c>
    </row>
    <row r="100" spans="1:12" x14ac:dyDescent="0.35">
      <c r="A100">
        <v>-0.1</v>
      </c>
      <c r="B100">
        <v>0.27239999999999998</v>
      </c>
      <c r="C100">
        <v>7.4599999999999996E-3</v>
      </c>
      <c r="D100">
        <v>1.4599999999999999E-3</v>
      </c>
      <c r="E100">
        <v>-6.9800000000000001E-2</v>
      </c>
      <c r="F100">
        <v>0.05</v>
      </c>
      <c r="G100">
        <v>2.87E-2</v>
      </c>
      <c r="H100">
        <v>-0.51459999999999995</v>
      </c>
      <c r="I100">
        <v>0</v>
      </c>
      <c r="J100">
        <v>0</v>
      </c>
      <c r="K100">
        <v>0</v>
      </c>
      <c r="L100">
        <v>0.50609999999999999</v>
      </c>
    </row>
    <row r="101" spans="1:12" x14ac:dyDescent="0.35">
      <c r="A101">
        <v>-0.05</v>
      </c>
      <c r="B101">
        <v>0.28320000000000001</v>
      </c>
      <c r="C101">
        <v>7.4599999999999996E-3</v>
      </c>
      <c r="D101">
        <v>1.4599999999999999E-3</v>
      </c>
      <c r="E101">
        <v>-6.9800000000000001E-2</v>
      </c>
      <c r="F101">
        <v>0.05</v>
      </c>
      <c r="G101">
        <v>0.03</v>
      </c>
      <c r="H101">
        <v>-0.51949999999999996</v>
      </c>
      <c r="I101">
        <v>0</v>
      </c>
      <c r="J101">
        <v>0</v>
      </c>
      <c r="K101">
        <v>0</v>
      </c>
      <c r="L101">
        <v>0.49630000000000002</v>
      </c>
    </row>
    <row r="102" spans="1:12" x14ac:dyDescent="0.35">
      <c r="A102">
        <v>0</v>
      </c>
      <c r="B102">
        <v>0.29389999999999999</v>
      </c>
      <c r="C102">
        <v>7.4599999999999996E-3</v>
      </c>
      <c r="D102">
        <v>1.47E-3</v>
      </c>
      <c r="E102">
        <v>-6.9800000000000001E-2</v>
      </c>
      <c r="F102">
        <v>0.05</v>
      </c>
      <c r="G102">
        <v>3.3300000000000003E-2</v>
      </c>
      <c r="H102">
        <v>-0.52449999999999997</v>
      </c>
      <c r="I102">
        <v>0</v>
      </c>
      <c r="J102">
        <v>0</v>
      </c>
      <c r="K102">
        <v>0</v>
      </c>
      <c r="L102">
        <v>0.48709999999999998</v>
      </c>
    </row>
    <row r="103" spans="1:12" x14ac:dyDescent="0.35">
      <c r="A103">
        <v>0.05</v>
      </c>
      <c r="B103">
        <v>0.30470000000000003</v>
      </c>
      <c r="C103">
        <v>7.4599999999999996E-3</v>
      </c>
      <c r="D103">
        <v>1.48E-3</v>
      </c>
      <c r="E103">
        <v>-6.9800000000000001E-2</v>
      </c>
      <c r="F103">
        <v>0.05</v>
      </c>
      <c r="G103">
        <v>3.6499999999999998E-2</v>
      </c>
      <c r="H103">
        <v>-0.52949999999999997</v>
      </c>
      <c r="I103">
        <v>0</v>
      </c>
      <c r="J103">
        <v>0</v>
      </c>
      <c r="K103">
        <v>0</v>
      </c>
      <c r="L103">
        <v>0.47870000000000001</v>
      </c>
    </row>
    <row r="104" spans="1:12" x14ac:dyDescent="0.35">
      <c r="A104">
        <v>0.1</v>
      </c>
      <c r="B104">
        <v>0.3155</v>
      </c>
      <c r="C104">
        <v>7.4599999999999996E-3</v>
      </c>
      <c r="D104">
        <v>1.48E-3</v>
      </c>
      <c r="E104">
        <v>-6.9699999999999998E-2</v>
      </c>
      <c r="F104">
        <v>0.05</v>
      </c>
      <c r="G104">
        <v>3.9800000000000002E-2</v>
      </c>
      <c r="H104">
        <v>-0.53449999999999998</v>
      </c>
      <c r="I104">
        <v>0</v>
      </c>
      <c r="J104">
        <v>0</v>
      </c>
      <c r="K104">
        <v>0</v>
      </c>
      <c r="L104">
        <v>0.4708</v>
      </c>
    </row>
    <row r="105" spans="1:12" x14ac:dyDescent="0.35">
      <c r="A105">
        <v>0.15</v>
      </c>
      <c r="B105">
        <v>0.32619999999999999</v>
      </c>
      <c r="C105">
        <v>7.45E-3</v>
      </c>
      <c r="D105">
        <v>1.49E-3</v>
      </c>
      <c r="E105">
        <v>-6.9699999999999998E-2</v>
      </c>
      <c r="F105">
        <v>0.05</v>
      </c>
      <c r="G105">
        <v>0.05</v>
      </c>
      <c r="H105">
        <v>-0.53959999999999997</v>
      </c>
      <c r="I105">
        <v>0</v>
      </c>
      <c r="J105">
        <v>0</v>
      </c>
      <c r="K105">
        <v>0</v>
      </c>
      <c r="L105">
        <v>0.46339999999999998</v>
      </c>
    </row>
    <row r="106" spans="1:12" x14ac:dyDescent="0.35">
      <c r="A106">
        <v>0.2</v>
      </c>
      <c r="B106">
        <v>0.33700000000000002</v>
      </c>
      <c r="C106">
        <v>7.4599999999999996E-3</v>
      </c>
      <c r="D106">
        <v>1.5100000000000001E-3</v>
      </c>
      <c r="E106">
        <v>-6.9699999999999998E-2</v>
      </c>
      <c r="F106">
        <v>0.05</v>
      </c>
      <c r="G106">
        <v>0.05</v>
      </c>
      <c r="H106">
        <v>-0.54479999999999995</v>
      </c>
      <c r="I106">
        <v>0</v>
      </c>
      <c r="J106">
        <v>0</v>
      </c>
      <c r="K106">
        <v>0</v>
      </c>
      <c r="L106">
        <v>0.45650000000000002</v>
      </c>
    </row>
    <row r="107" spans="1:12" x14ac:dyDescent="0.35">
      <c r="A107">
        <v>0.25</v>
      </c>
      <c r="B107">
        <v>0.34770000000000001</v>
      </c>
      <c r="C107">
        <v>7.4700000000000001E-3</v>
      </c>
      <c r="D107">
        <v>1.5200000000000001E-3</v>
      </c>
      <c r="E107">
        <v>-6.9699999999999998E-2</v>
      </c>
      <c r="F107">
        <v>0.05</v>
      </c>
      <c r="G107">
        <v>0.05</v>
      </c>
      <c r="H107">
        <v>-0.54990000000000006</v>
      </c>
      <c r="I107">
        <v>0</v>
      </c>
      <c r="J107">
        <v>0</v>
      </c>
      <c r="K107">
        <v>0</v>
      </c>
      <c r="L107">
        <v>0.44990000000000002</v>
      </c>
    </row>
    <row r="108" spans="1:12" x14ac:dyDescent="0.35">
      <c r="A108">
        <v>0.3</v>
      </c>
      <c r="B108">
        <v>0.35849999999999999</v>
      </c>
      <c r="C108">
        <v>7.4799999999999997E-3</v>
      </c>
      <c r="D108">
        <v>1.5299999999999999E-3</v>
      </c>
      <c r="E108">
        <v>-6.9599999999999995E-2</v>
      </c>
      <c r="F108">
        <v>0.05</v>
      </c>
      <c r="G108">
        <v>0.05</v>
      </c>
      <c r="H108">
        <v>-0.55510000000000004</v>
      </c>
      <c r="I108">
        <v>0</v>
      </c>
      <c r="J108">
        <v>0</v>
      </c>
      <c r="K108">
        <v>0</v>
      </c>
      <c r="L108">
        <v>0.44379999999999997</v>
      </c>
    </row>
    <row r="109" spans="1:12" x14ac:dyDescent="0.35">
      <c r="A109">
        <v>0.35</v>
      </c>
      <c r="B109">
        <v>0.36930000000000002</v>
      </c>
      <c r="C109">
        <v>7.4900000000000001E-3</v>
      </c>
      <c r="D109">
        <v>1.5499999999999999E-3</v>
      </c>
      <c r="E109">
        <v>-6.9599999999999995E-2</v>
      </c>
      <c r="F109">
        <v>0.05</v>
      </c>
      <c r="G109">
        <v>0.05</v>
      </c>
      <c r="H109">
        <v>-0.56040000000000001</v>
      </c>
      <c r="I109">
        <v>0</v>
      </c>
      <c r="J109">
        <v>0</v>
      </c>
      <c r="K109">
        <v>0</v>
      </c>
      <c r="L109">
        <v>0.438</v>
      </c>
    </row>
    <row r="110" spans="1:12" x14ac:dyDescent="0.35">
      <c r="A110">
        <v>0.4</v>
      </c>
      <c r="B110">
        <v>0.38009999999999999</v>
      </c>
      <c r="C110">
        <v>7.4999999999999997E-3</v>
      </c>
      <c r="D110">
        <v>1.56E-3</v>
      </c>
      <c r="E110">
        <v>-6.9500000000000006E-2</v>
      </c>
      <c r="F110">
        <v>0.05</v>
      </c>
      <c r="G110">
        <v>0.05</v>
      </c>
      <c r="H110">
        <v>-0.56579999999999997</v>
      </c>
      <c r="I110">
        <v>0</v>
      </c>
      <c r="J110">
        <v>0</v>
      </c>
      <c r="K110">
        <v>0</v>
      </c>
      <c r="L110">
        <v>0.4325</v>
      </c>
    </row>
    <row r="111" spans="1:12" x14ac:dyDescent="0.35">
      <c r="A111">
        <v>0.45</v>
      </c>
      <c r="B111">
        <v>0.39090000000000003</v>
      </c>
      <c r="C111">
        <v>7.5100000000000002E-3</v>
      </c>
      <c r="D111">
        <v>1.58E-3</v>
      </c>
      <c r="E111">
        <v>-6.9500000000000006E-2</v>
      </c>
      <c r="F111">
        <v>0.05</v>
      </c>
      <c r="G111">
        <v>0.05</v>
      </c>
      <c r="H111">
        <v>-0.57110000000000005</v>
      </c>
      <c r="I111">
        <v>0</v>
      </c>
      <c r="J111">
        <v>0</v>
      </c>
      <c r="K111">
        <v>0</v>
      </c>
      <c r="L111">
        <v>0.42730000000000001</v>
      </c>
    </row>
    <row r="112" spans="1:12" x14ac:dyDescent="0.35">
      <c r="A112">
        <v>0.5</v>
      </c>
      <c r="B112">
        <v>0.4017</v>
      </c>
      <c r="C112">
        <v>7.5199999999999998E-3</v>
      </c>
      <c r="D112">
        <v>1.6000000000000001E-3</v>
      </c>
      <c r="E112">
        <v>-6.9400000000000003E-2</v>
      </c>
      <c r="F112">
        <v>0.05</v>
      </c>
      <c r="G112">
        <v>0.05</v>
      </c>
      <c r="H112">
        <v>-0.58389999999999997</v>
      </c>
      <c r="I112">
        <v>0</v>
      </c>
      <c r="J112">
        <v>0</v>
      </c>
      <c r="K112">
        <v>0</v>
      </c>
      <c r="L112">
        <v>0.42230000000000001</v>
      </c>
    </row>
    <row r="113" spans="1:12" x14ac:dyDescent="0.35">
      <c r="A113">
        <v>0.55000000000000004</v>
      </c>
      <c r="B113">
        <v>0.41249999999999998</v>
      </c>
      <c r="C113">
        <v>7.5399999999999998E-3</v>
      </c>
      <c r="D113">
        <v>1.6199999999999999E-3</v>
      </c>
      <c r="E113">
        <v>-6.9400000000000003E-2</v>
      </c>
      <c r="F113">
        <v>0.05</v>
      </c>
      <c r="G113">
        <v>0.05</v>
      </c>
      <c r="H113">
        <v>-0.63690000000000002</v>
      </c>
      <c r="I113">
        <v>0</v>
      </c>
      <c r="J113">
        <v>0</v>
      </c>
      <c r="K113">
        <v>0</v>
      </c>
      <c r="L113">
        <v>0.41760000000000003</v>
      </c>
    </row>
    <row r="114" spans="1:12" x14ac:dyDescent="0.35">
      <c r="A114">
        <v>0.6</v>
      </c>
      <c r="B114">
        <v>0.4229</v>
      </c>
      <c r="C114">
        <v>7.5700000000000003E-3</v>
      </c>
      <c r="D114">
        <v>1.64E-3</v>
      </c>
      <c r="E114">
        <v>-6.9199999999999998E-2</v>
      </c>
      <c r="F114">
        <v>4.3700000000000003E-2</v>
      </c>
      <c r="G114">
        <v>0.05</v>
      </c>
      <c r="H114">
        <v>-0.68969999999999998</v>
      </c>
      <c r="I114">
        <v>0</v>
      </c>
      <c r="J114">
        <v>0</v>
      </c>
      <c r="K114">
        <v>0</v>
      </c>
      <c r="L114">
        <v>0.41310000000000002</v>
      </c>
    </row>
    <row r="115" spans="1:12" x14ac:dyDescent="0.35">
      <c r="A115">
        <v>0.65</v>
      </c>
      <c r="B115">
        <v>0.43319999999999997</v>
      </c>
      <c r="C115">
        <v>7.62E-3</v>
      </c>
      <c r="D115">
        <v>1.6800000000000001E-3</v>
      </c>
      <c r="E115">
        <v>-6.9099999999999995E-2</v>
      </c>
      <c r="F115">
        <v>3.5200000000000002E-2</v>
      </c>
      <c r="G115">
        <v>0.05</v>
      </c>
      <c r="H115">
        <v>-0.74319999999999997</v>
      </c>
      <c r="I115">
        <v>0</v>
      </c>
      <c r="J115">
        <v>0</v>
      </c>
      <c r="K115">
        <v>0</v>
      </c>
      <c r="L115">
        <v>0.40889999999999999</v>
      </c>
    </row>
    <row r="116" spans="1:12" x14ac:dyDescent="0.35">
      <c r="A116">
        <v>0.7</v>
      </c>
      <c r="B116">
        <v>0.44390000000000002</v>
      </c>
      <c r="C116">
        <v>7.6499999999999997E-3</v>
      </c>
      <c r="D116">
        <v>1.7099999999999999E-3</v>
      </c>
      <c r="E116">
        <v>-6.9000000000000006E-2</v>
      </c>
      <c r="F116">
        <v>3.1899999999999998E-2</v>
      </c>
      <c r="G116">
        <v>0.05</v>
      </c>
      <c r="H116">
        <v>-0.80010000000000003</v>
      </c>
      <c r="I116">
        <v>0</v>
      </c>
      <c r="J116">
        <v>0</v>
      </c>
      <c r="K116">
        <v>0</v>
      </c>
      <c r="L116">
        <v>0.4047</v>
      </c>
    </row>
    <row r="117" spans="1:12" x14ac:dyDescent="0.35">
      <c r="A117">
        <v>0.75</v>
      </c>
      <c r="B117">
        <v>0.4546</v>
      </c>
      <c r="C117">
        <v>7.6800000000000002E-3</v>
      </c>
      <c r="D117">
        <v>1.74E-3</v>
      </c>
      <c r="E117">
        <v>-6.88E-2</v>
      </c>
      <c r="F117">
        <v>2.9899999999999999E-2</v>
      </c>
      <c r="G117">
        <v>0.05</v>
      </c>
      <c r="H117">
        <v>-0.8589</v>
      </c>
      <c r="I117">
        <v>0</v>
      </c>
      <c r="J117">
        <v>0</v>
      </c>
      <c r="K117">
        <v>0</v>
      </c>
      <c r="L117">
        <v>0.40079999999999999</v>
      </c>
    </row>
    <row r="118" spans="1:12" x14ac:dyDescent="0.35">
      <c r="A118">
        <v>0.8</v>
      </c>
      <c r="B118">
        <v>0.46529999999999999</v>
      </c>
      <c r="C118">
        <v>7.7099999999999998E-3</v>
      </c>
      <c r="D118">
        <v>1.7700000000000001E-3</v>
      </c>
      <c r="E118">
        <v>-6.8699999999999997E-2</v>
      </c>
      <c r="F118">
        <v>2.7799999999999998E-2</v>
      </c>
      <c r="G118">
        <v>0.05</v>
      </c>
      <c r="H118">
        <v>-0.9194</v>
      </c>
      <c r="I118">
        <v>0</v>
      </c>
      <c r="J118">
        <v>0</v>
      </c>
      <c r="K118">
        <v>0</v>
      </c>
      <c r="L118">
        <v>0.39700000000000002</v>
      </c>
    </row>
    <row r="119" spans="1:12" x14ac:dyDescent="0.35">
      <c r="A119">
        <v>0.85</v>
      </c>
      <c r="B119">
        <v>0.47599999999999998</v>
      </c>
      <c r="C119">
        <v>7.7299999999999999E-3</v>
      </c>
      <c r="D119">
        <v>1.8E-3</v>
      </c>
      <c r="E119">
        <v>-6.8599999999999994E-2</v>
      </c>
      <c r="F119">
        <v>2.5600000000000001E-2</v>
      </c>
      <c r="G119">
        <v>0.05</v>
      </c>
      <c r="H119">
        <v>-0.98180000000000001</v>
      </c>
      <c r="I119">
        <v>0</v>
      </c>
      <c r="J119">
        <v>0</v>
      </c>
      <c r="K119">
        <v>0</v>
      </c>
      <c r="L119">
        <v>0.39340000000000003</v>
      </c>
    </row>
    <row r="120" spans="1:12" x14ac:dyDescent="0.35">
      <c r="A120">
        <v>0.9</v>
      </c>
      <c r="B120">
        <v>0.4869</v>
      </c>
      <c r="C120">
        <v>7.7600000000000004E-3</v>
      </c>
      <c r="D120">
        <v>1.83E-3</v>
      </c>
      <c r="E120">
        <v>-6.8400000000000002E-2</v>
      </c>
      <c r="F120">
        <v>2.3599999999999999E-2</v>
      </c>
      <c r="G120">
        <v>0.05</v>
      </c>
      <c r="H120">
        <v>-1.0462</v>
      </c>
      <c r="I120">
        <v>0</v>
      </c>
      <c r="J120">
        <v>0</v>
      </c>
      <c r="K120">
        <v>0</v>
      </c>
      <c r="L120">
        <v>0.38979999999999998</v>
      </c>
    </row>
    <row r="121" spans="1:12" x14ac:dyDescent="0.35">
      <c r="A121">
        <v>0.95</v>
      </c>
      <c r="B121">
        <v>0.49780000000000002</v>
      </c>
      <c r="C121">
        <v>7.7799999999999996E-3</v>
      </c>
      <c r="D121">
        <v>1.8600000000000001E-3</v>
      </c>
      <c r="E121">
        <v>-6.83E-2</v>
      </c>
      <c r="F121">
        <v>2.3099999999999999E-2</v>
      </c>
      <c r="G121">
        <v>0.05</v>
      </c>
      <c r="H121">
        <v>-1.1134999999999999</v>
      </c>
      <c r="I121">
        <v>0</v>
      </c>
      <c r="J121">
        <v>0</v>
      </c>
      <c r="K121">
        <v>0</v>
      </c>
      <c r="L121">
        <v>0.38640000000000002</v>
      </c>
    </row>
    <row r="122" spans="1:12" x14ac:dyDescent="0.35">
      <c r="A122">
        <v>1</v>
      </c>
      <c r="B122">
        <v>0.50870000000000004</v>
      </c>
      <c r="C122">
        <v>7.8100000000000001E-3</v>
      </c>
      <c r="D122">
        <v>1.9E-3</v>
      </c>
      <c r="E122">
        <v>-6.8099999999999994E-2</v>
      </c>
      <c r="F122">
        <v>2.2499999999999999E-2</v>
      </c>
      <c r="G122">
        <v>0.05</v>
      </c>
      <c r="H122">
        <v>-1.1833</v>
      </c>
      <c r="I122">
        <v>0</v>
      </c>
      <c r="J122">
        <v>0</v>
      </c>
      <c r="K122">
        <v>0</v>
      </c>
      <c r="L122">
        <v>0.38319999999999999</v>
      </c>
    </row>
    <row r="123" spans="1:12" x14ac:dyDescent="0.35">
      <c r="A123">
        <v>1.05</v>
      </c>
      <c r="B123">
        <v>0.51959999999999995</v>
      </c>
      <c r="C123">
        <v>7.8399999999999997E-3</v>
      </c>
      <c r="D123">
        <v>1.9400000000000001E-3</v>
      </c>
      <c r="E123">
        <v>-6.7900000000000002E-2</v>
      </c>
      <c r="F123">
        <v>2.1600000000000001E-2</v>
      </c>
      <c r="G123">
        <v>0.05</v>
      </c>
      <c r="H123">
        <v>-1.2555000000000001</v>
      </c>
      <c r="I123">
        <v>0</v>
      </c>
      <c r="J123">
        <v>0</v>
      </c>
      <c r="K123">
        <v>0</v>
      </c>
      <c r="L123">
        <v>0.38</v>
      </c>
    </row>
    <row r="124" spans="1:12" x14ac:dyDescent="0.35">
      <c r="A124">
        <v>1.1000000000000001</v>
      </c>
      <c r="B124">
        <v>0.53049999999999997</v>
      </c>
      <c r="C124">
        <v>7.8700000000000003E-3</v>
      </c>
      <c r="D124">
        <v>1.98E-3</v>
      </c>
      <c r="E124">
        <v>-6.7699999999999996E-2</v>
      </c>
      <c r="F124">
        <v>2.01E-2</v>
      </c>
      <c r="G124">
        <v>0.05</v>
      </c>
      <c r="H124">
        <v>-1.3308</v>
      </c>
      <c r="I124">
        <v>0</v>
      </c>
      <c r="J124">
        <v>0</v>
      </c>
      <c r="K124">
        <v>0</v>
      </c>
      <c r="L124">
        <v>0.37690000000000001</v>
      </c>
    </row>
    <row r="125" spans="1:12" x14ac:dyDescent="0.35">
      <c r="A125">
        <v>1.1499999999999999</v>
      </c>
      <c r="B125">
        <v>0.5413</v>
      </c>
      <c r="C125">
        <v>7.9100000000000004E-3</v>
      </c>
      <c r="D125">
        <v>2.0200000000000001E-3</v>
      </c>
      <c r="E125">
        <v>-6.7500000000000004E-2</v>
      </c>
      <c r="F125">
        <v>1.7999999999999999E-2</v>
      </c>
      <c r="G125">
        <v>0.05</v>
      </c>
      <c r="H125">
        <v>-1.4089</v>
      </c>
      <c r="I125">
        <v>0</v>
      </c>
      <c r="J125">
        <v>0</v>
      </c>
      <c r="K125">
        <v>0</v>
      </c>
      <c r="L125">
        <v>0.37390000000000001</v>
      </c>
    </row>
    <row r="126" spans="1:12" x14ac:dyDescent="0.35">
      <c r="A126">
        <v>1.2</v>
      </c>
      <c r="B126">
        <v>0.55220000000000002</v>
      </c>
      <c r="C126">
        <v>7.9500000000000005E-3</v>
      </c>
      <c r="D126">
        <v>2.0699999999999998E-3</v>
      </c>
      <c r="E126">
        <v>-6.7299999999999999E-2</v>
      </c>
      <c r="F126">
        <v>1.61E-2</v>
      </c>
      <c r="G126">
        <v>0.05</v>
      </c>
      <c r="H126">
        <v>-1.4888999999999999</v>
      </c>
      <c r="I126">
        <v>0</v>
      </c>
      <c r="J126">
        <v>0</v>
      </c>
      <c r="K126">
        <v>0</v>
      </c>
      <c r="L126">
        <v>0.371</v>
      </c>
    </row>
    <row r="127" spans="1:12" x14ac:dyDescent="0.35">
      <c r="A127">
        <v>1.25</v>
      </c>
      <c r="B127">
        <v>0.56320000000000003</v>
      </c>
      <c r="C127">
        <v>7.9900000000000006E-3</v>
      </c>
      <c r="D127">
        <v>2.1199999999999999E-3</v>
      </c>
      <c r="E127">
        <v>-6.7000000000000004E-2</v>
      </c>
      <c r="F127">
        <v>1.46E-2</v>
      </c>
      <c r="G127">
        <v>0.05</v>
      </c>
      <c r="H127">
        <v>-1.5682</v>
      </c>
      <c r="I127">
        <v>0</v>
      </c>
      <c r="J127">
        <v>0</v>
      </c>
      <c r="K127">
        <v>0</v>
      </c>
      <c r="L127">
        <v>0.36809999999999998</v>
      </c>
    </row>
    <row r="128" spans="1:12" x14ac:dyDescent="0.35">
      <c r="A128">
        <v>1.3</v>
      </c>
      <c r="B128">
        <v>0.57420000000000004</v>
      </c>
      <c r="C128">
        <v>8.0300000000000007E-3</v>
      </c>
      <c r="D128">
        <v>2.1700000000000001E-3</v>
      </c>
      <c r="E128">
        <v>-6.6699999999999995E-2</v>
      </c>
      <c r="F128">
        <v>1.38E-2</v>
      </c>
      <c r="G128">
        <v>0.05</v>
      </c>
      <c r="H128">
        <v>-1.6459999999999999</v>
      </c>
      <c r="I128">
        <v>0</v>
      </c>
      <c r="J128">
        <v>0</v>
      </c>
      <c r="K128">
        <v>0</v>
      </c>
      <c r="L128">
        <v>0.36530000000000001</v>
      </c>
    </row>
    <row r="129" spans="1:12" x14ac:dyDescent="0.35">
      <c r="A129">
        <v>1.35</v>
      </c>
      <c r="B129">
        <v>0.58520000000000005</v>
      </c>
      <c r="C129">
        <v>8.0700000000000008E-3</v>
      </c>
      <c r="D129">
        <v>2.2399999999999998E-3</v>
      </c>
      <c r="E129">
        <v>-6.6400000000000001E-2</v>
      </c>
      <c r="F129">
        <v>1.3599999999999999E-2</v>
      </c>
      <c r="G129">
        <v>0.05</v>
      </c>
      <c r="H129">
        <v>-1.7307999999999999</v>
      </c>
      <c r="I129">
        <v>0</v>
      </c>
      <c r="J129">
        <v>0</v>
      </c>
      <c r="K129">
        <v>0</v>
      </c>
      <c r="L129">
        <v>0.36259999999999998</v>
      </c>
    </row>
    <row r="130" spans="1:12" x14ac:dyDescent="0.35">
      <c r="A130">
        <v>1.4</v>
      </c>
      <c r="B130">
        <v>0.59619999999999995</v>
      </c>
      <c r="C130">
        <v>8.1200000000000005E-3</v>
      </c>
      <c r="D130">
        <v>2.31E-3</v>
      </c>
      <c r="E130">
        <v>-6.6100000000000006E-2</v>
      </c>
      <c r="F130">
        <v>1.34E-2</v>
      </c>
      <c r="G130">
        <v>0.05</v>
      </c>
      <c r="H130">
        <v>-1.8176000000000001</v>
      </c>
      <c r="I130">
        <v>0</v>
      </c>
      <c r="J130">
        <v>0</v>
      </c>
      <c r="K130">
        <v>0</v>
      </c>
      <c r="L130">
        <v>0.3599</v>
      </c>
    </row>
    <row r="131" spans="1:12" x14ac:dyDescent="0.35">
      <c r="A131">
        <v>1.45</v>
      </c>
      <c r="B131">
        <v>0.60719999999999996</v>
      </c>
      <c r="C131">
        <v>8.1700000000000002E-3</v>
      </c>
      <c r="D131">
        <v>2.3900000000000002E-3</v>
      </c>
      <c r="E131">
        <v>-6.5699999999999995E-2</v>
      </c>
      <c r="F131">
        <v>1.32E-2</v>
      </c>
      <c r="G131">
        <v>0.05</v>
      </c>
      <c r="H131">
        <v>-1.9044000000000001</v>
      </c>
      <c r="I131">
        <v>0</v>
      </c>
      <c r="J131">
        <v>0</v>
      </c>
      <c r="K131">
        <v>0</v>
      </c>
      <c r="L131">
        <v>0.35720000000000002</v>
      </c>
    </row>
    <row r="132" spans="1:12" x14ac:dyDescent="0.35">
      <c r="A132">
        <v>1.5</v>
      </c>
      <c r="B132">
        <v>0.61809999999999998</v>
      </c>
      <c r="C132">
        <v>8.2299999999999995E-3</v>
      </c>
      <c r="D132">
        <v>2.48E-3</v>
      </c>
      <c r="E132">
        <v>-6.5299999999999997E-2</v>
      </c>
      <c r="F132">
        <v>1.2999999999999999E-2</v>
      </c>
      <c r="G132">
        <v>0.05</v>
      </c>
      <c r="H132">
        <v>-1.9914000000000001</v>
      </c>
      <c r="I132">
        <v>0</v>
      </c>
      <c r="J132">
        <v>0</v>
      </c>
      <c r="K132">
        <v>0</v>
      </c>
      <c r="L132">
        <v>0.35460000000000003</v>
      </c>
    </row>
    <row r="133" spans="1:12" x14ac:dyDescent="0.35">
      <c r="A133">
        <v>1.55</v>
      </c>
      <c r="B133">
        <v>0.629</v>
      </c>
      <c r="C133">
        <v>8.3099999999999997E-3</v>
      </c>
      <c r="D133">
        <v>2.5899999999999999E-3</v>
      </c>
      <c r="E133">
        <v>-6.4799999999999996E-2</v>
      </c>
      <c r="F133">
        <v>1.29E-2</v>
      </c>
      <c r="G133">
        <v>0.05</v>
      </c>
      <c r="H133">
        <v>-2.0985999999999998</v>
      </c>
      <c r="I133">
        <v>0</v>
      </c>
      <c r="J133">
        <v>0</v>
      </c>
      <c r="K133">
        <v>0</v>
      </c>
      <c r="L133">
        <v>0.35199999999999998</v>
      </c>
    </row>
    <row r="134" spans="1:12" x14ac:dyDescent="0.35">
      <c r="A134">
        <v>1.6</v>
      </c>
      <c r="B134">
        <v>0.63959999999999995</v>
      </c>
      <c r="C134">
        <v>8.3899999999999999E-3</v>
      </c>
      <c r="D134">
        <v>2.7100000000000002E-3</v>
      </c>
      <c r="E134">
        <v>-6.4299999999999996E-2</v>
      </c>
      <c r="F134">
        <v>1.2699999999999999E-2</v>
      </c>
      <c r="G134">
        <v>0.05</v>
      </c>
      <c r="H134">
        <v>-2.2054</v>
      </c>
      <c r="I134">
        <v>0</v>
      </c>
      <c r="J134">
        <v>0</v>
      </c>
      <c r="K134">
        <v>0</v>
      </c>
      <c r="L134">
        <v>0.34939999999999999</v>
      </c>
    </row>
    <row r="135" spans="1:12" x14ac:dyDescent="0.35">
      <c r="A135">
        <v>1.65</v>
      </c>
      <c r="B135">
        <v>0.65010000000000001</v>
      </c>
      <c r="C135">
        <v>8.4899999999999993E-3</v>
      </c>
      <c r="D135">
        <v>2.8500000000000001E-3</v>
      </c>
      <c r="E135">
        <v>-6.3600000000000004E-2</v>
      </c>
      <c r="F135">
        <v>1.26E-2</v>
      </c>
      <c r="G135">
        <v>0.05</v>
      </c>
      <c r="H135">
        <v>-2.3098999999999998</v>
      </c>
      <c r="I135">
        <v>0</v>
      </c>
      <c r="J135">
        <v>0</v>
      </c>
      <c r="K135">
        <v>0</v>
      </c>
      <c r="L135">
        <v>0.3468</v>
      </c>
    </row>
    <row r="136" spans="1:12" x14ac:dyDescent="0.35">
      <c r="A136">
        <v>1.7</v>
      </c>
      <c r="B136">
        <v>0.6603</v>
      </c>
      <c r="C136">
        <v>8.6099999999999996E-3</v>
      </c>
      <c r="D136">
        <v>3.0100000000000001E-3</v>
      </c>
      <c r="E136">
        <v>-6.3E-2</v>
      </c>
      <c r="F136">
        <v>1.24E-2</v>
      </c>
      <c r="G136">
        <v>0.05</v>
      </c>
      <c r="H136">
        <v>-2.4104999999999999</v>
      </c>
      <c r="I136">
        <v>0</v>
      </c>
      <c r="J136">
        <v>0</v>
      </c>
      <c r="K136">
        <v>0</v>
      </c>
      <c r="L136">
        <v>0.34420000000000001</v>
      </c>
    </row>
    <row r="137" spans="1:12" x14ac:dyDescent="0.35">
      <c r="A137">
        <v>1.75</v>
      </c>
      <c r="B137">
        <v>0.67030000000000001</v>
      </c>
      <c r="C137">
        <v>8.7500000000000008E-3</v>
      </c>
      <c r="D137">
        <v>3.1900000000000001E-3</v>
      </c>
      <c r="E137">
        <v>-6.2199999999999998E-2</v>
      </c>
      <c r="F137">
        <v>1.23E-2</v>
      </c>
      <c r="G137">
        <v>0.05</v>
      </c>
      <c r="H137">
        <v>-2.5057</v>
      </c>
      <c r="I137">
        <v>0</v>
      </c>
      <c r="J137">
        <v>0</v>
      </c>
      <c r="K137">
        <v>0</v>
      </c>
      <c r="L137">
        <v>0.3417</v>
      </c>
    </row>
    <row r="138" spans="1:12" x14ac:dyDescent="0.35">
      <c r="A138">
        <v>1.8</v>
      </c>
      <c r="B138">
        <v>0.67979999999999996</v>
      </c>
      <c r="C138">
        <v>8.9099999999999995E-3</v>
      </c>
      <c r="D138">
        <v>3.3999999999999998E-3</v>
      </c>
      <c r="E138">
        <v>-6.1400000000000003E-2</v>
      </c>
      <c r="F138">
        <v>1.2200000000000001E-2</v>
      </c>
      <c r="G138">
        <v>0.05</v>
      </c>
      <c r="H138">
        <v>-2.5939999999999999</v>
      </c>
      <c r="I138">
        <v>0</v>
      </c>
      <c r="J138">
        <v>0</v>
      </c>
      <c r="K138">
        <v>0</v>
      </c>
      <c r="L138">
        <v>0.33910000000000001</v>
      </c>
    </row>
    <row r="139" spans="1:12" x14ac:dyDescent="0.35">
      <c r="A139">
        <v>1.85</v>
      </c>
      <c r="B139">
        <v>0.68899999999999995</v>
      </c>
      <c r="C139">
        <v>9.0900000000000009E-3</v>
      </c>
      <c r="D139">
        <v>3.64E-3</v>
      </c>
      <c r="E139">
        <v>-6.0499999999999998E-2</v>
      </c>
      <c r="F139">
        <v>1.2E-2</v>
      </c>
      <c r="G139">
        <v>0.05</v>
      </c>
      <c r="H139">
        <v>-2.6738</v>
      </c>
      <c r="I139">
        <v>0</v>
      </c>
      <c r="J139">
        <v>0</v>
      </c>
      <c r="K139">
        <v>0</v>
      </c>
      <c r="L139">
        <v>0.33650000000000002</v>
      </c>
    </row>
    <row r="140" spans="1:12" x14ac:dyDescent="0.35">
      <c r="A140">
        <v>1.9</v>
      </c>
      <c r="B140">
        <v>0.69779999999999998</v>
      </c>
      <c r="C140">
        <v>9.2999999999999992E-3</v>
      </c>
      <c r="D140">
        <v>3.8899999999999998E-3</v>
      </c>
      <c r="E140">
        <v>-5.9499999999999997E-2</v>
      </c>
      <c r="F140">
        <v>1.18E-2</v>
      </c>
      <c r="G140">
        <v>0.05</v>
      </c>
      <c r="H140">
        <v>-2.7443</v>
      </c>
      <c r="I140">
        <v>0</v>
      </c>
      <c r="J140">
        <v>0</v>
      </c>
      <c r="K140">
        <v>0</v>
      </c>
      <c r="L140">
        <v>0.33400000000000002</v>
      </c>
    </row>
    <row r="141" spans="1:12" x14ac:dyDescent="0.35">
      <c r="A141">
        <v>1.95</v>
      </c>
      <c r="B141">
        <v>0.70620000000000005</v>
      </c>
      <c r="C141">
        <v>9.5200000000000007E-3</v>
      </c>
      <c r="D141">
        <v>4.1700000000000001E-3</v>
      </c>
      <c r="E141">
        <v>-5.8400000000000001E-2</v>
      </c>
      <c r="F141">
        <v>1.1599999999999999E-2</v>
      </c>
      <c r="G141">
        <v>0.05</v>
      </c>
      <c r="H141">
        <v>-2.8048000000000002</v>
      </c>
      <c r="I141">
        <v>0</v>
      </c>
      <c r="J141">
        <v>0</v>
      </c>
      <c r="K141">
        <v>0</v>
      </c>
      <c r="L141">
        <v>0.33139999999999997</v>
      </c>
    </row>
    <row r="142" spans="1:12" x14ac:dyDescent="0.35">
      <c r="A142">
        <v>2</v>
      </c>
      <c r="B142">
        <v>0.71440000000000003</v>
      </c>
      <c r="C142">
        <v>9.7599999999999996E-3</v>
      </c>
      <c r="D142">
        <v>4.4600000000000004E-3</v>
      </c>
      <c r="E142">
        <v>-5.7299999999999997E-2</v>
      </c>
      <c r="F142">
        <v>1.14E-2</v>
      </c>
      <c r="G142">
        <v>0.05</v>
      </c>
      <c r="H142">
        <v>-2.8551000000000002</v>
      </c>
      <c r="I142">
        <v>0</v>
      </c>
      <c r="J142">
        <v>0</v>
      </c>
      <c r="K142">
        <v>0</v>
      </c>
      <c r="L142">
        <v>0.32879999999999998</v>
      </c>
    </row>
    <row r="143" spans="1:12" x14ac:dyDescent="0.35">
      <c r="A143">
        <v>2.0499999999999998</v>
      </c>
      <c r="B143">
        <v>0.72250000000000003</v>
      </c>
      <c r="C143">
        <v>1.0019999999999999E-2</v>
      </c>
      <c r="D143">
        <v>4.7699999999999999E-3</v>
      </c>
      <c r="E143">
        <v>-5.6099999999999997E-2</v>
      </c>
      <c r="F143">
        <v>1.12E-2</v>
      </c>
      <c r="G143">
        <v>0.05</v>
      </c>
      <c r="H143">
        <v>-2.8963999999999999</v>
      </c>
      <c r="I143">
        <v>0</v>
      </c>
      <c r="J143">
        <v>0</v>
      </c>
      <c r="K143">
        <v>0</v>
      </c>
      <c r="L143">
        <v>0.32629999999999998</v>
      </c>
    </row>
    <row r="144" spans="1:12" x14ac:dyDescent="0.35">
      <c r="A144">
        <v>2.1</v>
      </c>
      <c r="B144">
        <v>0.73060000000000003</v>
      </c>
      <c r="C144">
        <v>1.0290000000000001E-2</v>
      </c>
      <c r="D144">
        <v>5.1000000000000004E-3</v>
      </c>
      <c r="E144">
        <v>-5.4899999999999997E-2</v>
      </c>
      <c r="F144">
        <v>1.0999999999999999E-2</v>
      </c>
      <c r="G144">
        <v>0.05</v>
      </c>
      <c r="H144">
        <v>-2.9306999999999999</v>
      </c>
      <c r="I144">
        <v>0</v>
      </c>
      <c r="J144">
        <v>0</v>
      </c>
      <c r="K144">
        <v>0</v>
      </c>
      <c r="L144">
        <v>0.32379999999999998</v>
      </c>
    </row>
    <row r="145" spans="1:12" x14ac:dyDescent="0.35">
      <c r="A145">
        <v>2.15</v>
      </c>
      <c r="B145">
        <v>0.7389</v>
      </c>
      <c r="C145">
        <v>1.0580000000000001E-2</v>
      </c>
      <c r="D145">
        <v>5.4400000000000004E-3</v>
      </c>
      <c r="E145">
        <v>-5.3800000000000001E-2</v>
      </c>
      <c r="F145">
        <v>1.0800000000000001E-2</v>
      </c>
      <c r="G145">
        <v>0.05</v>
      </c>
      <c r="H145">
        <v>-2.9592000000000001</v>
      </c>
      <c r="I145">
        <v>0</v>
      </c>
      <c r="J145">
        <v>0</v>
      </c>
      <c r="K145">
        <v>0</v>
      </c>
      <c r="L145">
        <v>0.32140000000000002</v>
      </c>
    </row>
    <row r="146" spans="1:12" x14ac:dyDescent="0.35">
      <c r="A146">
        <v>2.2000000000000002</v>
      </c>
      <c r="B146">
        <v>0.74750000000000005</v>
      </c>
      <c r="C146">
        <v>1.0880000000000001E-2</v>
      </c>
      <c r="D146">
        <v>5.79E-3</v>
      </c>
      <c r="E146">
        <v>-5.2600000000000001E-2</v>
      </c>
      <c r="F146">
        <v>1.06E-2</v>
      </c>
      <c r="G146">
        <v>0.05</v>
      </c>
      <c r="H146">
        <v>-2.9828000000000001</v>
      </c>
      <c r="I146">
        <v>0</v>
      </c>
      <c r="J146">
        <v>0</v>
      </c>
      <c r="K146">
        <v>0</v>
      </c>
      <c r="L146">
        <v>0.31890000000000002</v>
      </c>
    </row>
    <row r="147" spans="1:12" x14ac:dyDescent="0.35">
      <c r="A147">
        <v>2.25</v>
      </c>
      <c r="B147">
        <v>0.75649999999999995</v>
      </c>
      <c r="C147">
        <v>1.12E-2</v>
      </c>
      <c r="D147">
        <v>6.1599999999999997E-3</v>
      </c>
      <c r="E147">
        <v>-5.1499999999999997E-2</v>
      </c>
      <c r="F147">
        <v>1.0500000000000001E-2</v>
      </c>
      <c r="G147">
        <v>0.05</v>
      </c>
      <c r="H147">
        <v>-3.0026000000000002</v>
      </c>
      <c r="I147">
        <v>0</v>
      </c>
      <c r="J147">
        <v>0</v>
      </c>
      <c r="K147">
        <v>0</v>
      </c>
      <c r="L147">
        <v>0.31659999999999999</v>
      </c>
    </row>
    <row r="148" spans="1:12" x14ac:dyDescent="0.35">
      <c r="A148">
        <v>2.2999999999999998</v>
      </c>
      <c r="B148">
        <v>0.76590000000000003</v>
      </c>
      <c r="C148">
        <v>1.154E-2</v>
      </c>
      <c r="D148">
        <v>6.5500000000000003E-3</v>
      </c>
      <c r="E148">
        <v>-5.04E-2</v>
      </c>
      <c r="F148">
        <v>1.04E-2</v>
      </c>
      <c r="G148">
        <v>0.05</v>
      </c>
      <c r="H148">
        <v>-3.0192999999999999</v>
      </c>
      <c r="I148">
        <v>0</v>
      </c>
      <c r="J148">
        <v>0</v>
      </c>
      <c r="K148">
        <v>0</v>
      </c>
      <c r="L148">
        <v>0.31430000000000002</v>
      </c>
    </row>
    <row r="149" spans="1:12" x14ac:dyDescent="0.35">
      <c r="A149">
        <v>2.35</v>
      </c>
      <c r="B149">
        <v>0.77569999999999995</v>
      </c>
      <c r="C149">
        <v>1.1900000000000001E-2</v>
      </c>
      <c r="D149">
        <v>6.9699999999999996E-3</v>
      </c>
      <c r="E149">
        <v>-4.9399999999999999E-2</v>
      </c>
      <c r="F149">
        <v>1.0200000000000001E-2</v>
      </c>
      <c r="G149">
        <v>0.05</v>
      </c>
      <c r="H149">
        <v>-3.0331000000000001</v>
      </c>
      <c r="I149">
        <v>0</v>
      </c>
      <c r="J149">
        <v>0</v>
      </c>
      <c r="K149">
        <v>0</v>
      </c>
      <c r="L149">
        <v>0.31209999999999999</v>
      </c>
    </row>
    <row r="150" spans="1:12" x14ac:dyDescent="0.35">
      <c r="A150">
        <v>2.4</v>
      </c>
      <c r="B150">
        <v>0.78580000000000005</v>
      </c>
      <c r="C150">
        <v>1.2290000000000001E-2</v>
      </c>
      <c r="D150">
        <v>7.4099999999999999E-3</v>
      </c>
      <c r="E150">
        <v>-4.8399999999999999E-2</v>
      </c>
      <c r="F150">
        <v>1.01E-2</v>
      </c>
      <c r="G150">
        <v>0.05</v>
      </c>
      <c r="H150">
        <v>-3.0446</v>
      </c>
      <c r="I150">
        <v>0</v>
      </c>
      <c r="J150">
        <v>0</v>
      </c>
      <c r="K150">
        <v>0</v>
      </c>
      <c r="L150">
        <v>0.31</v>
      </c>
    </row>
    <row r="151" spans="1:12" x14ac:dyDescent="0.35">
      <c r="A151">
        <v>2.4500000000000002</v>
      </c>
      <c r="B151">
        <v>0.79610000000000003</v>
      </c>
      <c r="C151">
        <v>1.269E-2</v>
      </c>
      <c r="D151">
        <v>7.8799999999999999E-3</v>
      </c>
      <c r="E151">
        <v>-4.7399999999999998E-2</v>
      </c>
      <c r="F151">
        <v>0.01</v>
      </c>
      <c r="G151">
        <v>0.05</v>
      </c>
      <c r="H151">
        <v>-3.0535999999999999</v>
      </c>
      <c r="I151">
        <v>0</v>
      </c>
      <c r="J151">
        <v>0</v>
      </c>
      <c r="K151">
        <v>0</v>
      </c>
      <c r="L151">
        <v>0.30790000000000001</v>
      </c>
    </row>
    <row r="152" spans="1:12" x14ac:dyDescent="0.35">
      <c r="A152">
        <v>2.5</v>
      </c>
      <c r="B152">
        <v>0.80649999999999999</v>
      </c>
      <c r="C152">
        <v>1.312E-2</v>
      </c>
      <c r="D152">
        <v>8.3800000000000003E-3</v>
      </c>
      <c r="E152">
        <v>-4.6399999999999997E-2</v>
      </c>
      <c r="F152">
        <v>0.01</v>
      </c>
      <c r="G152">
        <v>0.05</v>
      </c>
      <c r="H152">
        <v>-3.0602999999999998</v>
      </c>
      <c r="I152">
        <v>0</v>
      </c>
      <c r="J152">
        <v>0</v>
      </c>
      <c r="K152">
        <v>0</v>
      </c>
      <c r="L152">
        <v>0.30590000000000001</v>
      </c>
    </row>
    <row r="153" spans="1:12" x14ac:dyDescent="0.35">
      <c r="A153">
        <v>2.5499999999999998</v>
      </c>
      <c r="B153">
        <v>0.81669999999999998</v>
      </c>
      <c r="C153">
        <v>1.358E-2</v>
      </c>
      <c r="D153">
        <v>8.8999999999999999E-3</v>
      </c>
      <c r="E153">
        <v>-4.5400000000000003E-2</v>
      </c>
      <c r="F153">
        <v>9.9000000000000008E-3</v>
      </c>
      <c r="G153">
        <v>0.05</v>
      </c>
      <c r="H153">
        <v>-3.0646</v>
      </c>
      <c r="I153">
        <v>0</v>
      </c>
      <c r="J153">
        <v>0</v>
      </c>
      <c r="K153">
        <v>0</v>
      </c>
      <c r="L153">
        <v>0.30399999999999999</v>
      </c>
    </row>
    <row r="154" spans="1:12" x14ac:dyDescent="0.35">
      <c r="A154">
        <v>2.6</v>
      </c>
      <c r="B154">
        <v>0.8266</v>
      </c>
      <c r="C154">
        <v>1.4069999999999999E-2</v>
      </c>
      <c r="D154">
        <v>9.4599999999999997E-3</v>
      </c>
      <c r="E154">
        <v>-4.4400000000000002E-2</v>
      </c>
      <c r="F154">
        <v>9.7999999999999997E-3</v>
      </c>
      <c r="G154">
        <v>0.05</v>
      </c>
      <c r="H154">
        <v>-3.0666000000000002</v>
      </c>
      <c r="I154">
        <v>0</v>
      </c>
      <c r="J154">
        <v>0</v>
      </c>
      <c r="K154">
        <v>0</v>
      </c>
      <c r="L154">
        <v>0.30209999999999998</v>
      </c>
    </row>
    <row r="155" spans="1:12" x14ac:dyDescent="0.35">
      <c r="A155">
        <v>2.65</v>
      </c>
      <c r="B155">
        <v>0.83599999999999997</v>
      </c>
      <c r="C155">
        <v>1.4579999999999999E-2</v>
      </c>
      <c r="D155">
        <v>1.004E-2</v>
      </c>
      <c r="E155">
        <v>-4.3400000000000001E-2</v>
      </c>
      <c r="F155">
        <v>9.7000000000000003E-3</v>
      </c>
      <c r="G155">
        <v>0.05</v>
      </c>
      <c r="H155">
        <v>-3.0663999999999998</v>
      </c>
      <c r="I155">
        <v>0</v>
      </c>
      <c r="J155">
        <v>0</v>
      </c>
      <c r="K155">
        <v>0</v>
      </c>
      <c r="L155">
        <v>0.30020000000000002</v>
      </c>
    </row>
    <row r="156" spans="1:12" x14ac:dyDescent="0.35">
      <c r="A156">
        <v>2.7</v>
      </c>
      <c r="B156">
        <v>0.84489999999999998</v>
      </c>
      <c r="C156">
        <v>1.511E-2</v>
      </c>
      <c r="D156">
        <v>1.065E-2</v>
      </c>
      <c r="E156">
        <v>-4.24E-2</v>
      </c>
      <c r="F156">
        <v>9.5999999999999992E-3</v>
      </c>
      <c r="G156">
        <v>0.05</v>
      </c>
      <c r="H156">
        <v>-3.0646</v>
      </c>
      <c r="I156">
        <v>0</v>
      </c>
      <c r="J156">
        <v>0</v>
      </c>
      <c r="K156">
        <v>0</v>
      </c>
      <c r="L156">
        <v>0.2984</v>
      </c>
    </row>
    <row r="157" spans="1:12" x14ac:dyDescent="0.35">
      <c r="A157">
        <v>2.75</v>
      </c>
      <c r="B157">
        <v>0.85309999999999997</v>
      </c>
      <c r="C157">
        <v>1.567E-2</v>
      </c>
      <c r="D157">
        <v>1.129E-2</v>
      </c>
      <c r="E157">
        <v>-4.1300000000000003E-2</v>
      </c>
      <c r="F157">
        <v>9.4999999999999998E-3</v>
      </c>
      <c r="G157">
        <v>0.05</v>
      </c>
      <c r="H157">
        <v>-3.0625</v>
      </c>
      <c r="I157">
        <v>0</v>
      </c>
      <c r="J157">
        <v>0</v>
      </c>
      <c r="K157">
        <v>0</v>
      </c>
      <c r="L157">
        <v>0.29670000000000002</v>
      </c>
    </row>
    <row r="158" spans="1:12" x14ac:dyDescent="0.35">
      <c r="A158">
        <v>2.8</v>
      </c>
      <c r="B158">
        <v>0.86080000000000001</v>
      </c>
      <c r="C158">
        <v>1.6250000000000001E-2</v>
      </c>
      <c r="D158">
        <v>1.1939999999999999E-2</v>
      </c>
      <c r="E158">
        <v>-4.02E-2</v>
      </c>
      <c r="F158">
        <v>9.4000000000000004E-3</v>
      </c>
      <c r="G158">
        <v>0.05</v>
      </c>
      <c r="H158">
        <v>-3.0607000000000002</v>
      </c>
      <c r="I158">
        <v>0</v>
      </c>
      <c r="J158">
        <v>0</v>
      </c>
      <c r="K158">
        <v>0</v>
      </c>
      <c r="L158">
        <v>0.2949</v>
      </c>
    </row>
    <row r="159" spans="1:12" x14ac:dyDescent="0.35">
      <c r="A159">
        <v>2.85</v>
      </c>
      <c r="B159">
        <v>0.86770000000000003</v>
      </c>
      <c r="C159">
        <v>1.6840000000000001E-2</v>
      </c>
      <c r="D159">
        <v>1.2619999999999999E-2</v>
      </c>
      <c r="E159">
        <v>-3.9100000000000003E-2</v>
      </c>
      <c r="F159">
        <v>9.2999999999999992E-3</v>
      </c>
      <c r="G159">
        <v>0.05</v>
      </c>
      <c r="H159">
        <v>-3.0590999999999999</v>
      </c>
      <c r="I159">
        <v>0</v>
      </c>
      <c r="J159">
        <v>0</v>
      </c>
      <c r="K159">
        <v>0</v>
      </c>
      <c r="L159">
        <v>0.29330000000000001</v>
      </c>
    </row>
    <row r="160" spans="1:12" x14ac:dyDescent="0.35">
      <c r="A160">
        <v>2.9</v>
      </c>
      <c r="B160">
        <v>0.874</v>
      </c>
      <c r="C160">
        <v>1.746E-2</v>
      </c>
      <c r="D160">
        <v>1.3310000000000001E-2</v>
      </c>
      <c r="E160">
        <v>-3.7999999999999999E-2</v>
      </c>
      <c r="F160">
        <v>9.1999999999999998E-3</v>
      </c>
      <c r="G160">
        <v>0.05</v>
      </c>
      <c r="H160">
        <v>-3.0571999999999999</v>
      </c>
      <c r="I160">
        <v>0</v>
      </c>
      <c r="J160">
        <v>0</v>
      </c>
      <c r="K160">
        <v>0</v>
      </c>
      <c r="L160">
        <v>0.29160000000000003</v>
      </c>
    </row>
    <row r="161" spans="1:12" x14ac:dyDescent="0.35">
      <c r="A161">
        <v>2.95</v>
      </c>
      <c r="B161">
        <v>0.87960000000000005</v>
      </c>
      <c r="C161">
        <v>1.8089999999999998E-2</v>
      </c>
      <c r="D161">
        <v>1.401E-2</v>
      </c>
      <c r="E161">
        <v>-3.6900000000000002E-2</v>
      </c>
      <c r="F161">
        <v>9.1000000000000004E-3</v>
      </c>
      <c r="G161">
        <v>0.05</v>
      </c>
      <c r="H161">
        <v>-3.0541999999999998</v>
      </c>
      <c r="I161">
        <v>0</v>
      </c>
      <c r="J161">
        <v>0</v>
      </c>
      <c r="K161">
        <v>0</v>
      </c>
      <c r="L161">
        <v>0.29010000000000002</v>
      </c>
    </row>
    <row r="162" spans="1:12" x14ac:dyDescent="0.35">
      <c r="A162">
        <v>3</v>
      </c>
      <c r="B162">
        <v>0.88460000000000005</v>
      </c>
      <c r="C162">
        <v>1.873E-2</v>
      </c>
      <c r="D162">
        <v>1.473E-2</v>
      </c>
      <c r="E162">
        <v>-3.5799999999999998E-2</v>
      </c>
      <c r="F162">
        <v>9.1000000000000004E-3</v>
      </c>
      <c r="G162">
        <v>0.05</v>
      </c>
      <c r="H162">
        <v>-3.0501</v>
      </c>
      <c r="I162">
        <v>0</v>
      </c>
      <c r="J162">
        <v>0</v>
      </c>
      <c r="K162">
        <v>0</v>
      </c>
      <c r="L162">
        <v>0.28860000000000002</v>
      </c>
    </row>
    <row r="163" spans="1:12" x14ac:dyDescent="0.35">
      <c r="A163">
        <v>3.05</v>
      </c>
      <c r="B163">
        <v>0.88900000000000001</v>
      </c>
      <c r="C163">
        <v>1.9390000000000001E-2</v>
      </c>
      <c r="D163">
        <v>1.546E-2</v>
      </c>
      <c r="E163">
        <v>-3.4700000000000002E-2</v>
      </c>
      <c r="F163">
        <v>9.1000000000000004E-3</v>
      </c>
      <c r="G163">
        <v>0.05</v>
      </c>
      <c r="H163">
        <v>-3.0451000000000001</v>
      </c>
      <c r="I163">
        <v>0</v>
      </c>
      <c r="J163">
        <v>0</v>
      </c>
      <c r="K163">
        <v>0</v>
      </c>
      <c r="L163">
        <v>0.28710000000000002</v>
      </c>
    </row>
    <row r="164" spans="1:12" x14ac:dyDescent="0.35">
      <c r="A164">
        <v>3.1</v>
      </c>
      <c r="B164">
        <v>0.89280000000000004</v>
      </c>
      <c r="C164">
        <v>2.0070000000000001E-2</v>
      </c>
      <c r="D164">
        <v>1.6199999999999999E-2</v>
      </c>
      <c r="E164">
        <v>-3.3599999999999998E-2</v>
      </c>
      <c r="F164">
        <v>9.1000000000000004E-3</v>
      </c>
      <c r="G164">
        <v>0.05</v>
      </c>
      <c r="H164">
        <v>-3.0394000000000001</v>
      </c>
      <c r="I164">
        <v>0</v>
      </c>
      <c r="J164">
        <v>0</v>
      </c>
      <c r="K164">
        <v>0</v>
      </c>
      <c r="L164">
        <v>0.28570000000000001</v>
      </c>
    </row>
    <row r="165" spans="1:12" x14ac:dyDescent="0.35">
      <c r="A165">
        <v>3.15</v>
      </c>
      <c r="B165">
        <v>0.89600000000000002</v>
      </c>
      <c r="C165">
        <v>2.0760000000000001E-2</v>
      </c>
      <c r="D165">
        <v>1.6959999999999999E-2</v>
      </c>
      <c r="E165">
        <v>-3.2599999999999997E-2</v>
      </c>
      <c r="F165">
        <v>9.1000000000000004E-3</v>
      </c>
      <c r="G165">
        <v>0.05</v>
      </c>
      <c r="H165">
        <v>-3.0329999999999999</v>
      </c>
      <c r="I165">
        <v>0</v>
      </c>
      <c r="J165">
        <v>0</v>
      </c>
      <c r="K165">
        <v>0</v>
      </c>
      <c r="L165">
        <v>0.28439999999999999</v>
      </c>
    </row>
    <row r="166" spans="1:12" x14ac:dyDescent="0.35">
      <c r="A166">
        <v>3.2</v>
      </c>
      <c r="B166">
        <v>0.89859999999999995</v>
      </c>
      <c r="C166">
        <v>2.146E-2</v>
      </c>
      <c r="D166">
        <v>1.772E-2</v>
      </c>
      <c r="E166">
        <v>-3.1600000000000003E-2</v>
      </c>
      <c r="F166">
        <v>9.1000000000000004E-3</v>
      </c>
      <c r="G166">
        <v>0.05</v>
      </c>
      <c r="H166">
        <v>-3.0360999999999998</v>
      </c>
      <c r="I166">
        <v>0</v>
      </c>
      <c r="J166">
        <v>0</v>
      </c>
      <c r="K166">
        <v>0</v>
      </c>
      <c r="L166">
        <v>0.28310000000000002</v>
      </c>
    </row>
    <row r="167" spans="1:12" x14ac:dyDescent="0.35">
      <c r="A167">
        <v>3.25</v>
      </c>
      <c r="B167">
        <v>0.90069999999999995</v>
      </c>
      <c r="C167">
        <v>2.2190000000000001E-2</v>
      </c>
      <c r="D167">
        <v>1.8509999999999999E-2</v>
      </c>
      <c r="E167">
        <v>-3.0599999999999999E-2</v>
      </c>
      <c r="F167">
        <v>9.1000000000000004E-3</v>
      </c>
      <c r="G167">
        <v>0.05</v>
      </c>
      <c r="H167">
        <v>-3.0724</v>
      </c>
      <c r="I167">
        <v>0</v>
      </c>
      <c r="J167">
        <v>0</v>
      </c>
      <c r="K167">
        <v>0</v>
      </c>
      <c r="L167">
        <v>0.28189999999999998</v>
      </c>
    </row>
    <row r="168" spans="1:12" x14ac:dyDescent="0.35">
      <c r="A168">
        <v>3.3</v>
      </c>
      <c r="B168">
        <v>0.90210000000000001</v>
      </c>
      <c r="C168">
        <v>2.2929999999999999E-2</v>
      </c>
      <c r="D168">
        <v>1.9310000000000001E-2</v>
      </c>
      <c r="E168">
        <v>-2.9600000000000001E-2</v>
      </c>
      <c r="F168">
        <v>8.8000000000000005E-3</v>
      </c>
      <c r="G168">
        <v>0.05</v>
      </c>
      <c r="H168">
        <v>-3.1084000000000001</v>
      </c>
      <c r="I168">
        <v>0</v>
      </c>
      <c r="J168">
        <v>0</v>
      </c>
      <c r="K168">
        <v>0</v>
      </c>
      <c r="L168">
        <v>0.28079999999999999</v>
      </c>
    </row>
    <row r="169" spans="1:12" x14ac:dyDescent="0.35">
      <c r="A169">
        <v>3.35</v>
      </c>
      <c r="B169">
        <v>0.90290000000000004</v>
      </c>
      <c r="C169">
        <v>2.3709999999999998E-2</v>
      </c>
      <c r="D169">
        <v>2.0150000000000001E-2</v>
      </c>
      <c r="E169">
        <v>-2.87E-2</v>
      </c>
      <c r="F169">
        <v>8.6E-3</v>
      </c>
      <c r="G169">
        <v>0.05</v>
      </c>
      <c r="H169">
        <v>-3.1488</v>
      </c>
      <c r="I169">
        <v>0</v>
      </c>
      <c r="J169">
        <v>0</v>
      </c>
      <c r="K169">
        <v>0</v>
      </c>
      <c r="L169">
        <v>0.2797</v>
      </c>
    </row>
    <row r="170" spans="1:12" x14ac:dyDescent="0.35">
      <c r="A170">
        <v>3.4</v>
      </c>
      <c r="B170">
        <v>0.90259999999999996</v>
      </c>
      <c r="C170">
        <v>2.4539999999999999E-2</v>
      </c>
      <c r="D170">
        <v>2.103E-2</v>
      </c>
      <c r="E170">
        <v>-2.7699999999999999E-2</v>
      </c>
      <c r="F170">
        <v>8.3999999999999995E-3</v>
      </c>
      <c r="G170">
        <v>0.05</v>
      </c>
      <c r="H170">
        <v>-3.1928999999999998</v>
      </c>
      <c r="I170">
        <v>0</v>
      </c>
      <c r="J170">
        <v>0</v>
      </c>
      <c r="K170">
        <v>0</v>
      </c>
      <c r="L170">
        <v>0.27860000000000001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77C3C-A8DB-4596-9F61-9557BE85BEA8}">
  <sheetPr codeName="Sheet31"/>
  <dimension ref="A1:L201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-5</v>
      </c>
      <c r="B2">
        <v>-0.3826</v>
      </c>
      <c r="C2">
        <v>6.0539999999999997E-2</v>
      </c>
      <c r="D2">
        <v>5.697E-2</v>
      </c>
      <c r="E2">
        <v>-4.9500000000000002E-2</v>
      </c>
      <c r="F2">
        <v>0.05</v>
      </c>
      <c r="G2">
        <v>2.5999999999999999E-3</v>
      </c>
      <c r="H2">
        <v>-2.4384000000000001</v>
      </c>
      <c r="I2">
        <v>0</v>
      </c>
      <c r="J2">
        <v>0</v>
      </c>
      <c r="K2">
        <v>0</v>
      </c>
      <c r="L2">
        <v>0.1178</v>
      </c>
    </row>
    <row r="3" spans="1:12" x14ac:dyDescent="0.35">
      <c r="A3">
        <v>-4.95</v>
      </c>
      <c r="B3">
        <v>-0.38090000000000002</v>
      </c>
      <c r="C3">
        <v>5.969E-2</v>
      </c>
      <c r="D3">
        <v>5.6120000000000003E-2</v>
      </c>
      <c r="E3">
        <v>-5.0099999999999999E-2</v>
      </c>
      <c r="F3">
        <v>0.05</v>
      </c>
      <c r="G3">
        <v>2.5999999999999999E-3</v>
      </c>
      <c r="H3">
        <v>-2.4411999999999998</v>
      </c>
      <c r="I3">
        <v>0</v>
      </c>
      <c r="J3">
        <v>0</v>
      </c>
      <c r="K3">
        <v>0</v>
      </c>
      <c r="L3">
        <v>0.11559999999999999</v>
      </c>
    </row>
    <row r="4" spans="1:12" x14ac:dyDescent="0.35">
      <c r="A4">
        <v>-4.9000000000000004</v>
      </c>
      <c r="B4">
        <v>-0.37930000000000003</v>
      </c>
      <c r="C4">
        <v>5.885E-2</v>
      </c>
      <c r="D4">
        <v>5.5280000000000003E-2</v>
      </c>
      <c r="E4">
        <v>-5.0700000000000002E-2</v>
      </c>
      <c r="F4">
        <v>0.05</v>
      </c>
      <c r="G4">
        <v>2.7000000000000001E-3</v>
      </c>
      <c r="H4">
        <v>-2.444</v>
      </c>
      <c r="I4">
        <v>0</v>
      </c>
      <c r="J4">
        <v>0</v>
      </c>
      <c r="K4">
        <v>0</v>
      </c>
      <c r="L4">
        <v>0.1134</v>
      </c>
    </row>
    <row r="5" spans="1:12" x14ac:dyDescent="0.35">
      <c r="A5">
        <v>-4.8499999999999996</v>
      </c>
      <c r="B5">
        <v>-0.37759999999999999</v>
      </c>
      <c r="C5">
        <v>5.8000000000000003E-2</v>
      </c>
      <c r="D5">
        <v>5.4429999999999999E-2</v>
      </c>
      <c r="E5">
        <v>-5.1400000000000001E-2</v>
      </c>
      <c r="F5">
        <v>0.05</v>
      </c>
      <c r="G5">
        <v>2.7000000000000001E-3</v>
      </c>
      <c r="H5">
        <v>-2.4470000000000001</v>
      </c>
      <c r="I5">
        <v>0</v>
      </c>
      <c r="J5">
        <v>0</v>
      </c>
      <c r="K5">
        <v>0</v>
      </c>
      <c r="L5">
        <v>0.1111</v>
      </c>
    </row>
    <row r="6" spans="1:12" x14ac:dyDescent="0.35">
      <c r="A6">
        <v>-4.8</v>
      </c>
      <c r="B6">
        <v>-0.376</v>
      </c>
      <c r="C6">
        <v>5.7149999999999999E-2</v>
      </c>
      <c r="D6">
        <v>5.3589999999999999E-2</v>
      </c>
      <c r="E6">
        <v>-5.1999999999999998E-2</v>
      </c>
      <c r="F6">
        <v>0.05</v>
      </c>
      <c r="G6">
        <v>2.7000000000000001E-3</v>
      </c>
      <c r="H6">
        <v>-2.4500999999999999</v>
      </c>
      <c r="I6">
        <v>0</v>
      </c>
      <c r="J6">
        <v>0</v>
      </c>
      <c r="K6">
        <v>0</v>
      </c>
      <c r="L6">
        <v>0.1089</v>
      </c>
    </row>
    <row r="7" spans="1:12" x14ac:dyDescent="0.35">
      <c r="A7">
        <v>-4.75</v>
      </c>
      <c r="B7">
        <v>-0.3745</v>
      </c>
      <c r="C7">
        <v>5.6309999999999999E-2</v>
      </c>
      <c r="D7">
        <v>5.2740000000000002E-2</v>
      </c>
      <c r="E7">
        <v>-5.2699999999999997E-2</v>
      </c>
      <c r="F7">
        <v>0.05</v>
      </c>
      <c r="G7">
        <v>2.7000000000000001E-3</v>
      </c>
      <c r="H7">
        <v>-2.4535</v>
      </c>
      <c r="I7">
        <v>0</v>
      </c>
      <c r="J7">
        <v>0</v>
      </c>
      <c r="K7">
        <v>0</v>
      </c>
      <c r="L7">
        <v>0.1065</v>
      </c>
    </row>
    <row r="8" spans="1:12" x14ac:dyDescent="0.35">
      <c r="A8">
        <v>-4.7</v>
      </c>
      <c r="B8">
        <v>-0.37290000000000001</v>
      </c>
      <c r="C8">
        <v>5.5460000000000002E-2</v>
      </c>
      <c r="D8">
        <v>5.1900000000000002E-2</v>
      </c>
      <c r="E8">
        <v>-5.3400000000000003E-2</v>
      </c>
      <c r="F8">
        <v>0.05</v>
      </c>
      <c r="G8">
        <v>2.7000000000000001E-3</v>
      </c>
      <c r="H8">
        <v>-2.4569999999999999</v>
      </c>
      <c r="I8">
        <v>0</v>
      </c>
      <c r="J8">
        <v>0</v>
      </c>
      <c r="K8">
        <v>0</v>
      </c>
      <c r="L8">
        <v>0.1042</v>
      </c>
    </row>
    <row r="9" spans="1:12" x14ac:dyDescent="0.35">
      <c r="A9">
        <v>-4.6500000000000004</v>
      </c>
      <c r="B9">
        <v>-0.37140000000000001</v>
      </c>
      <c r="C9">
        <v>5.4600000000000003E-2</v>
      </c>
      <c r="D9">
        <v>5.1049999999999998E-2</v>
      </c>
      <c r="E9">
        <v>-5.4100000000000002E-2</v>
      </c>
      <c r="F9">
        <v>0.05</v>
      </c>
      <c r="G9">
        <v>2.8E-3</v>
      </c>
      <c r="H9">
        <v>-2.4609000000000001</v>
      </c>
      <c r="I9">
        <v>0</v>
      </c>
      <c r="J9">
        <v>0</v>
      </c>
      <c r="K9">
        <v>0</v>
      </c>
      <c r="L9">
        <v>0.1017</v>
      </c>
    </row>
    <row r="10" spans="1:12" x14ac:dyDescent="0.35">
      <c r="A10">
        <v>-4.5999999999999996</v>
      </c>
      <c r="B10">
        <v>-0.36990000000000001</v>
      </c>
      <c r="C10">
        <v>5.3749999999999999E-2</v>
      </c>
      <c r="D10">
        <v>5.0200000000000002E-2</v>
      </c>
      <c r="E10">
        <v>-5.4800000000000001E-2</v>
      </c>
      <c r="F10">
        <v>0.05</v>
      </c>
      <c r="G10">
        <v>2.8E-3</v>
      </c>
      <c r="H10">
        <v>-2.4649000000000001</v>
      </c>
      <c r="I10">
        <v>0</v>
      </c>
      <c r="J10">
        <v>0</v>
      </c>
      <c r="K10">
        <v>0</v>
      </c>
      <c r="L10">
        <v>9.9299999999999999E-2</v>
      </c>
    </row>
    <row r="11" spans="1:12" x14ac:dyDescent="0.35">
      <c r="A11">
        <v>-4.55</v>
      </c>
      <c r="B11">
        <v>-0.36849999999999999</v>
      </c>
      <c r="C11">
        <v>5.289E-2</v>
      </c>
      <c r="D11">
        <v>4.9340000000000002E-2</v>
      </c>
      <c r="E11">
        <v>-5.5500000000000001E-2</v>
      </c>
      <c r="F11">
        <v>0.05</v>
      </c>
      <c r="G11">
        <v>2.8E-3</v>
      </c>
      <c r="H11">
        <v>-2.4693000000000001</v>
      </c>
      <c r="I11">
        <v>0</v>
      </c>
      <c r="J11">
        <v>0</v>
      </c>
      <c r="K11">
        <v>0</v>
      </c>
      <c r="L11">
        <v>9.6699999999999994E-2</v>
      </c>
    </row>
    <row r="12" spans="1:12" x14ac:dyDescent="0.35">
      <c r="A12">
        <v>-4.5</v>
      </c>
      <c r="B12">
        <v>-0.36720000000000003</v>
      </c>
      <c r="C12">
        <v>5.203E-2</v>
      </c>
      <c r="D12">
        <v>4.8489999999999998E-2</v>
      </c>
      <c r="E12">
        <v>-5.6300000000000003E-2</v>
      </c>
      <c r="F12">
        <v>0.05</v>
      </c>
      <c r="G12">
        <v>2.8E-3</v>
      </c>
      <c r="H12">
        <v>-2.4740000000000002</v>
      </c>
      <c r="I12">
        <v>0</v>
      </c>
      <c r="J12">
        <v>0</v>
      </c>
      <c r="K12">
        <v>0</v>
      </c>
      <c r="L12">
        <v>9.4200000000000006E-2</v>
      </c>
    </row>
    <row r="13" spans="1:12" x14ac:dyDescent="0.35">
      <c r="A13">
        <v>-4.45</v>
      </c>
      <c r="B13">
        <v>-0.3659</v>
      </c>
      <c r="C13">
        <v>5.117E-2</v>
      </c>
      <c r="D13">
        <v>4.7629999999999999E-2</v>
      </c>
      <c r="E13">
        <v>-5.7099999999999998E-2</v>
      </c>
      <c r="F13">
        <v>0.05</v>
      </c>
      <c r="G13">
        <v>2.8999999999999998E-3</v>
      </c>
      <c r="H13">
        <v>-2.4790000000000001</v>
      </c>
      <c r="I13">
        <v>0</v>
      </c>
      <c r="J13">
        <v>0</v>
      </c>
      <c r="K13">
        <v>0</v>
      </c>
      <c r="L13">
        <v>9.1499999999999998E-2</v>
      </c>
    </row>
    <row r="14" spans="1:12" x14ac:dyDescent="0.35">
      <c r="A14">
        <v>-4.4000000000000004</v>
      </c>
      <c r="B14">
        <v>-0.36470000000000002</v>
      </c>
      <c r="C14">
        <v>5.0299999999999997E-2</v>
      </c>
      <c r="D14">
        <v>4.6769999999999999E-2</v>
      </c>
      <c r="E14">
        <v>-5.79E-2</v>
      </c>
      <c r="F14">
        <v>0.05</v>
      </c>
      <c r="G14">
        <v>2.8999999999999998E-3</v>
      </c>
      <c r="H14">
        <v>-2.4843999999999999</v>
      </c>
      <c r="I14">
        <v>0</v>
      </c>
      <c r="J14">
        <v>0</v>
      </c>
      <c r="K14">
        <v>0</v>
      </c>
      <c r="L14">
        <v>8.8800000000000004E-2</v>
      </c>
    </row>
    <row r="15" spans="1:12" x14ac:dyDescent="0.35">
      <c r="A15">
        <v>-4.3499999999999996</v>
      </c>
      <c r="B15">
        <v>-0.36370000000000002</v>
      </c>
      <c r="C15">
        <v>4.9439999999999998E-2</v>
      </c>
      <c r="D15">
        <v>4.5900000000000003E-2</v>
      </c>
      <c r="E15">
        <v>-5.8700000000000002E-2</v>
      </c>
      <c r="F15">
        <v>0.05</v>
      </c>
      <c r="G15">
        <v>2.8999999999999998E-3</v>
      </c>
      <c r="H15">
        <v>-2.4903</v>
      </c>
      <c r="I15">
        <v>0</v>
      </c>
      <c r="J15">
        <v>0</v>
      </c>
      <c r="K15">
        <v>0</v>
      </c>
      <c r="L15">
        <v>8.6099999999999996E-2</v>
      </c>
    </row>
    <row r="16" spans="1:12" x14ac:dyDescent="0.35">
      <c r="A16">
        <v>-4.3</v>
      </c>
      <c r="B16">
        <v>-0.3629</v>
      </c>
      <c r="C16">
        <v>4.8570000000000002E-2</v>
      </c>
      <c r="D16">
        <v>4.505E-2</v>
      </c>
      <c r="E16">
        <v>-5.96E-2</v>
      </c>
      <c r="F16">
        <v>0.05</v>
      </c>
      <c r="G16">
        <v>3.0000000000000001E-3</v>
      </c>
      <c r="H16">
        <v>-2.4965999999999999</v>
      </c>
      <c r="I16">
        <v>0</v>
      </c>
      <c r="J16">
        <v>0</v>
      </c>
      <c r="K16">
        <v>0</v>
      </c>
      <c r="L16">
        <v>8.3400000000000002E-2</v>
      </c>
    </row>
    <row r="17" spans="1:12" x14ac:dyDescent="0.35">
      <c r="A17">
        <v>-4.25</v>
      </c>
      <c r="B17">
        <v>-0.36270000000000002</v>
      </c>
      <c r="C17">
        <v>4.7739999999999998E-2</v>
      </c>
      <c r="D17">
        <v>4.4220000000000002E-2</v>
      </c>
      <c r="E17">
        <v>-6.0400000000000002E-2</v>
      </c>
      <c r="F17">
        <v>0.05</v>
      </c>
      <c r="G17">
        <v>3.0000000000000001E-3</v>
      </c>
      <c r="H17">
        <v>-2.5034999999999998</v>
      </c>
      <c r="I17">
        <v>0</v>
      </c>
      <c r="J17">
        <v>0</v>
      </c>
      <c r="K17">
        <v>0</v>
      </c>
      <c r="L17">
        <v>8.1000000000000003E-2</v>
      </c>
    </row>
    <row r="18" spans="1:12" x14ac:dyDescent="0.35">
      <c r="A18">
        <v>-4.2</v>
      </c>
      <c r="B18">
        <v>-0.36259999999999998</v>
      </c>
      <c r="C18">
        <v>4.691E-2</v>
      </c>
      <c r="D18">
        <v>4.3389999999999998E-2</v>
      </c>
      <c r="E18">
        <v>-6.1400000000000003E-2</v>
      </c>
      <c r="F18">
        <v>0.05</v>
      </c>
      <c r="G18">
        <v>3.0999999999999999E-3</v>
      </c>
      <c r="H18">
        <v>-2.5110000000000001</v>
      </c>
      <c r="I18">
        <v>0</v>
      </c>
      <c r="J18">
        <v>0</v>
      </c>
      <c r="K18">
        <v>0</v>
      </c>
      <c r="L18">
        <v>7.8200000000000006E-2</v>
      </c>
    </row>
    <row r="19" spans="1:12" x14ac:dyDescent="0.35">
      <c r="A19">
        <v>-4.1500000000000004</v>
      </c>
      <c r="B19">
        <v>-0.36159999999999998</v>
      </c>
      <c r="C19">
        <v>4.5969999999999997E-2</v>
      </c>
      <c r="D19">
        <v>4.2459999999999998E-2</v>
      </c>
      <c r="E19">
        <v>-6.2899999999999998E-2</v>
      </c>
      <c r="F19">
        <v>0.05</v>
      </c>
      <c r="G19">
        <v>3.0999999999999999E-3</v>
      </c>
      <c r="H19">
        <v>-2.5190999999999999</v>
      </c>
      <c r="I19">
        <v>0</v>
      </c>
      <c r="J19">
        <v>0</v>
      </c>
      <c r="K19">
        <v>0</v>
      </c>
      <c r="L19">
        <v>7.3800000000000004E-2</v>
      </c>
    </row>
    <row r="20" spans="1:12" x14ac:dyDescent="0.35">
      <c r="A20">
        <v>-4.0999999999999996</v>
      </c>
      <c r="B20">
        <v>-0.3599</v>
      </c>
      <c r="C20">
        <v>4.5019999999999998E-2</v>
      </c>
      <c r="D20">
        <v>4.1489999999999999E-2</v>
      </c>
      <c r="E20">
        <v>-6.4299999999999996E-2</v>
      </c>
      <c r="F20">
        <v>0.05</v>
      </c>
      <c r="G20">
        <v>3.2000000000000002E-3</v>
      </c>
      <c r="H20">
        <v>-2.5270000000000001</v>
      </c>
      <c r="I20">
        <v>0</v>
      </c>
      <c r="J20">
        <v>0</v>
      </c>
      <c r="K20">
        <v>0</v>
      </c>
      <c r="L20">
        <v>6.9000000000000006E-2</v>
      </c>
    </row>
    <row r="21" spans="1:12" x14ac:dyDescent="0.35">
      <c r="A21">
        <v>-4.05</v>
      </c>
      <c r="B21">
        <v>-0.35820000000000002</v>
      </c>
      <c r="C21">
        <v>4.4110000000000003E-2</v>
      </c>
      <c r="D21">
        <v>4.0579999999999998E-2</v>
      </c>
      <c r="E21">
        <v>-6.54E-2</v>
      </c>
      <c r="F21">
        <v>0.05</v>
      </c>
      <c r="G21">
        <v>3.2000000000000002E-3</v>
      </c>
      <c r="H21">
        <v>-2.5341999999999998</v>
      </c>
      <c r="I21">
        <v>0</v>
      </c>
      <c r="J21">
        <v>0</v>
      </c>
      <c r="K21">
        <v>0</v>
      </c>
      <c r="L21">
        <v>6.5100000000000005E-2</v>
      </c>
    </row>
    <row r="22" spans="1:12" x14ac:dyDescent="0.35">
      <c r="A22">
        <v>-4</v>
      </c>
      <c r="B22">
        <v>-0.35639999999999999</v>
      </c>
      <c r="C22">
        <v>4.3229999999999998E-2</v>
      </c>
      <c r="D22">
        <v>3.9690000000000003E-2</v>
      </c>
      <c r="E22">
        <v>-6.6400000000000001E-2</v>
      </c>
      <c r="F22">
        <v>0.05</v>
      </c>
      <c r="G22">
        <v>3.3E-3</v>
      </c>
      <c r="H22">
        <v>-2.5411000000000001</v>
      </c>
      <c r="I22">
        <v>0</v>
      </c>
      <c r="J22">
        <v>0</v>
      </c>
      <c r="K22">
        <v>0</v>
      </c>
      <c r="L22">
        <v>6.1499999999999999E-2</v>
      </c>
    </row>
    <row r="23" spans="1:12" x14ac:dyDescent="0.35">
      <c r="A23">
        <v>-3.95</v>
      </c>
      <c r="B23">
        <v>-0.35470000000000002</v>
      </c>
      <c r="C23">
        <v>4.2349999999999999E-2</v>
      </c>
      <c r="D23">
        <v>3.8809999999999997E-2</v>
      </c>
      <c r="E23">
        <v>-6.7299999999999999E-2</v>
      </c>
      <c r="F23">
        <v>0.05</v>
      </c>
      <c r="G23">
        <v>3.3E-3</v>
      </c>
      <c r="H23">
        <v>-2.548</v>
      </c>
      <c r="I23">
        <v>0</v>
      </c>
      <c r="J23">
        <v>0</v>
      </c>
      <c r="K23">
        <v>0</v>
      </c>
      <c r="L23">
        <v>5.8000000000000003E-2</v>
      </c>
    </row>
    <row r="24" spans="1:12" x14ac:dyDescent="0.35">
      <c r="A24">
        <v>-3.9</v>
      </c>
      <c r="B24">
        <v>-0.3528</v>
      </c>
      <c r="C24">
        <v>4.1480000000000003E-2</v>
      </c>
      <c r="D24">
        <v>3.7929999999999998E-2</v>
      </c>
      <c r="E24">
        <v>-6.8199999999999997E-2</v>
      </c>
      <c r="F24">
        <v>0.05</v>
      </c>
      <c r="G24">
        <v>3.3999999999999998E-3</v>
      </c>
      <c r="H24">
        <v>-2.5548000000000002</v>
      </c>
      <c r="I24">
        <v>0</v>
      </c>
      <c r="J24">
        <v>0</v>
      </c>
      <c r="K24">
        <v>0</v>
      </c>
      <c r="L24">
        <v>5.45E-2</v>
      </c>
    </row>
    <row r="25" spans="1:12" x14ac:dyDescent="0.35">
      <c r="A25">
        <v>-3.85</v>
      </c>
      <c r="B25">
        <v>-0.35089999999999999</v>
      </c>
      <c r="C25">
        <v>4.0620000000000003E-2</v>
      </c>
      <c r="D25">
        <v>3.705E-2</v>
      </c>
      <c r="E25">
        <v>-6.9099999999999995E-2</v>
      </c>
      <c r="F25">
        <v>0.05</v>
      </c>
      <c r="G25">
        <v>3.5000000000000001E-3</v>
      </c>
      <c r="H25">
        <v>-2.5613000000000001</v>
      </c>
      <c r="I25">
        <v>0</v>
      </c>
      <c r="J25">
        <v>0</v>
      </c>
      <c r="K25">
        <v>0</v>
      </c>
      <c r="L25">
        <v>5.0999999999999997E-2</v>
      </c>
    </row>
    <row r="26" spans="1:12" x14ac:dyDescent="0.35">
      <c r="A26">
        <v>-3.8</v>
      </c>
      <c r="B26">
        <v>-0.34899999999999998</v>
      </c>
      <c r="C26">
        <v>3.9759999999999997E-2</v>
      </c>
      <c r="D26">
        <v>3.6179999999999997E-2</v>
      </c>
      <c r="E26">
        <v>-6.9900000000000004E-2</v>
      </c>
      <c r="F26">
        <v>0.05</v>
      </c>
      <c r="G26">
        <v>3.5000000000000001E-3</v>
      </c>
      <c r="H26">
        <v>-2.5676000000000001</v>
      </c>
      <c r="I26">
        <v>0</v>
      </c>
      <c r="J26">
        <v>0</v>
      </c>
      <c r="K26">
        <v>0</v>
      </c>
      <c r="L26">
        <v>4.7500000000000001E-2</v>
      </c>
    </row>
    <row r="27" spans="1:12" x14ac:dyDescent="0.35">
      <c r="A27">
        <v>-3.75</v>
      </c>
      <c r="B27">
        <v>-0.34699999999999998</v>
      </c>
      <c r="C27">
        <v>3.8899999999999997E-2</v>
      </c>
      <c r="D27">
        <v>3.5319999999999997E-2</v>
      </c>
      <c r="E27">
        <v>-7.0699999999999999E-2</v>
      </c>
      <c r="F27">
        <v>0.05</v>
      </c>
      <c r="G27">
        <v>3.5999999999999999E-3</v>
      </c>
      <c r="H27">
        <v>-2.5735999999999999</v>
      </c>
      <c r="I27">
        <v>0</v>
      </c>
      <c r="J27">
        <v>0</v>
      </c>
      <c r="K27">
        <v>0</v>
      </c>
      <c r="L27">
        <v>4.41E-2</v>
      </c>
    </row>
    <row r="28" spans="1:12" x14ac:dyDescent="0.35">
      <c r="A28">
        <v>-3.7</v>
      </c>
      <c r="B28">
        <v>-0.34489999999999998</v>
      </c>
      <c r="C28">
        <v>3.805E-2</v>
      </c>
      <c r="D28">
        <v>3.4450000000000001E-2</v>
      </c>
      <c r="E28">
        <v>-7.1499999999999994E-2</v>
      </c>
      <c r="F28">
        <v>0.05</v>
      </c>
      <c r="G28">
        <v>3.7000000000000002E-3</v>
      </c>
      <c r="H28">
        <v>-2.5792000000000002</v>
      </c>
      <c r="I28">
        <v>0</v>
      </c>
      <c r="J28">
        <v>0</v>
      </c>
      <c r="K28">
        <v>0</v>
      </c>
      <c r="L28">
        <v>4.0599999999999997E-2</v>
      </c>
    </row>
    <row r="29" spans="1:12" x14ac:dyDescent="0.35">
      <c r="A29">
        <v>-3.65</v>
      </c>
      <c r="B29">
        <v>-0.3427</v>
      </c>
      <c r="C29">
        <v>3.721E-2</v>
      </c>
      <c r="D29">
        <v>3.3590000000000002E-2</v>
      </c>
      <c r="E29">
        <v>-7.22E-2</v>
      </c>
      <c r="F29">
        <v>0.05</v>
      </c>
      <c r="G29">
        <v>3.8E-3</v>
      </c>
      <c r="H29">
        <v>-2.5842999999999998</v>
      </c>
      <c r="I29">
        <v>0</v>
      </c>
      <c r="J29">
        <v>0</v>
      </c>
      <c r="K29">
        <v>0</v>
      </c>
      <c r="L29">
        <v>3.7100000000000001E-2</v>
      </c>
    </row>
    <row r="30" spans="1:12" x14ac:dyDescent="0.35">
      <c r="A30">
        <v>-3.6</v>
      </c>
      <c r="B30">
        <v>-0.34039999999999998</v>
      </c>
      <c r="C30">
        <v>3.637E-2</v>
      </c>
      <c r="D30">
        <v>3.2739999999999998E-2</v>
      </c>
      <c r="E30">
        <v>-7.2900000000000006E-2</v>
      </c>
      <c r="F30">
        <v>0.05</v>
      </c>
      <c r="G30">
        <v>3.8999999999999998E-3</v>
      </c>
      <c r="H30">
        <v>-2.5888</v>
      </c>
      <c r="I30">
        <v>0</v>
      </c>
      <c r="J30">
        <v>0</v>
      </c>
      <c r="K30">
        <v>0</v>
      </c>
      <c r="L30">
        <v>3.3599999999999998E-2</v>
      </c>
    </row>
    <row r="31" spans="1:12" x14ac:dyDescent="0.35">
      <c r="A31">
        <v>-3.55</v>
      </c>
      <c r="B31">
        <v>-0.33800000000000002</v>
      </c>
      <c r="C31">
        <v>3.5529999999999999E-2</v>
      </c>
      <c r="D31">
        <v>3.1879999999999999E-2</v>
      </c>
      <c r="E31">
        <v>-7.3599999999999999E-2</v>
      </c>
      <c r="F31">
        <v>0.05</v>
      </c>
      <c r="G31">
        <v>3.8999999999999998E-3</v>
      </c>
      <c r="H31">
        <v>-2.5926</v>
      </c>
      <c r="I31">
        <v>0</v>
      </c>
      <c r="J31">
        <v>0</v>
      </c>
      <c r="K31">
        <v>0</v>
      </c>
      <c r="L31">
        <v>3.0099999999999998E-2</v>
      </c>
    </row>
    <row r="32" spans="1:12" x14ac:dyDescent="0.35">
      <c r="A32">
        <v>-3.5</v>
      </c>
      <c r="B32">
        <v>-0.33539999999999998</v>
      </c>
      <c r="C32">
        <v>3.4689999999999999E-2</v>
      </c>
      <c r="D32">
        <v>3.1029999999999999E-2</v>
      </c>
      <c r="E32">
        <v>-7.4300000000000005E-2</v>
      </c>
      <c r="F32">
        <v>0.05</v>
      </c>
      <c r="G32">
        <v>4.0000000000000001E-3</v>
      </c>
      <c r="H32">
        <v>-2.5954000000000002</v>
      </c>
      <c r="I32">
        <v>0</v>
      </c>
      <c r="J32">
        <v>0</v>
      </c>
      <c r="K32">
        <v>0</v>
      </c>
      <c r="L32">
        <v>2.6499999999999999E-2</v>
      </c>
    </row>
    <row r="33" spans="1:12" x14ac:dyDescent="0.35">
      <c r="A33">
        <v>-3.45</v>
      </c>
      <c r="B33">
        <v>-0.3327</v>
      </c>
      <c r="C33">
        <v>3.3860000000000001E-2</v>
      </c>
      <c r="D33">
        <v>3.0179999999999998E-2</v>
      </c>
      <c r="E33">
        <v>-7.4899999999999994E-2</v>
      </c>
      <c r="F33">
        <v>0.05</v>
      </c>
      <c r="G33">
        <v>4.1000000000000003E-3</v>
      </c>
      <c r="H33">
        <v>-2.5973000000000002</v>
      </c>
      <c r="I33">
        <v>0</v>
      </c>
      <c r="J33">
        <v>0</v>
      </c>
      <c r="K33">
        <v>0</v>
      </c>
      <c r="L33">
        <v>2.29E-2</v>
      </c>
    </row>
    <row r="34" spans="1:12" x14ac:dyDescent="0.35">
      <c r="A34">
        <v>-3.4</v>
      </c>
      <c r="B34">
        <v>-0.32979999999999998</v>
      </c>
      <c r="C34">
        <v>3.304E-2</v>
      </c>
      <c r="D34">
        <v>2.9329999999999998E-2</v>
      </c>
      <c r="E34">
        <v>-7.5499999999999998E-2</v>
      </c>
      <c r="F34">
        <v>0.05</v>
      </c>
      <c r="G34">
        <v>4.1999999999999997E-3</v>
      </c>
      <c r="H34">
        <v>-2.5977999999999999</v>
      </c>
      <c r="I34">
        <v>0</v>
      </c>
      <c r="J34">
        <v>0</v>
      </c>
      <c r="K34">
        <v>0</v>
      </c>
      <c r="L34">
        <v>1.9199999999999998E-2</v>
      </c>
    </row>
    <row r="35" spans="1:12" x14ac:dyDescent="0.35">
      <c r="A35">
        <v>-3.35</v>
      </c>
      <c r="B35">
        <v>-0.32679999999999998</v>
      </c>
      <c r="C35">
        <v>3.2210000000000003E-2</v>
      </c>
      <c r="D35">
        <v>2.8479999999999998E-2</v>
      </c>
      <c r="E35">
        <v>-7.5999999999999998E-2</v>
      </c>
      <c r="F35">
        <v>0.05</v>
      </c>
      <c r="G35">
        <v>4.4000000000000003E-3</v>
      </c>
      <c r="H35">
        <v>-2.5973000000000002</v>
      </c>
      <c r="I35">
        <v>0</v>
      </c>
      <c r="J35">
        <v>0</v>
      </c>
      <c r="K35">
        <v>0</v>
      </c>
      <c r="L35">
        <v>1.54E-2</v>
      </c>
    </row>
    <row r="36" spans="1:12" x14ac:dyDescent="0.35">
      <c r="A36">
        <v>-3.3</v>
      </c>
      <c r="B36">
        <v>-0.3236</v>
      </c>
      <c r="C36">
        <v>3.1390000000000001E-2</v>
      </c>
      <c r="D36">
        <v>2.7629999999999998E-2</v>
      </c>
      <c r="E36">
        <v>-7.6499999999999999E-2</v>
      </c>
      <c r="F36">
        <v>0.05</v>
      </c>
      <c r="G36">
        <v>4.5999999999999999E-3</v>
      </c>
      <c r="H36">
        <v>-2.5966999999999998</v>
      </c>
      <c r="I36">
        <v>0</v>
      </c>
      <c r="J36">
        <v>0</v>
      </c>
      <c r="K36">
        <v>0</v>
      </c>
      <c r="L36">
        <v>1.15E-2</v>
      </c>
    </row>
    <row r="37" spans="1:12" x14ac:dyDescent="0.35">
      <c r="A37">
        <v>-3.25</v>
      </c>
      <c r="B37">
        <v>-0.32019999999999998</v>
      </c>
      <c r="C37">
        <v>3.057E-2</v>
      </c>
      <c r="D37">
        <v>2.6780000000000002E-2</v>
      </c>
      <c r="E37">
        <v>-7.6999999999999999E-2</v>
      </c>
      <c r="F37">
        <v>0.05</v>
      </c>
      <c r="G37">
        <v>4.7999999999999996E-3</v>
      </c>
      <c r="H37">
        <v>-2.5956999999999999</v>
      </c>
      <c r="I37">
        <v>0</v>
      </c>
      <c r="J37">
        <v>0</v>
      </c>
      <c r="K37">
        <v>0</v>
      </c>
      <c r="L37">
        <v>7.4999999999999997E-3</v>
      </c>
    </row>
    <row r="38" spans="1:12" x14ac:dyDescent="0.35">
      <c r="A38">
        <v>-3.2</v>
      </c>
      <c r="B38">
        <v>-0.3165</v>
      </c>
      <c r="C38">
        <v>2.9749999999999999E-2</v>
      </c>
      <c r="D38">
        <v>2.5930000000000002E-2</v>
      </c>
      <c r="E38">
        <v>-7.7399999999999997E-2</v>
      </c>
      <c r="F38">
        <v>0.05</v>
      </c>
      <c r="G38">
        <v>4.8999999999999998E-3</v>
      </c>
      <c r="H38">
        <v>-2.59</v>
      </c>
      <c r="I38">
        <v>0</v>
      </c>
      <c r="J38">
        <v>0</v>
      </c>
      <c r="K38">
        <v>0</v>
      </c>
      <c r="L38">
        <v>3.3999999999999998E-3</v>
      </c>
    </row>
    <row r="39" spans="1:12" x14ac:dyDescent="0.35">
      <c r="A39">
        <v>-3.15</v>
      </c>
      <c r="B39">
        <v>-0.31259999999999999</v>
      </c>
      <c r="C39">
        <v>2.894E-2</v>
      </c>
      <c r="D39">
        <v>2.5090000000000001E-2</v>
      </c>
      <c r="E39">
        <v>-7.7799999999999994E-2</v>
      </c>
      <c r="F39">
        <v>0.05</v>
      </c>
      <c r="G39">
        <v>4.8999999999999998E-3</v>
      </c>
      <c r="H39">
        <v>-2.5785</v>
      </c>
      <c r="I39">
        <v>0</v>
      </c>
      <c r="J39">
        <v>0</v>
      </c>
      <c r="K39">
        <v>0</v>
      </c>
      <c r="L39">
        <v>-1E-3</v>
      </c>
    </row>
    <row r="40" spans="1:12" x14ac:dyDescent="0.35">
      <c r="A40">
        <v>-3.1</v>
      </c>
      <c r="B40">
        <v>-0.3085</v>
      </c>
      <c r="C40">
        <v>2.8139999999999998E-2</v>
      </c>
      <c r="D40">
        <v>2.4250000000000001E-2</v>
      </c>
      <c r="E40">
        <v>-7.8200000000000006E-2</v>
      </c>
      <c r="F40">
        <v>0.05</v>
      </c>
      <c r="G40">
        <v>4.8999999999999998E-3</v>
      </c>
      <c r="H40">
        <v>-2.5743</v>
      </c>
      <c r="I40">
        <v>0</v>
      </c>
      <c r="J40">
        <v>0</v>
      </c>
      <c r="K40">
        <v>0</v>
      </c>
      <c r="L40">
        <v>-5.4999999999999997E-3</v>
      </c>
    </row>
    <row r="41" spans="1:12" x14ac:dyDescent="0.35">
      <c r="A41">
        <v>-3.05</v>
      </c>
      <c r="B41">
        <v>-0.30409999999999998</v>
      </c>
      <c r="C41">
        <v>2.7349999999999999E-2</v>
      </c>
      <c r="D41">
        <v>2.342E-2</v>
      </c>
      <c r="E41">
        <v>-7.85E-2</v>
      </c>
      <c r="F41">
        <v>0.05</v>
      </c>
      <c r="G41">
        <v>4.8999999999999998E-3</v>
      </c>
      <c r="H41">
        <v>-2.5872999999999999</v>
      </c>
      <c r="I41">
        <v>0</v>
      </c>
      <c r="J41">
        <v>0</v>
      </c>
      <c r="K41">
        <v>0</v>
      </c>
      <c r="L41">
        <v>-1.0200000000000001E-2</v>
      </c>
    </row>
    <row r="42" spans="1:12" x14ac:dyDescent="0.35">
      <c r="A42">
        <v>-3</v>
      </c>
      <c r="B42">
        <v>-0.2994</v>
      </c>
      <c r="C42">
        <v>2.656E-2</v>
      </c>
      <c r="D42">
        <v>2.2589999999999999E-2</v>
      </c>
      <c r="E42">
        <v>-7.8799999999999995E-2</v>
      </c>
      <c r="F42">
        <v>0.05</v>
      </c>
      <c r="G42">
        <v>4.8999999999999998E-3</v>
      </c>
      <c r="H42">
        <v>-2.6004999999999998</v>
      </c>
      <c r="I42">
        <v>0</v>
      </c>
      <c r="J42">
        <v>0</v>
      </c>
      <c r="K42">
        <v>0</v>
      </c>
      <c r="L42">
        <v>-1.52E-2</v>
      </c>
    </row>
    <row r="43" spans="1:12" x14ac:dyDescent="0.35">
      <c r="A43">
        <v>-2.95</v>
      </c>
      <c r="B43">
        <v>-0.2944</v>
      </c>
      <c r="C43">
        <v>2.5780000000000001E-2</v>
      </c>
      <c r="D43">
        <v>2.1760000000000002E-2</v>
      </c>
      <c r="E43">
        <v>-7.9000000000000001E-2</v>
      </c>
      <c r="F43">
        <v>0.05</v>
      </c>
      <c r="G43">
        <v>4.8999999999999998E-3</v>
      </c>
      <c r="H43">
        <v>-2.6137999999999999</v>
      </c>
      <c r="I43">
        <v>0</v>
      </c>
      <c r="J43">
        <v>0</v>
      </c>
      <c r="K43">
        <v>0</v>
      </c>
      <c r="L43">
        <v>-2.0500000000000001E-2</v>
      </c>
    </row>
    <row r="44" spans="1:12" x14ac:dyDescent="0.35">
      <c r="A44">
        <v>-2.9</v>
      </c>
      <c r="B44">
        <v>-0.28910000000000002</v>
      </c>
      <c r="C44">
        <v>2.5010000000000001E-2</v>
      </c>
      <c r="D44">
        <v>2.094E-2</v>
      </c>
      <c r="E44">
        <v>-7.9200000000000007E-2</v>
      </c>
      <c r="F44">
        <v>0.05</v>
      </c>
      <c r="G44">
        <v>4.8999999999999998E-3</v>
      </c>
      <c r="H44">
        <v>-2.6273</v>
      </c>
      <c r="I44">
        <v>0</v>
      </c>
      <c r="J44">
        <v>0</v>
      </c>
      <c r="K44">
        <v>0</v>
      </c>
      <c r="L44">
        <v>-2.6100000000000002E-2</v>
      </c>
    </row>
    <row r="45" spans="1:12" x14ac:dyDescent="0.35">
      <c r="A45">
        <v>-2.85</v>
      </c>
      <c r="B45">
        <v>-0.28349999999999997</v>
      </c>
      <c r="C45">
        <v>2.4240000000000001E-2</v>
      </c>
      <c r="D45">
        <v>2.0129999999999999E-2</v>
      </c>
      <c r="E45">
        <v>-7.9399999999999998E-2</v>
      </c>
      <c r="F45">
        <v>0.05</v>
      </c>
      <c r="G45">
        <v>4.8999999999999998E-3</v>
      </c>
      <c r="H45">
        <v>-2.6408999999999998</v>
      </c>
      <c r="I45">
        <v>0</v>
      </c>
      <c r="J45">
        <v>0</v>
      </c>
      <c r="K45">
        <v>0</v>
      </c>
      <c r="L45">
        <v>-3.2099999999999997E-2</v>
      </c>
    </row>
    <row r="46" spans="1:12" x14ac:dyDescent="0.35">
      <c r="A46">
        <v>-2.8</v>
      </c>
      <c r="B46">
        <v>-0.27760000000000001</v>
      </c>
      <c r="C46">
        <v>2.349E-2</v>
      </c>
      <c r="D46">
        <v>1.933E-2</v>
      </c>
      <c r="E46">
        <v>-7.9500000000000001E-2</v>
      </c>
      <c r="F46">
        <v>0.05</v>
      </c>
      <c r="G46">
        <v>4.8999999999999998E-3</v>
      </c>
      <c r="H46">
        <v>-2.6545000000000001</v>
      </c>
      <c r="I46">
        <v>0</v>
      </c>
      <c r="J46">
        <v>0</v>
      </c>
      <c r="K46">
        <v>0</v>
      </c>
      <c r="L46">
        <v>-3.8399999999999997E-2</v>
      </c>
    </row>
    <row r="47" spans="1:12" x14ac:dyDescent="0.35">
      <c r="A47">
        <v>-2.75</v>
      </c>
      <c r="B47">
        <v>-0.27139999999999997</v>
      </c>
      <c r="C47">
        <v>2.2749999999999999E-2</v>
      </c>
      <c r="D47">
        <v>1.8530000000000001E-2</v>
      </c>
      <c r="E47">
        <v>-7.9600000000000004E-2</v>
      </c>
      <c r="F47">
        <v>0.05</v>
      </c>
      <c r="G47">
        <v>4.8999999999999998E-3</v>
      </c>
      <c r="H47">
        <v>-2.6680000000000001</v>
      </c>
      <c r="I47">
        <v>0</v>
      </c>
      <c r="J47">
        <v>0</v>
      </c>
      <c r="K47">
        <v>0</v>
      </c>
      <c r="L47">
        <v>-4.53E-2</v>
      </c>
    </row>
    <row r="48" spans="1:12" x14ac:dyDescent="0.35">
      <c r="A48">
        <v>-2.7</v>
      </c>
      <c r="B48">
        <v>-0.26490000000000002</v>
      </c>
      <c r="C48">
        <v>2.2030000000000001E-2</v>
      </c>
      <c r="D48">
        <v>1.7739999999999999E-2</v>
      </c>
      <c r="E48">
        <v>-7.9600000000000004E-2</v>
      </c>
      <c r="F48">
        <v>0.05</v>
      </c>
      <c r="G48">
        <v>4.8999999999999998E-3</v>
      </c>
      <c r="H48">
        <v>-2.6816</v>
      </c>
      <c r="I48">
        <v>0</v>
      </c>
      <c r="J48">
        <v>0</v>
      </c>
      <c r="K48">
        <v>0</v>
      </c>
      <c r="L48">
        <v>-5.2600000000000001E-2</v>
      </c>
    </row>
    <row r="49" spans="1:12" x14ac:dyDescent="0.35">
      <c r="A49">
        <v>-2.65</v>
      </c>
      <c r="B49">
        <v>-0.25800000000000001</v>
      </c>
      <c r="C49">
        <v>2.1309999999999999E-2</v>
      </c>
      <c r="D49">
        <v>1.6969999999999999E-2</v>
      </c>
      <c r="E49">
        <v>-7.9600000000000004E-2</v>
      </c>
      <c r="F49">
        <v>0.05</v>
      </c>
      <c r="G49">
        <v>5.0000000000000001E-3</v>
      </c>
      <c r="H49">
        <v>-2.6951999999999998</v>
      </c>
      <c r="I49">
        <v>0</v>
      </c>
      <c r="J49">
        <v>0</v>
      </c>
      <c r="K49">
        <v>0</v>
      </c>
      <c r="L49">
        <v>-6.0600000000000001E-2</v>
      </c>
    </row>
    <row r="50" spans="1:12" x14ac:dyDescent="0.35">
      <c r="A50">
        <v>-2.6</v>
      </c>
      <c r="B50">
        <v>-0.25090000000000001</v>
      </c>
      <c r="C50">
        <v>2.061E-2</v>
      </c>
      <c r="D50">
        <v>1.6209999999999999E-2</v>
      </c>
      <c r="E50">
        <v>-7.9600000000000004E-2</v>
      </c>
      <c r="F50">
        <v>0.05</v>
      </c>
      <c r="G50">
        <v>5.0000000000000001E-3</v>
      </c>
      <c r="H50">
        <v>-2.7090999999999998</v>
      </c>
      <c r="I50">
        <v>0</v>
      </c>
      <c r="J50">
        <v>0</v>
      </c>
      <c r="K50">
        <v>0</v>
      </c>
      <c r="L50">
        <v>-6.93E-2</v>
      </c>
    </row>
    <row r="51" spans="1:12" x14ac:dyDescent="0.35">
      <c r="A51">
        <v>-2.5499999999999998</v>
      </c>
      <c r="B51">
        <v>-0.24340000000000001</v>
      </c>
      <c r="C51">
        <v>1.992E-2</v>
      </c>
      <c r="D51">
        <v>1.545E-2</v>
      </c>
      <c r="E51">
        <v>-7.9500000000000001E-2</v>
      </c>
      <c r="F51">
        <v>0.05</v>
      </c>
      <c r="G51">
        <v>5.1000000000000004E-3</v>
      </c>
      <c r="H51">
        <v>-2.7238000000000002</v>
      </c>
      <c r="I51">
        <v>0</v>
      </c>
      <c r="J51">
        <v>0</v>
      </c>
      <c r="K51">
        <v>0</v>
      </c>
      <c r="L51">
        <v>-7.8700000000000006E-2</v>
      </c>
    </row>
    <row r="52" spans="1:12" x14ac:dyDescent="0.35">
      <c r="A52">
        <v>-2.5</v>
      </c>
      <c r="B52">
        <v>-0.2356</v>
      </c>
      <c r="C52">
        <v>1.9259999999999999E-2</v>
      </c>
      <c r="D52">
        <v>1.472E-2</v>
      </c>
      <c r="E52">
        <v>-7.9399999999999998E-2</v>
      </c>
      <c r="F52">
        <v>0.05</v>
      </c>
      <c r="G52">
        <v>5.1999999999999998E-3</v>
      </c>
      <c r="H52">
        <v>-2.7299000000000002</v>
      </c>
      <c r="I52">
        <v>0</v>
      </c>
      <c r="J52">
        <v>0</v>
      </c>
      <c r="K52">
        <v>0</v>
      </c>
      <c r="L52">
        <v>-8.8999999999999996E-2</v>
      </c>
    </row>
    <row r="53" spans="1:12" x14ac:dyDescent="0.35">
      <c r="A53">
        <v>-2.4500000000000002</v>
      </c>
      <c r="B53">
        <v>-0.22750000000000001</v>
      </c>
      <c r="C53">
        <v>1.8620000000000001E-2</v>
      </c>
      <c r="D53">
        <v>1.401E-2</v>
      </c>
      <c r="E53">
        <v>-7.9200000000000007E-2</v>
      </c>
      <c r="F53">
        <v>0.05</v>
      </c>
      <c r="G53">
        <v>5.1999999999999998E-3</v>
      </c>
      <c r="H53">
        <v>-2.7250999999999999</v>
      </c>
      <c r="I53">
        <v>0</v>
      </c>
      <c r="J53">
        <v>0</v>
      </c>
      <c r="K53">
        <v>0</v>
      </c>
      <c r="L53">
        <v>-0.1004</v>
      </c>
    </row>
    <row r="54" spans="1:12" x14ac:dyDescent="0.35">
      <c r="A54">
        <v>-2.4</v>
      </c>
      <c r="B54">
        <v>-0.21909999999999999</v>
      </c>
      <c r="C54">
        <v>1.7989999999999999E-2</v>
      </c>
      <c r="D54">
        <v>1.3310000000000001E-2</v>
      </c>
      <c r="E54">
        <v>-7.9100000000000004E-2</v>
      </c>
      <c r="F54">
        <v>0.05</v>
      </c>
      <c r="G54">
        <v>5.3E-3</v>
      </c>
      <c r="H54">
        <v>-2.7197</v>
      </c>
      <c r="I54">
        <v>0</v>
      </c>
      <c r="J54">
        <v>0</v>
      </c>
      <c r="K54">
        <v>0</v>
      </c>
      <c r="L54">
        <v>-0.113</v>
      </c>
    </row>
    <row r="55" spans="1:12" x14ac:dyDescent="0.35">
      <c r="A55">
        <v>-2.35</v>
      </c>
      <c r="B55">
        <v>-0.2104</v>
      </c>
      <c r="C55">
        <v>1.738E-2</v>
      </c>
      <c r="D55">
        <v>1.2630000000000001E-2</v>
      </c>
      <c r="E55">
        <v>-7.8899999999999998E-2</v>
      </c>
      <c r="F55">
        <v>0.05</v>
      </c>
      <c r="G55">
        <v>5.4000000000000003E-3</v>
      </c>
      <c r="H55">
        <v>-2.7139000000000002</v>
      </c>
      <c r="I55">
        <v>0</v>
      </c>
      <c r="J55">
        <v>0</v>
      </c>
      <c r="K55">
        <v>0</v>
      </c>
      <c r="L55">
        <v>-0.127</v>
      </c>
    </row>
    <row r="56" spans="1:12" x14ac:dyDescent="0.35">
      <c r="A56">
        <v>-2.2999999999999998</v>
      </c>
      <c r="B56">
        <v>-0.20150000000000001</v>
      </c>
      <c r="C56">
        <v>1.6789999999999999E-2</v>
      </c>
      <c r="D56">
        <v>1.196E-2</v>
      </c>
      <c r="E56">
        <v>-7.8600000000000003E-2</v>
      </c>
      <c r="F56">
        <v>0.05</v>
      </c>
      <c r="G56">
        <v>5.4999999999999997E-3</v>
      </c>
      <c r="H56">
        <v>-2.7075</v>
      </c>
      <c r="I56">
        <v>0</v>
      </c>
      <c r="J56">
        <v>0</v>
      </c>
      <c r="K56">
        <v>0</v>
      </c>
      <c r="L56">
        <v>-0.1426</v>
      </c>
    </row>
    <row r="57" spans="1:12" x14ac:dyDescent="0.35">
      <c r="A57">
        <v>-2.25</v>
      </c>
      <c r="B57">
        <v>-0.1923</v>
      </c>
      <c r="C57">
        <v>1.6209999999999999E-2</v>
      </c>
      <c r="D57">
        <v>1.1310000000000001E-2</v>
      </c>
      <c r="E57">
        <v>-7.8399999999999997E-2</v>
      </c>
      <c r="F57">
        <v>0.05</v>
      </c>
      <c r="G57">
        <v>5.5999999999999999E-3</v>
      </c>
      <c r="H57">
        <v>-2.7004999999999999</v>
      </c>
      <c r="I57">
        <v>0</v>
      </c>
      <c r="J57">
        <v>0</v>
      </c>
      <c r="K57">
        <v>0</v>
      </c>
      <c r="L57">
        <v>-0.16</v>
      </c>
    </row>
    <row r="58" spans="1:12" x14ac:dyDescent="0.35">
      <c r="A58">
        <v>-2.2000000000000002</v>
      </c>
      <c r="B58">
        <v>-0.18279999999999999</v>
      </c>
      <c r="C58">
        <v>1.5650000000000001E-2</v>
      </c>
      <c r="D58">
        <v>1.0670000000000001E-2</v>
      </c>
      <c r="E58">
        <v>-7.8100000000000003E-2</v>
      </c>
      <c r="F58">
        <v>0.05</v>
      </c>
      <c r="G58">
        <v>5.7999999999999996E-3</v>
      </c>
      <c r="H58">
        <v>-2.6924999999999999</v>
      </c>
      <c r="I58">
        <v>0</v>
      </c>
      <c r="J58">
        <v>0</v>
      </c>
      <c r="K58">
        <v>0</v>
      </c>
      <c r="L58">
        <v>-0.17949999999999999</v>
      </c>
    </row>
    <row r="59" spans="1:12" x14ac:dyDescent="0.35">
      <c r="A59">
        <v>-2.15</v>
      </c>
      <c r="B59">
        <v>-0.17319999999999999</v>
      </c>
      <c r="C59">
        <v>1.511E-2</v>
      </c>
      <c r="D59">
        <v>1.004E-2</v>
      </c>
      <c r="E59">
        <v>-7.7799999999999994E-2</v>
      </c>
      <c r="F59">
        <v>0.05</v>
      </c>
      <c r="G59">
        <v>5.8999999999999999E-3</v>
      </c>
      <c r="H59">
        <v>-2.6831999999999998</v>
      </c>
      <c r="I59">
        <v>0</v>
      </c>
      <c r="J59">
        <v>0</v>
      </c>
      <c r="K59">
        <v>0</v>
      </c>
      <c r="L59">
        <v>-0.20169999999999999</v>
      </c>
    </row>
    <row r="60" spans="1:12" x14ac:dyDescent="0.35">
      <c r="A60">
        <v>-2.1</v>
      </c>
      <c r="B60">
        <v>-0.1633</v>
      </c>
      <c r="C60">
        <v>1.4579999999999999E-2</v>
      </c>
      <c r="D60">
        <v>9.4299999999999991E-3</v>
      </c>
      <c r="E60">
        <v>-7.7499999999999999E-2</v>
      </c>
      <c r="F60">
        <v>0.05</v>
      </c>
      <c r="G60">
        <v>6.1000000000000004E-3</v>
      </c>
      <c r="H60">
        <v>-2.6718999999999999</v>
      </c>
      <c r="I60">
        <v>0</v>
      </c>
      <c r="J60">
        <v>0</v>
      </c>
      <c r="K60">
        <v>0</v>
      </c>
      <c r="L60">
        <v>-0.22700000000000001</v>
      </c>
    </row>
    <row r="61" spans="1:12" x14ac:dyDescent="0.35">
      <c r="A61">
        <v>-2.0499999999999998</v>
      </c>
      <c r="B61">
        <v>-0.1532</v>
      </c>
      <c r="C61">
        <v>1.406E-2</v>
      </c>
      <c r="D61">
        <v>8.8400000000000006E-3</v>
      </c>
      <c r="E61">
        <v>-7.7100000000000002E-2</v>
      </c>
      <c r="F61">
        <v>0.05</v>
      </c>
      <c r="G61">
        <v>6.3E-3</v>
      </c>
      <c r="H61">
        <v>-2.6579000000000002</v>
      </c>
      <c r="I61">
        <v>0</v>
      </c>
      <c r="J61">
        <v>0</v>
      </c>
      <c r="K61">
        <v>0</v>
      </c>
      <c r="L61">
        <v>-0.25590000000000002</v>
      </c>
    </row>
    <row r="62" spans="1:12" x14ac:dyDescent="0.35">
      <c r="A62">
        <v>-2</v>
      </c>
      <c r="B62">
        <v>-0.14299999999999999</v>
      </c>
      <c r="C62">
        <v>1.3559999999999999E-2</v>
      </c>
      <c r="D62">
        <v>8.26E-3</v>
      </c>
      <c r="E62">
        <v>-7.6799999999999993E-2</v>
      </c>
      <c r="F62">
        <v>0.05</v>
      </c>
      <c r="G62">
        <v>6.4999999999999997E-3</v>
      </c>
      <c r="H62">
        <v>-2.6402999999999999</v>
      </c>
      <c r="I62">
        <v>0</v>
      </c>
      <c r="J62">
        <v>0</v>
      </c>
      <c r="K62">
        <v>0</v>
      </c>
      <c r="L62">
        <v>-0.28939999999999999</v>
      </c>
    </row>
    <row r="63" spans="1:12" x14ac:dyDescent="0.35">
      <c r="A63">
        <v>-1.95</v>
      </c>
      <c r="B63">
        <v>-0.13270000000000001</v>
      </c>
      <c r="C63">
        <v>1.308E-2</v>
      </c>
      <c r="D63">
        <v>7.7000000000000002E-3</v>
      </c>
      <c r="E63">
        <v>-7.6399999999999996E-2</v>
      </c>
      <c r="F63">
        <v>0.05</v>
      </c>
      <c r="G63">
        <v>6.7000000000000002E-3</v>
      </c>
      <c r="H63">
        <v>-2.6181999999999999</v>
      </c>
      <c r="I63">
        <v>0</v>
      </c>
      <c r="J63">
        <v>0</v>
      </c>
      <c r="K63">
        <v>0</v>
      </c>
      <c r="L63">
        <v>-0.32850000000000001</v>
      </c>
    </row>
    <row r="64" spans="1:12" x14ac:dyDescent="0.35">
      <c r="A64">
        <v>-1.9</v>
      </c>
      <c r="B64">
        <v>-0.12230000000000001</v>
      </c>
      <c r="C64">
        <v>1.2619999999999999E-2</v>
      </c>
      <c r="D64">
        <v>7.1599999999999997E-3</v>
      </c>
      <c r="E64">
        <v>-7.5999999999999998E-2</v>
      </c>
      <c r="F64">
        <v>0.05</v>
      </c>
      <c r="G64">
        <v>7.1999999999999998E-3</v>
      </c>
      <c r="H64">
        <v>-2.5889000000000002</v>
      </c>
      <c r="I64">
        <v>0</v>
      </c>
      <c r="J64">
        <v>0</v>
      </c>
      <c r="K64">
        <v>0</v>
      </c>
      <c r="L64">
        <v>-0.3745</v>
      </c>
    </row>
    <row r="65" spans="1:12" x14ac:dyDescent="0.35">
      <c r="A65">
        <v>-1.85</v>
      </c>
      <c r="B65">
        <v>-0.1118</v>
      </c>
      <c r="C65">
        <v>1.217E-2</v>
      </c>
      <c r="D65">
        <v>6.6400000000000001E-3</v>
      </c>
      <c r="E65">
        <v>-7.5600000000000001E-2</v>
      </c>
      <c r="F65">
        <v>0.05</v>
      </c>
      <c r="G65">
        <v>7.7000000000000002E-3</v>
      </c>
      <c r="H65">
        <v>-2.5543</v>
      </c>
      <c r="I65">
        <v>0</v>
      </c>
      <c r="J65">
        <v>0</v>
      </c>
      <c r="K65">
        <v>0</v>
      </c>
      <c r="L65">
        <v>-0.42920000000000003</v>
      </c>
    </row>
    <row r="66" spans="1:12" x14ac:dyDescent="0.35">
      <c r="A66">
        <v>-1.8</v>
      </c>
      <c r="B66">
        <v>-0.1013</v>
      </c>
      <c r="C66">
        <v>1.174E-2</v>
      </c>
      <c r="D66">
        <v>6.1399999999999996E-3</v>
      </c>
      <c r="E66">
        <v>-7.51E-2</v>
      </c>
      <c r="F66">
        <v>0.05</v>
      </c>
      <c r="G66">
        <v>7.9000000000000008E-3</v>
      </c>
      <c r="H66">
        <v>-2.5150999999999999</v>
      </c>
      <c r="I66">
        <v>0</v>
      </c>
      <c r="J66">
        <v>0</v>
      </c>
      <c r="K66">
        <v>0</v>
      </c>
      <c r="L66">
        <v>-0.49509999999999998</v>
      </c>
    </row>
    <row r="67" spans="1:12" x14ac:dyDescent="0.35">
      <c r="A67">
        <v>-1.75</v>
      </c>
      <c r="B67">
        <v>-9.0899999999999995E-2</v>
      </c>
      <c r="C67">
        <v>1.133E-2</v>
      </c>
      <c r="D67">
        <v>5.6600000000000001E-3</v>
      </c>
      <c r="E67">
        <v>-7.4700000000000003E-2</v>
      </c>
      <c r="F67">
        <v>0.05</v>
      </c>
      <c r="G67">
        <v>8.0999999999999996E-3</v>
      </c>
      <c r="H67">
        <v>-2.5105</v>
      </c>
      <c r="I67">
        <v>0</v>
      </c>
      <c r="J67">
        <v>0</v>
      </c>
      <c r="K67">
        <v>0</v>
      </c>
      <c r="L67">
        <v>-0.57569999999999999</v>
      </c>
    </row>
    <row r="68" spans="1:12" x14ac:dyDescent="0.35">
      <c r="A68">
        <v>-1.7</v>
      </c>
      <c r="B68">
        <v>-8.0500000000000002E-2</v>
      </c>
      <c r="C68">
        <v>1.094E-2</v>
      </c>
      <c r="D68">
        <v>5.2100000000000002E-3</v>
      </c>
      <c r="E68">
        <v>-7.4200000000000002E-2</v>
      </c>
      <c r="F68">
        <v>0.05</v>
      </c>
      <c r="G68">
        <v>8.3000000000000001E-3</v>
      </c>
      <c r="H68">
        <v>-2.5133000000000001</v>
      </c>
      <c r="I68">
        <v>0</v>
      </c>
      <c r="J68">
        <v>0</v>
      </c>
      <c r="K68">
        <v>0</v>
      </c>
      <c r="L68">
        <v>-0.6764</v>
      </c>
    </row>
    <row r="69" spans="1:12" x14ac:dyDescent="0.35">
      <c r="A69">
        <v>-1.65</v>
      </c>
      <c r="B69">
        <v>-7.0099999999999996E-2</v>
      </c>
      <c r="C69">
        <v>1.0580000000000001E-2</v>
      </c>
      <c r="D69">
        <v>4.79E-3</v>
      </c>
      <c r="E69">
        <v>-7.3700000000000002E-2</v>
      </c>
      <c r="F69">
        <v>0.05</v>
      </c>
      <c r="G69">
        <v>8.6E-3</v>
      </c>
      <c r="H69">
        <v>-2.5093000000000001</v>
      </c>
      <c r="I69">
        <v>0</v>
      </c>
      <c r="J69">
        <v>0</v>
      </c>
      <c r="K69">
        <v>0</v>
      </c>
      <c r="L69">
        <v>-0.80569999999999997</v>
      </c>
    </row>
    <row r="70" spans="1:12" x14ac:dyDescent="0.35">
      <c r="A70">
        <v>-1.6</v>
      </c>
      <c r="B70">
        <v>-5.9900000000000002E-2</v>
      </c>
      <c r="C70">
        <v>1.025E-2</v>
      </c>
      <c r="D70">
        <v>4.4000000000000003E-3</v>
      </c>
      <c r="E70">
        <v>-7.3300000000000004E-2</v>
      </c>
      <c r="F70">
        <v>0.05</v>
      </c>
      <c r="G70">
        <v>8.9999999999999993E-3</v>
      </c>
      <c r="H70">
        <v>-2.4937</v>
      </c>
      <c r="I70">
        <v>0</v>
      </c>
      <c r="J70">
        <v>0</v>
      </c>
      <c r="K70">
        <v>0</v>
      </c>
      <c r="L70">
        <v>-0.97860000000000003</v>
      </c>
    </row>
    <row r="71" spans="1:12" x14ac:dyDescent="0.35">
      <c r="A71">
        <v>-1.55</v>
      </c>
      <c r="B71">
        <v>-4.9599999999999998E-2</v>
      </c>
      <c r="C71">
        <v>9.9600000000000001E-3</v>
      </c>
      <c r="D71">
        <v>4.0400000000000002E-3</v>
      </c>
      <c r="E71">
        <v>-7.2800000000000004E-2</v>
      </c>
      <c r="F71">
        <v>0.05</v>
      </c>
      <c r="G71">
        <v>9.4000000000000004E-3</v>
      </c>
      <c r="H71">
        <v>-2.4609000000000001</v>
      </c>
      <c r="I71">
        <v>0</v>
      </c>
      <c r="J71">
        <v>0</v>
      </c>
      <c r="K71">
        <v>0</v>
      </c>
      <c r="L71">
        <v>-1.2239</v>
      </c>
    </row>
    <row r="72" spans="1:12" x14ac:dyDescent="0.35">
      <c r="A72">
        <v>-1.5</v>
      </c>
      <c r="B72">
        <v>-3.9199999999999999E-2</v>
      </c>
      <c r="C72">
        <v>9.7000000000000003E-3</v>
      </c>
      <c r="D72">
        <v>3.7299999999999998E-3</v>
      </c>
      <c r="E72">
        <v>-7.2400000000000006E-2</v>
      </c>
      <c r="F72">
        <v>0.05</v>
      </c>
      <c r="G72">
        <v>9.7999999999999997E-3</v>
      </c>
      <c r="H72">
        <v>-2.4064999999999999</v>
      </c>
      <c r="I72">
        <v>0</v>
      </c>
      <c r="J72">
        <v>0</v>
      </c>
      <c r="K72">
        <v>0</v>
      </c>
      <c r="L72">
        <v>-1.6032999999999999</v>
      </c>
    </row>
    <row r="73" spans="1:12" x14ac:dyDescent="0.35">
      <c r="A73">
        <v>-1.45</v>
      </c>
      <c r="B73">
        <v>-2.87E-2</v>
      </c>
      <c r="C73">
        <v>9.4699999999999993E-3</v>
      </c>
      <c r="D73">
        <v>3.4499999999999999E-3</v>
      </c>
      <c r="E73">
        <v>-7.1999999999999995E-2</v>
      </c>
      <c r="F73">
        <v>0.05</v>
      </c>
      <c r="G73">
        <v>0.01</v>
      </c>
      <c r="H73">
        <v>-2.3325999999999998</v>
      </c>
      <c r="I73">
        <v>0</v>
      </c>
      <c r="J73">
        <v>0</v>
      </c>
      <c r="K73">
        <v>0</v>
      </c>
      <c r="L73">
        <v>-2.2719</v>
      </c>
    </row>
    <row r="74" spans="1:12" x14ac:dyDescent="0.35">
      <c r="A74">
        <v>-1.4</v>
      </c>
      <c r="B74">
        <v>-1.7999999999999999E-2</v>
      </c>
      <c r="C74">
        <v>9.2800000000000001E-3</v>
      </c>
      <c r="D74">
        <v>3.2100000000000002E-3</v>
      </c>
      <c r="E74">
        <v>-7.1599999999999997E-2</v>
      </c>
      <c r="F74">
        <v>0.05</v>
      </c>
      <c r="G74">
        <v>1.0200000000000001E-2</v>
      </c>
      <c r="H74">
        <v>-2.2454000000000001</v>
      </c>
      <c r="I74">
        <v>0</v>
      </c>
      <c r="J74">
        <v>0</v>
      </c>
      <c r="K74">
        <v>0</v>
      </c>
      <c r="L74">
        <v>-3.7454000000000001</v>
      </c>
    </row>
    <row r="75" spans="1:12" x14ac:dyDescent="0.35">
      <c r="A75">
        <v>-1.35</v>
      </c>
      <c r="B75">
        <v>-7.4000000000000003E-3</v>
      </c>
      <c r="C75">
        <v>9.0699999999999999E-3</v>
      </c>
      <c r="D75">
        <v>2.9399999999999999E-3</v>
      </c>
      <c r="E75">
        <v>-7.1300000000000002E-2</v>
      </c>
      <c r="F75">
        <v>0.05</v>
      </c>
      <c r="G75">
        <v>1.06E-2</v>
      </c>
      <c r="H75">
        <v>-2.1604000000000001</v>
      </c>
      <c r="I75">
        <v>0</v>
      </c>
      <c r="J75">
        <v>0</v>
      </c>
      <c r="K75">
        <v>0</v>
      </c>
      <c r="L75">
        <v>-9.3933</v>
      </c>
    </row>
    <row r="76" spans="1:12" x14ac:dyDescent="0.35">
      <c r="A76">
        <v>-1.3</v>
      </c>
      <c r="B76">
        <v>3.5000000000000001E-3</v>
      </c>
      <c r="C76">
        <v>8.9200000000000008E-3</v>
      </c>
      <c r="D76">
        <v>2.7399999999999998E-3</v>
      </c>
      <c r="E76">
        <v>-7.1099999999999997E-2</v>
      </c>
      <c r="F76">
        <v>0.05</v>
      </c>
      <c r="G76">
        <v>1.11E-2</v>
      </c>
      <c r="H76">
        <v>-2.0503</v>
      </c>
      <c r="I76">
        <v>0</v>
      </c>
      <c r="J76">
        <v>0</v>
      </c>
      <c r="K76">
        <v>0</v>
      </c>
      <c r="L76">
        <v>20.677099999999999</v>
      </c>
    </row>
    <row r="77" spans="1:12" x14ac:dyDescent="0.35">
      <c r="A77">
        <v>-1.25</v>
      </c>
      <c r="B77">
        <v>1.4500000000000001E-2</v>
      </c>
      <c r="C77">
        <v>8.7799999999999996E-3</v>
      </c>
      <c r="D77">
        <v>2.5500000000000002E-3</v>
      </c>
      <c r="E77">
        <v>-7.0800000000000002E-2</v>
      </c>
      <c r="F77">
        <v>0.05</v>
      </c>
      <c r="G77">
        <v>1.12E-2</v>
      </c>
      <c r="H77">
        <v>-1.9494</v>
      </c>
      <c r="I77">
        <v>0</v>
      </c>
      <c r="J77">
        <v>0</v>
      </c>
      <c r="K77">
        <v>0</v>
      </c>
      <c r="L77">
        <v>5.1581999999999999</v>
      </c>
    </row>
    <row r="78" spans="1:12" x14ac:dyDescent="0.35">
      <c r="A78">
        <v>-1.2</v>
      </c>
      <c r="B78">
        <v>2.5499999999999998E-2</v>
      </c>
      <c r="C78">
        <v>8.6599999999999993E-3</v>
      </c>
      <c r="D78">
        <v>2.3900000000000002E-3</v>
      </c>
      <c r="E78">
        <v>-7.0599999999999996E-2</v>
      </c>
      <c r="F78">
        <v>0.05</v>
      </c>
      <c r="G78">
        <v>1.12E-2</v>
      </c>
      <c r="H78">
        <v>-1.8848</v>
      </c>
      <c r="I78">
        <v>0</v>
      </c>
      <c r="J78">
        <v>0</v>
      </c>
      <c r="K78">
        <v>0</v>
      </c>
      <c r="L78">
        <v>3.0230999999999999</v>
      </c>
    </row>
    <row r="79" spans="1:12" x14ac:dyDescent="0.35">
      <c r="A79">
        <v>-1.1499999999999999</v>
      </c>
      <c r="B79">
        <v>3.6600000000000001E-2</v>
      </c>
      <c r="C79">
        <v>8.5699999999999995E-3</v>
      </c>
      <c r="D79">
        <v>2.2599999999999999E-3</v>
      </c>
      <c r="E79">
        <v>-7.0400000000000004E-2</v>
      </c>
      <c r="F79">
        <v>0.05</v>
      </c>
      <c r="G79">
        <v>1.1299999999999999E-2</v>
      </c>
      <c r="H79">
        <v>-1.8236000000000001</v>
      </c>
      <c r="I79">
        <v>0</v>
      </c>
      <c r="J79">
        <v>0</v>
      </c>
      <c r="K79">
        <v>0</v>
      </c>
      <c r="L79">
        <v>2.1764000000000001</v>
      </c>
    </row>
    <row r="80" spans="1:12" x14ac:dyDescent="0.35">
      <c r="A80">
        <v>-1.1000000000000001</v>
      </c>
      <c r="B80">
        <v>4.7800000000000002E-2</v>
      </c>
      <c r="C80">
        <v>8.4899999999999993E-3</v>
      </c>
      <c r="D80">
        <v>2.14E-3</v>
      </c>
      <c r="E80">
        <v>-7.0199999999999999E-2</v>
      </c>
      <c r="F80">
        <v>0.05</v>
      </c>
      <c r="G80">
        <v>1.1299999999999999E-2</v>
      </c>
      <c r="H80">
        <v>-1.7591000000000001</v>
      </c>
      <c r="I80">
        <v>0</v>
      </c>
      <c r="J80">
        <v>0</v>
      </c>
      <c r="K80">
        <v>0</v>
      </c>
      <c r="L80">
        <v>1.7233000000000001</v>
      </c>
    </row>
    <row r="81" spans="1:12" x14ac:dyDescent="0.35">
      <c r="A81">
        <v>-1.05</v>
      </c>
      <c r="B81">
        <v>5.8900000000000001E-2</v>
      </c>
      <c r="C81">
        <v>8.4200000000000004E-3</v>
      </c>
      <c r="D81">
        <v>2.0400000000000001E-3</v>
      </c>
      <c r="E81">
        <v>-7.0000000000000007E-2</v>
      </c>
      <c r="F81">
        <v>0.05</v>
      </c>
      <c r="G81">
        <v>1.15E-2</v>
      </c>
      <c r="H81">
        <v>-1.6917</v>
      </c>
      <c r="I81">
        <v>0</v>
      </c>
      <c r="J81">
        <v>0</v>
      </c>
      <c r="K81">
        <v>0</v>
      </c>
      <c r="L81">
        <v>1.4416</v>
      </c>
    </row>
    <row r="82" spans="1:12" x14ac:dyDescent="0.35">
      <c r="A82">
        <v>-1</v>
      </c>
      <c r="B82">
        <v>7.0000000000000007E-2</v>
      </c>
      <c r="C82">
        <v>8.3700000000000007E-3</v>
      </c>
      <c r="D82">
        <v>1.9599999999999999E-3</v>
      </c>
      <c r="E82">
        <v>-6.9900000000000004E-2</v>
      </c>
      <c r="F82">
        <v>0.05</v>
      </c>
      <c r="G82">
        <v>1.17E-2</v>
      </c>
      <c r="H82">
        <v>-1.6218999999999999</v>
      </c>
      <c r="I82">
        <v>0</v>
      </c>
      <c r="J82">
        <v>0</v>
      </c>
      <c r="K82">
        <v>0</v>
      </c>
      <c r="L82">
        <v>1.2497</v>
      </c>
    </row>
    <row r="83" spans="1:12" x14ac:dyDescent="0.35">
      <c r="A83">
        <v>-0.95</v>
      </c>
      <c r="B83">
        <v>8.1100000000000005E-2</v>
      </c>
      <c r="C83">
        <v>8.3300000000000006E-3</v>
      </c>
      <c r="D83">
        <v>1.89E-3</v>
      </c>
      <c r="E83">
        <v>-6.9699999999999998E-2</v>
      </c>
      <c r="F83">
        <v>0.05</v>
      </c>
      <c r="G83">
        <v>1.2E-2</v>
      </c>
      <c r="H83">
        <v>-1.5496000000000001</v>
      </c>
      <c r="I83">
        <v>0</v>
      </c>
      <c r="J83">
        <v>0</v>
      </c>
      <c r="K83">
        <v>0</v>
      </c>
      <c r="L83">
        <v>1.1109</v>
      </c>
    </row>
    <row r="84" spans="1:12" x14ac:dyDescent="0.35">
      <c r="A84">
        <v>-0.9</v>
      </c>
      <c r="B84">
        <v>9.2200000000000004E-2</v>
      </c>
      <c r="C84">
        <v>8.2900000000000005E-3</v>
      </c>
      <c r="D84">
        <v>1.83E-3</v>
      </c>
      <c r="E84">
        <v>-6.9599999999999995E-2</v>
      </c>
      <c r="F84">
        <v>0.05</v>
      </c>
      <c r="G84">
        <v>1.24E-2</v>
      </c>
      <c r="H84">
        <v>-1.4750000000000001</v>
      </c>
      <c r="I84">
        <v>0</v>
      </c>
      <c r="J84">
        <v>0</v>
      </c>
      <c r="K84">
        <v>0</v>
      </c>
      <c r="L84">
        <v>1.0058</v>
      </c>
    </row>
    <row r="85" spans="1:12" x14ac:dyDescent="0.35">
      <c r="A85">
        <v>-0.85</v>
      </c>
      <c r="B85">
        <v>0.1033</v>
      </c>
      <c r="C85">
        <v>8.26E-3</v>
      </c>
      <c r="D85">
        <v>1.7899999999999999E-3</v>
      </c>
      <c r="E85">
        <v>-6.9400000000000003E-2</v>
      </c>
      <c r="F85">
        <v>0.05</v>
      </c>
      <c r="G85">
        <v>1.29E-2</v>
      </c>
      <c r="H85">
        <v>-1.3987000000000001</v>
      </c>
      <c r="I85">
        <v>0</v>
      </c>
      <c r="J85">
        <v>0</v>
      </c>
      <c r="K85">
        <v>0</v>
      </c>
      <c r="L85">
        <v>0.92359999999999998</v>
      </c>
    </row>
    <row r="86" spans="1:12" x14ac:dyDescent="0.35">
      <c r="A86">
        <v>-0.8</v>
      </c>
      <c r="B86">
        <v>0.1143</v>
      </c>
      <c r="C86">
        <v>8.2400000000000008E-3</v>
      </c>
      <c r="D86">
        <v>1.75E-3</v>
      </c>
      <c r="E86">
        <v>-6.93E-2</v>
      </c>
      <c r="F86">
        <v>0.05</v>
      </c>
      <c r="G86">
        <v>1.35E-2</v>
      </c>
      <c r="H86">
        <v>-1.321</v>
      </c>
      <c r="I86">
        <v>0</v>
      </c>
      <c r="J86">
        <v>0</v>
      </c>
      <c r="K86">
        <v>0</v>
      </c>
      <c r="L86">
        <v>0.85760000000000003</v>
      </c>
    </row>
    <row r="87" spans="1:12" x14ac:dyDescent="0.35">
      <c r="A87">
        <v>-0.75</v>
      </c>
      <c r="B87">
        <v>0.12520000000000001</v>
      </c>
      <c r="C87">
        <v>8.2199999999999999E-3</v>
      </c>
      <c r="D87">
        <v>1.73E-3</v>
      </c>
      <c r="E87">
        <v>-6.9199999999999998E-2</v>
      </c>
      <c r="F87">
        <v>0.05</v>
      </c>
      <c r="G87">
        <v>1.4200000000000001E-2</v>
      </c>
      <c r="H87">
        <v>-1.2435</v>
      </c>
      <c r="I87">
        <v>0</v>
      </c>
      <c r="J87">
        <v>0</v>
      </c>
      <c r="K87">
        <v>0</v>
      </c>
      <c r="L87">
        <v>0.80349999999999999</v>
      </c>
    </row>
    <row r="88" spans="1:12" x14ac:dyDescent="0.35">
      <c r="A88">
        <v>-0.7</v>
      </c>
      <c r="B88">
        <v>0.1361</v>
      </c>
      <c r="C88">
        <v>8.2100000000000003E-3</v>
      </c>
      <c r="D88">
        <v>1.6999999999999999E-3</v>
      </c>
      <c r="E88">
        <v>-6.9099999999999995E-2</v>
      </c>
      <c r="F88">
        <v>0.05</v>
      </c>
      <c r="G88">
        <v>1.49E-2</v>
      </c>
      <c r="H88">
        <v>-1.1671</v>
      </c>
      <c r="I88">
        <v>0</v>
      </c>
      <c r="J88">
        <v>0</v>
      </c>
      <c r="K88">
        <v>0</v>
      </c>
      <c r="L88">
        <v>0.75829999999999997</v>
      </c>
    </row>
    <row r="89" spans="1:12" x14ac:dyDescent="0.35">
      <c r="A89">
        <v>-0.65</v>
      </c>
      <c r="B89">
        <v>0.14699999999999999</v>
      </c>
      <c r="C89">
        <v>8.2000000000000007E-3</v>
      </c>
      <c r="D89">
        <v>1.6800000000000001E-3</v>
      </c>
      <c r="E89">
        <v>-6.9000000000000006E-2</v>
      </c>
      <c r="F89">
        <v>0.05</v>
      </c>
      <c r="G89">
        <v>1.5699999999999999E-2</v>
      </c>
      <c r="H89">
        <v>-1.0922000000000001</v>
      </c>
      <c r="I89">
        <v>0</v>
      </c>
      <c r="J89">
        <v>0</v>
      </c>
      <c r="K89">
        <v>0</v>
      </c>
      <c r="L89">
        <v>0.72</v>
      </c>
    </row>
    <row r="90" spans="1:12" x14ac:dyDescent="0.35">
      <c r="A90">
        <v>-0.6</v>
      </c>
      <c r="B90">
        <v>0.15790000000000001</v>
      </c>
      <c r="C90">
        <v>8.1899999999999994E-3</v>
      </c>
      <c r="D90">
        <v>1.67E-3</v>
      </c>
      <c r="E90">
        <v>-6.9000000000000006E-2</v>
      </c>
      <c r="F90">
        <v>0.05</v>
      </c>
      <c r="G90">
        <v>1.6500000000000001E-2</v>
      </c>
      <c r="H90">
        <v>-1.0193000000000001</v>
      </c>
      <c r="I90">
        <v>0</v>
      </c>
      <c r="J90">
        <v>0</v>
      </c>
      <c r="K90">
        <v>0</v>
      </c>
      <c r="L90">
        <v>0.68710000000000004</v>
      </c>
    </row>
    <row r="91" spans="1:12" x14ac:dyDescent="0.35">
      <c r="A91">
        <v>-0.55000000000000004</v>
      </c>
      <c r="B91">
        <v>0.16869999999999999</v>
      </c>
      <c r="C91">
        <v>8.1799999999999998E-3</v>
      </c>
      <c r="D91">
        <v>1.65E-3</v>
      </c>
      <c r="E91">
        <v>-6.8900000000000003E-2</v>
      </c>
      <c r="F91">
        <v>0.05</v>
      </c>
      <c r="G91">
        <v>1.72E-2</v>
      </c>
      <c r="H91">
        <v>-0.94869999999999999</v>
      </c>
      <c r="I91">
        <v>0</v>
      </c>
      <c r="J91">
        <v>0</v>
      </c>
      <c r="K91">
        <v>0</v>
      </c>
      <c r="L91">
        <v>0.65859999999999996</v>
      </c>
    </row>
    <row r="92" spans="1:12" x14ac:dyDescent="0.35">
      <c r="A92">
        <v>-0.5</v>
      </c>
      <c r="B92">
        <v>0.17949999999999999</v>
      </c>
      <c r="C92">
        <v>8.1700000000000002E-3</v>
      </c>
      <c r="D92">
        <v>1.64E-3</v>
      </c>
      <c r="E92">
        <v>-6.88E-2</v>
      </c>
      <c r="F92">
        <v>0.05</v>
      </c>
      <c r="G92">
        <v>1.7899999999999999E-2</v>
      </c>
      <c r="H92">
        <v>-0.88119999999999998</v>
      </c>
      <c r="I92">
        <v>0</v>
      </c>
      <c r="J92">
        <v>0</v>
      </c>
      <c r="K92">
        <v>0</v>
      </c>
      <c r="L92">
        <v>0.63360000000000005</v>
      </c>
    </row>
    <row r="93" spans="1:12" x14ac:dyDescent="0.35">
      <c r="A93">
        <v>-0.45</v>
      </c>
      <c r="B93">
        <v>0.1903</v>
      </c>
      <c r="C93">
        <v>8.1700000000000002E-3</v>
      </c>
      <c r="D93">
        <v>1.6299999999999999E-3</v>
      </c>
      <c r="E93">
        <v>-6.88E-2</v>
      </c>
      <c r="F93">
        <v>0.05</v>
      </c>
      <c r="G93">
        <v>1.8700000000000001E-2</v>
      </c>
      <c r="H93">
        <v>-0.81740000000000002</v>
      </c>
      <c r="I93">
        <v>0</v>
      </c>
      <c r="J93">
        <v>0</v>
      </c>
      <c r="K93">
        <v>0</v>
      </c>
      <c r="L93">
        <v>0.61150000000000004</v>
      </c>
    </row>
    <row r="94" spans="1:12" x14ac:dyDescent="0.35">
      <c r="A94">
        <v>-0.4</v>
      </c>
      <c r="B94">
        <v>0.2011</v>
      </c>
      <c r="C94">
        <v>8.1600000000000006E-3</v>
      </c>
      <c r="D94">
        <v>1.6199999999999999E-3</v>
      </c>
      <c r="E94">
        <v>-6.8699999999999997E-2</v>
      </c>
      <c r="F94">
        <v>0.05</v>
      </c>
      <c r="G94">
        <v>2.01E-2</v>
      </c>
      <c r="H94">
        <v>-0.75290000000000001</v>
      </c>
      <c r="I94">
        <v>0</v>
      </c>
      <c r="J94">
        <v>0</v>
      </c>
      <c r="K94">
        <v>0</v>
      </c>
      <c r="L94">
        <v>0.59179999999999999</v>
      </c>
    </row>
    <row r="95" spans="1:12" x14ac:dyDescent="0.35">
      <c r="A95">
        <v>-0.35</v>
      </c>
      <c r="B95">
        <v>0.21179999999999999</v>
      </c>
      <c r="C95">
        <v>8.1600000000000006E-3</v>
      </c>
      <c r="D95">
        <v>1.6199999999999999E-3</v>
      </c>
      <c r="E95">
        <v>-6.8599999999999994E-2</v>
      </c>
      <c r="F95">
        <v>0.05</v>
      </c>
      <c r="G95">
        <v>2.2599999999999999E-2</v>
      </c>
      <c r="H95">
        <v>-0.69</v>
      </c>
      <c r="I95">
        <v>0</v>
      </c>
      <c r="J95">
        <v>0</v>
      </c>
      <c r="K95">
        <v>0</v>
      </c>
      <c r="L95">
        <v>0.57420000000000004</v>
      </c>
    </row>
    <row r="96" spans="1:12" x14ac:dyDescent="0.35">
      <c r="A96">
        <v>-0.3</v>
      </c>
      <c r="B96">
        <v>0.2225</v>
      </c>
      <c r="C96">
        <v>8.1499999999999993E-3</v>
      </c>
      <c r="D96">
        <v>1.6100000000000001E-3</v>
      </c>
      <c r="E96">
        <v>-6.8599999999999994E-2</v>
      </c>
      <c r="F96">
        <v>0.05</v>
      </c>
      <c r="G96">
        <v>2.5100000000000001E-2</v>
      </c>
      <c r="H96">
        <v>-0.62839999999999996</v>
      </c>
      <c r="I96">
        <v>0</v>
      </c>
      <c r="J96">
        <v>0</v>
      </c>
      <c r="K96">
        <v>0</v>
      </c>
      <c r="L96">
        <v>0.55840000000000001</v>
      </c>
    </row>
    <row r="97" spans="1:12" x14ac:dyDescent="0.35">
      <c r="A97">
        <v>-0.25</v>
      </c>
      <c r="B97">
        <v>0.23319999999999999</v>
      </c>
      <c r="C97">
        <v>8.1399999999999997E-3</v>
      </c>
      <c r="D97">
        <v>1.6100000000000001E-3</v>
      </c>
      <c r="E97">
        <v>-6.8599999999999994E-2</v>
      </c>
      <c r="F97">
        <v>0.05</v>
      </c>
      <c r="G97">
        <v>2.7300000000000001E-2</v>
      </c>
      <c r="H97">
        <v>-0.56869999999999998</v>
      </c>
      <c r="I97">
        <v>0</v>
      </c>
      <c r="J97">
        <v>0</v>
      </c>
      <c r="K97">
        <v>0</v>
      </c>
      <c r="L97">
        <v>0.54400000000000004</v>
      </c>
    </row>
    <row r="98" spans="1:12" x14ac:dyDescent="0.35">
      <c r="A98">
        <v>-0.2</v>
      </c>
      <c r="B98">
        <v>0.24390000000000001</v>
      </c>
      <c r="C98">
        <v>8.1399999999999997E-3</v>
      </c>
      <c r="D98">
        <v>1.6100000000000001E-3</v>
      </c>
      <c r="E98">
        <v>-6.8500000000000005E-2</v>
      </c>
      <c r="F98">
        <v>0.05</v>
      </c>
      <c r="G98">
        <v>2.8899999999999999E-2</v>
      </c>
      <c r="H98">
        <v>-0.51090000000000002</v>
      </c>
      <c r="I98">
        <v>0</v>
      </c>
      <c r="J98">
        <v>0</v>
      </c>
      <c r="K98">
        <v>0</v>
      </c>
      <c r="L98">
        <v>0.53090000000000004</v>
      </c>
    </row>
    <row r="99" spans="1:12" x14ac:dyDescent="0.35">
      <c r="A99">
        <v>-0.15</v>
      </c>
      <c r="B99">
        <v>0.25459999999999999</v>
      </c>
      <c r="C99">
        <v>8.1399999999999997E-3</v>
      </c>
      <c r="D99">
        <v>1.6100000000000001E-3</v>
      </c>
      <c r="E99">
        <v>-6.8500000000000005E-2</v>
      </c>
      <c r="F99">
        <v>0.05</v>
      </c>
      <c r="G99">
        <v>3.1300000000000001E-2</v>
      </c>
      <c r="H99">
        <v>-0.50590000000000002</v>
      </c>
      <c r="I99">
        <v>0</v>
      </c>
      <c r="J99">
        <v>0</v>
      </c>
      <c r="K99">
        <v>0</v>
      </c>
      <c r="L99">
        <v>0.51890000000000003</v>
      </c>
    </row>
    <row r="100" spans="1:12" x14ac:dyDescent="0.35">
      <c r="A100">
        <v>-0.1</v>
      </c>
      <c r="B100">
        <v>0.26519999999999999</v>
      </c>
      <c r="C100">
        <v>8.1399999999999997E-3</v>
      </c>
      <c r="D100">
        <v>1.6199999999999999E-3</v>
      </c>
      <c r="E100">
        <v>-6.8500000000000005E-2</v>
      </c>
      <c r="F100">
        <v>0.05</v>
      </c>
      <c r="G100">
        <v>3.5000000000000003E-2</v>
      </c>
      <c r="H100">
        <v>-0.51070000000000004</v>
      </c>
      <c r="I100">
        <v>0</v>
      </c>
      <c r="J100">
        <v>0</v>
      </c>
      <c r="K100">
        <v>0</v>
      </c>
      <c r="L100">
        <v>0.50790000000000002</v>
      </c>
    </row>
    <row r="101" spans="1:12" x14ac:dyDescent="0.35">
      <c r="A101">
        <v>-0.05</v>
      </c>
      <c r="B101">
        <v>0.27589999999999998</v>
      </c>
      <c r="C101">
        <v>8.1399999999999997E-3</v>
      </c>
      <c r="D101">
        <v>1.6199999999999999E-3</v>
      </c>
      <c r="E101">
        <v>-6.8400000000000002E-2</v>
      </c>
      <c r="F101">
        <v>0.05</v>
      </c>
      <c r="G101">
        <v>3.8600000000000002E-2</v>
      </c>
      <c r="H101">
        <v>-0.51549999999999996</v>
      </c>
      <c r="I101">
        <v>0</v>
      </c>
      <c r="J101">
        <v>0</v>
      </c>
      <c r="K101">
        <v>0</v>
      </c>
      <c r="L101">
        <v>0.49780000000000002</v>
      </c>
    </row>
    <row r="102" spans="1:12" x14ac:dyDescent="0.35">
      <c r="A102">
        <v>0</v>
      </c>
      <c r="B102">
        <v>0.28660000000000002</v>
      </c>
      <c r="C102">
        <v>8.1200000000000005E-3</v>
      </c>
      <c r="D102">
        <v>1.6299999999999999E-3</v>
      </c>
      <c r="E102">
        <v>-6.8400000000000002E-2</v>
      </c>
      <c r="F102">
        <v>0.05</v>
      </c>
      <c r="G102">
        <v>0.05</v>
      </c>
      <c r="H102">
        <v>-0.52049999999999996</v>
      </c>
      <c r="I102">
        <v>0</v>
      </c>
      <c r="J102">
        <v>0</v>
      </c>
      <c r="K102">
        <v>0</v>
      </c>
      <c r="L102">
        <v>0.48849999999999999</v>
      </c>
    </row>
    <row r="103" spans="1:12" x14ac:dyDescent="0.35">
      <c r="A103">
        <v>0.05</v>
      </c>
      <c r="B103">
        <v>0.29720000000000002</v>
      </c>
      <c r="C103">
        <v>8.1200000000000005E-3</v>
      </c>
      <c r="D103">
        <v>1.6299999999999999E-3</v>
      </c>
      <c r="E103">
        <v>-6.8400000000000002E-2</v>
      </c>
      <c r="F103">
        <v>0.05</v>
      </c>
      <c r="G103">
        <v>0.05</v>
      </c>
      <c r="H103">
        <v>-0.52539999999999998</v>
      </c>
      <c r="I103">
        <v>0</v>
      </c>
      <c r="J103">
        <v>0</v>
      </c>
      <c r="K103">
        <v>0</v>
      </c>
      <c r="L103">
        <v>0.4798</v>
      </c>
    </row>
    <row r="104" spans="1:12" x14ac:dyDescent="0.35">
      <c r="A104">
        <v>0.1</v>
      </c>
      <c r="B104">
        <v>0.30790000000000001</v>
      </c>
      <c r="C104">
        <v>8.1300000000000001E-3</v>
      </c>
      <c r="D104">
        <v>1.64E-3</v>
      </c>
      <c r="E104">
        <v>-6.83E-2</v>
      </c>
      <c r="F104">
        <v>0.05</v>
      </c>
      <c r="G104">
        <v>0.05</v>
      </c>
      <c r="H104">
        <v>-0.53029999999999999</v>
      </c>
      <c r="I104">
        <v>0</v>
      </c>
      <c r="J104">
        <v>0</v>
      </c>
      <c r="K104">
        <v>0</v>
      </c>
      <c r="L104">
        <v>0.47160000000000002</v>
      </c>
    </row>
    <row r="105" spans="1:12" x14ac:dyDescent="0.35">
      <c r="A105">
        <v>0.15</v>
      </c>
      <c r="B105">
        <v>0.31850000000000001</v>
      </c>
      <c r="C105">
        <v>8.1399999999999997E-3</v>
      </c>
      <c r="D105">
        <v>1.66E-3</v>
      </c>
      <c r="E105">
        <v>-6.83E-2</v>
      </c>
      <c r="F105">
        <v>0.05</v>
      </c>
      <c r="G105">
        <v>0.05</v>
      </c>
      <c r="H105">
        <v>-0.53539999999999999</v>
      </c>
      <c r="I105">
        <v>0</v>
      </c>
      <c r="J105">
        <v>0</v>
      </c>
      <c r="K105">
        <v>0</v>
      </c>
      <c r="L105">
        <v>0.46400000000000002</v>
      </c>
    </row>
    <row r="106" spans="1:12" x14ac:dyDescent="0.35">
      <c r="A106">
        <v>0.2</v>
      </c>
      <c r="B106">
        <v>0.32919999999999999</v>
      </c>
      <c r="C106">
        <v>8.1600000000000006E-3</v>
      </c>
      <c r="D106">
        <v>1.67E-3</v>
      </c>
      <c r="E106">
        <v>-6.8199999999999997E-2</v>
      </c>
      <c r="F106">
        <v>0.05</v>
      </c>
      <c r="G106">
        <v>0.05</v>
      </c>
      <c r="H106">
        <v>-0.54049999999999998</v>
      </c>
      <c r="I106">
        <v>0</v>
      </c>
      <c r="J106">
        <v>0</v>
      </c>
      <c r="K106">
        <v>0</v>
      </c>
      <c r="L106">
        <v>0.45689999999999997</v>
      </c>
    </row>
    <row r="107" spans="1:12" x14ac:dyDescent="0.35">
      <c r="A107">
        <v>0.25</v>
      </c>
      <c r="B107">
        <v>0.33989999999999998</v>
      </c>
      <c r="C107">
        <v>8.1700000000000002E-3</v>
      </c>
      <c r="D107">
        <v>1.6800000000000001E-3</v>
      </c>
      <c r="E107">
        <v>-6.8199999999999997E-2</v>
      </c>
      <c r="F107">
        <v>0.05</v>
      </c>
      <c r="G107">
        <v>0.05</v>
      </c>
      <c r="H107">
        <v>-0.54559999999999997</v>
      </c>
      <c r="I107">
        <v>0</v>
      </c>
      <c r="J107">
        <v>0</v>
      </c>
      <c r="K107">
        <v>0</v>
      </c>
      <c r="L107">
        <v>0.45019999999999999</v>
      </c>
    </row>
    <row r="108" spans="1:12" x14ac:dyDescent="0.35">
      <c r="A108">
        <v>0.3</v>
      </c>
      <c r="B108">
        <v>0.35049999999999998</v>
      </c>
      <c r="C108">
        <v>8.1799999999999998E-3</v>
      </c>
      <c r="D108">
        <v>1.6999999999999999E-3</v>
      </c>
      <c r="E108">
        <v>-6.8099999999999994E-2</v>
      </c>
      <c r="F108">
        <v>0.05</v>
      </c>
      <c r="G108">
        <v>0.05</v>
      </c>
      <c r="H108">
        <v>-0.55069999999999997</v>
      </c>
      <c r="I108">
        <v>0</v>
      </c>
      <c r="J108">
        <v>0</v>
      </c>
      <c r="K108">
        <v>0</v>
      </c>
      <c r="L108">
        <v>0.44400000000000001</v>
      </c>
    </row>
    <row r="109" spans="1:12" x14ac:dyDescent="0.35">
      <c r="A109">
        <v>0.35</v>
      </c>
      <c r="B109">
        <v>0.36120000000000002</v>
      </c>
      <c r="C109">
        <v>8.1899999999999994E-3</v>
      </c>
      <c r="D109">
        <v>1.7099999999999999E-3</v>
      </c>
      <c r="E109">
        <v>-6.8099999999999994E-2</v>
      </c>
      <c r="F109">
        <v>0.05</v>
      </c>
      <c r="G109">
        <v>0.05</v>
      </c>
      <c r="H109">
        <v>-0.55600000000000005</v>
      </c>
      <c r="I109">
        <v>0</v>
      </c>
      <c r="J109">
        <v>0</v>
      </c>
      <c r="K109">
        <v>0</v>
      </c>
      <c r="L109">
        <v>0.438</v>
      </c>
    </row>
    <row r="110" spans="1:12" x14ac:dyDescent="0.35">
      <c r="A110">
        <v>0.4</v>
      </c>
      <c r="B110">
        <v>0.37190000000000001</v>
      </c>
      <c r="C110">
        <v>8.2000000000000007E-3</v>
      </c>
      <c r="D110">
        <v>1.73E-3</v>
      </c>
      <c r="E110">
        <v>-6.8000000000000005E-2</v>
      </c>
      <c r="F110">
        <v>0.05</v>
      </c>
      <c r="G110">
        <v>0.05</v>
      </c>
      <c r="H110">
        <v>-0.56120000000000003</v>
      </c>
      <c r="I110">
        <v>0</v>
      </c>
      <c r="J110">
        <v>0</v>
      </c>
      <c r="K110">
        <v>0</v>
      </c>
      <c r="L110">
        <v>0.43240000000000001</v>
      </c>
    </row>
    <row r="111" spans="1:12" x14ac:dyDescent="0.35">
      <c r="A111">
        <v>0.45</v>
      </c>
      <c r="B111">
        <v>0.3826</v>
      </c>
      <c r="C111">
        <v>8.2199999999999999E-3</v>
      </c>
      <c r="D111">
        <v>1.75E-3</v>
      </c>
      <c r="E111">
        <v>-6.8000000000000005E-2</v>
      </c>
      <c r="F111">
        <v>0.05</v>
      </c>
      <c r="G111">
        <v>0.05</v>
      </c>
      <c r="H111">
        <v>-0.5665</v>
      </c>
      <c r="I111">
        <v>0</v>
      </c>
      <c r="J111">
        <v>0</v>
      </c>
      <c r="K111">
        <v>0</v>
      </c>
      <c r="L111">
        <v>0.42709999999999998</v>
      </c>
    </row>
    <row r="112" spans="1:12" x14ac:dyDescent="0.35">
      <c r="A112">
        <v>0.5</v>
      </c>
      <c r="B112">
        <v>0.39329999999999998</v>
      </c>
      <c r="C112">
        <v>8.2299999999999995E-3</v>
      </c>
      <c r="D112">
        <v>1.7700000000000001E-3</v>
      </c>
      <c r="E112">
        <v>-6.7900000000000002E-2</v>
      </c>
      <c r="F112">
        <v>0.05</v>
      </c>
      <c r="G112">
        <v>0.05</v>
      </c>
      <c r="H112">
        <v>-0.57179999999999997</v>
      </c>
      <c r="I112">
        <v>0</v>
      </c>
      <c r="J112">
        <v>0</v>
      </c>
      <c r="K112">
        <v>0</v>
      </c>
      <c r="L112">
        <v>0.42209999999999998</v>
      </c>
    </row>
    <row r="113" spans="1:12" x14ac:dyDescent="0.35">
      <c r="A113">
        <v>0.55000000000000004</v>
      </c>
      <c r="B113">
        <v>0.40400000000000003</v>
      </c>
      <c r="C113">
        <v>8.2400000000000008E-3</v>
      </c>
      <c r="D113">
        <v>1.7899999999999999E-3</v>
      </c>
      <c r="E113">
        <v>-6.7799999999999999E-2</v>
      </c>
      <c r="F113">
        <v>0.05</v>
      </c>
      <c r="G113">
        <v>0.05</v>
      </c>
      <c r="H113">
        <v>-0.61250000000000004</v>
      </c>
      <c r="I113">
        <v>0</v>
      </c>
      <c r="J113">
        <v>0</v>
      </c>
      <c r="K113">
        <v>0</v>
      </c>
      <c r="L113">
        <v>0.4173</v>
      </c>
    </row>
    <row r="114" spans="1:12" x14ac:dyDescent="0.35">
      <c r="A114">
        <v>0.6</v>
      </c>
      <c r="B114">
        <v>0.41470000000000001</v>
      </c>
      <c r="C114">
        <v>8.26E-3</v>
      </c>
      <c r="D114">
        <v>1.81E-3</v>
      </c>
      <c r="E114">
        <v>-6.7699999999999996E-2</v>
      </c>
      <c r="F114">
        <v>0.05</v>
      </c>
      <c r="G114">
        <v>0.05</v>
      </c>
      <c r="H114">
        <v>-0.66600000000000004</v>
      </c>
      <c r="I114">
        <v>0</v>
      </c>
      <c r="J114">
        <v>0</v>
      </c>
      <c r="K114">
        <v>0</v>
      </c>
      <c r="L114">
        <v>0.4128</v>
      </c>
    </row>
    <row r="115" spans="1:12" x14ac:dyDescent="0.35">
      <c r="A115">
        <v>0.65</v>
      </c>
      <c r="B115">
        <v>0.42549999999999999</v>
      </c>
      <c r="C115">
        <v>8.2699999999999996E-3</v>
      </c>
      <c r="D115">
        <v>1.8400000000000001E-3</v>
      </c>
      <c r="E115">
        <v>-6.7599999999999993E-2</v>
      </c>
      <c r="F115">
        <v>0.05</v>
      </c>
      <c r="G115">
        <v>0.05</v>
      </c>
      <c r="H115">
        <v>-0.72109999999999996</v>
      </c>
      <c r="I115">
        <v>0</v>
      </c>
      <c r="J115">
        <v>0</v>
      </c>
      <c r="K115">
        <v>0</v>
      </c>
      <c r="L115">
        <v>0.40839999999999999</v>
      </c>
    </row>
    <row r="116" spans="1:12" x14ac:dyDescent="0.35">
      <c r="A116">
        <v>0.7</v>
      </c>
      <c r="B116">
        <v>0.43619999999999998</v>
      </c>
      <c r="C116">
        <v>8.2900000000000005E-3</v>
      </c>
      <c r="D116">
        <v>1.8600000000000001E-3</v>
      </c>
      <c r="E116">
        <v>-6.7500000000000004E-2</v>
      </c>
      <c r="F116">
        <v>0.05</v>
      </c>
      <c r="G116">
        <v>0.05</v>
      </c>
      <c r="H116">
        <v>-0.77780000000000005</v>
      </c>
      <c r="I116">
        <v>0</v>
      </c>
      <c r="J116">
        <v>0</v>
      </c>
      <c r="K116">
        <v>0</v>
      </c>
      <c r="L116">
        <v>0.4042</v>
      </c>
    </row>
    <row r="117" spans="1:12" x14ac:dyDescent="0.35">
      <c r="A117">
        <v>0.8</v>
      </c>
      <c r="B117">
        <v>0.45679999999999998</v>
      </c>
      <c r="C117">
        <v>8.3899999999999999E-3</v>
      </c>
      <c r="D117">
        <v>1.9400000000000001E-3</v>
      </c>
      <c r="E117">
        <v>-6.7199999999999996E-2</v>
      </c>
      <c r="F117">
        <v>3.6200000000000003E-2</v>
      </c>
      <c r="G117">
        <v>0.05</v>
      </c>
      <c r="H117">
        <v>-0.89180000000000004</v>
      </c>
      <c r="I117">
        <v>0</v>
      </c>
      <c r="J117">
        <v>0</v>
      </c>
      <c r="K117">
        <v>0</v>
      </c>
      <c r="L117">
        <v>0.39639999999999997</v>
      </c>
    </row>
    <row r="118" spans="1:12" x14ac:dyDescent="0.35">
      <c r="A118">
        <v>0.85</v>
      </c>
      <c r="B118">
        <v>0.46729999999999999</v>
      </c>
      <c r="C118">
        <v>8.4200000000000004E-3</v>
      </c>
      <c r="D118">
        <v>1.98E-3</v>
      </c>
      <c r="E118">
        <v>-6.7000000000000004E-2</v>
      </c>
      <c r="F118">
        <v>3.2199999999999999E-2</v>
      </c>
      <c r="G118">
        <v>0.05</v>
      </c>
      <c r="H118">
        <v>-0.95230000000000004</v>
      </c>
      <c r="I118">
        <v>0</v>
      </c>
      <c r="J118">
        <v>0</v>
      </c>
      <c r="K118">
        <v>0</v>
      </c>
      <c r="L118">
        <v>0.39269999999999999</v>
      </c>
    </row>
    <row r="119" spans="1:12" x14ac:dyDescent="0.35">
      <c r="A119">
        <v>0.9</v>
      </c>
      <c r="B119">
        <v>0.47789999999999999</v>
      </c>
      <c r="C119">
        <v>8.4600000000000005E-3</v>
      </c>
      <c r="D119">
        <v>2.0200000000000001E-3</v>
      </c>
      <c r="E119">
        <v>-6.6799999999999998E-2</v>
      </c>
      <c r="F119">
        <v>2.9899999999999999E-2</v>
      </c>
      <c r="G119">
        <v>0.05</v>
      </c>
      <c r="H119">
        <v>-1.0150999999999999</v>
      </c>
      <c r="I119">
        <v>0</v>
      </c>
      <c r="J119">
        <v>0</v>
      </c>
      <c r="K119">
        <v>0</v>
      </c>
      <c r="L119">
        <v>0.38919999999999999</v>
      </c>
    </row>
    <row r="120" spans="1:12" x14ac:dyDescent="0.35">
      <c r="A120">
        <v>0.95</v>
      </c>
      <c r="B120">
        <v>0.4884</v>
      </c>
      <c r="C120">
        <v>8.5000000000000006E-3</v>
      </c>
      <c r="D120">
        <v>2.0600000000000002E-3</v>
      </c>
      <c r="E120">
        <v>-6.6699999999999995E-2</v>
      </c>
      <c r="F120">
        <v>2.7699999999999999E-2</v>
      </c>
      <c r="G120">
        <v>0.05</v>
      </c>
      <c r="H120">
        <v>-1.0797000000000001</v>
      </c>
      <c r="I120">
        <v>0</v>
      </c>
      <c r="J120">
        <v>0</v>
      </c>
      <c r="K120">
        <v>0</v>
      </c>
      <c r="L120">
        <v>0.38579999999999998</v>
      </c>
    </row>
    <row r="121" spans="1:12" x14ac:dyDescent="0.35">
      <c r="A121">
        <v>1</v>
      </c>
      <c r="B121">
        <v>0.499</v>
      </c>
      <c r="C121">
        <v>8.5299999999999994E-3</v>
      </c>
      <c r="D121">
        <v>2.1099999999999999E-3</v>
      </c>
      <c r="E121">
        <v>-6.6500000000000004E-2</v>
      </c>
      <c r="F121">
        <v>2.53E-2</v>
      </c>
      <c r="G121">
        <v>0.05</v>
      </c>
      <c r="H121">
        <v>-1.1459999999999999</v>
      </c>
      <c r="I121">
        <v>0</v>
      </c>
      <c r="J121">
        <v>0</v>
      </c>
      <c r="K121">
        <v>0</v>
      </c>
      <c r="L121">
        <v>0.38240000000000002</v>
      </c>
    </row>
    <row r="122" spans="1:12" x14ac:dyDescent="0.35">
      <c r="A122">
        <v>1.05</v>
      </c>
      <c r="B122">
        <v>0.50980000000000003</v>
      </c>
      <c r="C122">
        <v>8.5699999999999995E-3</v>
      </c>
      <c r="D122">
        <v>2.15E-3</v>
      </c>
      <c r="E122">
        <v>-6.6299999999999998E-2</v>
      </c>
      <c r="F122">
        <v>2.35E-2</v>
      </c>
      <c r="G122">
        <v>0.05</v>
      </c>
      <c r="H122">
        <v>-1.2136</v>
      </c>
      <c r="I122">
        <v>0</v>
      </c>
      <c r="J122">
        <v>0</v>
      </c>
      <c r="K122">
        <v>0</v>
      </c>
      <c r="L122">
        <v>0.37919999999999998</v>
      </c>
    </row>
    <row r="123" spans="1:12" x14ac:dyDescent="0.35">
      <c r="A123">
        <v>1.1000000000000001</v>
      </c>
      <c r="B123">
        <v>0.52059999999999995</v>
      </c>
      <c r="C123">
        <v>8.6E-3</v>
      </c>
      <c r="D123">
        <v>2.2000000000000001E-3</v>
      </c>
      <c r="E123">
        <v>-6.6100000000000006E-2</v>
      </c>
      <c r="F123">
        <v>2.2800000000000001E-2</v>
      </c>
      <c r="G123">
        <v>0.05</v>
      </c>
      <c r="H123">
        <v>-1.2855000000000001</v>
      </c>
      <c r="I123">
        <v>0</v>
      </c>
      <c r="J123">
        <v>0</v>
      </c>
      <c r="K123">
        <v>0</v>
      </c>
      <c r="L123">
        <v>0.37609999999999999</v>
      </c>
    </row>
    <row r="124" spans="1:12" x14ac:dyDescent="0.35">
      <c r="A124">
        <v>1.1499999999999999</v>
      </c>
      <c r="B124">
        <v>0.53129999999999999</v>
      </c>
      <c r="C124">
        <v>8.6400000000000001E-3</v>
      </c>
      <c r="D124">
        <v>2.2499999999999998E-3</v>
      </c>
      <c r="E124">
        <v>-6.5799999999999997E-2</v>
      </c>
      <c r="F124">
        <v>2.1899999999999999E-2</v>
      </c>
      <c r="G124">
        <v>0.05</v>
      </c>
      <c r="H124">
        <v>-1.3595999999999999</v>
      </c>
      <c r="I124">
        <v>0</v>
      </c>
      <c r="J124">
        <v>0</v>
      </c>
      <c r="K124">
        <v>0</v>
      </c>
      <c r="L124">
        <v>0.37309999999999999</v>
      </c>
    </row>
    <row r="125" spans="1:12" x14ac:dyDescent="0.35">
      <c r="A125">
        <v>1.2</v>
      </c>
      <c r="B125">
        <v>0.54210000000000003</v>
      </c>
      <c r="C125">
        <v>8.6700000000000006E-3</v>
      </c>
      <c r="D125">
        <v>2.3E-3</v>
      </c>
      <c r="E125">
        <v>-6.5600000000000006E-2</v>
      </c>
      <c r="F125">
        <v>2.0799999999999999E-2</v>
      </c>
      <c r="G125">
        <v>0.05</v>
      </c>
      <c r="H125">
        <v>-1.4357</v>
      </c>
      <c r="I125">
        <v>0</v>
      </c>
      <c r="J125">
        <v>0</v>
      </c>
      <c r="K125">
        <v>0</v>
      </c>
      <c r="L125">
        <v>0.37009999999999998</v>
      </c>
    </row>
    <row r="126" spans="1:12" x14ac:dyDescent="0.35">
      <c r="A126">
        <v>1.25</v>
      </c>
      <c r="B126">
        <v>0.55289999999999995</v>
      </c>
      <c r="C126">
        <v>8.7200000000000003E-3</v>
      </c>
      <c r="D126">
        <v>2.3600000000000001E-3</v>
      </c>
      <c r="E126">
        <v>-6.5299999999999997E-2</v>
      </c>
      <c r="F126">
        <v>1.95E-2</v>
      </c>
      <c r="G126">
        <v>0.05</v>
      </c>
      <c r="H126">
        <v>-1.5138</v>
      </c>
      <c r="I126">
        <v>0</v>
      </c>
      <c r="J126">
        <v>0</v>
      </c>
      <c r="K126">
        <v>0</v>
      </c>
      <c r="L126">
        <v>0.36720000000000003</v>
      </c>
    </row>
    <row r="127" spans="1:12" x14ac:dyDescent="0.35">
      <c r="A127">
        <v>1.3</v>
      </c>
      <c r="B127">
        <v>0.56369999999999998</v>
      </c>
      <c r="C127">
        <v>8.7600000000000004E-3</v>
      </c>
      <c r="D127">
        <v>2.4199999999999998E-3</v>
      </c>
      <c r="E127">
        <v>-6.5000000000000002E-2</v>
      </c>
      <c r="F127">
        <v>1.8100000000000002E-2</v>
      </c>
      <c r="G127">
        <v>0.05</v>
      </c>
      <c r="H127">
        <v>-1.5943000000000001</v>
      </c>
      <c r="I127">
        <v>0</v>
      </c>
      <c r="J127">
        <v>0</v>
      </c>
      <c r="K127">
        <v>0</v>
      </c>
      <c r="L127">
        <v>0.3644</v>
      </c>
    </row>
    <row r="128" spans="1:12" x14ac:dyDescent="0.35">
      <c r="A128">
        <v>1.35</v>
      </c>
      <c r="B128">
        <v>0.57440000000000002</v>
      </c>
      <c r="C128">
        <v>8.8199999999999997E-3</v>
      </c>
      <c r="D128">
        <v>2.49E-3</v>
      </c>
      <c r="E128">
        <v>-6.4699999999999994E-2</v>
      </c>
      <c r="F128">
        <v>1.67E-2</v>
      </c>
      <c r="G128">
        <v>0.05</v>
      </c>
      <c r="H128">
        <v>-1.6766000000000001</v>
      </c>
      <c r="I128">
        <v>0</v>
      </c>
      <c r="J128">
        <v>0</v>
      </c>
      <c r="K128">
        <v>0</v>
      </c>
      <c r="L128">
        <v>0.36170000000000002</v>
      </c>
    </row>
    <row r="129" spans="1:12" x14ac:dyDescent="0.35">
      <c r="A129">
        <v>1.4</v>
      </c>
      <c r="B129">
        <v>0.58509999999999995</v>
      </c>
      <c r="C129">
        <v>8.8699999999999994E-3</v>
      </c>
      <c r="D129">
        <v>2.5600000000000002E-3</v>
      </c>
      <c r="E129">
        <v>-6.4299999999999996E-2</v>
      </c>
      <c r="F129">
        <v>1.55E-2</v>
      </c>
      <c r="G129">
        <v>0.05</v>
      </c>
      <c r="H129">
        <v>-1.7582</v>
      </c>
      <c r="I129">
        <v>0</v>
      </c>
      <c r="J129">
        <v>0</v>
      </c>
      <c r="K129">
        <v>0</v>
      </c>
      <c r="L129">
        <v>0.3589</v>
      </c>
    </row>
    <row r="130" spans="1:12" x14ac:dyDescent="0.35">
      <c r="A130">
        <v>1.45</v>
      </c>
      <c r="B130">
        <v>0.59570000000000001</v>
      </c>
      <c r="C130">
        <v>8.94E-3</v>
      </c>
      <c r="D130">
        <v>2.66E-3</v>
      </c>
      <c r="E130">
        <v>-6.3899999999999998E-2</v>
      </c>
      <c r="F130">
        <v>1.47E-2</v>
      </c>
      <c r="G130">
        <v>0.05</v>
      </c>
      <c r="H130">
        <v>-1.8357000000000001</v>
      </c>
      <c r="I130">
        <v>0</v>
      </c>
      <c r="J130">
        <v>0</v>
      </c>
      <c r="K130">
        <v>0</v>
      </c>
      <c r="L130">
        <v>0.35620000000000002</v>
      </c>
    </row>
    <row r="131" spans="1:12" x14ac:dyDescent="0.35">
      <c r="A131">
        <v>1.5</v>
      </c>
      <c r="B131">
        <v>0.60629999999999995</v>
      </c>
      <c r="C131">
        <v>9.0200000000000002E-3</v>
      </c>
      <c r="D131">
        <v>2.7799999999999999E-3</v>
      </c>
      <c r="E131">
        <v>-6.3399999999999998E-2</v>
      </c>
      <c r="F131">
        <v>1.43E-2</v>
      </c>
      <c r="G131">
        <v>0.05</v>
      </c>
      <c r="H131">
        <v>-1.9088000000000001</v>
      </c>
      <c r="I131">
        <v>0</v>
      </c>
      <c r="J131">
        <v>0</v>
      </c>
      <c r="K131">
        <v>0</v>
      </c>
      <c r="L131">
        <v>0.35360000000000003</v>
      </c>
    </row>
    <row r="132" spans="1:12" x14ac:dyDescent="0.35">
      <c r="A132">
        <v>1.55</v>
      </c>
      <c r="B132">
        <v>0.61660000000000004</v>
      </c>
      <c r="C132">
        <v>9.1199999999999996E-3</v>
      </c>
      <c r="D132">
        <v>2.8999999999999998E-3</v>
      </c>
      <c r="E132">
        <v>-6.2899999999999998E-2</v>
      </c>
      <c r="F132">
        <v>1.4E-2</v>
      </c>
      <c r="G132">
        <v>0.05</v>
      </c>
      <c r="H132">
        <v>-1.9792000000000001</v>
      </c>
      <c r="I132">
        <v>0</v>
      </c>
      <c r="J132">
        <v>0</v>
      </c>
      <c r="K132">
        <v>0</v>
      </c>
      <c r="L132">
        <v>0.35099999999999998</v>
      </c>
    </row>
    <row r="133" spans="1:12" x14ac:dyDescent="0.35">
      <c r="A133">
        <v>1.6</v>
      </c>
      <c r="B133">
        <v>0.62680000000000002</v>
      </c>
      <c r="C133">
        <v>9.2099999999999994E-3</v>
      </c>
      <c r="D133">
        <v>3.0400000000000002E-3</v>
      </c>
      <c r="E133">
        <v>-6.2300000000000001E-2</v>
      </c>
      <c r="F133">
        <v>1.38E-2</v>
      </c>
      <c r="G133">
        <v>0.05</v>
      </c>
      <c r="H133">
        <v>-2.0598000000000001</v>
      </c>
      <c r="I133">
        <v>0</v>
      </c>
      <c r="J133">
        <v>0</v>
      </c>
      <c r="K133">
        <v>0</v>
      </c>
      <c r="L133">
        <v>0.34839999999999999</v>
      </c>
    </row>
    <row r="134" spans="1:12" x14ac:dyDescent="0.35">
      <c r="A134">
        <v>1.65</v>
      </c>
      <c r="B134">
        <v>0.63700000000000001</v>
      </c>
      <c r="C134">
        <v>9.3200000000000002E-3</v>
      </c>
      <c r="D134">
        <v>3.1900000000000001E-3</v>
      </c>
      <c r="E134">
        <v>-6.1699999999999998E-2</v>
      </c>
      <c r="F134">
        <v>1.38E-2</v>
      </c>
      <c r="G134">
        <v>0.05</v>
      </c>
      <c r="H134">
        <v>-2.1551</v>
      </c>
      <c r="I134">
        <v>0</v>
      </c>
      <c r="J134">
        <v>0</v>
      </c>
      <c r="K134">
        <v>0</v>
      </c>
      <c r="L134">
        <v>0.3458</v>
      </c>
    </row>
    <row r="135" spans="1:12" x14ac:dyDescent="0.35">
      <c r="A135">
        <v>1.7</v>
      </c>
      <c r="B135">
        <v>0.64700000000000002</v>
      </c>
      <c r="C135">
        <v>9.4500000000000001E-3</v>
      </c>
      <c r="D135">
        <v>3.3500000000000001E-3</v>
      </c>
      <c r="E135">
        <v>-6.0999999999999999E-2</v>
      </c>
      <c r="F135">
        <v>1.37E-2</v>
      </c>
      <c r="G135">
        <v>0.05</v>
      </c>
      <c r="H135">
        <v>-2.2477</v>
      </c>
      <c r="I135">
        <v>0</v>
      </c>
      <c r="J135">
        <v>0</v>
      </c>
      <c r="K135">
        <v>0</v>
      </c>
      <c r="L135">
        <v>0.34320000000000001</v>
      </c>
    </row>
    <row r="136" spans="1:12" x14ac:dyDescent="0.35">
      <c r="A136">
        <v>1.75</v>
      </c>
      <c r="B136">
        <v>0.65680000000000005</v>
      </c>
      <c r="C136">
        <v>9.58E-3</v>
      </c>
      <c r="D136">
        <v>3.5400000000000002E-3</v>
      </c>
      <c r="E136">
        <v>-6.0299999999999999E-2</v>
      </c>
      <c r="F136">
        <v>1.37E-2</v>
      </c>
      <c r="G136">
        <v>0.05</v>
      </c>
      <c r="H136">
        <v>-2.3365</v>
      </c>
      <c r="I136">
        <v>0</v>
      </c>
      <c r="J136">
        <v>0</v>
      </c>
      <c r="K136">
        <v>0</v>
      </c>
      <c r="L136">
        <v>0.3407</v>
      </c>
    </row>
    <row r="137" spans="1:12" x14ac:dyDescent="0.35">
      <c r="A137">
        <v>1.8</v>
      </c>
      <c r="B137">
        <v>0.66620000000000001</v>
      </c>
      <c r="C137">
        <v>9.7400000000000004E-3</v>
      </c>
      <c r="D137">
        <v>3.7399999999999998E-3</v>
      </c>
      <c r="E137">
        <v>-5.9499999999999997E-2</v>
      </c>
      <c r="F137">
        <v>1.3599999999999999E-2</v>
      </c>
      <c r="G137">
        <v>0.05</v>
      </c>
      <c r="H137">
        <v>-2.4205999999999999</v>
      </c>
      <c r="I137">
        <v>0</v>
      </c>
      <c r="J137">
        <v>0</v>
      </c>
      <c r="K137">
        <v>0</v>
      </c>
      <c r="L137">
        <v>0.33810000000000001</v>
      </c>
    </row>
    <row r="138" spans="1:12" x14ac:dyDescent="0.35">
      <c r="A138">
        <v>1.85</v>
      </c>
      <c r="B138">
        <v>0.6754</v>
      </c>
      <c r="C138">
        <v>9.9100000000000004E-3</v>
      </c>
      <c r="D138">
        <v>3.9699999999999996E-3</v>
      </c>
      <c r="E138">
        <v>-5.8599999999999999E-2</v>
      </c>
      <c r="F138">
        <v>1.3599999999999999E-2</v>
      </c>
      <c r="G138">
        <v>0.05</v>
      </c>
      <c r="H138">
        <v>-2.4992000000000001</v>
      </c>
      <c r="I138">
        <v>0</v>
      </c>
      <c r="J138">
        <v>0</v>
      </c>
      <c r="K138">
        <v>0</v>
      </c>
      <c r="L138">
        <v>0.33560000000000001</v>
      </c>
    </row>
    <row r="139" spans="1:12" x14ac:dyDescent="0.35">
      <c r="A139">
        <v>1.9</v>
      </c>
      <c r="B139">
        <v>0.68420000000000003</v>
      </c>
      <c r="C139">
        <v>1.0109999999999999E-2</v>
      </c>
      <c r="D139">
        <v>4.2199999999999998E-3</v>
      </c>
      <c r="E139">
        <v>-5.7700000000000001E-2</v>
      </c>
      <c r="F139">
        <v>1.35E-2</v>
      </c>
      <c r="G139">
        <v>0.05</v>
      </c>
      <c r="H139">
        <v>-2.5716999999999999</v>
      </c>
      <c r="I139">
        <v>0</v>
      </c>
      <c r="J139">
        <v>0</v>
      </c>
      <c r="K139">
        <v>0</v>
      </c>
      <c r="L139">
        <v>0.33300000000000002</v>
      </c>
    </row>
    <row r="140" spans="1:12" x14ac:dyDescent="0.35">
      <c r="A140">
        <v>1.95</v>
      </c>
      <c r="B140">
        <v>0.69269999999999998</v>
      </c>
      <c r="C140">
        <v>1.0319999999999999E-2</v>
      </c>
      <c r="D140">
        <v>4.4799999999999996E-3</v>
      </c>
      <c r="E140">
        <v>-5.6599999999999998E-2</v>
      </c>
      <c r="F140">
        <v>1.35E-2</v>
      </c>
      <c r="G140">
        <v>0.05</v>
      </c>
      <c r="H140">
        <v>-2.6379999999999999</v>
      </c>
      <c r="I140">
        <v>0</v>
      </c>
      <c r="J140">
        <v>0</v>
      </c>
      <c r="K140">
        <v>0</v>
      </c>
      <c r="L140">
        <v>0.33050000000000002</v>
      </c>
    </row>
    <row r="141" spans="1:12" x14ac:dyDescent="0.35">
      <c r="A141">
        <v>2</v>
      </c>
      <c r="B141">
        <v>0.70099999999999996</v>
      </c>
      <c r="C141">
        <v>1.055E-2</v>
      </c>
      <c r="D141">
        <v>4.7699999999999999E-3</v>
      </c>
      <c r="E141">
        <v>-5.5599999999999997E-2</v>
      </c>
      <c r="F141">
        <v>1.34E-2</v>
      </c>
      <c r="G141">
        <v>0.05</v>
      </c>
      <c r="H141">
        <v>-2.6978</v>
      </c>
      <c r="I141">
        <v>0</v>
      </c>
      <c r="J141">
        <v>0</v>
      </c>
      <c r="K141">
        <v>0</v>
      </c>
      <c r="L141">
        <v>0.32800000000000001</v>
      </c>
    </row>
    <row r="142" spans="1:12" x14ac:dyDescent="0.35">
      <c r="A142">
        <v>2.0499999999999998</v>
      </c>
      <c r="B142">
        <v>0.70909999999999995</v>
      </c>
      <c r="C142">
        <v>1.0800000000000001E-2</v>
      </c>
      <c r="D142">
        <v>5.0699999999999999E-3</v>
      </c>
      <c r="E142">
        <v>-5.4399999999999997E-2</v>
      </c>
      <c r="F142">
        <v>1.3299999999999999E-2</v>
      </c>
      <c r="G142">
        <v>0.05</v>
      </c>
      <c r="H142">
        <v>-2.7509999999999999</v>
      </c>
      <c r="I142">
        <v>0</v>
      </c>
      <c r="J142">
        <v>0</v>
      </c>
      <c r="K142">
        <v>0</v>
      </c>
      <c r="L142">
        <v>0.32540000000000002</v>
      </c>
    </row>
    <row r="143" spans="1:12" x14ac:dyDescent="0.35">
      <c r="A143">
        <v>2.1</v>
      </c>
      <c r="B143">
        <v>0.71719999999999995</v>
      </c>
      <c r="C143">
        <v>1.106E-2</v>
      </c>
      <c r="D143">
        <v>5.3899999999999998E-3</v>
      </c>
      <c r="E143">
        <v>-5.33E-2</v>
      </c>
      <c r="F143">
        <v>1.32E-2</v>
      </c>
      <c r="G143">
        <v>0.05</v>
      </c>
      <c r="H143">
        <v>-2.7974000000000001</v>
      </c>
      <c r="I143">
        <v>0</v>
      </c>
      <c r="J143">
        <v>0</v>
      </c>
      <c r="K143">
        <v>0</v>
      </c>
      <c r="L143">
        <v>0.32290000000000002</v>
      </c>
    </row>
    <row r="144" spans="1:12" x14ac:dyDescent="0.35">
      <c r="A144">
        <v>2.15</v>
      </c>
      <c r="B144">
        <v>0.72529999999999994</v>
      </c>
      <c r="C144">
        <v>1.1339999999999999E-2</v>
      </c>
      <c r="D144">
        <v>5.7299999999999999E-3</v>
      </c>
      <c r="E144">
        <v>-5.21E-2</v>
      </c>
      <c r="F144">
        <v>1.2999999999999999E-2</v>
      </c>
      <c r="G144">
        <v>0.05</v>
      </c>
      <c r="H144">
        <v>-2.8378999999999999</v>
      </c>
      <c r="I144">
        <v>0</v>
      </c>
      <c r="J144">
        <v>0</v>
      </c>
      <c r="K144">
        <v>0</v>
      </c>
      <c r="L144">
        <v>0.32050000000000001</v>
      </c>
    </row>
    <row r="145" spans="1:12" x14ac:dyDescent="0.35">
      <c r="A145">
        <v>2.2000000000000002</v>
      </c>
      <c r="B145">
        <v>0.73370000000000002</v>
      </c>
      <c r="C145">
        <v>1.1639999999999999E-2</v>
      </c>
      <c r="D145">
        <v>6.0800000000000003E-3</v>
      </c>
      <c r="E145">
        <v>-5.0999999999999997E-2</v>
      </c>
      <c r="F145">
        <v>1.29E-2</v>
      </c>
      <c r="G145">
        <v>0.05</v>
      </c>
      <c r="H145">
        <v>-2.8730000000000002</v>
      </c>
      <c r="I145">
        <v>0</v>
      </c>
      <c r="J145">
        <v>0</v>
      </c>
      <c r="K145">
        <v>0</v>
      </c>
      <c r="L145">
        <v>0.318</v>
      </c>
    </row>
    <row r="146" spans="1:12" x14ac:dyDescent="0.35">
      <c r="A146">
        <v>2.25</v>
      </c>
      <c r="B146">
        <v>0.74250000000000005</v>
      </c>
      <c r="C146">
        <v>1.196E-2</v>
      </c>
      <c r="D146">
        <v>6.45E-3</v>
      </c>
      <c r="E146">
        <v>-4.9799999999999997E-2</v>
      </c>
      <c r="F146">
        <v>1.2699999999999999E-2</v>
      </c>
      <c r="G146">
        <v>0.05</v>
      </c>
      <c r="H146">
        <v>-2.9030999999999998</v>
      </c>
      <c r="I146">
        <v>0</v>
      </c>
      <c r="J146">
        <v>0</v>
      </c>
      <c r="K146">
        <v>0</v>
      </c>
      <c r="L146">
        <v>0.31569999999999998</v>
      </c>
    </row>
    <row r="147" spans="1:12" x14ac:dyDescent="0.35">
      <c r="A147">
        <v>2.2999999999999998</v>
      </c>
      <c r="B147">
        <v>0.75170000000000003</v>
      </c>
      <c r="C147">
        <v>1.2290000000000001E-2</v>
      </c>
      <c r="D147">
        <v>6.8500000000000002E-3</v>
      </c>
      <c r="E147">
        <v>-4.8800000000000003E-2</v>
      </c>
      <c r="F147">
        <v>1.26E-2</v>
      </c>
      <c r="G147">
        <v>0.05</v>
      </c>
      <c r="H147">
        <v>-2.9293</v>
      </c>
      <c r="I147">
        <v>0</v>
      </c>
      <c r="J147">
        <v>0</v>
      </c>
      <c r="K147">
        <v>0</v>
      </c>
      <c r="L147">
        <v>0.31340000000000001</v>
      </c>
    </row>
    <row r="148" spans="1:12" x14ac:dyDescent="0.35">
      <c r="A148">
        <v>2.35</v>
      </c>
      <c r="B148">
        <v>0.76129999999999998</v>
      </c>
      <c r="C148">
        <v>1.265E-2</v>
      </c>
      <c r="D148">
        <v>7.26E-3</v>
      </c>
      <c r="E148">
        <v>-4.7699999999999999E-2</v>
      </c>
      <c r="F148">
        <v>1.24E-2</v>
      </c>
      <c r="G148">
        <v>0.05</v>
      </c>
      <c r="H148">
        <v>-2.9514</v>
      </c>
      <c r="I148">
        <v>0</v>
      </c>
      <c r="J148">
        <v>0</v>
      </c>
      <c r="K148">
        <v>0</v>
      </c>
      <c r="L148">
        <v>0.31109999999999999</v>
      </c>
    </row>
    <row r="149" spans="1:12" x14ac:dyDescent="0.35">
      <c r="A149">
        <v>2.4</v>
      </c>
      <c r="B149">
        <v>0.7712</v>
      </c>
      <c r="C149">
        <v>1.303E-2</v>
      </c>
      <c r="D149">
        <v>7.7000000000000002E-3</v>
      </c>
      <c r="E149">
        <v>-4.6699999999999998E-2</v>
      </c>
      <c r="F149">
        <v>1.23E-2</v>
      </c>
      <c r="G149">
        <v>0.05</v>
      </c>
      <c r="H149">
        <v>-2.9704999999999999</v>
      </c>
      <c r="I149">
        <v>0</v>
      </c>
      <c r="J149">
        <v>0</v>
      </c>
      <c r="K149">
        <v>0</v>
      </c>
      <c r="L149">
        <v>0.309</v>
      </c>
    </row>
    <row r="150" spans="1:12" x14ac:dyDescent="0.35">
      <c r="A150">
        <v>2.4500000000000002</v>
      </c>
      <c r="B150">
        <v>0.78149999999999997</v>
      </c>
      <c r="C150">
        <v>1.3429999999999999E-2</v>
      </c>
      <c r="D150">
        <v>8.1700000000000002E-3</v>
      </c>
      <c r="E150">
        <v>-4.5699999999999998E-2</v>
      </c>
      <c r="F150">
        <v>1.2200000000000001E-2</v>
      </c>
      <c r="G150">
        <v>0.05</v>
      </c>
      <c r="H150">
        <v>-2.9864000000000002</v>
      </c>
      <c r="I150">
        <v>0</v>
      </c>
      <c r="J150">
        <v>0</v>
      </c>
      <c r="K150">
        <v>0</v>
      </c>
      <c r="L150">
        <v>0.30690000000000001</v>
      </c>
    </row>
    <row r="151" spans="1:12" x14ac:dyDescent="0.35">
      <c r="A151">
        <v>2.5</v>
      </c>
      <c r="B151">
        <v>0.79190000000000005</v>
      </c>
      <c r="C151">
        <v>1.3860000000000001E-2</v>
      </c>
      <c r="D151">
        <v>8.6700000000000006E-3</v>
      </c>
      <c r="E151">
        <v>-4.48E-2</v>
      </c>
      <c r="F151">
        <v>1.2E-2</v>
      </c>
      <c r="G151">
        <v>0.05</v>
      </c>
      <c r="H151">
        <v>-2.9994999999999998</v>
      </c>
      <c r="I151">
        <v>0</v>
      </c>
      <c r="J151">
        <v>0</v>
      </c>
      <c r="K151">
        <v>0</v>
      </c>
      <c r="L151">
        <v>0.3049</v>
      </c>
    </row>
    <row r="152" spans="1:12" x14ac:dyDescent="0.35">
      <c r="A152">
        <v>2.5499999999999998</v>
      </c>
      <c r="B152">
        <v>0.80220000000000002</v>
      </c>
      <c r="C152">
        <v>1.431E-2</v>
      </c>
      <c r="D152">
        <v>9.1900000000000003E-3</v>
      </c>
      <c r="E152">
        <v>-4.3799999999999999E-2</v>
      </c>
      <c r="F152">
        <v>1.1900000000000001E-2</v>
      </c>
      <c r="G152">
        <v>0.05</v>
      </c>
      <c r="H152">
        <v>-3.0097999999999998</v>
      </c>
      <c r="I152">
        <v>0</v>
      </c>
      <c r="J152">
        <v>0</v>
      </c>
      <c r="K152">
        <v>0</v>
      </c>
      <c r="L152">
        <v>0.30299999999999999</v>
      </c>
    </row>
    <row r="153" spans="1:12" x14ac:dyDescent="0.35">
      <c r="A153">
        <v>2.6</v>
      </c>
      <c r="B153">
        <v>0.81220000000000003</v>
      </c>
      <c r="C153">
        <v>1.478E-2</v>
      </c>
      <c r="D153">
        <v>9.7400000000000004E-3</v>
      </c>
      <c r="E153">
        <v>-4.2799999999999998E-2</v>
      </c>
      <c r="F153">
        <v>1.18E-2</v>
      </c>
      <c r="G153">
        <v>0.05</v>
      </c>
      <c r="H153">
        <v>-3.0175999999999998</v>
      </c>
      <c r="I153">
        <v>0</v>
      </c>
      <c r="J153">
        <v>0</v>
      </c>
      <c r="K153">
        <v>0</v>
      </c>
      <c r="L153">
        <v>0.30109999999999998</v>
      </c>
    </row>
    <row r="154" spans="1:12" x14ac:dyDescent="0.35">
      <c r="A154">
        <v>2.65</v>
      </c>
      <c r="B154">
        <v>0.82189999999999996</v>
      </c>
      <c r="C154">
        <v>1.5270000000000001E-2</v>
      </c>
      <c r="D154">
        <v>1.031E-2</v>
      </c>
      <c r="E154">
        <v>-4.19E-2</v>
      </c>
      <c r="F154">
        <v>1.17E-2</v>
      </c>
      <c r="G154">
        <v>0.05</v>
      </c>
      <c r="H154">
        <v>-3.0228000000000002</v>
      </c>
      <c r="I154">
        <v>0</v>
      </c>
      <c r="J154">
        <v>0</v>
      </c>
      <c r="K154">
        <v>0</v>
      </c>
      <c r="L154">
        <v>0.29920000000000002</v>
      </c>
    </row>
    <row r="155" spans="1:12" x14ac:dyDescent="0.35">
      <c r="A155">
        <v>2.7</v>
      </c>
      <c r="B155">
        <v>0.83120000000000005</v>
      </c>
      <c r="C155">
        <v>1.5789999999999998E-2</v>
      </c>
      <c r="D155">
        <v>1.091E-2</v>
      </c>
      <c r="E155">
        <v>-4.0899999999999999E-2</v>
      </c>
      <c r="F155">
        <v>1.1599999999999999E-2</v>
      </c>
      <c r="G155">
        <v>0.05</v>
      </c>
      <c r="H155">
        <v>-3.0257000000000001</v>
      </c>
      <c r="I155">
        <v>0</v>
      </c>
      <c r="J155">
        <v>0</v>
      </c>
      <c r="K155">
        <v>0</v>
      </c>
      <c r="L155">
        <v>0.2974</v>
      </c>
    </row>
    <row r="156" spans="1:12" x14ac:dyDescent="0.35">
      <c r="A156">
        <v>2.75</v>
      </c>
      <c r="B156">
        <v>0.83979999999999999</v>
      </c>
      <c r="C156">
        <v>1.6330000000000001E-2</v>
      </c>
      <c r="D156">
        <v>1.153E-2</v>
      </c>
      <c r="E156">
        <v>-3.9899999999999998E-2</v>
      </c>
      <c r="F156">
        <v>1.15E-2</v>
      </c>
      <c r="G156">
        <v>0.05</v>
      </c>
      <c r="H156">
        <v>-3.0263</v>
      </c>
      <c r="I156">
        <v>0</v>
      </c>
      <c r="J156">
        <v>0</v>
      </c>
      <c r="K156">
        <v>0</v>
      </c>
      <c r="L156">
        <v>0.29570000000000002</v>
      </c>
    </row>
    <row r="157" spans="1:12" x14ac:dyDescent="0.35">
      <c r="A157">
        <v>2.8</v>
      </c>
      <c r="B157">
        <v>0.8478</v>
      </c>
      <c r="C157">
        <v>1.6889999999999999E-2</v>
      </c>
      <c r="D157">
        <v>1.217E-2</v>
      </c>
      <c r="E157">
        <v>-3.8800000000000001E-2</v>
      </c>
      <c r="F157">
        <v>1.14E-2</v>
      </c>
      <c r="G157">
        <v>0.05</v>
      </c>
      <c r="H157">
        <v>-3.0253000000000001</v>
      </c>
      <c r="I157">
        <v>0</v>
      </c>
      <c r="J157">
        <v>0</v>
      </c>
      <c r="K157">
        <v>0</v>
      </c>
      <c r="L157">
        <v>0.29399999999999998</v>
      </c>
    </row>
    <row r="158" spans="1:12" x14ac:dyDescent="0.35">
      <c r="A158">
        <v>2.85</v>
      </c>
      <c r="B158">
        <v>0.85509999999999997</v>
      </c>
      <c r="C158">
        <v>1.7479999999999999E-2</v>
      </c>
      <c r="D158">
        <v>1.2829999999999999E-2</v>
      </c>
      <c r="E158">
        <v>-3.78E-2</v>
      </c>
      <c r="F158">
        <v>1.1299999999999999E-2</v>
      </c>
      <c r="G158">
        <v>0.05</v>
      </c>
      <c r="H158">
        <v>-3.0228999999999999</v>
      </c>
      <c r="I158">
        <v>0</v>
      </c>
      <c r="J158">
        <v>0</v>
      </c>
      <c r="K158">
        <v>0</v>
      </c>
      <c r="L158">
        <v>0.29239999999999999</v>
      </c>
    </row>
    <row r="159" spans="1:12" x14ac:dyDescent="0.35">
      <c r="A159">
        <v>2.9</v>
      </c>
      <c r="B159">
        <v>0.86180000000000001</v>
      </c>
      <c r="C159">
        <v>1.8079999999999999E-2</v>
      </c>
      <c r="D159">
        <v>1.3520000000000001E-2</v>
      </c>
      <c r="E159">
        <v>-3.6700000000000003E-2</v>
      </c>
      <c r="F159">
        <v>1.12E-2</v>
      </c>
      <c r="G159">
        <v>0.05</v>
      </c>
      <c r="H159">
        <v>-3.0196999999999998</v>
      </c>
      <c r="I159">
        <v>0</v>
      </c>
      <c r="J159">
        <v>0</v>
      </c>
      <c r="K159">
        <v>0</v>
      </c>
      <c r="L159">
        <v>0.2908</v>
      </c>
    </row>
    <row r="160" spans="1:12" x14ac:dyDescent="0.35">
      <c r="A160">
        <v>2.95</v>
      </c>
      <c r="B160">
        <v>0.86780000000000002</v>
      </c>
      <c r="C160">
        <v>1.8689999999999998E-2</v>
      </c>
      <c r="D160">
        <v>1.421E-2</v>
      </c>
      <c r="E160">
        <v>-3.5700000000000003E-2</v>
      </c>
      <c r="F160">
        <v>1.0999999999999999E-2</v>
      </c>
      <c r="G160">
        <v>0.05</v>
      </c>
      <c r="H160">
        <v>-3.0164</v>
      </c>
      <c r="I160">
        <v>0</v>
      </c>
      <c r="J160">
        <v>0</v>
      </c>
      <c r="K160">
        <v>0</v>
      </c>
      <c r="L160">
        <v>0.28920000000000001</v>
      </c>
    </row>
    <row r="161" spans="1:12" x14ac:dyDescent="0.35">
      <c r="A161">
        <v>3</v>
      </c>
      <c r="B161">
        <v>0.87319999999999998</v>
      </c>
      <c r="C161">
        <v>1.933E-2</v>
      </c>
      <c r="D161">
        <v>1.4930000000000001E-2</v>
      </c>
      <c r="E161">
        <v>-3.4599999999999999E-2</v>
      </c>
      <c r="F161">
        <v>1.0800000000000001E-2</v>
      </c>
      <c r="G161">
        <v>0.05</v>
      </c>
      <c r="H161">
        <v>-3.0131000000000001</v>
      </c>
      <c r="I161">
        <v>0</v>
      </c>
      <c r="J161">
        <v>0</v>
      </c>
      <c r="K161">
        <v>0</v>
      </c>
      <c r="L161">
        <v>0.28770000000000001</v>
      </c>
    </row>
    <row r="162" spans="1:12" x14ac:dyDescent="0.35">
      <c r="A162">
        <v>3.05</v>
      </c>
      <c r="B162">
        <v>0.878</v>
      </c>
      <c r="C162">
        <v>1.9970000000000002E-2</v>
      </c>
      <c r="D162">
        <v>1.5650000000000001E-2</v>
      </c>
      <c r="E162">
        <v>-3.3599999999999998E-2</v>
      </c>
      <c r="F162">
        <v>1.0699999999999999E-2</v>
      </c>
      <c r="G162">
        <v>0.05</v>
      </c>
      <c r="H162">
        <v>-3.0099</v>
      </c>
      <c r="I162">
        <v>0</v>
      </c>
      <c r="J162">
        <v>0</v>
      </c>
      <c r="K162">
        <v>0</v>
      </c>
      <c r="L162">
        <v>0.2863</v>
      </c>
    </row>
    <row r="163" spans="1:12" x14ac:dyDescent="0.35">
      <c r="A163">
        <v>3.1</v>
      </c>
      <c r="B163">
        <v>0.8821</v>
      </c>
      <c r="C163">
        <v>2.0639999999999999E-2</v>
      </c>
      <c r="D163">
        <v>1.6389999999999998E-2</v>
      </c>
      <c r="E163">
        <v>-3.2500000000000001E-2</v>
      </c>
      <c r="F163">
        <v>1.06E-2</v>
      </c>
      <c r="G163">
        <v>0.05</v>
      </c>
      <c r="H163">
        <v>-3.0063</v>
      </c>
      <c r="I163">
        <v>0</v>
      </c>
      <c r="J163">
        <v>0</v>
      </c>
      <c r="K163">
        <v>0</v>
      </c>
      <c r="L163">
        <v>0.28489999999999999</v>
      </c>
    </row>
    <row r="164" spans="1:12" x14ac:dyDescent="0.35">
      <c r="A164">
        <v>3.15</v>
      </c>
      <c r="B164">
        <v>0.88560000000000005</v>
      </c>
      <c r="C164">
        <v>2.1309999999999999E-2</v>
      </c>
      <c r="D164">
        <v>1.7139999999999999E-2</v>
      </c>
      <c r="E164">
        <v>-3.15E-2</v>
      </c>
      <c r="F164">
        <v>1.0500000000000001E-2</v>
      </c>
      <c r="G164">
        <v>0.05</v>
      </c>
      <c r="H164">
        <v>-3.0021</v>
      </c>
      <c r="I164">
        <v>0</v>
      </c>
      <c r="J164">
        <v>0</v>
      </c>
      <c r="K164">
        <v>0</v>
      </c>
      <c r="L164">
        <v>0.28360000000000002</v>
      </c>
    </row>
    <row r="165" spans="1:12" x14ac:dyDescent="0.35">
      <c r="A165">
        <v>3.2</v>
      </c>
      <c r="B165">
        <v>0.88859999999999995</v>
      </c>
      <c r="C165">
        <v>2.1999999999999999E-2</v>
      </c>
      <c r="D165">
        <v>1.789E-2</v>
      </c>
      <c r="E165">
        <v>-3.0599999999999999E-2</v>
      </c>
      <c r="F165">
        <v>1.0500000000000001E-2</v>
      </c>
      <c r="G165">
        <v>0.05</v>
      </c>
      <c r="H165">
        <v>-2.9973000000000001</v>
      </c>
      <c r="I165">
        <v>0</v>
      </c>
      <c r="J165">
        <v>0</v>
      </c>
      <c r="K165">
        <v>0</v>
      </c>
      <c r="L165">
        <v>0.28239999999999998</v>
      </c>
    </row>
    <row r="166" spans="1:12" x14ac:dyDescent="0.35">
      <c r="A166">
        <v>3.25</v>
      </c>
      <c r="B166">
        <v>0.89100000000000001</v>
      </c>
      <c r="C166">
        <v>2.2710000000000001E-2</v>
      </c>
      <c r="D166">
        <v>1.866E-2</v>
      </c>
      <c r="E166">
        <v>-2.9600000000000001E-2</v>
      </c>
      <c r="F166">
        <v>1.0500000000000001E-2</v>
      </c>
      <c r="G166">
        <v>0.05</v>
      </c>
      <c r="H166">
        <v>-2.9918</v>
      </c>
      <c r="I166">
        <v>0</v>
      </c>
      <c r="J166">
        <v>0</v>
      </c>
      <c r="K166">
        <v>0</v>
      </c>
      <c r="L166">
        <v>0.28120000000000001</v>
      </c>
    </row>
    <row r="167" spans="1:12" x14ac:dyDescent="0.35">
      <c r="A167">
        <v>3.3</v>
      </c>
      <c r="B167">
        <v>0.89290000000000003</v>
      </c>
      <c r="C167">
        <v>2.342E-2</v>
      </c>
      <c r="D167">
        <v>1.9439999999999999E-2</v>
      </c>
      <c r="E167">
        <v>-2.87E-2</v>
      </c>
      <c r="F167">
        <v>1.04E-2</v>
      </c>
      <c r="G167">
        <v>0.05</v>
      </c>
      <c r="H167">
        <v>-2.9855999999999998</v>
      </c>
      <c r="I167">
        <v>0</v>
      </c>
      <c r="J167">
        <v>0</v>
      </c>
      <c r="K167">
        <v>0</v>
      </c>
      <c r="L167">
        <v>0.28010000000000002</v>
      </c>
    </row>
    <row r="168" spans="1:12" x14ac:dyDescent="0.35">
      <c r="A168">
        <v>3.35</v>
      </c>
      <c r="B168">
        <v>0.89429999999999998</v>
      </c>
      <c r="C168">
        <v>2.4150000000000001E-2</v>
      </c>
      <c r="D168">
        <v>2.0230000000000001E-2</v>
      </c>
      <c r="E168">
        <v>-2.7799999999999998E-2</v>
      </c>
      <c r="F168">
        <v>1.04E-2</v>
      </c>
      <c r="G168">
        <v>0.05</v>
      </c>
      <c r="H168">
        <v>-2.9790000000000001</v>
      </c>
      <c r="I168">
        <v>0</v>
      </c>
      <c r="J168">
        <v>0</v>
      </c>
      <c r="K168">
        <v>0</v>
      </c>
      <c r="L168">
        <v>0.27900000000000003</v>
      </c>
    </row>
    <row r="169" spans="1:12" x14ac:dyDescent="0.35">
      <c r="A169">
        <v>3.4</v>
      </c>
      <c r="B169">
        <v>0.89529999999999998</v>
      </c>
      <c r="C169">
        <v>2.4889999999999999E-2</v>
      </c>
      <c r="D169">
        <v>2.102E-2</v>
      </c>
      <c r="E169">
        <v>-2.7E-2</v>
      </c>
      <c r="F169">
        <v>1.04E-2</v>
      </c>
      <c r="G169">
        <v>0.05</v>
      </c>
      <c r="H169">
        <v>-2.9718</v>
      </c>
      <c r="I169">
        <v>0</v>
      </c>
      <c r="J169">
        <v>0</v>
      </c>
      <c r="K169">
        <v>0</v>
      </c>
      <c r="L169">
        <v>0.27810000000000001</v>
      </c>
    </row>
    <row r="170" spans="1:12" x14ac:dyDescent="0.35">
      <c r="A170">
        <v>3.45</v>
      </c>
      <c r="B170">
        <v>0.89570000000000005</v>
      </c>
      <c r="C170">
        <v>2.564E-2</v>
      </c>
      <c r="D170">
        <v>2.1829999999999999E-2</v>
      </c>
      <c r="E170">
        <v>-2.6200000000000001E-2</v>
      </c>
      <c r="F170">
        <v>1.04E-2</v>
      </c>
      <c r="G170">
        <v>0.05</v>
      </c>
      <c r="H170">
        <v>-2.9643000000000002</v>
      </c>
      <c r="I170">
        <v>0</v>
      </c>
      <c r="J170">
        <v>0</v>
      </c>
      <c r="K170">
        <v>0</v>
      </c>
      <c r="L170">
        <v>0.27710000000000001</v>
      </c>
    </row>
    <row r="171" spans="1:12" x14ac:dyDescent="0.35">
      <c r="A171">
        <v>3.5</v>
      </c>
      <c r="B171">
        <v>0.89570000000000005</v>
      </c>
      <c r="C171">
        <v>2.64E-2</v>
      </c>
      <c r="D171">
        <v>2.264E-2</v>
      </c>
      <c r="E171">
        <v>-2.5499999999999998E-2</v>
      </c>
      <c r="F171">
        <v>1.04E-2</v>
      </c>
      <c r="G171">
        <v>0.05</v>
      </c>
      <c r="H171">
        <v>-2.9622000000000002</v>
      </c>
      <c r="I171">
        <v>0</v>
      </c>
      <c r="J171">
        <v>0</v>
      </c>
      <c r="K171">
        <v>0</v>
      </c>
      <c r="L171">
        <v>0.27629999999999999</v>
      </c>
    </row>
    <row r="172" spans="1:12" x14ac:dyDescent="0.35">
      <c r="A172">
        <v>3.55</v>
      </c>
      <c r="B172">
        <v>0.89529999999999998</v>
      </c>
      <c r="C172">
        <v>2.7179999999999999E-2</v>
      </c>
      <c r="D172">
        <v>2.3460000000000002E-2</v>
      </c>
      <c r="E172">
        <v>-2.4799999999999999E-2</v>
      </c>
      <c r="F172">
        <v>1.04E-2</v>
      </c>
      <c r="G172">
        <v>0.05</v>
      </c>
      <c r="H172">
        <v>-2.98</v>
      </c>
      <c r="I172">
        <v>0</v>
      </c>
      <c r="J172">
        <v>0</v>
      </c>
      <c r="K172">
        <v>0</v>
      </c>
      <c r="L172">
        <v>0.27550000000000002</v>
      </c>
    </row>
    <row r="173" spans="1:12" x14ac:dyDescent="0.35">
      <c r="A173">
        <v>3.6</v>
      </c>
      <c r="B173">
        <v>0.89449999999999996</v>
      </c>
      <c r="C173">
        <v>2.7969999999999998E-2</v>
      </c>
      <c r="D173">
        <v>2.4299999999999999E-2</v>
      </c>
      <c r="E173">
        <v>-2.41E-2</v>
      </c>
      <c r="F173">
        <v>1.03E-2</v>
      </c>
      <c r="G173">
        <v>0.05</v>
      </c>
      <c r="H173">
        <v>-2.9969999999999999</v>
      </c>
      <c r="I173">
        <v>0</v>
      </c>
      <c r="J173">
        <v>0</v>
      </c>
      <c r="K173">
        <v>0</v>
      </c>
      <c r="L173">
        <v>0.27479999999999999</v>
      </c>
    </row>
    <row r="174" spans="1:12" x14ac:dyDescent="0.35">
      <c r="A174">
        <v>3.65</v>
      </c>
      <c r="B174">
        <v>0.89329999999999998</v>
      </c>
      <c r="C174">
        <v>2.8760000000000001E-2</v>
      </c>
      <c r="D174">
        <v>2.5139999999999999E-2</v>
      </c>
      <c r="E174">
        <v>-2.35E-2</v>
      </c>
      <c r="F174">
        <v>1.03E-2</v>
      </c>
      <c r="G174">
        <v>0.05</v>
      </c>
      <c r="H174">
        <v>-3.0122</v>
      </c>
      <c r="I174">
        <v>0</v>
      </c>
      <c r="J174">
        <v>0</v>
      </c>
      <c r="K174">
        <v>0</v>
      </c>
      <c r="L174">
        <v>0.27410000000000001</v>
      </c>
    </row>
    <row r="175" spans="1:12" x14ac:dyDescent="0.35">
      <c r="A175">
        <v>3.7</v>
      </c>
      <c r="B175">
        <v>0.89119999999999999</v>
      </c>
      <c r="C175">
        <v>2.9520000000000001E-2</v>
      </c>
      <c r="D175">
        <v>2.5940000000000001E-2</v>
      </c>
      <c r="E175">
        <v>-2.2800000000000001E-2</v>
      </c>
      <c r="F175">
        <v>1.01E-2</v>
      </c>
      <c r="G175">
        <v>0.05</v>
      </c>
      <c r="H175">
        <v>-3.0240999999999998</v>
      </c>
      <c r="I175">
        <v>0</v>
      </c>
      <c r="J175">
        <v>0</v>
      </c>
      <c r="K175">
        <v>0</v>
      </c>
      <c r="L175">
        <v>0.27339999999999998</v>
      </c>
    </row>
    <row r="176" spans="1:12" x14ac:dyDescent="0.35">
      <c r="A176">
        <v>3.75</v>
      </c>
      <c r="B176">
        <v>0.88800000000000001</v>
      </c>
      <c r="C176">
        <v>3.022E-2</v>
      </c>
      <c r="D176">
        <v>2.6669999999999999E-2</v>
      </c>
      <c r="E176">
        <v>-2.1999999999999999E-2</v>
      </c>
      <c r="F176">
        <v>9.9000000000000008E-3</v>
      </c>
      <c r="G176">
        <v>0.05</v>
      </c>
      <c r="H176">
        <v>-3.0329999999999999</v>
      </c>
      <c r="I176">
        <v>0</v>
      </c>
      <c r="J176">
        <v>0</v>
      </c>
      <c r="K176">
        <v>0</v>
      </c>
      <c r="L176">
        <v>0.27250000000000002</v>
      </c>
    </row>
    <row r="177" spans="1:12" x14ac:dyDescent="0.35">
      <c r="A177">
        <v>3.8</v>
      </c>
      <c r="B177">
        <v>0.88500000000000001</v>
      </c>
      <c r="C177">
        <v>3.0970000000000001E-2</v>
      </c>
      <c r="D177">
        <v>2.7449999999999999E-2</v>
      </c>
      <c r="E177">
        <v>-2.1299999999999999E-2</v>
      </c>
      <c r="F177">
        <v>9.7000000000000003E-3</v>
      </c>
      <c r="G177">
        <v>0.05</v>
      </c>
      <c r="H177">
        <v>-3.0404</v>
      </c>
      <c r="I177">
        <v>0</v>
      </c>
      <c r="J177">
        <v>0</v>
      </c>
      <c r="K177">
        <v>0</v>
      </c>
      <c r="L177">
        <v>0.27179999999999999</v>
      </c>
    </row>
    <row r="178" spans="1:12" x14ac:dyDescent="0.35">
      <c r="A178">
        <v>3.85</v>
      </c>
      <c r="B178">
        <v>0.88229999999999997</v>
      </c>
      <c r="C178">
        <v>3.1780000000000003E-2</v>
      </c>
      <c r="D178">
        <v>2.8289999999999999E-2</v>
      </c>
      <c r="E178">
        <v>-2.0799999999999999E-2</v>
      </c>
      <c r="F178">
        <v>9.4999999999999998E-3</v>
      </c>
      <c r="G178">
        <v>0.05</v>
      </c>
      <c r="H178">
        <v>-3.0464000000000002</v>
      </c>
      <c r="I178">
        <v>0</v>
      </c>
      <c r="J178">
        <v>0</v>
      </c>
      <c r="K178">
        <v>0</v>
      </c>
      <c r="L178">
        <v>0.27129999999999999</v>
      </c>
    </row>
    <row r="179" spans="1:12" x14ac:dyDescent="0.35">
      <c r="A179">
        <v>3.9</v>
      </c>
      <c r="B179">
        <v>0.87960000000000005</v>
      </c>
      <c r="C179">
        <v>3.2629999999999999E-2</v>
      </c>
      <c r="D179">
        <v>2.9170000000000001E-2</v>
      </c>
      <c r="E179">
        <v>-2.0500000000000001E-2</v>
      </c>
      <c r="F179">
        <v>9.2999999999999992E-3</v>
      </c>
      <c r="G179">
        <v>0.05</v>
      </c>
      <c r="H179">
        <v>-3.0501999999999998</v>
      </c>
      <c r="I179">
        <v>0</v>
      </c>
      <c r="J179">
        <v>0</v>
      </c>
      <c r="K179">
        <v>0</v>
      </c>
      <c r="L179">
        <v>0.27089999999999997</v>
      </c>
    </row>
    <row r="180" spans="1:12" x14ac:dyDescent="0.35">
      <c r="A180">
        <v>3.95</v>
      </c>
      <c r="B180">
        <v>0.87690000000000001</v>
      </c>
      <c r="C180">
        <v>3.3500000000000002E-2</v>
      </c>
      <c r="D180">
        <v>3.007E-2</v>
      </c>
      <c r="E180">
        <v>-2.0299999999999999E-2</v>
      </c>
      <c r="F180">
        <v>9.1999999999999998E-3</v>
      </c>
      <c r="G180">
        <v>0.05</v>
      </c>
      <c r="H180">
        <v>-3.0518999999999998</v>
      </c>
      <c r="I180">
        <v>0</v>
      </c>
      <c r="J180">
        <v>0</v>
      </c>
      <c r="K180">
        <v>0</v>
      </c>
      <c r="L180">
        <v>0.27079999999999999</v>
      </c>
    </row>
    <row r="181" spans="1:12" x14ac:dyDescent="0.35">
      <c r="A181">
        <v>4</v>
      </c>
      <c r="B181">
        <v>0.87419999999999998</v>
      </c>
      <c r="C181">
        <v>3.44E-2</v>
      </c>
      <c r="D181">
        <v>3.099E-2</v>
      </c>
      <c r="E181">
        <v>-2.0199999999999999E-2</v>
      </c>
      <c r="F181">
        <v>9.1000000000000004E-3</v>
      </c>
      <c r="G181">
        <v>0.05</v>
      </c>
      <c r="H181">
        <v>-3.0516999999999999</v>
      </c>
      <c r="I181">
        <v>0</v>
      </c>
      <c r="J181">
        <v>0</v>
      </c>
      <c r="K181">
        <v>0</v>
      </c>
      <c r="L181">
        <v>0.27079999999999999</v>
      </c>
    </row>
    <row r="182" spans="1:12" x14ac:dyDescent="0.35">
      <c r="A182">
        <v>4.05</v>
      </c>
      <c r="B182">
        <v>0.87139999999999995</v>
      </c>
      <c r="C182">
        <v>3.533E-2</v>
      </c>
      <c r="D182">
        <v>3.1949999999999999E-2</v>
      </c>
      <c r="E182">
        <v>-2.0299999999999999E-2</v>
      </c>
      <c r="F182">
        <v>8.9999999999999993E-3</v>
      </c>
      <c r="G182">
        <v>0.05</v>
      </c>
      <c r="H182">
        <v>-3.0495999999999999</v>
      </c>
      <c r="I182">
        <v>0</v>
      </c>
      <c r="J182">
        <v>0</v>
      </c>
      <c r="K182">
        <v>0</v>
      </c>
      <c r="L182">
        <v>0.27089999999999997</v>
      </c>
    </row>
    <row r="183" spans="1:12" x14ac:dyDescent="0.35">
      <c r="A183">
        <v>4.0999999999999996</v>
      </c>
      <c r="B183">
        <v>0.86870000000000003</v>
      </c>
      <c r="C183">
        <v>3.628E-2</v>
      </c>
      <c r="D183">
        <v>3.2930000000000001E-2</v>
      </c>
      <c r="E183">
        <v>-2.0500000000000001E-2</v>
      </c>
      <c r="F183">
        <v>8.8000000000000005E-3</v>
      </c>
      <c r="G183">
        <v>0.05</v>
      </c>
      <c r="H183">
        <v>-3.0461</v>
      </c>
      <c r="I183">
        <v>0</v>
      </c>
      <c r="J183">
        <v>0</v>
      </c>
      <c r="K183">
        <v>0</v>
      </c>
      <c r="L183">
        <v>0.2712</v>
      </c>
    </row>
    <row r="184" spans="1:12" x14ac:dyDescent="0.35">
      <c r="A184">
        <v>4.1500000000000004</v>
      </c>
      <c r="B184">
        <v>0.86609999999999998</v>
      </c>
      <c r="C184">
        <v>3.7269999999999998E-2</v>
      </c>
      <c r="D184">
        <v>3.3930000000000002E-2</v>
      </c>
      <c r="E184">
        <v>-2.0799999999999999E-2</v>
      </c>
      <c r="F184">
        <v>8.6999999999999994E-3</v>
      </c>
      <c r="G184">
        <v>0.05</v>
      </c>
      <c r="H184">
        <v>-3.0411000000000001</v>
      </c>
      <c r="I184">
        <v>0</v>
      </c>
      <c r="J184">
        <v>0</v>
      </c>
      <c r="K184">
        <v>0</v>
      </c>
      <c r="L184">
        <v>0.27160000000000001</v>
      </c>
    </row>
    <row r="185" spans="1:12" x14ac:dyDescent="0.35">
      <c r="A185">
        <v>4.2</v>
      </c>
      <c r="B185">
        <v>0.86339999999999995</v>
      </c>
      <c r="C185">
        <v>3.8280000000000002E-2</v>
      </c>
      <c r="D185">
        <v>3.4970000000000001E-2</v>
      </c>
      <c r="E185">
        <v>-2.1299999999999999E-2</v>
      </c>
      <c r="F185">
        <v>8.6E-3</v>
      </c>
      <c r="G185">
        <v>0.05</v>
      </c>
      <c r="H185">
        <v>-3.0348999999999999</v>
      </c>
      <c r="I185">
        <v>0</v>
      </c>
      <c r="J185">
        <v>0</v>
      </c>
      <c r="K185">
        <v>0</v>
      </c>
      <c r="L185">
        <v>0.2722</v>
      </c>
    </row>
    <row r="186" spans="1:12" x14ac:dyDescent="0.35">
      <c r="A186">
        <v>4.25</v>
      </c>
      <c r="B186">
        <v>0.8609</v>
      </c>
      <c r="C186">
        <v>3.9320000000000001E-2</v>
      </c>
      <c r="D186">
        <v>3.603E-2</v>
      </c>
      <c r="E186">
        <v>-2.18E-2</v>
      </c>
      <c r="F186">
        <v>8.5000000000000006E-3</v>
      </c>
      <c r="G186">
        <v>0.05</v>
      </c>
      <c r="H186">
        <v>-3.0276999999999998</v>
      </c>
      <c r="I186">
        <v>0</v>
      </c>
      <c r="J186">
        <v>0</v>
      </c>
      <c r="K186">
        <v>0</v>
      </c>
      <c r="L186">
        <v>0.27279999999999999</v>
      </c>
    </row>
    <row r="187" spans="1:12" x14ac:dyDescent="0.35">
      <c r="A187">
        <v>4.3</v>
      </c>
      <c r="B187">
        <v>0.85850000000000004</v>
      </c>
      <c r="C187">
        <v>4.0390000000000002E-2</v>
      </c>
      <c r="D187">
        <v>3.712E-2</v>
      </c>
      <c r="E187">
        <v>-2.2499999999999999E-2</v>
      </c>
      <c r="F187">
        <v>8.3000000000000001E-3</v>
      </c>
      <c r="G187">
        <v>0.05</v>
      </c>
      <c r="H187">
        <v>-3.0196999999999998</v>
      </c>
      <c r="I187">
        <v>0</v>
      </c>
      <c r="J187">
        <v>0</v>
      </c>
      <c r="K187">
        <v>0</v>
      </c>
      <c r="L187">
        <v>0.27360000000000001</v>
      </c>
    </row>
    <row r="188" spans="1:12" x14ac:dyDescent="0.35">
      <c r="A188">
        <v>4.3499999999999996</v>
      </c>
      <c r="B188">
        <v>0.85609999999999997</v>
      </c>
      <c r="C188">
        <v>4.1489999999999999E-2</v>
      </c>
      <c r="D188">
        <v>3.823E-2</v>
      </c>
      <c r="E188">
        <v>-2.3199999999999998E-2</v>
      </c>
      <c r="F188">
        <v>8.2000000000000007E-3</v>
      </c>
      <c r="G188">
        <v>0.05</v>
      </c>
      <c r="H188">
        <v>-3.0112000000000001</v>
      </c>
      <c r="I188">
        <v>0</v>
      </c>
      <c r="J188">
        <v>0</v>
      </c>
      <c r="K188">
        <v>0</v>
      </c>
      <c r="L188">
        <v>0.27460000000000001</v>
      </c>
    </row>
    <row r="189" spans="1:12" x14ac:dyDescent="0.35">
      <c r="A189">
        <v>4.4000000000000004</v>
      </c>
      <c r="B189">
        <v>0.85389999999999999</v>
      </c>
      <c r="C189">
        <v>4.2610000000000002E-2</v>
      </c>
      <c r="D189">
        <v>3.9370000000000002E-2</v>
      </c>
      <c r="E189">
        <v>-2.4E-2</v>
      </c>
      <c r="F189">
        <v>8.0000000000000002E-3</v>
      </c>
      <c r="G189">
        <v>0.05</v>
      </c>
      <c r="H189">
        <v>-3.0026000000000002</v>
      </c>
      <c r="I189">
        <v>0</v>
      </c>
      <c r="J189">
        <v>0</v>
      </c>
      <c r="K189">
        <v>0</v>
      </c>
      <c r="L189">
        <v>0.27560000000000001</v>
      </c>
    </row>
    <row r="190" spans="1:12" x14ac:dyDescent="0.35">
      <c r="A190">
        <v>4.45</v>
      </c>
      <c r="B190">
        <v>0.8518</v>
      </c>
      <c r="C190">
        <v>4.3770000000000003E-2</v>
      </c>
      <c r="D190">
        <v>4.054E-2</v>
      </c>
      <c r="E190">
        <v>-2.5000000000000001E-2</v>
      </c>
      <c r="F190">
        <v>7.9000000000000008E-3</v>
      </c>
      <c r="G190">
        <v>0.05</v>
      </c>
      <c r="H190">
        <v>-2.9943</v>
      </c>
      <c r="I190">
        <v>0</v>
      </c>
      <c r="J190">
        <v>0</v>
      </c>
      <c r="K190">
        <v>0</v>
      </c>
      <c r="L190">
        <v>0.2767</v>
      </c>
    </row>
    <row r="191" spans="1:12" x14ac:dyDescent="0.35">
      <c r="A191">
        <v>4.5</v>
      </c>
      <c r="B191">
        <v>0.84989999999999999</v>
      </c>
      <c r="C191">
        <v>4.4940000000000001E-2</v>
      </c>
      <c r="D191">
        <v>4.172E-2</v>
      </c>
      <c r="E191">
        <v>-2.5999999999999999E-2</v>
      </c>
      <c r="F191">
        <v>7.7000000000000002E-3</v>
      </c>
      <c r="G191">
        <v>0.05</v>
      </c>
      <c r="H191">
        <v>-2.9864999999999999</v>
      </c>
      <c r="I191">
        <v>0</v>
      </c>
      <c r="J191">
        <v>0</v>
      </c>
      <c r="K191">
        <v>0</v>
      </c>
      <c r="L191">
        <v>0.27789999999999998</v>
      </c>
    </row>
    <row r="192" spans="1:12" x14ac:dyDescent="0.35">
      <c r="A192">
        <v>4.55</v>
      </c>
      <c r="B192">
        <v>0.84809999999999997</v>
      </c>
      <c r="C192">
        <v>4.614E-2</v>
      </c>
      <c r="D192">
        <v>4.2930000000000003E-2</v>
      </c>
      <c r="E192">
        <v>-2.7E-2</v>
      </c>
      <c r="F192">
        <v>7.6E-3</v>
      </c>
      <c r="G192">
        <v>0.05</v>
      </c>
      <c r="H192">
        <v>-2.9794</v>
      </c>
      <c r="I192">
        <v>0</v>
      </c>
      <c r="J192">
        <v>0</v>
      </c>
      <c r="K192">
        <v>0</v>
      </c>
      <c r="L192">
        <v>0.2792</v>
      </c>
    </row>
    <row r="193" spans="1:12" x14ac:dyDescent="0.35">
      <c r="A193">
        <v>4.5999999999999996</v>
      </c>
      <c r="B193">
        <v>0.84650000000000003</v>
      </c>
      <c r="C193">
        <v>4.7359999999999999E-2</v>
      </c>
      <c r="D193">
        <v>4.4159999999999998E-2</v>
      </c>
      <c r="E193">
        <v>-2.81E-2</v>
      </c>
      <c r="F193">
        <v>7.4000000000000003E-3</v>
      </c>
      <c r="G193">
        <v>0.05</v>
      </c>
      <c r="H193">
        <v>-2.9727999999999999</v>
      </c>
      <c r="I193">
        <v>0</v>
      </c>
      <c r="J193">
        <v>0</v>
      </c>
      <c r="K193">
        <v>0</v>
      </c>
      <c r="L193">
        <v>0.28060000000000002</v>
      </c>
    </row>
    <row r="194" spans="1:12" x14ac:dyDescent="0.35">
      <c r="A194">
        <v>4.6500000000000004</v>
      </c>
      <c r="B194">
        <v>0.84499999999999997</v>
      </c>
      <c r="C194">
        <v>4.8599999999999997E-2</v>
      </c>
      <c r="D194">
        <v>4.5409999999999999E-2</v>
      </c>
      <c r="E194">
        <v>-2.93E-2</v>
      </c>
      <c r="F194">
        <v>7.3000000000000001E-3</v>
      </c>
      <c r="G194">
        <v>0.05</v>
      </c>
      <c r="H194">
        <v>-2.9666999999999999</v>
      </c>
      <c r="I194">
        <v>0</v>
      </c>
      <c r="J194">
        <v>0</v>
      </c>
      <c r="K194">
        <v>0</v>
      </c>
      <c r="L194">
        <v>0.28199999999999997</v>
      </c>
    </row>
    <row r="195" spans="1:12" x14ac:dyDescent="0.35">
      <c r="A195">
        <v>4.7</v>
      </c>
      <c r="B195">
        <v>0.84370000000000001</v>
      </c>
      <c r="C195">
        <v>4.9860000000000002E-2</v>
      </c>
      <c r="D195">
        <v>4.6679999999999999E-2</v>
      </c>
      <c r="E195">
        <v>-3.0599999999999999E-2</v>
      </c>
      <c r="F195">
        <v>7.1999999999999998E-3</v>
      </c>
      <c r="G195">
        <v>0.05</v>
      </c>
      <c r="H195">
        <v>-2.9609000000000001</v>
      </c>
      <c r="I195">
        <v>0</v>
      </c>
      <c r="J195">
        <v>0</v>
      </c>
      <c r="K195">
        <v>0</v>
      </c>
      <c r="L195">
        <v>0.28349999999999997</v>
      </c>
    </row>
    <row r="196" spans="1:12" x14ac:dyDescent="0.35">
      <c r="A196">
        <v>4.75</v>
      </c>
      <c r="B196">
        <v>0.84260000000000002</v>
      </c>
      <c r="C196">
        <v>5.1139999999999998E-2</v>
      </c>
      <c r="D196">
        <v>4.7969999999999999E-2</v>
      </c>
      <c r="E196">
        <v>-3.1800000000000002E-2</v>
      </c>
      <c r="F196">
        <v>7.1000000000000004E-3</v>
      </c>
      <c r="G196">
        <v>0.05</v>
      </c>
      <c r="H196">
        <v>-2.9554999999999998</v>
      </c>
      <c r="I196">
        <v>0</v>
      </c>
      <c r="J196">
        <v>0</v>
      </c>
      <c r="K196">
        <v>0</v>
      </c>
      <c r="L196">
        <v>0.28510000000000002</v>
      </c>
    </row>
    <row r="197" spans="1:12" x14ac:dyDescent="0.35">
      <c r="A197">
        <v>4.8</v>
      </c>
      <c r="B197">
        <v>0.84160000000000001</v>
      </c>
      <c r="C197">
        <v>5.2440000000000001E-2</v>
      </c>
      <c r="D197">
        <v>4.9279999999999997E-2</v>
      </c>
      <c r="E197">
        <v>-3.32E-2</v>
      </c>
      <c r="F197">
        <v>7.0000000000000001E-3</v>
      </c>
      <c r="G197">
        <v>0.05</v>
      </c>
      <c r="H197">
        <v>-2.9502000000000002</v>
      </c>
      <c r="I197">
        <v>0</v>
      </c>
      <c r="J197">
        <v>0</v>
      </c>
      <c r="K197">
        <v>0</v>
      </c>
      <c r="L197">
        <v>0.28670000000000001</v>
      </c>
    </row>
    <row r="198" spans="1:12" x14ac:dyDescent="0.35">
      <c r="A198">
        <v>4.8499999999999996</v>
      </c>
      <c r="B198">
        <v>0.8407</v>
      </c>
      <c r="C198">
        <v>5.3789999999999998E-2</v>
      </c>
      <c r="D198">
        <v>5.0639999999999998E-2</v>
      </c>
      <c r="E198">
        <v>-3.4599999999999999E-2</v>
      </c>
      <c r="F198">
        <v>6.8999999999999999E-3</v>
      </c>
      <c r="G198">
        <v>0.05</v>
      </c>
      <c r="H198">
        <v>-2.9275000000000002</v>
      </c>
      <c r="I198">
        <v>0</v>
      </c>
      <c r="J198">
        <v>0</v>
      </c>
      <c r="K198">
        <v>0</v>
      </c>
      <c r="L198">
        <v>0.28839999999999999</v>
      </c>
    </row>
    <row r="199" spans="1:12" x14ac:dyDescent="0.35">
      <c r="A199">
        <v>4.9000000000000004</v>
      </c>
      <c r="B199">
        <v>0.84</v>
      </c>
      <c r="C199">
        <v>5.518E-2</v>
      </c>
      <c r="D199">
        <v>5.203E-2</v>
      </c>
      <c r="E199">
        <v>-3.5999999999999997E-2</v>
      </c>
      <c r="F199">
        <v>6.7000000000000002E-3</v>
      </c>
      <c r="G199">
        <v>0.05</v>
      </c>
      <c r="H199">
        <v>-2.9041999999999999</v>
      </c>
      <c r="I199">
        <v>0</v>
      </c>
      <c r="J199">
        <v>0</v>
      </c>
      <c r="K199">
        <v>0</v>
      </c>
      <c r="L199">
        <v>0.29010000000000002</v>
      </c>
    </row>
    <row r="200" spans="1:12" x14ac:dyDescent="0.35">
      <c r="A200">
        <v>4.95</v>
      </c>
      <c r="B200">
        <v>0.83960000000000001</v>
      </c>
      <c r="C200">
        <v>5.6579999999999998E-2</v>
      </c>
      <c r="D200">
        <v>5.3440000000000001E-2</v>
      </c>
      <c r="E200">
        <v>-3.7600000000000001E-2</v>
      </c>
      <c r="F200">
        <v>6.7000000000000002E-3</v>
      </c>
      <c r="G200">
        <v>0.05</v>
      </c>
      <c r="H200">
        <v>-2.8822000000000001</v>
      </c>
      <c r="I200">
        <v>0</v>
      </c>
      <c r="J200">
        <v>0</v>
      </c>
      <c r="K200">
        <v>0</v>
      </c>
      <c r="L200">
        <v>0.29189999999999999</v>
      </c>
    </row>
    <row r="201" spans="1:12" x14ac:dyDescent="0.35">
      <c r="A201">
        <v>5</v>
      </c>
      <c r="B201">
        <v>0.83919999999999995</v>
      </c>
      <c r="C201">
        <v>5.7970000000000001E-2</v>
      </c>
      <c r="D201">
        <v>5.4820000000000001E-2</v>
      </c>
      <c r="E201">
        <v>-3.9E-2</v>
      </c>
      <c r="F201">
        <v>6.6E-3</v>
      </c>
      <c r="G201">
        <v>0.05</v>
      </c>
      <c r="H201">
        <v>-2.8613</v>
      </c>
      <c r="I201">
        <v>0</v>
      </c>
      <c r="J201">
        <v>0</v>
      </c>
      <c r="K201">
        <v>0</v>
      </c>
      <c r="L201">
        <v>0.29370000000000002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B96B5-5C2F-488E-B94B-F8D71D9B2C93}">
  <sheetPr codeName="Sheet30"/>
  <dimension ref="A1:L202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-5</v>
      </c>
      <c r="B2">
        <v>-0.38300000000000001</v>
      </c>
      <c r="C2">
        <v>6.1249999999999999E-2</v>
      </c>
      <c r="D2">
        <v>5.7389999999999997E-2</v>
      </c>
      <c r="E2">
        <v>-4.8599999999999997E-2</v>
      </c>
      <c r="F2">
        <v>0.05</v>
      </c>
      <c r="G2">
        <v>3.2000000000000002E-3</v>
      </c>
      <c r="H2">
        <v>-2.3176000000000001</v>
      </c>
      <c r="I2">
        <v>0</v>
      </c>
      <c r="J2">
        <v>0</v>
      </c>
      <c r="K2">
        <v>0</v>
      </c>
      <c r="L2">
        <v>0.1203</v>
      </c>
    </row>
    <row r="3" spans="1:12" x14ac:dyDescent="0.35">
      <c r="A3">
        <v>-4.95</v>
      </c>
      <c r="B3">
        <v>-0.38129999999999997</v>
      </c>
      <c r="C3">
        <v>6.0400000000000002E-2</v>
      </c>
      <c r="D3">
        <v>5.6550000000000003E-2</v>
      </c>
      <c r="E3">
        <v>-4.9200000000000001E-2</v>
      </c>
      <c r="F3">
        <v>0.05</v>
      </c>
      <c r="G3">
        <v>3.3E-3</v>
      </c>
      <c r="H3">
        <v>-2.3250999999999999</v>
      </c>
      <c r="I3">
        <v>0</v>
      </c>
      <c r="J3">
        <v>0</v>
      </c>
      <c r="K3">
        <v>0</v>
      </c>
      <c r="L3">
        <v>0.1182</v>
      </c>
    </row>
    <row r="4" spans="1:12" x14ac:dyDescent="0.35">
      <c r="A4">
        <v>-4.9000000000000004</v>
      </c>
      <c r="B4">
        <v>-0.37969999999999998</v>
      </c>
      <c r="C4">
        <v>5.9549999999999999E-2</v>
      </c>
      <c r="D4">
        <v>5.57E-2</v>
      </c>
      <c r="E4">
        <v>-4.9799999999999997E-2</v>
      </c>
      <c r="F4">
        <v>0.05</v>
      </c>
      <c r="G4">
        <v>3.3E-3</v>
      </c>
      <c r="H4">
        <v>-2.3325999999999998</v>
      </c>
      <c r="I4">
        <v>0</v>
      </c>
      <c r="J4">
        <v>0</v>
      </c>
      <c r="K4">
        <v>0</v>
      </c>
      <c r="L4">
        <v>0.11600000000000001</v>
      </c>
    </row>
    <row r="5" spans="1:12" x14ac:dyDescent="0.35">
      <c r="A5">
        <v>-4.8499999999999996</v>
      </c>
      <c r="B5">
        <v>-0.378</v>
      </c>
      <c r="C5">
        <v>5.8700000000000002E-2</v>
      </c>
      <c r="D5">
        <v>5.4859999999999999E-2</v>
      </c>
      <c r="E5">
        <v>-5.0500000000000003E-2</v>
      </c>
      <c r="F5">
        <v>0.05</v>
      </c>
      <c r="G5">
        <v>3.3E-3</v>
      </c>
      <c r="H5">
        <v>-2.3401999999999998</v>
      </c>
      <c r="I5">
        <v>0</v>
      </c>
      <c r="J5">
        <v>0</v>
      </c>
      <c r="K5">
        <v>0</v>
      </c>
      <c r="L5">
        <v>0.1138</v>
      </c>
    </row>
    <row r="6" spans="1:12" x14ac:dyDescent="0.35">
      <c r="A6">
        <v>-4.8</v>
      </c>
      <c r="B6">
        <v>-0.37640000000000001</v>
      </c>
      <c r="C6">
        <v>5.7849999999999999E-2</v>
      </c>
      <c r="D6">
        <v>5.4010000000000002E-2</v>
      </c>
      <c r="E6">
        <v>-5.11E-2</v>
      </c>
      <c r="F6">
        <v>0.05</v>
      </c>
      <c r="G6">
        <v>3.3999999999999998E-3</v>
      </c>
      <c r="H6">
        <v>-2.3479000000000001</v>
      </c>
      <c r="I6">
        <v>0</v>
      </c>
      <c r="J6">
        <v>0</v>
      </c>
      <c r="K6">
        <v>0</v>
      </c>
      <c r="L6">
        <v>0.1115</v>
      </c>
    </row>
    <row r="7" spans="1:12" x14ac:dyDescent="0.35">
      <c r="A7">
        <v>-4.75</v>
      </c>
      <c r="B7">
        <v>-0.37480000000000002</v>
      </c>
      <c r="C7">
        <v>5.7000000000000002E-2</v>
      </c>
      <c r="D7">
        <v>5.3159999999999999E-2</v>
      </c>
      <c r="E7">
        <v>-5.1799999999999999E-2</v>
      </c>
      <c r="F7">
        <v>0.05</v>
      </c>
      <c r="G7">
        <v>3.3999999999999998E-3</v>
      </c>
      <c r="H7">
        <v>-2.3555999999999999</v>
      </c>
      <c r="I7">
        <v>0</v>
      </c>
      <c r="J7">
        <v>0</v>
      </c>
      <c r="K7">
        <v>0</v>
      </c>
      <c r="L7">
        <v>0.10920000000000001</v>
      </c>
    </row>
    <row r="8" spans="1:12" x14ac:dyDescent="0.35">
      <c r="A8">
        <v>-4.7</v>
      </c>
      <c r="B8">
        <v>-0.37330000000000002</v>
      </c>
      <c r="C8">
        <v>5.6149999999999999E-2</v>
      </c>
      <c r="D8">
        <v>5.2319999999999998E-2</v>
      </c>
      <c r="E8">
        <v>-5.2400000000000002E-2</v>
      </c>
      <c r="F8">
        <v>0.05</v>
      </c>
      <c r="G8">
        <v>3.3999999999999998E-3</v>
      </c>
      <c r="H8">
        <v>-2.3635000000000002</v>
      </c>
      <c r="I8">
        <v>0</v>
      </c>
      <c r="J8">
        <v>0</v>
      </c>
      <c r="K8">
        <v>0</v>
      </c>
      <c r="L8">
        <v>0.1069</v>
      </c>
    </row>
    <row r="9" spans="1:12" x14ac:dyDescent="0.35">
      <c r="A9">
        <v>-4.6500000000000004</v>
      </c>
      <c r="B9">
        <v>-0.37180000000000002</v>
      </c>
      <c r="C9">
        <v>5.5300000000000002E-2</v>
      </c>
      <c r="D9">
        <v>5.1470000000000002E-2</v>
      </c>
      <c r="E9">
        <v>-5.3100000000000001E-2</v>
      </c>
      <c r="F9">
        <v>0.05</v>
      </c>
      <c r="G9">
        <v>3.5000000000000001E-3</v>
      </c>
      <c r="H9">
        <v>-2.3714</v>
      </c>
      <c r="I9">
        <v>0</v>
      </c>
      <c r="J9">
        <v>0</v>
      </c>
      <c r="K9">
        <v>0</v>
      </c>
      <c r="L9">
        <v>0.1045</v>
      </c>
    </row>
    <row r="10" spans="1:12" x14ac:dyDescent="0.35">
      <c r="A10">
        <v>-4.5999999999999996</v>
      </c>
      <c r="B10">
        <v>-0.37030000000000002</v>
      </c>
      <c r="C10">
        <v>5.4449999999999998E-2</v>
      </c>
      <c r="D10">
        <v>5.0619999999999998E-2</v>
      </c>
      <c r="E10">
        <v>-5.3800000000000001E-2</v>
      </c>
      <c r="F10">
        <v>0.05</v>
      </c>
      <c r="G10">
        <v>3.5000000000000001E-3</v>
      </c>
      <c r="H10">
        <v>-2.3795000000000002</v>
      </c>
      <c r="I10">
        <v>0</v>
      </c>
      <c r="J10">
        <v>0</v>
      </c>
      <c r="K10">
        <v>0</v>
      </c>
      <c r="L10">
        <v>0.1021</v>
      </c>
    </row>
    <row r="11" spans="1:12" x14ac:dyDescent="0.35">
      <c r="A11">
        <v>-4.55</v>
      </c>
      <c r="B11">
        <v>-0.36880000000000002</v>
      </c>
      <c r="C11">
        <v>5.3589999999999999E-2</v>
      </c>
      <c r="D11">
        <v>4.9770000000000002E-2</v>
      </c>
      <c r="E11">
        <v>-5.45E-2</v>
      </c>
      <c r="F11">
        <v>0.05</v>
      </c>
      <c r="G11">
        <v>3.5999999999999999E-3</v>
      </c>
      <c r="H11">
        <v>-2.3875999999999999</v>
      </c>
      <c r="I11">
        <v>0</v>
      </c>
      <c r="J11">
        <v>0</v>
      </c>
      <c r="K11">
        <v>0</v>
      </c>
      <c r="L11">
        <v>9.9599999999999994E-2</v>
      </c>
    </row>
    <row r="12" spans="1:12" x14ac:dyDescent="0.35">
      <c r="A12">
        <v>-4.5</v>
      </c>
      <c r="B12">
        <v>-0.36749999999999999</v>
      </c>
      <c r="C12">
        <v>5.2729999999999999E-2</v>
      </c>
      <c r="D12">
        <v>4.8910000000000002E-2</v>
      </c>
      <c r="E12">
        <v>-5.5300000000000002E-2</v>
      </c>
      <c r="F12">
        <v>0.05</v>
      </c>
      <c r="G12">
        <v>3.5999999999999999E-3</v>
      </c>
      <c r="H12">
        <v>-2.3957000000000002</v>
      </c>
      <c r="I12">
        <v>0</v>
      </c>
      <c r="J12">
        <v>0</v>
      </c>
      <c r="K12">
        <v>0</v>
      </c>
      <c r="L12">
        <v>9.7000000000000003E-2</v>
      </c>
    </row>
    <row r="13" spans="1:12" x14ac:dyDescent="0.35">
      <c r="A13">
        <v>-4.45</v>
      </c>
      <c r="B13">
        <v>-0.36620000000000003</v>
      </c>
      <c r="C13">
        <v>5.1869999999999999E-2</v>
      </c>
      <c r="D13">
        <v>4.8050000000000002E-2</v>
      </c>
      <c r="E13">
        <v>-5.6000000000000001E-2</v>
      </c>
      <c r="F13">
        <v>0.05</v>
      </c>
      <c r="G13">
        <v>3.7000000000000002E-3</v>
      </c>
      <c r="H13">
        <v>-2.4039999999999999</v>
      </c>
      <c r="I13">
        <v>0</v>
      </c>
      <c r="J13">
        <v>0</v>
      </c>
      <c r="K13">
        <v>0</v>
      </c>
      <c r="L13">
        <v>9.4500000000000001E-2</v>
      </c>
    </row>
    <row r="14" spans="1:12" x14ac:dyDescent="0.35">
      <c r="A14">
        <v>-4.4000000000000004</v>
      </c>
      <c r="B14">
        <v>-0.3649</v>
      </c>
      <c r="C14">
        <v>5.101E-2</v>
      </c>
      <c r="D14">
        <v>4.7190000000000003E-2</v>
      </c>
      <c r="E14">
        <v>-5.6800000000000003E-2</v>
      </c>
      <c r="F14">
        <v>0.05</v>
      </c>
      <c r="G14">
        <v>3.7000000000000002E-3</v>
      </c>
      <c r="H14">
        <v>-2.4123000000000001</v>
      </c>
      <c r="I14">
        <v>0</v>
      </c>
      <c r="J14">
        <v>0</v>
      </c>
      <c r="K14">
        <v>0</v>
      </c>
      <c r="L14">
        <v>9.1800000000000007E-2</v>
      </c>
    </row>
    <row r="15" spans="1:12" x14ac:dyDescent="0.35">
      <c r="A15">
        <v>-4.3499999999999996</v>
      </c>
      <c r="B15">
        <v>-0.3639</v>
      </c>
      <c r="C15">
        <v>5.0139999999999997E-2</v>
      </c>
      <c r="D15">
        <v>4.6330000000000003E-2</v>
      </c>
      <c r="E15">
        <v>-5.7599999999999998E-2</v>
      </c>
      <c r="F15">
        <v>0.05</v>
      </c>
      <c r="G15">
        <v>3.8E-3</v>
      </c>
      <c r="H15">
        <v>-2.4207999999999998</v>
      </c>
      <c r="I15">
        <v>0</v>
      </c>
      <c r="J15">
        <v>0</v>
      </c>
      <c r="K15">
        <v>0</v>
      </c>
      <c r="L15">
        <v>8.9099999999999999E-2</v>
      </c>
    </row>
    <row r="16" spans="1:12" x14ac:dyDescent="0.35">
      <c r="A16">
        <v>-4.3</v>
      </c>
      <c r="B16">
        <v>-0.36299999999999999</v>
      </c>
      <c r="C16">
        <v>4.9279999999999997E-2</v>
      </c>
      <c r="D16">
        <v>4.5469999999999997E-2</v>
      </c>
      <c r="E16">
        <v>-5.8500000000000003E-2</v>
      </c>
      <c r="F16">
        <v>0.05</v>
      </c>
      <c r="G16">
        <v>3.8999999999999998E-3</v>
      </c>
      <c r="H16">
        <v>-2.4293999999999998</v>
      </c>
      <c r="I16">
        <v>0</v>
      </c>
      <c r="J16">
        <v>0</v>
      </c>
      <c r="K16">
        <v>0</v>
      </c>
      <c r="L16">
        <v>8.6499999999999994E-2</v>
      </c>
    </row>
    <row r="17" spans="1:12" x14ac:dyDescent="0.35">
      <c r="A17">
        <v>-4.25</v>
      </c>
      <c r="B17">
        <v>-0.3624</v>
      </c>
      <c r="C17">
        <v>4.8430000000000001E-2</v>
      </c>
      <c r="D17">
        <v>4.4630000000000003E-2</v>
      </c>
      <c r="E17">
        <v>-5.9299999999999999E-2</v>
      </c>
      <c r="F17">
        <v>0.05</v>
      </c>
      <c r="G17">
        <v>3.8999999999999998E-3</v>
      </c>
      <c r="H17">
        <v>-2.4382000000000001</v>
      </c>
      <c r="I17">
        <v>0</v>
      </c>
      <c r="J17">
        <v>0</v>
      </c>
      <c r="K17">
        <v>0</v>
      </c>
      <c r="L17">
        <v>8.3900000000000002E-2</v>
      </c>
    </row>
    <row r="18" spans="1:12" x14ac:dyDescent="0.35">
      <c r="A18">
        <v>-4.2</v>
      </c>
      <c r="B18">
        <v>-0.36230000000000001</v>
      </c>
      <c r="C18">
        <v>4.761E-2</v>
      </c>
      <c r="D18">
        <v>4.3819999999999998E-2</v>
      </c>
      <c r="E18">
        <v>-6.0199999999999997E-2</v>
      </c>
      <c r="F18">
        <v>0.05</v>
      </c>
      <c r="G18">
        <v>4.0000000000000001E-3</v>
      </c>
      <c r="H18">
        <v>-2.4472999999999998</v>
      </c>
      <c r="I18">
        <v>0</v>
      </c>
      <c r="J18">
        <v>0</v>
      </c>
      <c r="K18">
        <v>0</v>
      </c>
      <c r="L18">
        <v>8.14E-2</v>
      </c>
    </row>
    <row r="19" spans="1:12" x14ac:dyDescent="0.35">
      <c r="A19">
        <v>-4.1500000000000004</v>
      </c>
      <c r="B19">
        <v>-0.36180000000000001</v>
      </c>
      <c r="C19">
        <v>4.6730000000000001E-2</v>
      </c>
      <c r="D19">
        <v>4.2939999999999999E-2</v>
      </c>
      <c r="E19">
        <v>-6.1400000000000003E-2</v>
      </c>
      <c r="F19">
        <v>0.05</v>
      </c>
      <c r="G19">
        <v>4.1000000000000003E-3</v>
      </c>
      <c r="H19">
        <v>-2.4567999999999999</v>
      </c>
      <c r="I19">
        <v>0</v>
      </c>
      <c r="J19">
        <v>0</v>
      </c>
      <c r="K19">
        <v>0</v>
      </c>
      <c r="L19">
        <v>7.8E-2</v>
      </c>
    </row>
    <row r="20" spans="1:12" x14ac:dyDescent="0.35">
      <c r="A20">
        <v>-4.0999999999999996</v>
      </c>
      <c r="B20">
        <v>-0.36020000000000002</v>
      </c>
      <c r="C20">
        <v>4.5780000000000001E-2</v>
      </c>
      <c r="D20">
        <v>4.1980000000000003E-2</v>
      </c>
      <c r="E20">
        <v>-6.2899999999999998E-2</v>
      </c>
      <c r="F20">
        <v>0.05</v>
      </c>
      <c r="G20">
        <v>4.1000000000000003E-3</v>
      </c>
      <c r="H20">
        <v>-2.4662999999999999</v>
      </c>
      <c r="I20">
        <v>0</v>
      </c>
      <c r="J20">
        <v>0</v>
      </c>
      <c r="K20">
        <v>0</v>
      </c>
      <c r="L20">
        <v>7.3200000000000001E-2</v>
      </c>
    </row>
    <row r="21" spans="1:12" x14ac:dyDescent="0.35">
      <c r="A21">
        <v>-4.05</v>
      </c>
      <c r="B21">
        <v>-0.35859999999999997</v>
      </c>
      <c r="C21">
        <v>4.4850000000000001E-2</v>
      </c>
      <c r="D21">
        <v>4.1050000000000003E-2</v>
      </c>
      <c r="E21">
        <v>-6.4100000000000004E-2</v>
      </c>
      <c r="F21">
        <v>0.05</v>
      </c>
      <c r="G21">
        <v>4.1999999999999997E-3</v>
      </c>
      <c r="H21">
        <v>-2.4748999999999999</v>
      </c>
      <c r="I21">
        <v>0</v>
      </c>
      <c r="J21">
        <v>0</v>
      </c>
      <c r="K21">
        <v>0</v>
      </c>
      <c r="L21">
        <v>6.9000000000000006E-2</v>
      </c>
    </row>
    <row r="22" spans="1:12" x14ac:dyDescent="0.35">
      <c r="A22">
        <v>-4</v>
      </c>
      <c r="B22">
        <v>-0.3569</v>
      </c>
      <c r="C22">
        <v>4.3970000000000002E-2</v>
      </c>
      <c r="D22">
        <v>4.0149999999999998E-2</v>
      </c>
      <c r="E22">
        <v>-6.5100000000000005E-2</v>
      </c>
      <c r="F22">
        <v>0.05</v>
      </c>
      <c r="G22">
        <v>4.3E-3</v>
      </c>
      <c r="H22">
        <v>-2.4826000000000001</v>
      </c>
      <c r="I22">
        <v>0</v>
      </c>
      <c r="J22">
        <v>0</v>
      </c>
      <c r="K22">
        <v>0</v>
      </c>
      <c r="L22">
        <v>6.54E-2</v>
      </c>
    </row>
    <row r="23" spans="1:12" x14ac:dyDescent="0.35">
      <c r="A23">
        <v>-3.95</v>
      </c>
      <c r="B23">
        <v>-0.35510000000000003</v>
      </c>
      <c r="C23">
        <v>4.3090000000000003E-2</v>
      </c>
      <c r="D23">
        <v>3.9269999999999999E-2</v>
      </c>
      <c r="E23">
        <v>-6.6000000000000003E-2</v>
      </c>
      <c r="F23">
        <v>0.05</v>
      </c>
      <c r="G23">
        <v>4.4000000000000003E-3</v>
      </c>
      <c r="H23">
        <v>-2.4900000000000002</v>
      </c>
      <c r="I23">
        <v>0</v>
      </c>
      <c r="J23">
        <v>0</v>
      </c>
      <c r="K23">
        <v>0</v>
      </c>
      <c r="L23">
        <v>6.1899999999999997E-2</v>
      </c>
    </row>
    <row r="24" spans="1:12" x14ac:dyDescent="0.35">
      <c r="A24">
        <v>-3.9</v>
      </c>
      <c r="B24">
        <v>-0.35339999999999999</v>
      </c>
      <c r="C24">
        <v>4.2209999999999998E-2</v>
      </c>
      <c r="D24">
        <v>3.8379999999999997E-2</v>
      </c>
      <c r="E24">
        <v>-6.6900000000000001E-2</v>
      </c>
      <c r="F24">
        <v>0.05</v>
      </c>
      <c r="G24">
        <v>4.4999999999999997E-3</v>
      </c>
      <c r="H24">
        <v>-2.4983</v>
      </c>
      <c r="I24">
        <v>0</v>
      </c>
      <c r="J24">
        <v>0</v>
      </c>
      <c r="K24">
        <v>0</v>
      </c>
      <c r="L24">
        <v>5.8400000000000001E-2</v>
      </c>
    </row>
    <row r="25" spans="1:12" x14ac:dyDescent="0.35">
      <c r="A25">
        <v>-3.85</v>
      </c>
      <c r="B25">
        <v>-0.35160000000000002</v>
      </c>
      <c r="C25">
        <v>4.1329999999999999E-2</v>
      </c>
      <c r="D25">
        <v>3.7490000000000002E-2</v>
      </c>
      <c r="E25">
        <v>-6.7799999999999999E-2</v>
      </c>
      <c r="F25">
        <v>0.05</v>
      </c>
      <c r="G25">
        <v>4.7999999999999996E-3</v>
      </c>
      <c r="H25">
        <v>-2.5135999999999998</v>
      </c>
      <c r="I25">
        <v>0</v>
      </c>
      <c r="J25">
        <v>0</v>
      </c>
      <c r="K25">
        <v>0</v>
      </c>
      <c r="L25">
        <v>5.5E-2</v>
      </c>
    </row>
    <row r="26" spans="1:12" x14ac:dyDescent="0.35">
      <c r="A26">
        <v>-3.8</v>
      </c>
      <c r="B26">
        <v>-0.34960000000000002</v>
      </c>
      <c r="C26">
        <v>4.0439999999999997E-2</v>
      </c>
      <c r="D26">
        <v>3.6589999999999998E-2</v>
      </c>
      <c r="E26">
        <v>-6.8599999999999994E-2</v>
      </c>
      <c r="F26">
        <v>0.05</v>
      </c>
      <c r="G26">
        <v>5.1999999999999998E-3</v>
      </c>
      <c r="H26">
        <v>-2.5402999999999998</v>
      </c>
      <c r="I26">
        <v>0</v>
      </c>
      <c r="J26">
        <v>0</v>
      </c>
      <c r="K26">
        <v>0</v>
      </c>
      <c r="L26">
        <v>5.16E-2</v>
      </c>
    </row>
    <row r="27" spans="1:12" x14ac:dyDescent="0.35">
      <c r="A27">
        <v>-3.75</v>
      </c>
      <c r="B27">
        <v>-0.3478</v>
      </c>
      <c r="C27">
        <v>3.9579999999999997E-2</v>
      </c>
      <c r="D27">
        <v>3.5720000000000002E-2</v>
      </c>
      <c r="E27">
        <v>-6.9500000000000006E-2</v>
      </c>
      <c r="F27">
        <v>0.05</v>
      </c>
      <c r="G27">
        <v>5.1999999999999998E-3</v>
      </c>
      <c r="H27">
        <v>-2.5347</v>
      </c>
      <c r="I27">
        <v>0</v>
      </c>
      <c r="J27">
        <v>0</v>
      </c>
      <c r="K27">
        <v>0</v>
      </c>
      <c r="L27">
        <v>4.82E-2</v>
      </c>
    </row>
    <row r="28" spans="1:12" x14ac:dyDescent="0.35">
      <c r="A28">
        <v>-3.7</v>
      </c>
      <c r="B28">
        <v>-0.3458</v>
      </c>
      <c r="C28">
        <v>3.8739999999999997E-2</v>
      </c>
      <c r="D28">
        <v>3.4860000000000002E-2</v>
      </c>
      <c r="E28">
        <v>-7.0300000000000001E-2</v>
      </c>
      <c r="F28">
        <v>0.05</v>
      </c>
      <c r="G28">
        <v>5.3E-3</v>
      </c>
      <c r="H28">
        <v>-2.5291000000000001</v>
      </c>
      <c r="I28">
        <v>0</v>
      </c>
      <c r="J28">
        <v>0</v>
      </c>
      <c r="K28">
        <v>0</v>
      </c>
      <c r="L28">
        <v>4.4699999999999997E-2</v>
      </c>
    </row>
    <row r="29" spans="1:12" x14ac:dyDescent="0.35">
      <c r="A29">
        <v>-3.65</v>
      </c>
      <c r="B29">
        <v>-0.34370000000000001</v>
      </c>
      <c r="C29">
        <v>3.789E-2</v>
      </c>
      <c r="D29">
        <v>3.4000000000000002E-2</v>
      </c>
      <c r="E29">
        <v>-7.0999999999999994E-2</v>
      </c>
      <c r="F29">
        <v>0.05</v>
      </c>
      <c r="G29">
        <v>5.3E-3</v>
      </c>
      <c r="H29">
        <v>-2.5238999999999998</v>
      </c>
      <c r="I29">
        <v>0</v>
      </c>
      <c r="J29">
        <v>0</v>
      </c>
      <c r="K29">
        <v>0</v>
      </c>
      <c r="L29">
        <v>4.1300000000000003E-2</v>
      </c>
    </row>
    <row r="30" spans="1:12" x14ac:dyDescent="0.35">
      <c r="A30">
        <v>-3.6</v>
      </c>
      <c r="B30">
        <v>-0.34150000000000003</v>
      </c>
      <c r="C30">
        <v>3.705E-2</v>
      </c>
      <c r="D30">
        <v>3.3149999999999999E-2</v>
      </c>
      <c r="E30">
        <v>-7.1800000000000003E-2</v>
      </c>
      <c r="F30">
        <v>0.05</v>
      </c>
      <c r="G30">
        <v>5.4000000000000003E-3</v>
      </c>
      <c r="H30">
        <v>-2.5190999999999999</v>
      </c>
      <c r="I30">
        <v>0</v>
      </c>
      <c r="J30">
        <v>0</v>
      </c>
      <c r="K30">
        <v>0</v>
      </c>
      <c r="L30">
        <v>3.78E-2</v>
      </c>
    </row>
    <row r="31" spans="1:12" x14ac:dyDescent="0.35">
      <c r="A31">
        <v>-3.55</v>
      </c>
      <c r="B31">
        <v>-0.33910000000000001</v>
      </c>
      <c r="C31">
        <v>3.6209999999999999E-2</v>
      </c>
      <c r="D31">
        <v>3.2289999999999999E-2</v>
      </c>
      <c r="E31">
        <v>-7.2499999999999995E-2</v>
      </c>
      <c r="F31">
        <v>0.05</v>
      </c>
      <c r="G31">
        <v>5.4000000000000003E-3</v>
      </c>
      <c r="H31">
        <v>-2.5150000000000001</v>
      </c>
      <c r="I31">
        <v>0</v>
      </c>
      <c r="J31">
        <v>0</v>
      </c>
      <c r="K31">
        <v>0</v>
      </c>
      <c r="L31">
        <v>3.4299999999999997E-2</v>
      </c>
    </row>
    <row r="32" spans="1:12" x14ac:dyDescent="0.35">
      <c r="A32">
        <v>-3.5</v>
      </c>
      <c r="B32">
        <v>-0.3367</v>
      </c>
      <c r="C32">
        <v>3.5380000000000002E-2</v>
      </c>
      <c r="D32">
        <v>3.1440000000000003E-2</v>
      </c>
      <c r="E32">
        <v>-7.3099999999999998E-2</v>
      </c>
      <c r="F32">
        <v>0.05</v>
      </c>
      <c r="G32">
        <v>5.4000000000000003E-3</v>
      </c>
      <c r="H32">
        <v>-2.5099</v>
      </c>
      <c r="I32">
        <v>0</v>
      </c>
      <c r="J32">
        <v>0</v>
      </c>
      <c r="K32">
        <v>0</v>
      </c>
      <c r="L32">
        <v>3.0800000000000001E-2</v>
      </c>
    </row>
    <row r="33" spans="1:12" x14ac:dyDescent="0.35">
      <c r="A33">
        <v>-3.45</v>
      </c>
      <c r="B33">
        <v>-0.33410000000000001</v>
      </c>
      <c r="C33">
        <v>3.4549999999999997E-2</v>
      </c>
      <c r="D33">
        <v>3.0589999999999999E-2</v>
      </c>
      <c r="E33">
        <v>-7.3800000000000004E-2</v>
      </c>
      <c r="F33">
        <v>0.05</v>
      </c>
      <c r="G33">
        <v>5.4000000000000003E-3</v>
      </c>
      <c r="H33">
        <v>-2.5036</v>
      </c>
      <c r="I33">
        <v>0</v>
      </c>
      <c r="J33">
        <v>0</v>
      </c>
      <c r="K33">
        <v>0</v>
      </c>
      <c r="L33">
        <v>2.7199999999999998E-2</v>
      </c>
    </row>
    <row r="34" spans="1:12" x14ac:dyDescent="0.35">
      <c r="A34">
        <v>-3.4</v>
      </c>
      <c r="B34">
        <v>-0.33129999999999998</v>
      </c>
      <c r="C34">
        <v>3.372E-2</v>
      </c>
      <c r="D34">
        <v>2.9739999999999999E-2</v>
      </c>
      <c r="E34">
        <v>-7.4399999999999994E-2</v>
      </c>
      <c r="F34">
        <v>0.05</v>
      </c>
      <c r="G34">
        <v>5.4000000000000003E-3</v>
      </c>
      <c r="H34">
        <v>-2.4961000000000002</v>
      </c>
      <c r="I34">
        <v>0</v>
      </c>
      <c r="J34">
        <v>0</v>
      </c>
      <c r="K34">
        <v>0</v>
      </c>
      <c r="L34">
        <v>2.35E-2</v>
      </c>
    </row>
    <row r="35" spans="1:12" x14ac:dyDescent="0.35">
      <c r="A35">
        <v>-3.35</v>
      </c>
      <c r="B35">
        <v>-0.32829999999999998</v>
      </c>
      <c r="C35">
        <v>3.2899999999999999E-2</v>
      </c>
      <c r="D35">
        <v>2.8889999999999999E-2</v>
      </c>
      <c r="E35">
        <v>-7.4899999999999994E-2</v>
      </c>
      <c r="F35">
        <v>0.05</v>
      </c>
      <c r="G35">
        <v>5.4000000000000003E-3</v>
      </c>
      <c r="H35">
        <v>-2.4870999999999999</v>
      </c>
      <c r="I35">
        <v>0</v>
      </c>
      <c r="J35">
        <v>0</v>
      </c>
      <c r="K35">
        <v>0</v>
      </c>
      <c r="L35">
        <v>1.9800000000000002E-2</v>
      </c>
    </row>
    <row r="36" spans="1:12" x14ac:dyDescent="0.35">
      <c r="A36">
        <v>-3.3</v>
      </c>
      <c r="B36">
        <v>-0.3251</v>
      </c>
      <c r="C36">
        <v>3.2079999999999997E-2</v>
      </c>
      <c r="D36">
        <v>2.8039999999999999E-2</v>
      </c>
      <c r="E36">
        <v>-7.5399999999999995E-2</v>
      </c>
      <c r="F36">
        <v>0.05</v>
      </c>
      <c r="G36">
        <v>5.4000000000000003E-3</v>
      </c>
      <c r="H36">
        <v>-2.4964</v>
      </c>
      <c r="I36">
        <v>0</v>
      </c>
      <c r="J36">
        <v>0</v>
      </c>
      <c r="K36">
        <v>0</v>
      </c>
      <c r="L36">
        <v>1.6E-2</v>
      </c>
    </row>
    <row r="37" spans="1:12" x14ac:dyDescent="0.35">
      <c r="A37">
        <v>-3.25</v>
      </c>
      <c r="B37">
        <v>-0.32169999999999999</v>
      </c>
      <c r="C37">
        <v>3.1269999999999999E-2</v>
      </c>
      <c r="D37">
        <v>2.7199999999999998E-2</v>
      </c>
      <c r="E37">
        <v>-7.5899999999999995E-2</v>
      </c>
      <c r="F37">
        <v>0.05</v>
      </c>
      <c r="G37">
        <v>5.4999999999999997E-3</v>
      </c>
      <c r="H37">
        <v>-2.5066000000000002</v>
      </c>
      <c r="I37">
        <v>0</v>
      </c>
      <c r="J37">
        <v>0</v>
      </c>
      <c r="K37">
        <v>0</v>
      </c>
      <c r="L37">
        <v>1.2E-2</v>
      </c>
    </row>
    <row r="38" spans="1:12" x14ac:dyDescent="0.35">
      <c r="A38">
        <v>-3.2</v>
      </c>
      <c r="B38">
        <v>-0.31809999999999999</v>
      </c>
      <c r="C38">
        <v>3.0460000000000001E-2</v>
      </c>
      <c r="D38">
        <v>2.6360000000000001E-2</v>
      </c>
      <c r="E38">
        <v>-7.6399999999999996E-2</v>
      </c>
      <c r="F38">
        <v>0.05</v>
      </c>
      <c r="G38">
        <v>5.4999999999999997E-3</v>
      </c>
      <c r="H38">
        <v>-2.5171999999999999</v>
      </c>
      <c r="I38">
        <v>0</v>
      </c>
      <c r="J38">
        <v>0</v>
      </c>
      <c r="K38">
        <v>0</v>
      </c>
      <c r="L38">
        <v>7.9000000000000008E-3</v>
      </c>
    </row>
    <row r="39" spans="1:12" x14ac:dyDescent="0.35">
      <c r="A39">
        <v>-3.15</v>
      </c>
      <c r="B39">
        <v>-0.31430000000000002</v>
      </c>
      <c r="C39">
        <v>2.9659999999999999E-2</v>
      </c>
      <c r="D39">
        <v>2.5520000000000001E-2</v>
      </c>
      <c r="E39">
        <v>-7.6799999999999993E-2</v>
      </c>
      <c r="F39">
        <v>0.05</v>
      </c>
      <c r="G39">
        <v>5.4999999999999997E-3</v>
      </c>
      <c r="H39">
        <v>-2.5278999999999998</v>
      </c>
      <c r="I39">
        <v>0</v>
      </c>
      <c r="J39">
        <v>0</v>
      </c>
      <c r="K39">
        <v>0</v>
      </c>
      <c r="L39">
        <v>3.5999999999999999E-3</v>
      </c>
    </row>
    <row r="40" spans="1:12" x14ac:dyDescent="0.35">
      <c r="A40">
        <v>-3.1</v>
      </c>
      <c r="B40">
        <v>-0.31019999999999998</v>
      </c>
      <c r="C40">
        <v>2.887E-2</v>
      </c>
      <c r="D40">
        <v>2.469E-2</v>
      </c>
      <c r="E40">
        <v>-7.7200000000000005E-2</v>
      </c>
      <c r="F40">
        <v>0.05</v>
      </c>
      <c r="G40">
        <v>5.4999999999999997E-3</v>
      </c>
      <c r="H40">
        <v>-2.5386000000000002</v>
      </c>
      <c r="I40">
        <v>0</v>
      </c>
      <c r="J40">
        <v>0</v>
      </c>
      <c r="K40">
        <v>0</v>
      </c>
      <c r="L40">
        <v>-8.0000000000000004E-4</v>
      </c>
    </row>
    <row r="41" spans="1:12" x14ac:dyDescent="0.35">
      <c r="A41">
        <v>-3.05</v>
      </c>
      <c r="B41">
        <v>-0.30580000000000002</v>
      </c>
      <c r="C41">
        <v>2.8080000000000001E-2</v>
      </c>
      <c r="D41">
        <v>2.3859999999999999E-2</v>
      </c>
      <c r="E41">
        <v>-7.7499999999999999E-2</v>
      </c>
      <c r="F41">
        <v>0.05</v>
      </c>
      <c r="G41">
        <v>5.4999999999999997E-3</v>
      </c>
      <c r="H41">
        <v>-2.5493000000000001</v>
      </c>
      <c r="I41">
        <v>0</v>
      </c>
      <c r="J41">
        <v>0</v>
      </c>
      <c r="K41">
        <v>0</v>
      </c>
      <c r="L41">
        <v>-5.4999999999999997E-3</v>
      </c>
    </row>
    <row r="42" spans="1:12" x14ac:dyDescent="0.35">
      <c r="A42">
        <v>-3</v>
      </c>
      <c r="B42">
        <v>-0.30109999999999998</v>
      </c>
      <c r="C42">
        <v>2.7300000000000001E-2</v>
      </c>
      <c r="D42">
        <v>2.3029999999999998E-2</v>
      </c>
      <c r="E42">
        <v>-7.7799999999999994E-2</v>
      </c>
      <c r="F42">
        <v>0.05</v>
      </c>
      <c r="G42">
        <v>5.4999999999999997E-3</v>
      </c>
      <c r="H42">
        <v>-2.5596999999999999</v>
      </c>
      <c r="I42">
        <v>0</v>
      </c>
      <c r="J42">
        <v>0</v>
      </c>
      <c r="K42">
        <v>0</v>
      </c>
      <c r="L42">
        <v>-1.04E-2</v>
      </c>
    </row>
    <row r="43" spans="1:12" x14ac:dyDescent="0.35">
      <c r="A43">
        <v>-2.95</v>
      </c>
      <c r="B43">
        <v>-0.29620000000000002</v>
      </c>
      <c r="C43">
        <v>2.6519999999999998E-2</v>
      </c>
      <c r="D43">
        <v>2.2210000000000001E-2</v>
      </c>
      <c r="E43">
        <v>-7.8100000000000003E-2</v>
      </c>
      <c r="F43">
        <v>0.05</v>
      </c>
      <c r="G43">
        <v>5.4999999999999997E-3</v>
      </c>
      <c r="H43">
        <v>-2.5697000000000001</v>
      </c>
      <c r="I43">
        <v>0</v>
      </c>
      <c r="J43">
        <v>0</v>
      </c>
      <c r="K43">
        <v>0</v>
      </c>
      <c r="L43">
        <v>-1.5599999999999999E-2</v>
      </c>
    </row>
    <row r="44" spans="1:12" x14ac:dyDescent="0.35">
      <c r="A44">
        <v>-2.9</v>
      </c>
      <c r="B44">
        <v>-0.29089999999999999</v>
      </c>
      <c r="C44">
        <v>2.5760000000000002E-2</v>
      </c>
      <c r="D44">
        <v>2.1399999999999999E-2</v>
      </c>
      <c r="E44">
        <v>-7.8299999999999995E-2</v>
      </c>
      <c r="F44">
        <v>0.05</v>
      </c>
      <c r="G44">
        <v>5.5999999999999999E-3</v>
      </c>
      <c r="H44">
        <v>-2.5790000000000002</v>
      </c>
      <c r="I44">
        <v>0</v>
      </c>
      <c r="J44">
        <v>0</v>
      </c>
      <c r="K44">
        <v>0</v>
      </c>
      <c r="L44">
        <v>-2.1100000000000001E-2</v>
      </c>
    </row>
    <row r="45" spans="1:12" x14ac:dyDescent="0.35">
      <c r="A45">
        <v>-2.85</v>
      </c>
      <c r="B45">
        <v>-0.2853</v>
      </c>
      <c r="C45">
        <v>2.5010000000000001E-2</v>
      </c>
      <c r="D45">
        <v>2.06E-2</v>
      </c>
      <c r="E45">
        <v>-7.85E-2</v>
      </c>
      <c r="F45">
        <v>0.05</v>
      </c>
      <c r="G45">
        <v>5.5999999999999999E-3</v>
      </c>
      <c r="H45">
        <v>-2.5876999999999999</v>
      </c>
      <c r="I45">
        <v>0</v>
      </c>
      <c r="J45">
        <v>0</v>
      </c>
      <c r="K45">
        <v>0</v>
      </c>
      <c r="L45">
        <v>-2.7E-2</v>
      </c>
    </row>
    <row r="46" spans="1:12" x14ac:dyDescent="0.35">
      <c r="A46">
        <v>-2.8</v>
      </c>
      <c r="B46">
        <v>-0.27939999999999998</v>
      </c>
      <c r="C46">
        <v>2.427E-2</v>
      </c>
      <c r="D46">
        <v>1.9800000000000002E-2</v>
      </c>
      <c r="E46">
        <v>-7.8600000000000003E-2</v>
      </c>
      <c r="F46">
        <v>0.05</v>
      </c>
      <c r="G46">
        <v>5.5999999999999999E-3</v>
      </c>
      <c r="H46">
        <v>-2.5954000000000002</v>
      </c>
      <c r="I46">
        <v>0</v>
      </c>
      <c r="J46">
        <v>0</v>
      </c>
      <c r="K46">
        <v>0</v>
      </c>
      <c r="L46">
        <v>-3.32E-2</v>
      </c>
    </row>
    <row r="47" spans="1:12" x14ac:dyDescent="0.35">
      <c r="A47">
        <v>-2.75</v>
      </c>
      <c r="B47">
        <v>-0.2732</v>
      </c>
      <c r="C47">
        <v>2.3539999999999998E-2</v>
      </c>
      <c r="D47">
        <v>1.9019999999999999E-2</v>
      </c>
      <c r="E47">
        <v>-7.8700000000000006E-2</v>
      </c>
      <c r="F47">
        <v>0.05</v>
      </c>
      <c r="G47">
        <v>5.7000000000000002E-3</v>
      </c>
      <c r="H47">
        <v>-2.6023000000000001</v>
      </c>
      <c r="I47">
        <v>0</v>
      </c>
      <c r="J47">
        <v>0</v>
      </c>
      <c r="K47">
        <v>0</v>
      </c>
      <c r="L47">
        <v>-0.04</v>
      </c>
    </row>
    <row r="48" spans="1:12" x14ac:dyDescent="0.35">
      <c r="A48">
        <v>-2.7</v>
      </c>
      <c r="B48">
        <v>-0.26669999999999999</v>
      </c>
      <c r="C48">
        <v>2.283E-2</v>
      </c>
      <c r="D48">
        <v>1.8239999999999999E-2</v>
      </c>
      <c r="E48">
        <v>-7.8700000000000006E-2</v>
      </c>
      <c r="F48">
        <v>0.05</v>
      </c>
      <c r="G48">
        <v>5.7000000000000002E-3</v>
      </c>
      <c r="H48">
        <v>-2.6080999999999999</v>
      </c>
      <c r="I48">
        <v>0</v>
      </c>
      <c r="J48">
        <v>0</v>
      </c>
      <c r="K48">
        <v>0</v>
      </c>
      <c r="L48">
        <v>-4.7199999999999999E-2</v>
      </c>
    </row>
    <row r="49" spans="1:12" x14ac:dyDescent="0.35">
      <c r="A49">
        <v>-2.65</v>
      </c>
      <c r="B49">
        <v>-0.25990000000000002</v>
      </c>
      <c r="C49">
        <v>2.213E-2</v>
      </c>
      <c r="D49">
        <v>1.7479999999999999E-2</v>
      </c>
      <c r="E49">
        <v>-7.8700000000000006E-2</v>
      </c>
      <c r="F49">
        <v>0.05</v>
      </c>
      <c r="G49">
        <v>5.7999999999999996E-3</v>
      </c>
      <c r="H49">
        <v>-2.6128999999999998</v>
      </c>
      <c r="I49">
        <v>0</v>
      </c>
      <c r="J49">
        <v>0</v>
      </c>
      <c r="K49">
        <v>0</v>
      </c>
      <c r="L49">
        <v>-5.5E-2</v>
      </c>
    </row>
    <row r="50" spans="1:12" x14ac:dyDescent="0.35">
      <c r="A50">
        <v>-2.6</v>
      </c>
      <c r="B50">
        <v>-0.25269999999999998</v>
      </c>
      <c r="C50">
        <v>2.1440000000000001E-2</v>
      </c>
      <c r="D50">
        <v>1.6719999999999999E-2</v>
      </c>
      <c r="E50">
        <v>-7.8700000000000006E-2</v>
      </c>
      <c r="F50">
        <v>0.05</v>
      </c>
      <c r="G50">
        <v>5.7999999999999996E-3</v>
      </c>
      <c r="H50">
        <v>-2.6168</v>
      </c>
      <c r="I50">
        <v>0</v>
      </c>
      <c r="J50">
        <v>0</v>
      </c>
      <c r="K50">
        <v>0</v>
      </c>
      <c r="L50">
        <v>-6.3500000000000001E-2</v>
      </c>
    </row>
    <row r="51" spans="1:12" x14ac:dyDescent="0.35">
      <c r="A51">
        <v>-2.5499999999999998</v>
      </c>
      <c r="B51">
        <v>-0.24529999999999999</v>
      </c>
      <c r="C51">
        <v>2.077E-2</v>
      </c>
      <c r="D51">
        <v>1.5980000000000001E-2</v>
      </c>
      <c r="E51">
        <v>-7.8700000000000006E-2</v>
      </c>
      <c r="F51">
        <v>0.05</v>
      </c>
      <c r="G51">
        <v>5.8999999999999999E-3</v>
      </c>
      <c r="H51">
        <v>-2.6198000000000001</v>
      </c>
      <c r="I51">
        <v>0</v>
      </c>
      <c r="J51">
        <v>0</v>
      </c>
      <c r="K51">
        <v>0</v>
      </c>
      <c r="L51">
        <v>-7.2700000000000001E-2</v>
      </c>
    </row>
    <row r="52" spans="1:12" x14ac:dyDescent="0.35">
      <c r="A52">
        <v>-2.5</v>
      </c>
      <c r="B52">
        <v>-0.23749999999999999</v>
      </c>
      <c r="C52">
        <v>2.0109999999999999E-2</v>
      </c>
      <c r="D52">
        <v>1.525E-2</v>
      </c>
      <c r="E52">
        <v>-7.8600000000000003E-2</v>
      </c>
      <c r="F52">
        <v>0.05</v>
      </c>
      <c r="G52">
        <v>6.0000000000000001E-3</v>
      </c>
      <c r="H52">
        <v>-2.6217000000000001</v>
      </c>
      <c r="I52">
        <v>0</v>
      </c>
      <c r="J52">
        <v>0</v>
      </c>
      <c r="K52">
        <v>0</v>
      </c>
      <c r="L52">
        <v>-8.2799999999999999E-2</v>
      </c>
    </row>
    <row r="53" spans="1:12" x14ac:dyDescent="0.35">
      <c r="A53">
        <v>-2.4500000000000002</v>
      </c>
      <c r="B53">
        <v>-0.22950000000000001</v>
      </c>
      <c r="C53">
        <v>1.9460000000000002E-2</v>
      </c>
      <c r="D53">
        <v>1.453E-2</v>
      </c>
      <c r="E53">
        <v>-7.8399999999999997E-2</v>
      </c>
      <c r="F53">
        <v>0.05</v>
      </c>
      <c r="G53">
        <v>6.1999999999999998E-3</v>
      </c>
      <c r="H53">
        <v>-2.6225000000000001</v>
      </c>
      <c r="I53">
        <v>0</v>
      </c>
      <c r="J53">
        <v>0</v>
      </c>
      <c r="K53">
        <v>0</v>
      </c>
      <c r="L53">
        <v>-9.3899999999999997E-2</v>
      </c>
    </row>
    <row r="54" spans="1:12" x14ac:dyDescent="0.35">
      <c r="A54">
        <v>-2.4</v>
      </c>
      <c r="B54">
        <v>-0.22120000000000001</v>
      </c>
      <c r="C54">
        <v>1.8839999999999999E-2</v>
      </c>
      <c r="D54">
        <v>1.383E-2</v>
      </c>
      <c r="E54">
        <v>-7.8299999999999995E-2</v>
      </c>
      <c r="F54">
        <v>0.05</v>
      </c>
      <c r="G54">
        <v>6.3E-3</v>
      </c>
      <c r="H54">
        <v>-2.6221000000000001</v>
      </c>
      <c r="I54">
        <v>0</v>
      </c>
      <c r="J54">
        <v>0</v>
      </c>
      <c r="K54">
        <v>0</v>
      </c>
      <c r="L54">
        <v>-0.106</v>
      </c>
    </row>
    <row r="55" spans="1:12" x14ac:dyDescent="0.35">
      <c r="A55">
        <v>-2.35</v>
      </c>
      <c r="B55">
        <v>-0.21260000000000001</v>
      </c>
      <c r="C55">
        <v>1.822E-2</v>
      </c>
      <c r="D55">
        <v>1.3140000000000001E-2</v>
      </c>
      <c r="E55">
        <v>-7.8100000000000003E-2</v>
      </c>
      <c r="F55">
        <v>0.05</v>
      </c>
      <c r="G55">
        <v>6.4999999999999997E-3</v>
      </c>
      <c r="H55">
        <v>-2.6204000000000001</v>
      </c>
      <c r="I55">
        <v>0</v>
      </c>
      <c r="J55">
        <v>0</v>
      </c>
      <c r="K55">
        <v>0</v>
      </c>
      <c r="L55">
        <v>-0.1195</v>
      </c>
    </row>
    <row r="56" spans="1:12" x14ac:dyDescent="0.35">
      <c r="A56">
        <v>-2.2999999999999998</v>
      </c>
      <c r="B56">
        <v>-0.20369999999999999</v>
      </c>
      <c r="C56">
        <v>1.762E-2</v>
      </c>
      <c r="D56">
        <v>1.2460000000000001E-2</v>
      </c>
      <c r="E56">
        <v>-7.7899999999999997E-2</v>
      </c>
      <c r="F56">
        <v>0.05</v>
      </c>
      <c r="G56">
        <v>6.6E-3</v>
      </c>
      <c r="H56">
        <v>-2.617</v>
      </c>
      <c r="I56">
        <v>0</v>
      </c>
      <c r="J56">
        <v>0</v>
      </c>
      <c r="K56">
        <v>0</v>
      </c>
      <c r="L56">
        <v>-0.13450000000000001</v>
      </c>
    </row>
    <row r="57" spans="1:12" x14ac:dyDescent="0.35">
      <c r="A57">
        <v>-2.25</v>
      </c>
      <c r="B57">
        <v>-0.1946</v>
      </c>
      <c r="C57">
        <v>1.704E-2</v>
      </c>
      <c r="D57">
        <v>1.18E-2</v>
      </c>
      <c r="E57">
        <v>-7.7600000000000002E-2</v>
      </c>
      <c r="F57">
        <v>0.05</v>
      </c>
      <c r="G57">
        <v>6.7999999999999996E-3</v>
      </c>
      <c r="H57">
        <v>-2.6118000000000001</v>
      </c>
      <c r="I57">
        <v>0</v>
      </c>
      <c r="J57">
        <v>0</v>
      </c>
      <c r="K57">
        <v>0</v>
      </c>
      <c r="L57">
        <v>-0.1512</v>
      </c>
    </row>
    <row r="58" spans="1:12" x14ac:dyDescent="0.35">
      <c r="A58">
        <v>-2.2000000000000002</v>
      </c>
      <c r="B58">
        <v>-0.1852</v>
      </c>
      <c r="C58">
        <v>1.6480000000000002E-2</v>
      </c>
      <c r="D58">
        <v>1.115E-2</v>
      </c>
      <c r="E58">
        <v>-7.7399999999999997E-2</v>
      </c>
      <c r="F58">
        <v>0.05</v>
      </c>
      <c r="G58">
        <v>7.0000000000000001E-3</v>
      </c>
      <c r="H58">
        <v>-2.6044</v>
      </c>
      <c r="I58">
        <v>0</v>
      </c>
      <c r="J58">
        <v>0</v>
      </c>
      <c r="K58">
        <v>0</v>
      </c>
      <c r="L58">
        <v>-0.1699</v>
      </c>
    </row>
    <row r="59" spans="1:12" x14ac:dyDescent="0.35">
      <c r="A59">
        <v>-2.15</v>
      </c>
      <c r="B59">
        <v>-0.1757</v>
      </c>
      <c r="C59">
        <v>1.592E-2</v>
      </c>
      <c r="D59">
        <v>1.051E-2</v>
      </c>
      <c r="E59">
        <v>-7.7100000000000002E-2</v>
      </c>
      <c r="F59">
        <v>0.05</v>
      </c>
      <c r="G59">
        <v>7.1999999999999998E-3</v>
      </c>
      <c r="H59">
        <v>-2.5941999999999998</v>
      </c>
      <c r="I59">
        <v>0</v>
      </c>
      <c r="J59">
        <v>0</v>
      </c>
      <c r="K59">
        <v>0</v>
      </c>
      <c r="L59">
        <v>-0.19109999999999999</v>
      </c>
    </row>
    <row r="60" spans="1:12" x14ac:dyDescent="0.35">
      <c r="A60">
        <v>-2.1</v>
      </c>
      <c r="B60">
        <v>-0.16589999999999999</v>
      </c>
      <c r="C60">
        <v>1.5389999999999999E-2</v>
      </c>
      <c r="D60">
        <v>9.8899999999999995E-3</v>
      </c>
      <c r="E60">
        <v>-7.6700000000000004E-2</v>
      </c>
      <c r="F60">
        <v>0.05</v>
      </c>
      <c r="G60">
        <v>7.4999999999999997E-3</v>
      </c>
      <c r="H60">
        <v>-2.58</v>
      </c>
      <c r="I60">
        <v>0</v>
      </c>
      <c r="J60">
        <v>0</v>
      </c>
      <c r="K60">
        <v>0</v>
      </c>
      <c r="L60">
        <v>-0.2152</v>
      </c>
    </row>
    <row r="61" spans="1:12" x14ac:dyDescent="0.35">
      <c r="A61">
        <v>-2.0499999999999998</v>
      </c>
      <c r="B61">
        <v>-0.15590000000000001</v>
      </c>
      <c r="C61">
        <v>1.487E-2</v>
      </c>
      <c r="D61">
        <v>9.2899999999999996E-3</v>
      </c>
      <c r="E61">
        <v>-7.6399999999999996E-2</v>
      </c>
      <c r="F61">
        <v>0.05</v>
      </c>
      <c r="G61">
        <v>8.0000000000000002E-3</v>
      </c>
      <c r="H61">
        <v>-2.5613999999999999</v>
      </c>
      <c r="I61">
        <v>0</v>
      </c>
      <c r="J61">
        <v>0</v>
      </c>
      <c r="K61">
        <v>0</v>
      </c>
      <c r="L61">
        <v>-0.24279999999999999</v>
      </c>
    </row>
    <row r="62" spans="1:12" x14ac:dyDescent="0.35">
      <c r="A62">
        <v>-2</v>
      </c>
      <c r="B62">
        <v>-0.1457</v>
      </c>
      <c r="C62">
        <v>1.4370000000000001E-2</v>
      </c>
      <c r="D62">
        <v>8.6999999999999994E-3</v>
      </c>
      <c r="E62">
        <v>-7.5999999999999998E-2</v>
      </c>
      <c r="F62">
        <v>0.05</v>
      </c>
      <c r="G62">
        <v>8.5000000000000006E-3</v>
      </c>
      <c r="H62">
        <v>-2.5405000000000002</v>
      </c>
      <c r="I62">
        <v>0</v>
      </c>
      <c r="J62">
        <v>0</v>
      </c>
      <c r="K62">
        <v>0</v>
      </c>
      <c r="L62">
        <v>-0.27450000000000002</v>
      </c>
    </row>
    <row r="63" spans="1:12" x14ac:dyDescent="0.35">
      <c r="A63">
        <v>-1.95</v>
      </c>
      <c r="B63">
        <v>-0.13550000000000001</v>
      </c>
      <c r="C63">
        <v>1.388E-2</v>
      </c>
      <c r="D63">
        <v>8.1300000000000001E-3</v>
      </c>
      <c r="E63">
        <v>-7.5700000000000003E-2</v>
      </c>
      <c r="F63">
        <v>0.05</v>
      </c>
      <c r="G63">
        <v>8.6999999999999994E-3</v>
      </c>
      <c r="H63">
        <v>-2.5163000000000002</v>
      </c>
      <c r="I63">
        <v>0</v>
      </c>
      <c r="J63">
        <v>0</v>
      </c>
      <c r="K63">
        <v>0</v>
      </c>
      <c r="L63">
        <v>-0.31130000000000002</v>
      </c>
    </row>
    <row r="64" spans="1:12" x14ac:dyDescent="0.35">
      <c r="A64">
        <v>-1.9</v>
      </c>
      <c r="B64">
        <v>-0.12509999999999999</v>
      </c>
      <c r="C64">
        <v>1.341E-2</v>
      </c>
      <c r="D64">
        <v>7.5799999999999999E-3</v>
      </c>
      <c r="E64">
        <v>-7.5300000000000006E-2</v>
      </c>
      <c r="F64">
        <v>0.05</v>
      </c>
      <c r="G64">
        <v>8.8999999999999999E-3</v>
      </c>
      <c r="H64">
        <v>-2.4866999999999999</v>
      </c>
      <c r="I64">
        <v>0</v>
      </c>
      <c r="J64">
        <v>0</v>
      </c>
      <c r="K64">
        <v>0</v>
      </c>
      <c r="L64">
        <v>-0.35449999999999998</v>
      </c>
    </row>
    <row r="65" spans="1:12" x14ac:dyDescent="0.35">
      <c r="A65">
        <v>-1.85</v>
      </c>
      <c r="B65">
        <v>-0.1147</v>
      </c>
      <c r="C65">
        <v>1.2959999999999999E-2</v>
      </c>
      <c r="D65">
        <v>7.0499999999999998E-3</v>
      </c>
      <c r="E65">
        <v>-7.4800000000000005E-2</v>
      </c>
      <c r="F65">
        <v>0.05</v>
      </c>
      <c r="G65">
        <v>8.9999999999999993E-3</v>
      </c>
      <c r="H65">
        <v>-2.4586999999999999</v>
      </c>
      <c r="I65">
        <v>0</v>
      </c>
      <c r="J65">
        <v>0</v>
      </c>
      <c r="K65">
        <v>0</v>
      </c>
      <c r="L65">
        <v>-0.40550000000000003</v>
      </c>
    </row>
    <row r="66" spans="1:12" x14ac:dyDescent="0.35">
      <c r="A66">
        <v>-1.8</v>
      </c>
      <c r="B66">
        <v>-0.1043</v>
      </c>
      <c r="C66">
        <v>1.2529999999999999E-2</v>
      </c>
      <c r="D66">
        <v>6.5399999999999998E-3</v>
      </c>
      <c r="E66">
        <v>-7.4399999999999994E-2</v>
      </c>
      <c r="F66">
        <v>0.05</v>
      </c>
      <c r="G66">
        <v>9.1000000000000004E-3</v>
      </c>
      <c r="H66">
        <v>-2.4638</v>
      </c>
      <c r="I66">
        <v>0</v>
      </c>
      <c r="J66">
        <v>0</v>
      </c>
      <c r="K66">
        <v>0</v>
      </c>
      <c r="L66">
        <v>-0.46679999999999999</v>
      </c>
    </row>
    <row r="67" spans="1:12" x14ac:dyDescent="0.35">
      <c r="A67">
        <v>-1.75</v>
      </c>
      <c r="B67">
        <v>-9.3899999999999997E-2</v>
      </c>
      <c r="C67">
        <v>1.2120000000000001E-2</v>
      </c>
      <c r="D67">
        <v>6.0600000000000003E-3</v>
      </c>
      <c r="E67">
        <v>-7.3899999999999993E-2</v>
      </c>
      <c r="F67">
        <v>0.05</v>
      </c>
      <c r="G67">
        <v>9.2999999999999992E-3</v>
      </c>
      <c r="H67">
        <v>-2.4666000000000001</v>
      </c>
      <c r="I67">
        <v>0</v>
      </c>
      <c r="J67">
        <v>0</v>
      </c>
      <c r="K67">
        <v>0</v>
      </c>
      <c r="L67">
        <v>-0.54120000000000001</v>
      </c>
    </row>
    <row r="68" spans="1:12" x14ac:dyDescent="0.35">
      <c r="A68">
        <v>-1.7</v>
      </c>
      <c r="B68">
        <v>-8.3500000000000005E-2</v>
      </c>
      <c r="C68">
        <v>1.174E-2</v>
      </c>
      <c r="D68">
        <v>5.6100000000000004E-3</v>
      </c>
      <c r="E68">
        <v>-7.3499999999999996E-2</v>
      </c>
      <c r="F68">
        <v>0.05</v>
      </c>
      <c r="G68">
        <v>9.5999999999999992E-3</v>
      </c>
      <c r="H68">
        <v>-2.4632999999999998</v>
      </c>
      <c r="I68">
        <v>0</v>
      </c>
      <c r="J68">
        <v>0</v>
      </c>
      <c r="K68">
        <v>0</v>
      </c>
      <c r="L68">
        <v>-0.63360000000000005</v>
      </c>
    </row>
    <row r="69" spans="1:12" x14ac:dyDescent="0.35">
      <c r="A69">
        <v>-1.65</v>
      </c>
      <c r="B69">
        <v>-7.3200000000000001E-2</v>
      </c>
      <c r="C69">
        <v>1.1379999999999999E-2</v>
      </c>
      <c r="D69">
        <v>5.1999999999999998E-3</v>
      </c>
      <c r="E69">
        <v>-7.2999999999999995E-2</v>
      </c>
      <c r="F69">
        <v>0.05</v>
      </c>
      <c r="G69">
        <v>9.7999999999999997E-3</v>
      </c>
      <c r="H69">
        <v>-2.4510999999999998</v>
      </c>
      <c r="I69">
        <v>0</v>
      </c>
      <c r="J69">
        <v>0</v>
      </c>
      <c r="K69">
        <v>0</v>
      </c>
      <c r="L69">
        <v>-0.75139999999999996</v>
      </c>
    </row>
    <row r="70" spans="1:12" x14ac:dyDescent="0.35">
      <c r="A70">
        <v>-1.6</v>
      </c>
      <c r="B70">
        <v>-6.2899999999999998E-2</v>
      </c>
      <c r="C70">
        <v>1.106E-2</v>
      </c>
      <c r="D70">
        <v>4.8199999999999996E-3</v>
      </c>
      <c r="E70">
        <v>-7.2499999999999995E-2</v>
      </c>
      <c r="F70">
        <v>0.05</v>
      </c>
      <c r="G70">
        <v>1.01E-2</v>
      </c>
      <c r="H70">
        <v>-2.4253999999999998</v>
      </c>
      <c r="I70">
        <v>0</v>
      </c>
      <c r="J70">
        <v>0</v>
      </c>
      <c r="K70">
        <v>0</v>
      </c>
      <c r="L70">
        <v>-0.90720000000000001</v>
      </c>
    </row>
    <row r="71" spans="1:12" x14ac:dyDescent="0.35">
      <c r="A71">
        <v>-1.55</v>
      </c>
      <c r="B71">
        <v>-5.2699999999999997E-2</v>
      </c>
      <c r="C71">
        <v>1.076E-2</v>
      </c>
      <c r="D71">
        <v>4.4400000000000004E-3</v>
      </c>
      <c r="E71">
        <v>-7.2099999999999997E-2</v>
      </c>
      <c r="F71">
        <v>0.05</v>
      </c>
      <c r="G71">
        <v>1.04E-2</v>
      </c>
      <c r="H71">
        <v>-2.3788999999999998</v>
      </c>
      <c r="I71">
        <v>0</v>
      </c>
      <c r="J71">
        <v>0</v>
      </c>
      <c r="K71">
        <v>0</v>
      </c>
      <c r="L71">
        <v>-1.1222000000000001</v>
      </c>
    </row>
    <row r="72" spans="1:12" x14ac:dyDescent="0.35">
      <c r="A72">
        <v>-1.5</v>
      </c>
      <c r="B72">
        <v>-4.24E-2</v>
      </c>
      <c r="C72">
        <v>1.0489999999999999E-2</v>
      </c>
      <c r="D72">
        <v>4.1200000000000004E-3</v>
      </c>
      <c r="E72">
        <v>-7.1599999999999997E-2</v>
      </c>
      <c r="F72">
        <v>0.05</v>
      </c>
      <c r="G72">
        <v>1.0699999999999999E-2</v>
      </c>
      <c r="H72">
        <v>-2.3170999999999999</v>
      </c>
      <c r="I72">
        <v>0</v>
      </c>
      <c r="J72">
        <v>0</v>
      </c>
      <c r="K72">
        <v>0</v>
      </c>
      <c r="L72">
        <v>-1.4451000000000001</v>
      </c>
    </row>
    <row r="73" spans="1:12" x14ac:dyDescent="0.35">
      <c r="A73">
        <v>-1.45</v>
      </c>
      <c r="B73">
        <v>-3.2000000000000001E-2</v>
      </c>
      <c r="C73">
        <v>1.026E-2</v>
      </c>
      <c r="D73">
        <v>3.8300000000000001E-3</v>
      </c>
      <c r="E73">
        <v>-7.1199999999999999E-2</v>
      </c>
      <c r="F73">
        <v>0.05</v>
      </c>
      <c r="G73">
        <v>1.11E-2</v>
      </c>
      <c r="H73">
        <v>-2.2437999999999998</v>
      </c>
      <c r="I73">
        <v>0</v>
      </c>
      <c r="J73">
        <v>0</v>
      </c>
      <c r="K73">
        <v>0</v>
      </c>
      <c r="L73">
        <v>-1.9838</v>
      </c>
    </row>
    <row r="74" spans="1:12" x14ac:dyDescent="0.35">
      <c r="A74">
        <v>-1.4</v>
      </c>
      <c r="B74">
        <v>-2.1399999999999999E-2</v>
      </c>
      <c r="C74">
        <v>1.0059999999999999E-2</v>
      </c>
      <c r="D74">
        <v>3.5799999999999998E-3</v>
      </c>
      <c r="E74">
        <v>-7.0800000000000002E-2</v>
      </c>
      <c r="F74">
        <v>0.05</v>
      </c>
      <c r="G74">
        <v>1.15E-2</v>
      </c>
      <c r="H74">
        <v>-2.1560999999999999</v>
      </c>
      <c r="I74">
        <v>0</v>
      </c>
      <c r="J74">
        <v>0</v>
      </c>
      <c r="K74">
        <v>0</v>
      </c>
      <c r="L74">
        <v>-3.0669</v>
      </c>
    </row>
    <row r="75" spans="1:12" x14ac:dyDescent="0.35">
      <c r="A75">
        <v>-1.35</v>
      </c>
      <c r="B75">
        <v>-1.0699999999999999E-2</v>
      </c>
      <c r="C75">
        <v>9.9000000000000008E-3</v>
      </c>
      <c r="D75">
        <v>3.3700000000000002E-3</v>
      </c>
      <c r="E75">
        <v>-7.0499999999999993E-2</v>
      </c>
      <c r="F75">
        <v>0.05</v>
      </c>
      <c r="G75">
        <v>1.2200000000000001E-2</v>
      </c>
      <c r="H75">
        <v>-2.0541999999999998</v>
      </c>
      <c r="I75">
        <v>0</v>
      </c>
      <c r="J75">
        <v>0</v>
      </c>
      <c r="K75">
        <v>0</v>
      </c>
      <c r="L75">
        <v>-6.3586</v>
      </c>
    </row>
    <row r="76" spans="1:12" x14ac:dyDescent="0.35">
      <c r="A76">
        <v>-1.3</v>
      </c>
      <c r="B76">
        <v>0</v>
      </c>
      <c r="C76">
        <v>9.7400000000000004E-3</v>
      </c>
      <c r="D76">
        <v>3.16E-3</v>
      </c>
      <c r="E76">
        <v>-7.0199999999999999E-2</v>
      </c>
      <c r="F76">
        <v>0.05</v>
      </c>
      <c r="G76">
        <v>1.2500000000000001E-2</v>
      </c>
      <c r="H76">
        <v>-1.964</v>
      </c>
      <c r="I76">
        <v>0</v>
      </c>
      <c r="J76">
        <v>0</v>
      </c>
      <c r="K76">
        <v>0</v>
      </c>
      <c r="L76">
        <v>-2722.4315999999999</v>
      </c>
    </row>
    <row r="77" spans="1:12" x14ac:dyDescent="0.35">
      <c r="A77">
        <v>-1.25</v>
      </c>
      <c r="B77">
        <v>1.0699999999999999E-2</v>
      </c>
      <c r="C77">
        <v>9.58E-3</v>
      </c>
      <c r="D77">
        <v>2.9499999999999999E-3</v>
      </c>
      <c r="E77">
        <v>-6.9900000000000004E-2</v>
      </c>
      <c r="F77">
        <v>0.05</v>
      </c>
      <c r="G77">
        <v>1.2500000000000001E-2</v>
      </c>
      <c r="H77">
        <v>-1.8772</v>
      </c>
      <c r="I77">
        <v>0</v>
      </c>
      <c r="J77">
        <v>0</v>
      </c>
      <c r="K77">
        <v>0</v>
      </c>
      <c r="L77">
        <v>6.8125999999999998</v>
      </c>
    </row>
    <row r="78" spans="1:12" x14ac:dyDescent="0.35">
      <c r="A78">
        <v>-1.2</v>
      </c>
      <c r="B78">
        <v>2.1499999999999998E-2</v>
      </c>
      <c r="C78">
        <v>9.4400000000000005E-3</v>
      </c>
      <c r="D78">
        <v>2.7699999999999999E-3</v>
      </c>
      <c r="E78">
        <v>-6.9699999999999998E-2</v>
      </c>
      <c r="F78">
        <v>0.05</v>
      </c>
      <c r="G78">
        <v>1.26E-2</v>
      </c>
      <c r="H78">
        <v>-1.8072999999999999</v>
      </c>
      <c r="I78">
        <v>0</v>
      </c>
      <c r="J78">
        <v>0</v>
      </c>
      <c r="K78">
        <v>0</v>
      </c>
      <c r="L78">
        <v>3.5</v>
      </c>
    </row>
    <row r="79" spans="1:12" x14ac:dyDescent="0.35">
      <c r="A79">
        <v>-1.1499999999999999</v>
      </c>
      <c r="B79">
        <v>3.2399999999999998E-2</v>
      </c>
      <c r="C79">
        <v>9.3200000000000002E-3</v>
      </c>
      <c r="D79">
        <v>2.6099999999999999E-3</v>
      </c>
      <c r="E79">
        <v>-6.9400000000000003E-2</v>
      </c>
      <c r="F79">
        <v>0.05</v>
      </c>
      <c r="G79">
        <v>1.2699999999999999E-2</v>
      </c>
      <c r="H79">
        <v>-1.7557</v>
      </c>
      <c r="I79">
        <v>0</v>
      </c>
      <c r="J79">
        <v>0</v>
      </c>
      <c r="K79">
        <v>0</v>
      </c>
      <c r="L79">
        <v>2.4001000000000001</v>
      </c>
    </row>
    <row r="80" spans="1:12" x14ac:dyDescent="0.35">
      <c r="A80">
        <v>-1.1000000000000001</v>
      </c>
      <c r="B80">
        <v>4.3299999999999998E-2</v>
      </c>
      <c r="C80">
        <v>9.2200000000000008E-3</v>
      </c>
      <c r="D80">
        <v>2.47E-3</v>
      </c>
      <c r="E80">
        <v>-6.9199999999999998E-2</v>
      </c>
      <c r="F80">
        <v>0.05</v>
      </c>
      <c r="G80">
        <v>1.29E-2</v>
      </c>
      <c r="H80">
        <v>-1.7002999999999999</v>
      </c>
      <c r="I80">
        <v>0</v>
      </c>
      <c r="J80">
        <v>0</v>
      </c>
      <c r="K80">
        <v>0</v>
      </c>
      <c r="L80">
        <v>1.8522000000000001</v>
      </c>
    </row>
    <row r="81" spans="1:12" x14ac:dyDescent="0.35">
      <c r="A81">
        <v>-1.05</v>
      </c>
      <c r="B81">
        <v>5.4300000000000001E-2</v>
      </c>
      <c r="C81">
        <v>9.1400000000000006E-3</v>
      </c>
      <c r="D81">
        <v>2.3400000000000001E-3</v>
      </c>
      <c r="E81">
        <v>-6.9000000000000006E-2</v>
      </c>
      <c r="F81">
        <v>0.05</v>
      </c>
      <c r="G81">
        <v>1.3100000000000001E-2</v>
      </c>
      <c r="H81">
        <v>-1.6414</v>
      </c>
      <c r="I81">
        <v>0</v>
      </c>
      <c r="J81">
        <v>0</v>
      </c>
      <c r="K81">
        <v>0</v>
      </c>
      <c r="L81">
        <v>1.5247999999999999</v>
      </c>
    </row>
    <row r="82" spans="1:12" x14ac:dyDescent="0.35">
      <c r="A82">
        <v>-1</v>
      </c>
      <c r="B82">
        <v>6.5299999999999997E-2</v>
      </c>
      <c r="C82">
        <v>9.0699999999999999E-3</v>
      </c>
      <c r="D82">
        <v>2.2399999999999998E-3</v>
      </c>
      <c r="E82">
        <v>-6.8900000000000003E-2</v>
      </c>
      <c r="F82">
        <v>0.05</v>
      </c>
      <c r="G82">
        <v>1.34E-2</v>
      </c>
      <c r="H82">
        <v>-1.5788</v>
      </c>
      <c r="I82">
        <v>0</v>
      </c>
      <c r="J82">
        <v>0</v>
      </c>
      <c r="K82">
        <v>0</v>
      </c>
      <c r="L82">
        <v>1.3075000000000001</v>
      </c>
    </row>
    <row r="83" spans="1:12" x14ac:dyDescent="0.35">
      <c r="A83">
        <v>-0.95</v>
      </c>
      <c r="B83">
        <v>7.6300000000000007E-2</v>
      </c>
      <c r="C83">
        <v>9.0100000000000006E-3</v>
      </c>
      <c r="D83">
        <v>2.16E-3</v>
      </c>
      <c r="E83">
        <v>-6.8699999999999997E-2</v>
      </c>
      <c r="F83">
        <v>0.05</v>
      </c>
      <c r="G83">
        <v>1.38E-2</v>
      </c>
      <c r="H83">
        <v>-1.5129999999999999</v>
      </c>
      <c r="I83">
        <v>0</v>
      </c>
      <c r="J83">
        <v>0</v>
      </c>
      <c r="K83">
        <v>0</v>
      </c>
      <c r="L83">
        <v>1.153</v>
      </c>
    </row>
    <row r="84" spans="1:12" x14ac:dyDescent="0.35">
      <c r="A84">
        <v>-0.9</v>
      </c>
      <c r="B84">
        <v>8.72E-2</v>
      </c>
      <c r="C84">
        <v>8.9700000000000005E-3</v>
      </c>
      <c r="D84">
        <v>2.0899999999999998E-3</v>
      </c>
      <c r="E84">
        <v>-6.8599999999999994E-2</v>
      </c>
      <c r="F84">
        <v>0.05</v>
      </c>
      <c r="G84">
        <v>1.43E-2</v>
      </c>
      <c r="H84">
        <v>-1.4443999999999999</v>
      </c>
      <c r="I84">
        <v>0</v>
      </c>
      <c r="J84">
        <v>0</v>
      </c>
      <c r="K84">
        <v>0</v>
      </c>
      <c r="L84">
        <v>1.0376000000000001</v>
      </c>
    </row>
    <row r="85" spans="1:12" x14ac:dyDescent="0.35">
      <c r="A85">
        <v>-0.85</v>
      </c>
      <c r="B85">
        <v>9.8199999999999996E-2</v>
      </c>
      <c r="C85">
        <v>8.9300000000000004E-3</v>
      </c>
      <c r="D85">
        <v>2.0300000000000001E-3</v>
      </c>
      <c r="E85">
        <v>-6.8400000000000002E-2</v>
      </c>
      <c r="F85">
        <v>0.05</v>
      </c>
      <c r="G85">
        <v>1.49E-2</v>
      </c>
      <c r="H85">
        <v>-1.3734999999999999</v>
      </c>
      <c r="I85">
        <v>0</v>
      </c>
      <c r="J85">
        <v>0</v>
      </c>
      <c r="K85">
        <v>0</v>
      </c>
      <c r="L85">
        <v>0.94830000000000003</v>
      </c>
    </row>
    <row r="86" spans="1:12" x14ac:dyDescent="0.35">
      <c r="A86">
        <v>-0.8</v>
      </c>
      <c r="B86">
        <v>0.1091</v>
      </c>
      <c r="C86">
        <v>8.8999999999999999E-3</v>
      </c>
      <c r="D86">
        <v>1.98E-3</v>
      </c>
      <c r="E86">
        <v>-6.83E-2</v>
      </c>
      <c r="F86">
        <v>0.05</v>
      </c>
      <c r="G86">
        <v>1.55E-2</v>
      </c>
      <c r="H86">
        <v>-1.3012999999999999</v>
      </c>
      <c r="I86">
        <v>0</v>
      </c>
      <c r="J86">
        <v>0</v>
      </c>
      <c r="K86">
        <v>0</v>
      </c>
      <c r="L86">
        <v>0.87719999999999998</v>
      </c>
    </row>
    <row r="87" spans="1:12" x14ac:dyDescent="0.35">
      <c r="A87">
        <v>-0.75</v>
      </c>
      <c r="B87">
        <v>0.11990000000000001</v>
      </c>
      <c r="C87">
        <v>8.8699999999999994E-3</v>
      </c>
      <c r="D87">
        <v>1.9400000000000001E-3</v>
      </c>
      <c r="E87">
        <v>-6.8199999999999997E-2</v>
      </c>
      <c r="F87">
        <v>0.05</v>
      </c>
      <c r="G87">
        <v>1.6199999999999999E-2</v>
      </c>
      <c r="H87">
        <v>-1.2285999999999999</v>
      </c>
      <c r="I87">
        <v>0</v>
      </c>
      <c r="J87">
        <v>0</v>
      </c>
      <c r="K87">
        <v>0</v>
      </c>
      <c r="L87">
        <v>0.81930000000000003</v>
      </c>
    </row>
    <row r="88" spans="1:12" x14ac:dyDescent="0.35">
      <c r="A88">
        <v>-0.7</v>
      </c>
      <c r="B88">
        <v>0.1308</v>
      </c>
      <c r="C88">
        <v>8.8500000000000002E-3</v>
      </c>
      <c r="D88">
        <v>1.9E-3</v>
      </c>
      <c r="E88">
        <v>-6.8099999999999994E-2</v>
      </c>
      <c r="F88">
        <v>0.05</v>
      </c>
      <c r="G88">
        <v>1.6899999999999998E-2</v>
      </c>
      <c r="H88">
        <v>-1.1560999999999999</v>
      </c>
      <c r="I88">
        <v>0</v>
      </c>
      <c r="J88">
        <v>0</v>
      </c>
      <c r="K88">
        <v>0</v>
      </c>
      <c r="L88">
        <v>0.7712</v>
      </c>
    </row>
    <row r="89" spans="1:12" x14ac:dyDescent="0.35">
      <c r="A89">
        <v>-0.65</v>
      </c>
      <c r="B89">
        <v>0.1416</v>
      </c>
      <c r="C89">
        <v>8.8400000000000006E-3</v>
      </c>
      <c r="D89">
        <v>1.8699999999999999E-3</v>
      </c>
      <c r="E89">
        <v>-6.8000000000000005E-2</v>
      </c>
      <c r="F89">
        <v>0.05</v>
      </c>
      <c r="G89">
        <v>1.7600000000000001E-2</v>
      </c>
      <c r="H89">
        <v>-1.0846</v>
      </c>
      <c r="I89">
        <v>0</v>
      </c>
      <c r="J89">
        <v>0</v>
      </c>
      <c r="K89">
        <v>0</v>
      </c>
      <c r="L89">
        <v>0.73060000000000003</v>
      </c>
    </row>
    <row r="90" spans="1:12" x14ac:dyDescent="0.35">
      <c r="A90">
        <v>-0.6</v>
      </c>
      <c r="B90">
        <v>0.15240000000000001</v>
      </c>
      <c r="C90">
        <v>8.8199999999999997E-3</v>
      </c>
      <c r="D90">
        <v>1.8500000000000001E-3</v>
      </c>
      <c r="E90">
        <v>-6.7900000000000002E-2</v>
      </c>
      <c r="F90">
        <v>0.05</v>
      </c>
      <c r="G90">
        <v>1.8200000000000001E-2</v>
      </c>
      <c r="H90">
        <v>-1.0144</v>
      </c>
      <c r="I90">
        <v>0</v>
      </c>
      <c r="J90">
        <v>0</v>
      </c>
      <c r="K90">
        <v>0</v>
      </c>
      <c r="L90">
        <v>0.69599999999999995</v>
      </c>
    </row>
    <row r="91" spans="1:12" x14ac:dyDescent="0.35">
      <c r="A91">
        <v>-0.55000000000000004</v>
      </c>
      <c r="B91">
        <v>0.16309999999999999</v>
      </c>
      <c r="C91">
        <v>8.8100000000000001E-3</v>
      </c>
      <c r="D91">
        <v>1.83E-3</v>
      </c>
      <c r="E91">
        <v>-6.7799999999999999E-2</v>
      </c>
      <c r="F91">
        <v>0.05</v>
      </c>
      <c r="G91">
        <v>1.8700000000000001E-2</v>
      </c>
      <c r="H91">
        <v>-0.94610000000000005</v>
      </c>
      <c r="I91">
        <v>0</v>
      </c>
      <c r="J91">
        <v>0</v>
      </c>
      <c r="K91">
        <v>0</v>
      </c>
      <c r="L91">
        <v>0.66600000000000004</v>
      </c>
    </row>
    <row r="92" spans="1:12" x14ac:dyDescent="0.35">
      <c r="A92">
        <v>-0.5</v>
      </c>
      <c r="B92">
        <v>0.1739</v>
      </c>
      <c r="C92">
        <v>8.8000000000000005E-3</v>
      </c>
      <c r="D92">
        <v>1.81E-3</v>
      </c>
      <c r="E92">
        <v>-6.7699999999999996E-2</v>
      </c>
      <c r="F92">
        <v>0.05</v>
      </c>
      <c r="G92">
        <v>1.9900000000000001E-2</v>
      </c>
      <c r="H92">
        <v>-0.88229999999999997</v>
      </c>
      <c r="I92">
        <v>0</v>
      </c>
      <c r="J92">
        <v>0</v>
      </c>
      <c r="K92">
        <v>0</v>
      </c>
      <c r="L92">
        <v>0.63980000000000004</v>
      </c>
    </row>
    <row r="93" spans="1:12" x14ac:dyDescent="0.35">
      <c r="A93">
        <v>-0.45</v>
      </c>
      <c r="B93">
        <v>0.18459999999999999</v>
      </c>
      <c r="C93">
        <v>8.7899999999999992E-3</v>
      </c>
      <c r="D93">
        <v>1.7899999999999999E-3</v>
      </c>
      <c r="E93">
        <v>-6.7599999999999993E-2</v>
      </c>
      <c r="F93">
        <v>0.05</v>
      </c>
      <c r="G93">
        <v>2.1999999999999999E-2</v>
      </c>
      <c r="H93">
        <v>-0.82210000000000005</v>
      </c>
      <c r="I93">
        <v>0</v>
      </c>
      <c r="J93">
        <v>0</v>
      </c>
      <c r="K93">
        <v>0</v>
      </c>
      <c r="L93">
        <v>0.61670000000000003</v>
      </c>
    </row>
    <row r="94" spans="1:12" x14ac:dyDescent="0.35">
      <c r="A94">
        <v>-0.4</v>
      </c>
      <c r="B94">
        <v>0.19520000000000001</v>
      </c>
      <c r="C94">
        <v>8.7799999999999996E-3</v>
      </c>
      <c r="D94">
        <v>1.7799999999999999E-3</v>
      </c>
      <c r="E94">
        <v>-6.7599999999999993E-2</v>
      </c>
      <c r="F94">
        <v>0.05</v>
      </c>
      <c r="G94">
        <v>2.4199999999999999E-2</v>
      </c>
      <c r="H94">
        <v>-0.75800000000000001</v>
      </c>
      <c r="I94">
        <v>0</v>
      </c>
      <c r="J94">
        <v>0</v>
      </c>
      <c r="K94">
        <v>0</v>
      </c>
      <c r="L94">
        <v>0.59630000000000005</v>
      </c>
    </row>
    <row r="95" spans="1:12" x14ac:dyDescent="0.35">
      <c r="A95">
        <v>-0.35</v>
      </c>
      <c r="B95">
        <v>0.2059</v>
      </c>
      <c r="C95">
        <v>8.77E-3</v>
      </c>
      <c r="D95">
        <v>1.7700000000000001E-3</v>
      </c>
      <c r="E95">
        <v>-6.7500000000000004E-2</v>
      </c>
      <c r="F95">
        <v>0.05</v>
      </c>
      <c r="G95">
        <v>2.64E-2</v>
      </c>
      <c r="H95">
        <v>-0.69569999999999999</v>
      </c>
      <c r="I95">
        <v>0</v>
      </c>
      <c r="J95">
        <v>0</v>
      </c>
      <c r="K95">
        <v>0</v>
      </c>
      <c r="L95">
        <v>0.57809999999999995</v>
      </c>
    </row>
    <row r="96" spans="1:12" x14ac:dyDescent="0.35">
      <c r="A96">
        <v>-0.3</v>
      </c>
      <c r="B96">
        <v>0.2165</v>
      </c>
      <c r="C96">
        <v>8.7600000000000004E-3</v>
      </c>
      <c r="D96">
        <v>1.7600000000000001E-3</v>
      </c>
      <c r="E96">
        <v>-6.7500000000000004E-2</v>
      </c>
      <c r="F96">
        <v>0.05</v>
      </c>
      <c r="G96">
        <v>2.8299999999999999E-2</v>
      </c>
      <c r="H96">
        <v>-0.6351</v>
      </c>
      <c r="I96">
        <v>0</v>
      </c>
      <c r="J96">
        <v>0</v>
      </c>
      <c r="K96">
        <v>0</v>
      </c>
      <c r="L96">
        <v>0.56159999999999999</v>
      </c>
    </row>
    <row r="97" spans="1:12" x14ac:dyDescent="0.35">
      <c r="A97">
        <v>-0.25</v>
      </c>
      <c r="B97">
        <v>0.22720000000000001</v>
      </c>
      <c r="C97">
        <v>8.7600000000000004E-3</v>
      </c>
      <c r="D97">
        <v>1.7600000000000001E-3</v>
      </c>
      <c r="E97">
        <v>-6.7400000000000002E-2</v>
      </c>
      <c r="F97">
        <v>0.05</v>
      </c>
      <c r="G97">
        <v>3.04E-2</v>
      </c>
      <c r="H97">
        <v>-0.57640000000000002</v>
      </c>
      <c r="I97">
        <v>0</v>
      </c>
      <c r="J97">
        <v>0</v>
      </c>
      <c r="K97">
        <v>0</v>
      </c>
      <c r="L97">
        <v>0.54669999999999996</v>
      </c>
    </row>
    <row r="98" spans="1:12" x14ac:dyDescent="0.35">
      <c r="A98">
        <v>-0.2</v>
      </c>
      <c r="B98">
        <v>0.23780000000000001</v>
      </c>
      <c r="C98">
        <v>8.7500000000000008E-3</v>
      </c>
      <c r="D98">
        <v>1.7600000000000001E-3</v>
      </c>
      <c r="E98">
        <v>-6.7400000000000002E-2</v>
      </c>
      <c r="F98">
        <v>0.05</v>
      </c>
      <c r="G98">
        <v>3.4299999999999997E-2</v>
      </c>
      <c r="H98">
        <v>-0.51970000000000005</v>
      </c>
      <c r="I98">
        <v>0</v>
      </c>
      <c r="J98">
        <v>0</v>
      </c>
      <c r="K98">
        <v>0</v>
      </c>
      <c r="L98">
        <v>0.5333</v>
      </c>
    </row>
    <row r="99" spans="1:12" x14ac:dyDescent="0.35">
      <c r="A99">
        <v>-0.15</v>
      </c>
      <c r="B99">
        <v>0.24840000000000001</v>
      </c>
      <c r="C99">
        <v>8.7399999999999995E-3</v>
      </c>
      <c r="D99">
        <v>1.7600000000000001E-3</v>
      </c>
      <c r="E99">
        <v>-6.7299999999999999E-2</v>
      </c>
      <c r="F99">
        <v>0.05</v>
      </c>
      <c r="G99">
        <v>3.8300000000000001E-2</v>
      </c>
      <c r="H99">
        <v>-0.50249999999999995</v>
      </c>
      <c r="I99">
        <v>0</v>
      </c>
      <c r="J99">
        <v>0</v>
      </c>
      <c r="K99">
        <v>0</v>
      </c>
      <c r="L99">
        <v>0.52100000000000002</v>
      </c>
    </row>
    <row r="100" spans="1:12" x14ac:dyDescent="0.35">
      <c r="A100">
        <v>-0.1</v>
      </c>
      <c r="B100">
        <v>0.25900000000000001</v>
      </c>
      <c r="C100">
        <v>8.7200000000000003E-3</v>
      </c>
      <c r="D100">
        <v>1.7600000000000001E-3</v>
      </c>
      <c r="E100">
        <v>-6.7299999999999999E-2</v>
      </c>
      <c r="F100">
        <v>0.05</v>
      </c>
      <c r="G100">
        <v>0.05</v>
      </c>
      <c r="H100">
        <v>-0.50719999999999998</v>
      </c>
      <c r="I100">
        <v>0</v>
      </c>
      <c r="J100">
        <v>0</v>
      </c>
      <c r="K100">
        <v>0</v>
      </c>
      <c r="L100">
        <v>0.50980000000000003</v>
      </c>
    </row>
    <row r="101" spans="1:12" x14ac:dyDescent="0.35">
      <c r="A101">
        <v>-0.05</v>
      </c>
      <c r="B101">
        <v>0.26950000000000002</v>
      </c>
      <c r="C101">
        <v>8.7299999999999999E-3</v>
      </c>
      <c r="D101">
        <v>1.7600000000000001E-3</v>
      </c>
      <c r="E101">
        <v>-6.7299999999999999E-2</v>
      </c>
      <c r="F101">
        <v>0.05</v>
      </c>
      <c r="G101">
        <v>0.05</v>
      </c>
      <c r="H101">
        <v>-0.51200000000000001</v>
      </c>
      <c r="I101">
        <v>0</v>
      </c>
      <c r="J101">
        <v>0</v>
      </c>
      <c r="K101">
        <v>0</v>
      </c>
      <c r="L101">
        <v>0.49930000000000002</v>
      </c>
    </row>
    <row r="102" spans="1:12" x14ac:dyDescent="0.35">
      <c r="A102">
        <v>0</v>
      </c>
      <c r="B102">
        <v>0.28010000000000002</v>
      </c>
      <c r="C102">
        <v>8.7399999999999995E-3</v>
      </c>
      <c r="D102">
        <v>1.7700000000000001E-3</v>
      </c>
      <c r="E102">
        <v>-6.7199999999999996E-2</v>
      </c>
      <c r="F102">
        <v>0.05</v>
      </c>
      <c r="G102">
        <v>0.05</v>
      </c>
      <c r="H102">
        <v>-0.51690000000000003</v>
      </c>
      <c r="I102">
        <v>0</v>
      </c>
      <c r="J102">
        <v>0</v>
      </c>
      <c r="K102">
        <v>0</v>
      </c>
      <c r="L102">
        <v>0.48970000000000002</v>
      </c>
    </row>
    <row r="103" spans="1:12" x14ac:dyDescent="0.35">
      <c r="A103">
        <v>0.05</v>
      </c>
      <c r="B103">
        <v>0.29070000000000001</v>
      </c>
      <c r="C103">
        <v>8.7500000000000008E-3</v>
      </c>
      <c r="D103">
        <v>1.7799999999999999E-3</v>
      </c>
      <c r="E103">
        <v>-6.7100000000000007E-2</v>
      </c>
      <c r="F103">
        <v>0.05</v>
      </c>
      <c r="G103">
        <v>0.05</v>
      </c>
      <c r="H103">
        <v>-0.52180000000000004</v>
      </c>
      <c r="I103">
        <v>0</v>
      </c>
      <c r="J103">
        <v>0</v>
      </c>
      <c r="K103">
        <v>0</v>
      </c>
      <c r="L103">
        <v>0.48070000000000002</v>
      </c>
    </row>
    <row r="104" spans="1:12" x14ac:dyDescent="0.35">
      <c r="A104">
        <v>0.1</v>
      </c>
      <c r="B104">
        <v>0.30130000000000001</v>
      </c>
      <c r="C104">
        <v>8.7600000000000004E-3</v>
      </c>
      <c r="D104">
        <v>1.7899999999999999E-3</v>
      </c>
      <c r="E104">
        <v>-6.7100000000000007E-2</v>
      </c>
      <c r="F104">
        <v>0.05</v>
      </c>
      <c r="G104">
        <v>0.05</v>
      </c>
      <c r="H104">
        <v>-0.52669999999999995</v>
      </c>
      <c r="I104">
        <v>0</v>
      </c>
      <c r="J104">
        <v>0</v>
      </c>
      <c r="K104">
        <v>0</v>
      </c>
      <c r="L104">
        <v>0.47239999999999999</v>
      </c>
    </row>
    <row r="105" spans="1:12" x14ac:dyDescent="0.35">
      <c r="A105">
        <v>0.15</v>
      </c>
      <c r="B105">
        <v>0.31190000000000001</v>
      </c>
      <c r="C105">
        <v>8.77E-3</v>
      </c>
      <c r="D105">
        <v>1.8E-3</v>
      </c>
      <c r="E105">
        <v>-6.7000000000000004E-2</v>
      </c>
      <c r="F105">
        <v>0.05</v>
      </c>
      <c r="G105">
        <v>0.05</v>
      </c>
      <c r="H105">
        <v>-0.53169999999999995</v>
      </c>
      <c r="I105">
        <v>0</v>
      </c>
      <c r="J105">
        <v>0</v>
      </c>
      <c r="K105">
        <v>0</v>
      </c>
      <c r="L105">
        <v>0.46460000000000001</v>
      </c>
    </row>
    <row r="106" spans="1:12" x14ac:dyDescent="0.35">
      <c r="A106">
        <v>0.2</v>
      </c>
      <c r="B106">
        <v>0.32240000000000002</v>
      </c>
      <c r="C106">
        <v>8.7799999999999996E-3</v>
      </c>
      <c r="D106">
        <v>1.81E-3</v>
      </c>
      <c r="E106">
        <v>-6.7000000000000004E-2</v>
      </c>
      <c r="F106">
        <v>0.05</v>
      </c>
      <c r="G106">
        <v>0.05</v>
      </c>
      <c r="H106">
        <v>-0.53680000000000005</v>
      </c>
      <c r="I106">
        <v>0</v>
      </c>
      <c r="J106">
        <v>0</v>
      </c>
      <c r="K106">
        <v>0</v>
      </c>
      <c r="L106">
        <v>0.45739999999999997</v>
      </c>
    </row>
    <row r="107" spans="1:12" x14ac:dyDescent="0.35">
      <c r="A107">
        <v>0.25</v>
      </c>
      <c r="B107">
        <v>0.33300000000000002</v>
      </c>
      <c r="C107">
        <v>8.7899999999999992E-3</v>
      </c>
      <c r="D107">
        <v>1.83E-3</v>
      </c>
      <c r="E107">
        <v>-6.6900000000000001E-2</v>
      </c>
      <c r="F107">
        <v>0.05</v>
      </c>
      <c r="G107">
        <v>0.05</v>
      </c>
      <c r="H107">
        <v>-0.54179999999999995</v>
      </c>
      <c r="I107">
        <v>0</v>
      </c>
      <c r="J107">
        <v>0</v>
      </c>
      <c r="K107">
        <v>0</v>
      </c>
      <c r="L107">
        <v>0.4506</v>
      </c>
    </row>
    <row r="108" spans="1:12" x14ac:dyDescent="0.35">
      <c r="A108">
        <v>0.3</v>
      </c>
      <c r="B108">
        <v>0.34360000000000002</v>
      </c>
      <c r="C108">
        <v>8.8000000000000005E-3</v>
      </c>
      <c r="D108">
        <v>1.8500000000000001E-3</v>
      </c>
      <c r="E108">
        <v>-6.6799999999999998E-2</v>
      </c>
      <c r="F108">
        <v>0.05</v>
      </c>
      <c r="G108">
        <v>0.05</v>
      </c>
      <c r="H108">
        <v>-0.54690000000000005</v>
      </c>
      <c r="I108">
        <v>0</v>
      </c>
      <c r="J108">
        <v>0</v>
      </c>
      <c r="K108">
        <v>0</v>
      </c>
      <c r="L108">
        <v>0.44419999999999998</v>
      </c>
    </row>
    <row r="109" spans="1:12" x14ac:dyDescent="0.35">
      <c r="A109">
        <v>0.35</v>
      </c>
      <c r="B109">
        <v>0.35410000000000003</v>
      </c>
      <c r="C109">
        <v>8.8199999999999997E-3</v>
      </c>
      <c r="D109">
        <v>1.8600000000000001E-3</v>
      </c>
      <c r="E109">
        <v>-6.6799999999999998E-2</v>
      </c>
      <c r="F109">
        <v>0.05</v>
      </c>
      <c r="G109">
        <v>0.05</v>
      </c>
      <c r="H109">
        <v>-0.55210000000000004</v>
      </c>
      <c r="I109">
        <v>0</v>
      </c>
      <c r="J109">
        <v>0</v>
      </c>
      <c r="K109">
        <v>0</v>
      </c>
      <c r="L109">
        <v>0.43809999999999999</v>
      </c>
    </row>
    <row r="110" spans="1:12" x14ac:dyDescent="0.35">
      <c r="A110">
        <v>0.4</v>
      </c>
      <c r="B110">
        <v>0.36470000000000002</v>
      </c>
      <c r="C110">
        <v>8.8299999999999993E-3</v>
      </c>
      <c r="D110">
        <v>1.8799999999999999E-3</v>
      </c>
      <c r="E110">
        <v>-6.6699999999999995E-2</v>
      </c>
      <c r="F110">
        <v>0.05</v>
      </c>
      <c r="G110">
        <v>0.05</v>
      </c>
      <c r="H110">
        <v>-0.55730000000000002</v>
      </c>
      <c r="I110">
        <v>0</v>
      </c>
      <c r="J110">
        <v>0</v>
      </c>
      <c r="K110">
        <v>0</v>
      </c>
      <c r="L110">
        <v>0.43240000000000001</v>
      </c>
    </row>
    <row r="111" spans="1:12" x14ac:dyDescent="0.35">
      <c r="A111">
        <v>0.45</v>
      </c>
      <c r="B111">
        <v>0.37530000000000002</v>
      </c>
      <c r="C111">
        <v>8.8500000000000002E-3</v>
      </c>
      <c r="D111">
        <v>1.9E-3</v>
      </c>
      <c r="E111">
        <v>-6.6600000000000006E-2</v>
      </c>
      <c r="F111">
        <v>0.05</v>
      </c>
      <c r="G111">
        <v>0.05</v>
      </c>
      <c r="H111">
        <v>-0.56240000000000001</v>
      </c>
      <c r="I111">
        <v>0</v>
      </c>
      <c r="J111">
        <v>0</v>
      </c>
      <c r="K111">
        <v>0</v>
      </c>
      <c r="L111">
        <v>0.42709999999999998</v>
      </c>
    </row>
    <row r="112" spans="1:12" x14ac:dyDescent="0.35">
      <c r="A112">
        <v>0.5</v>
      </c>
      <c r="B112">
        <v>0.38590000000000002</v>
      </c>
      <c r="C112">
        <v>8.8599999999999998E-3</v>
      </c>
      <c r="D112">
        <v>1.9300000000000001E-3</v>
      </c>
      <c r="E112">
        <v>-6.6600000000000006E-2</v>
      </c>
      <c r="F112">
        <v>0.05</v>
      </c>
      <c r="G112">
        <v>0.05</v>
      </c>
      <c r="H112">
        <v>-0.56769999999999998</v>
      </c>
      <c r="I112">
        <v>0</v>
      </c>
      <c r="J112">
        <v>0</v>
      </c>
      <c r="K112">
        <v>0</v>
      </c>
      <c r="L112">
        <v>0.4219</v>
      </c>
    </row>
    <row r="113" spans="1:12" x14ac:dyDescent="0.35">
      <c r="A113">
        <v>0.55000000000000004</v>
      </c>
      <c r="B113">
        <v>0.39650000000000002</v>
      </c>
      <c r="C113">
        <v>8.8800000000000007E-3</v>
      </c>
      <c r="D113">
        <v>1.9499999999999999E-3</v>
      </c>
      <c r="E113">
        <v>-6.6500000000000004E-2</v>
      </c>
      <c r="F113">
        <v>0.05</v>
      </c>
      <c r="G113">
        <v>0.05</v>
      </c>
      <c r="H113">
        <v>-0.59109999999999996</v>
      </c>
      <c r="I113">
        <v>0</v>
      </c>
      <c r="J113">
        <v>0</v>
      </c>
      <c r="K113">
        <v>0</v>
      </c>
      <c r="L113">
        <v>0.41710000000000003</v>
      </c>
    </row>
    <row r="114" spans="1:12" x14ac:dyDescent="0.35">
      <c r="A114">
        <v>0.6</v>
      </c>
      <c r="B114">
        <v>0.40720000000000001</v>
      </c>
      <c r="C114">
        <v>8.8900000000000003E-3</v>
      </c>
      <c r="D114">
        <v>1.97E-3</v>
      </c>
      <c r="E114">
        <v>-6.6400000000000001E-2</v>
      </c>
      <c r="F114">
        <v>0.05</v>
      </c>
      <c r="G114">
        <v>0.05</v>
      </c>
      <c r="H114">
        <v>-0.64359999999999995</v>
      </c>
      <c r="I114">
        <v>0</v>
      </c>
      <c r="J114">
        <v>0</v>
      </c>
      <c r="K114">
        <v>0</v>
      </c>
      <c r="L114">
        <v>0.41249999999999998</v>
      </c>
    </row>
    <row r="115" spans="1:12" x14ac:dyDescent="0.35">
      <c r="A115">
        <v>0.65</v>
      </c>
      <c r="B115">
        <v>0.4178</v>
      </c>
      <c r="C115">
        <v>8.9099999999999995E-3</v>
      </c>
      <c r="D115">
        <v>2E-3</v>
      </c>
      <c r="E115">
        <v>-6.6299999999999998E-2</v>
      </c>
      <c r="F115">
        <v>0.05</v>
      </c>
      <c r="G115">
        <v>0.05</v>
      </c>
      <c r="H115">
        <v>-0.69769999999999999</v>
      </c>
      <c r="I115">
        <v>0</v>
      </c>
      <c r="J115">
        <v>0</v>
      </c>
      <c r="K115">
        <v>0</v>
      </c>
      <c r="L115">
        <v>0.40799999999999997</v>
      </c>
    </row>
    <row r="116" spans="1:12" x14ac:dyDescent="0.35">
      <c r="A116">
        <v>0.7</v>
      </c>
      <c r="B116">
        <v>0.42849999999999999</v>
      </c>
      <c r="C116">
        <v>8.9300000000000004E-3</v>
      </c>
      <c r="D116">
        <v>2.0300000000000001E-3</v>
      </c>
      <c r="E116">
        <v>-6.6199999999999995E-2</v>
      </c>
      <c r="F116">
        <v>0.05</v>
      </c>
      <c r="G116">
        <v>0.05</v>
      </c>
      <c r="H116">
        <v>-0.75339999999999996</v>
      </c>
      <c r="I116">
        <v>0</v>
      </c>
      <c r="J116">
        <v>0</v>
      </c>
      <c r="K116">
        <v>0</v>
      </c>
      <c r="L116">
        <v>0.40379999999999999</v>
      </c>
    </row>
    <row r="117" spans="1:12" x14ac:dyDescent="0.35">
      <c r="A117">
        <v>0.75</v>
      </c>
      <c r="B117">
        <v>0.43909999999999999</v>
      </c>
      <c r="C117">
        <v>8.9499999999999996E-3</v>
      </c>
      <c r="D117">
        <v>2.0600000000000002E-3</v>
      </c>
      <c r="E117">
        <v>-6.6100000000000006E-2</v>
      </c>
      <c r="F117">
        <v>0.05</v>
      </c>
      <c r="G117">
        <v>0.05</v>
      </c>
      <c r="H117">
        <v>-0.81069999999999998</v>
      </c>
      <c r="I117">
        <v>0</v>
      </c>
      <c r="J117">
        <v>0</v>
      </c>
      <c r="K117">
        <v>0</v>
      </c>
      <c r="L117">
        <v>0.39979999999999999</v>
      </c>
    </row>
    <row r="118" spans="1:12" x14ac:dyDescent="0.35">
      <c r="A118">
        <v>0.8</v>
      </c>
      <c r="B118">
        <v>0.44979999999999998</v>
      </c>
      <c r="C118">
        <v>8.9599999999999992E-3</v>
      </c>
      <c r="D118">
        <v>2.0899999999999998E-3</v>
      </c>
      <c r="E118">
        <v>-6.59E-2</v>
      </c>
      <c r="F118">
        <v>0.05</v>
      </c>
      <c r="G118">
        <v>0.05</v>
      </c>
      <c r="H118">
        <v>-0.86970000000000003</v>
      </c>
      <c r="I118">
        <v>0</v>
      </c>
      <c r="J118">
        <v>0</v>
      </c>
      <c r="K118">
        <v>0</v>
      </c>
      <c r="L118">
        <v>0.39589999999999997</v>
      </c>
    </row>
    <row r="119" spans="1:12" x14ac:dyDescent="0.35">
      <c r="A119">
        <v>0.85</v>
      </c>
      <c r="B119">
        <v>0.46060000000000001</v>
      </c>
      <c r="C119">
        <v>8.9800000000000001E-3</v>
      </c>
      <c r="D119">
        <v>2.1199999999999999E-3</v>
      </c>
      <c r="E119">
        <v>-6.5799999999999997E-2</v>
      </c>
      <c r="F119">
        <v>0.05</v>
      </c>
      <c r="G119">
        <v>0.05</v>
      </c>
      <c r="H119">
        <v>-0.93030000000000002</v>
      </c>
      <c r="I119">
        <v>0</v>
      </c>
      <c r="J119">
        <v>0</v>
      </c>
      <c r="K119">
        <v>0</v>
      </c>
      <c r="L119">
        <v>0.39219999999999999</v>
      </c>
    </row>
    <row r="120" spans="1:12" x14ac:dyDescent="0.35">
      <c r="A120">
        <v>0.9</v>
      </c>
      <c r="B120">
        <v>0.47039999999999998</v>
      </c>
      <c r="C120">
        <v>9.0600000000000003E-3</v>
      </c>
      <c r="D120">
        <v>2.1800000000000001E-3</v>
      </c>
      <c r="E120">
        <v>-6.5500000000000003E-2</v>
      </c>
      <c r="F120">
        <v>3.9100000000000003E-2</v>
      </c>
      <c r="G120">
        <v>0.05</v>
      </c>
      <c r="H120">
        <v>-0.98870000000000002</v>
      </c>
      <c r="I120">
        <v>0</v>
      </c>
      <c r="J120">
        <v>0</v>
      </c>
      <c r="K120">
        <v>0</v>
      </c>
      <c r="L120">
        <v>0.3886</v>
      </c>
    </row>
    <row r="121" spans="1:12" x14ac:dyDescent="0.35">
      <c r="A121">
        <v>0.95</v>
      </c>
      <c r="B121">
        <v>0.48060000000000003</v>
      </c>
      <c r="C121">
        <v>9.11E-3</v>
      </c>
      <c r="D121">
        <v>2.2300000000000002E-3</v>
      </c>
      <c r="E121">
        <v>-6.5299999999999997E-2</v>
      </c>
      <c r="F121">
        <v>3.3300000000000003E-2</v>
      </c>
      <c r="G121">
        <v>0.05</v>
      </c>
      <c r="H121">
        <v>-1.0504</v>
      </c>
      <c r="I121">
        <v>0</v>
      </c>
      <c r="J121">
        <v>0</v>
      </c>
      <c r="K121">
        <v>0</v>
      </c>
      <c r="L121">
        <v>0.3851</v>
      </c>
    </row>
    <row r="122" spans="1:12" x14ac:dyDescent="0.35">
      <c r="A122">
        <v>1</v>
      </c>
      <c r="B122">
        <v>0.49109999999999998</v>
      </c>
      <c r="C122">
        <v>9.1500000000000001E-3</v>
      </c>
      <c r="D122">
        <v>2.2799999999999999E-3</v>
      </c>
      <c r="E122">
        <v>-6.5100000000000005E-2</v>
      </c>
      <c r="F122">
        <v>3.0800000000000001E-2</v>
      </c>
      <c r="G122">
        <v>0.05</v>
      </c>
      <c r="H122">
        <v>-1.1153</v>
      </c>
      <c r="I122">
        <v>0</v>
      </c>
      <c r="J122">
        <v>0</v>
      </c>
      <c r="K122">
        <v>0</v>
      </c>
      <c r="L122">
        <v>0.38179999999999997</v>
      </c>
    </row>
    <row r="123" spans="1:12" x14ac:dyDescent="0.35">
      <c r="A123">
        <v>1.05</v>
      </c>
      <c r="B123">
        <v>0.50149999999999995</v>
      </c>
      <c r="C123">
        <v>9.1999999999999998E-3</v>
      </c>
      <c r="D123">
        <v>2.33E-3</v>
      </c>
      <c r="E123">
        <v>-6.4899999999999999E-2</v>
      </c>
      <c r="F123">
        <v>2.8500000000000001E-2</v>
      </c>
      <c r="G123">
        <v>0.05</v>
      </c>
      <c r="H123">
        <v>-1.1818</v>
      </c>
      <c r="I123">
        <v>0</v>
      </c>
      <c r="J123">
        <v>0</v>
      </c>
      <c r="K123">
        <v>0</v>
      </c>
      <c r="L123">
        <v>0.37859999999999999</v>
      </c>
    </row>
    <row r="124" spans="1:12" x14ac:dyDescent="0.35">
      <c r="A124">
        <v>1.1000000000000001</v>
      </c>
      <c r="B124">
        <v>0.51200000000000001</v>
      </c>
      <c r="C124">
        <v>9.2499999999999995E-3</v>
      </c>
      <c r="D124">
        <v>2.3900000000000002E-3</v>
      </c>
      <c r="E124">
        <v>-6.4600000000000005E-2</v>
      </c>
      <c r="F124">
        <v>2.63E-2</v>
      </c>
      <c r="G124">
        <v>0.05</v>
      </c>
      <c r="H124">
        <v>-1.2499</v>
      </c>
      <c r="I124">
        <v>0</v>
      </c>
      <c r="J124">
        <v>0</v>
      </c>
      <c r="K124">
        <v>0</v>
      </c>
      <c r="L124">
        <v>0.37540000000000001</v>
      </c>
    </row>
    <row r="125" spans="1:12" x14ac:dyDescent="0.35">
      <c r="A125">
        <v>1.1499999999999999</v>
      </c>
      <c r="B125">
        <v>0.52249999999999996</v>
      </c>
      <c r="C125">
        <v>9.2899999999999996E-3</v>
      </c>
      <c r="D125">
        <v>2.4499999999999999E-3</v>
      </c>
      <c r="E125">
        <v>-6.4299999999999996E-2</v>
      </c>
      <c r="F125">
        <v>2.41E-2</v>
      </c>
      <c r="G125">
        <v>0.05</v>
      </c>
      <c r="H125">
        <v>-1.3185</v>
      </c>
      <c r="I125">
        <v>0</v>
      </c>
      <c r="J125">
        <v>0</v>
      </c>
      <c r="K125">
        <v>0</v>
      </c>
      <c r="L125">
        <v>0.37230000000000002</v>
      </c>
    </row>
    <row r="126" spans="1:12" x14ac:dyDescent="0.35">
      <c r="A126">
        <v>1.2</v>
      </c>
      <c r="B126">
        <v>0.53310000000000002</v>
      </c>
      <c r="C126">
        <v>9.3399999999999993E-3</v>
      </c>
      <c r="D126">
        <v>2.5100000000000001E-3</v>
      </c>
      <c r="E126">
        <v>-6.4100000000000004E-2</v>
      </c>
      <c r="F126">
        <v>2.3E-2</v>
      </c>
      <c r="G126">
        <v>0.05</v>
      </c>
      <c r="H126">
        <v>-1.39</v>
      </c>
      <c r="I126">
        <v>0</v>
      </c>
      <c r="J126">
        <v>0</v>
      </c>
      <c r="K126">
        <v>0</v>
      </c>
      <c r="L126">
        <v>0.36940000000000001</v>
      </c>
    </row>
    <row r="127" spans="1:12" x14ac:dyDescent="0.35">
      <c r="A127">
        <v>1.25</v>
      </c>
      <c r="B127">
        <v>0.54369999999999996</v>
      </c>
      <c r="C127">
        <v>9.3799999999999994E-3</v>
      </c>
      <c r="D127">
        <v>2.5799999999999998E-3</v>
      </c>
      <c r="E127">
        <v>-6.3799999999999996E-2</v>
      </c>
      <c r="F127">
        <v>2.2100000000000002E-2</v>
      </c>
      <c r="G127">
        <v>0.05</v>
      </c>
      <c r="H127">
        <v>-1.4643999999999999</v>
      </c>
      <c r="I127">
        <v>0</v>
      </c>
      <c r="J127">
        <v>0</v>
      </c>
      <c r="K127">
        <v>0</v>
      </c>
      <c r="L127">
        <v>0.3664</v>
      </c>
    </row>
    <row r="128" spans="1:12" x14ac:dyDescent="0.35">
      <c r="A128">
        <v>1.3</v>
      </c>
      <c r="B128">
        <v>0.55430000000000001</v>
      </c>
      <c r="C128">
        <v>9.4299999999999991E-3</v>
      </c>
      <c r="D128">
        <v>2.65E-3</v>
      </c>
      <c r="E128">
        <v>-6.3500000000000001E-2</v>
      </c>
      <c r="F128">
        <v>2.1100000000000001E-2</v>
      </c>
      <c r="G128">
        <v>0.05</v>
      </c>
      <c r="H128">
        <v>-1.5397000000000001</v>
      </c>
      <c r="I128">
        <v>0</v>
      </c>
      <c r="J128">
        <v>0</v>
      </c>
      <c r="K128">
        <v>0</v>
      </c>
      <c r="L128">
        <v>0.36359999999999998</v>
      </c>
    </row>
    <row r="129" spans="1:12" x14ac:dyDescent="0.35">
      <c r="A129">
        <v>1.35</v>
      </c>
      <c r="B129">
        <v>0.56489999999999996</v>
      </c>
      <c r="C129">
        <v>9.4900000000000002E-3</v>
      </c>
      <c r="D129">
        <v>2.7299999999999998E-3</v>
      </c>
      <c r="E129">
        <v>-6.3100000000000003E-2</v>
      </c>
      <c r="F129">
        <v>0.02</v>
      </c>
      <c r="G129">
        <v>0.05</v>
      </c>
      <c r="H129">
        <v>-1.6152</v>
      </c>
      <c r="I129">
        <v>0</v>
      </c>
      <c r="J129">
        <v>0</v>
      </c>
      <c r="K129">
        <v>0</v>
      </c>
      <c r="L129">
        <v>0.36080000000000001</v>
      </c>
    </row>
    <row r="130" spans="1:12" x14ac:dyDescent="0.35">
      <c r="A130">
        <v>1.4</v>
      </c>
      <c r="B130">
        <v>0.57540000000000002</v>
      </c>
      <c r="C130">
        <v>9.5499999999999995E-3</v>
      </c>
      <c r="D130">
        <v>2.82E-3</v>
      </c>
      <c r="E130">
        <v>-6.2700000000000006E-2</v>
      </c>
      <c r="F130">
        <v>1.9099999999999999E-2</v>
      </c>
      <c r="G130">
        <v>0.05</v>
      </c>
      <c r="H130">
        <v>-1.69</v>
      </c>
      <c r="I130">
        <v>0</v>
      </c>
      <c r="J130">
        <v>0</v>
      </c>
      <c r="K130">
        <v>0</v>
      </c>
      <c r="L130">
        <v>0.35809999999999997</v>
      </c>
    </row>
    <row r="131" spans="1:12" x14ac:dyDescent="0.35">
      <c r="A131">
        <v>1.45</v>
      </c>
      <c r="B131">
        <v>0.58589999999999998</v>
      </c>
      <c r="C131">
        <v>9.6200000000000001E-3</v>
      </c>
      <c r="D131">
        <v>2.9199999999999999E-3</v>
      </c>
      <c r="E131">
        <v>-6.2300000000000001E-2</v>
      </c>
      <c r="F131">
        <v>1.83E-2</v>
      </c>
      <c r="G131">
        <v>0.05</v>
      </c>
      <c r="H131">
        <v>-1.7636000000000001</v>
      </c>
      <c r="I131">
        <v>0</v>
      </c>
      <c r="J131">
        <v>0</v>
      </c>
      <c r="K131">
        <v>0</v>
      </c>
      <c r="L131">
        <v>0.35539999999999999</v>
      </c>
    </row>
    <row r="132" spans="1:12" x14ac:dyDescent="0.35">
      <c r="A132">
        <v>1.5</v>
      </c>
      <c r="B132">
        <v>0.59619999999999995</v>
      </c>
      <c r="C132">
        <v>9.7000000000000003E-3</v>
      </c>
      <c r="D132">
        <v>3.0300000000000001E-3</v>
      </c>
      <c r="E132">
        <v>-6.1899999999999997E-2</v>
      </c>
      <c r="F132">
        <v>1.7500000000000002E-2</v>
      </c>
      <c r="G132">
        <v>0.05</v>
      </c>
      <c r="H132">
        <v>-1.8364</v>
      </c>
      <c r="I132">
        <v>0</v>
      </c>
      <c r="J132">
        <v>0</v>
      </c>
      <c r="K132">
        <v>0</v>
      </c>
      <c r="L132">
        <v>0.35270000000000001</v>
      </c>
    </row>
    <row r="133" spans="1:12" x14ac:dyDescent="0.35">
      <c r="A133">
        <v>1.55</v>
      </c>
      <c r="B133">
        <v>0.60650000000000004</v>
      </c>
      <c r="C133">
        <v>9.7900000000000001E-3</v>
      </c>
      <c r="D133">
        <v>3.15E-3</v>
      </c>
      <c r="E133">
        <v>-6.13E-2</v>
      </c>
      <c r="F133">
        <v>1.6899999999999998E-2</v>
      </c>
      <c r="G133">
        <v>0.05</v>
      </c>
      <c r="H133">
        <v>-1.9089</v>
      </c>
      <c r="I133">
        <v>0</v>
      </c>
      <c r="J133">
        <v>0</v>
      </c>
      <c r="K133">
        <v>0</v>
      </c>
      <c r="L133">
        <v>0.35010000000000002</v>
      </c>
    </row>
    <row r="134" spans="1:12" x14ac:dyDescent="0.35">
      <c r="A134">
        <v>1.6</v>
      </c>
      <c r="B134">
        <v>0.61660000000000004</v>
      </c>
      <c r="C134">
        <v>9.9000000000000008E-3</v>
      </c>
      <c r="D134">
        <v>3.29E-3</v>
      </c>
      <c r="E134">
        <v>-6.08E-2</v>
      </c>
      <c r="F134">
        <v>1.6400000000000001E-2</v>
      </c>
      <c r="G134">
        <v>0.05</v>
      </c>
      <c r="H134">
        <v>-1.9809000000000001</v>
      </c>
      <c r="I134">
        <v>0</v>
      </c>
      <c r="J134">
        <v>0</v>
      </c>
      <c r="K134">
        <v>0</v>
      </c>
      <c r="L134">
        <v>0.34749999999999998</v>
      </c>
    </row>
    <row r="135" spans="1:12" x14ac:dyDescent="0.35">
      <c r="A135">
        <v>1.65</v>
      </c>
      <c r="B135">
        <v>0.62660000000000005</v>
      </c>
      <c r="C135">
        <v>1.001E-2</v>
      </c>
      <c r="D135">
        <v>3.4399999999999999E-3</v>
      </c>
      <c r="E135">
        <v>-6.0199999999999997E-2</v>
      </c>
      <c r="F135">
        <v>1.5900000000000001E-2</v>
      </c>
      <c r="G135">
        <v>0.05</v>
      </c>
      <c r="H135">
        <v>-2.0516000000000001</v>
      </c>
      <c r="I135">
        <v>0</v>
      </c>
      <c r="J135">
        <v>0</v>
      </c>
      <c r="K135">
        <v>0</v>
      </c>
      <c r="L135">
        <v>0.34489999999999998</v>
      </c>
    </row>
    <row r="136" spans="1:12" x14ac:dyDescent="0.35">
      <c r="A136">
        <v>1.7</v>
      </c>
      <c r="B136">
        <v>0.63629999999999998</v>
      </c>
      <c r="C136">
        <v>1.014E-2</v>
      </c>
      <c r="D136">
        <v>3.62E-3</v>
      </c>
      <c r="E136">
        <v>-5.9499999999999997E-2</v>
      </c>
      <c r="F136">
        <v>1.5599999999999999E-2</v>
      </c>
      <c r="G136">
        <v>0.05</v>
      </c>
      <c r="H136">
        <v>-2.1257999999999999</v>
      </c>
      <c r="I136">
        <v>0</v>
      </c>
      <c r="J136">
        <v>0</v>
      </c>
      <c r="K136">
        <v>0</v>
      </c>
      <c r="L136">
        <v>0.34229999999999999</v>
      </c>
    </row>
    <row r="137" spans="1:12" x14ac:dyDescent="0.35">
      <c r="A137">
        <v>1.75</v>
      </c>
      <c r="B137">
        <v>0.64580000000000004</v>
      </c>
      <c r="C137">
        <v>1.0279999999999999E-2</v>
      </c>
      <c r="D137">
        <v>3.81E-3</v>
      </c>
      <c r="E137">
        <v>-5.8700000000000002E-2</v>
      </c>
      <c r="F137">
        <v>1.5299999999999999E-2</v>
      </c>
      <c r="G137">
        <v>0.05</v>
      </c>
      <c r="H137">
        <v>-2.2077</v>
      </c>
      <c r="I137">
        <v>0</v>
      </c>
      <c r="J137">
        <v>0</v>
      </c>
      <c r="K137">
        <v>0</v>
      </c>
      <c r="L137">
        <v>0.33979999999999999</v>
      </c>
    </row>
    <row r="138" spans="1:12" x14ac:dyDescent="0.35">
      <c r="A138">
        <v>1.8</v>
      </c>
      <c r="B138">
        <v>0.65500000000000003</v>
      </c>
      <c r="C138">
        <v>1.044E-2</v>
      </c>
      <c r="D138">
        <v>4.0200000000000001E-3</v>
      </c>
      <c r="E138">
        <v>-5.79E-2</v>
      </c>
      <c r="F138">
        <v>1.52E-2</v>
      </c>
      <c r="G138">
        <v>0.05</v>
      </c>
      <c r="H138">
        <v>-2.2845</v>
      </c>
      <c r="I138">
        <v>0</v>
      </c>
      <c r="J138">
        <v>0</v>
      </c>
      <c r="K138">
        <v>0</v>
      </c>
      <c r="L138">
        <v>0.33729999999999999</v>
      </c>
    </row>
    <row r="139" spans="1:12" x14ac:dyDescent="0.35">
      <c r="A139">
        <v>1.85</v>
      </c>
      <c r="B139">
        <v>0.66390000000000005</v>
      </c>
      <c r="C139">
        <v>1.0619999999999999E-2</v>
      </c>
      <c r="D139">
        <v>4.2500000000000003E-3</v>
      </c>
      <c r="E139">
        <v>-5.7099999999999998E-2</v>
      </c>
      <c r="F139">
        <v>1.5100000000000001E-2</v>
      </c>
      <c r="G139">
        <v>0.05</v>
      </c>
      <c r="H139">
        <v>-2.3569</v>
      </c>
      <c r="I139">
        <v>0</v>
      </c>
      <c r="J139">
        <v>0</v>
      </c>
      <c r="K139">
        <v>0</v>
      </c>
      <c r="L139">
        <v>0.3347</v>
      </c>
    </row>
    <row r="140" spans="1:12" x14ac:dyDescent="0.35">
      <c r="A140">
        <v>1.9</v>
      </c>
      <c r="B140">
        <v>0.67259999999999998</v>
      </c>
      <c r="C140">
        <v>1.082E-2</v>
      </c>
      <c r="D140">
        <v>4.4999999999999997E-3</v>
      </c>
      <c r="E140">
        <v>-5.6099999999999997E-2</v>
      </c>
      <c r="F140">
        <v>1.4999999999999999E-2</v>
      </c>
      <c r="G140">
        <v>0.05</v>
      </c>
      <c r="H140">
        <v>-2.4247999999999998</v>
      </c>
      <c r="I140">
        <v>0</v>
      </c>
      <c r="J140">
        <v>0</v>
      </c>
      <c r="K140">
        <v>0</v>
      </c>
      <c r="L140">
        <v>0.3322</v>
      </c>
    </row>
    <row r="141" spans="1:12" x14ac:dyDescent="0.35">
      <c r="A141">
        <v>1.95</v>
      </c>
      <c r="B141">
        <v>0.68100000000000005</v>
      </c>
      <c r="C141">
        <v>1.103E-2</v>
      </c>
      <c r="D141">
        <v>4.7600000000000003E-3</v>
      </c>
      <c r="E141">
        <v>-5.5100000000000003E-2</v>
      </c>
      <c r="F141">
        <v>1.4999999999999999E-2</v>
      </c>
      <c r="G141">
        <v>0.05</v>
      </c>
      <c r="H141">
        <v>-2.4883000000000002</v>
      </c>
      <c r="I141">
        <v>0</v>
      </c>
      <c r="J141">
        <v>0</v>
      </c>
      <c r="K141">
        <v>0</v>
      </c>
      <c r="L141">
        <v>0.32969999999999999</v>
      </c>
    </row>
    <row r="142" spans="1:12" x14ac:dyDescent="0.35">
      <c r="A142">
        <v>2</v>
      </c>
      <c r="B142">
        <v>0.68920000000000003</v>
      </c>
      <c r="C142">
        <v>1.125E-2</v>
      </c>
      <c r="D142">
        <v>5.0400000000000002E-3</v>
      </c>
      <c r="E142">
        <v>-5.4100000000000002E-2</v>
      </c>
      <c r="F142">
        <v>1.49E-2</v>
      </c>
      <c r="G142">
        <v>0.05</v>
      </c>
      <c r="H142">
        <v>-2.5474999999999999</v>
      </c>
      <c r="I142">
        <v>0</v>
      </c>
      <c r="J142">
        <v>0</v>
      </c>
      <c r="K142">
        <v>0</v>
      </c>
      <c r="L142">
        <v>0.3271</v>
      </c>
    </row>
    <row r="143" spans="1:12" x14ac:dyDescent="0.35">
      <c r="A143">
        <v>2.0499999999999998</v>
      </c>
      <c r="B143">
        <v>0.69730000000000003</v>
      </c>
      <c r="C143">
        <v>1.149E-2</v>
      </c>
      <c r="D143">
        <v>5.3400000000000001E-3</v>
      </c>
      <c r="E143">
        <v>-5.2999999999999999E-2</v>
      </c>
      <c r="F143">
        <v>1.49E-2</v>
      </c>
      <c r="G143">
        <v>0.05</v>
      </c>
      <c r="H143">
        <v>-2.6023999999999998</v>
      </c>
      <c r="I143">
        <v>0</v>
      </c>
      <c r="J143">
        <v>0</v>
      </c>
      <c r="K143">
        <v>0</v>
      </c>
      <c r="L143">
        <v>0.3246</v>
      </c>
    </row>
    <row r="144" spans="1:12" x14ac:dyDescent="0.35">
      <c r="A144">
        <v>2.1</v>
      </c>
      <c r="B144">
        <v>0.70530000000000004</v>
      </c>
      <c r="C144">
        <v>1.175E-2</v>
      </c>
      <c r="D144">
        <v>5.6499999999999996E-3</v>
      </c>
      <c r="E144">
        <v>-5.1900000000000002E-2</v>
      </c>
      <c r="F144">
        <v>1.4800000000000001E-2</v>
      </c>
      <c r="G144">
        <v>0.05</v>
      </c>
      <c r="H144">
        <v>-2.6535000000000002</v>
      </c>
      <c r="I144">
        <v>0</v>
      </c>
      <c r="J144">
        <v>0</v>
      </c>
      <c r="K144">
        <v>0</v>
      </c>
      <c r="L144">
        <v>0.3221</v>
      </c>
    </row>
    <row r="145" spans="1:12" x14ac:dyDescent="0.35">
      <c r="A145">
        <v>2.15</v>
      </c>
      <c r="B145">
        <v>0.71350000000000002</v>
      </c>
      <c r="C145">
        <v>1.2019999999999999E-2</v>
      </c>
      <c r="D145">
        <v>5.9800000000000001E-3</v>
      </c>
      <c r="E145">
        <v>-5.0700000000000002E-2</v>
      </c>
      <c r="F145">
        <v>1.47E-2</v>
      </c>
      <c r="G145">
        <v>0.05</v>
      </c>
      <c r="H145">
        <v>-2.7010000000000001</v>
      </c>
      <c r="I145">
        <v>0</v>
      </c>
      <c r="J145">
        <v>0</v>
      </c>
      <c r="K145">
        <v>0</v>
      </c>
      <c r="L145">
        <v>0.31969999999999998</v>
      </c>
    </row>
    <row r="146" spans="1:12" x14ac:dyDescent="0.35">
      <c r="A146">
        <v>2.2000000000000002</v>
      </c>
      <c r="B146">
        <v>0.7218</v>
      </c>
      <c r="C146">
        <v>1.231E-2</v>
      </c>
      <c r="D146">
        <v>6.3299999999999997E-3</v>
      </c>
      <c r="E146">
        <v>-4.9599999999999998E-2</v>
      </c>
      <c r="F146">
        <v>1.46E-2</v>
      </c>
      <c r="G146">
        <v>0.05</v>
      </c>
      <c r="H146">
        <v>-2.7452000000000001</v>
      </c>
      <c r="I146">
        <v>0</v>
      </c>
      <c r="J146">
        <v>0</v>
      </c>
      <c r="K146">
        <v>0</v>
      </c>
      <c r="L146">
        <v>0.31719999999999998</v>
      </c>
    </row>
    <row r="147" spans="1:12" x14ac:dyDescent="0.35">
      <c r="A147">
        <v>2.25</v>
      </c>
      <c r="B147">
        <v>0.73050000000000004</v>
      </c>
      <c r="C147">
        <v>1.2619999999999999E-2</v>
      </c>
      <c r="D147">
        <v>6.7000000000000002E-3</v>
      </c>
      <c r="E147">
        <v>-4.8500000000000001E-2</v>
      </c>
      <c r="F147">
        <v>1.4500000000000001E-2</v>
      </c>
      <c r="G147">
        <v>0.05</v>
      </c>
      <c r="H147">
        <v>-2.7858999999999998</v>
      </c>
      <c r="I147">
        <v>0</v>
      </c>
      <c r="J147">
        <v>0</v>
      </c>
      <c r="K147">
        <v>0</v>
      </c>
      <c r="L147">
        <v>0.31490000000000001</v>
      </c>
    </row>
    <row r="148" spans="1:12" x14ac:dyDescent="0.35">
      <c r="A148">
        <v>2.2999999999999998</v>
      </c>
      <c r="B148">
        <v>0.73950000000000005</v>
      </c>
      <c r="C148">
        <v>1.295E-2</v>
      </c>
      <c r="D148">
        <v>7.0899999999999999E-3</v>
      </c>
      <c r="E148">
        <v>-4.7399999999999998E-2</v>
      </c>
      <c r="F148">
        <v>1.44E-2</v>
      </c>
      <c r="G148">
        <v>0.05</v>
      </c>
      <c r="H148">
        <v>-2.8235000000000001</v>
      </c>
      <c r="I148">
        <v>0</v>
      </c>
      <c r="J148">
        <v>0</v>
      </c>
      <c r="K148">
        <v>0</v>
      </c>
      <c r="L148">
        <v>0.3125</v>
      </c>
    </row>
    <row r="149" spans="1:12" x14ac:dyDescent="0.35">
      <c r="A149">
        <v>2.35</v>
      </c>
      <c r="B149">
        <v>0.74890000000000001</v>
      </c>
      <c r="C149">
        <v>1.3299999999999999E-2</v>
      </c>
      <c r="D149">
        <v>7.4999999999999997E-3</v>
      </c>
      <c r="E149">
        <v>-4.6300000000000001E-2</v>
      </c>
      <c r="F149">
        <v>1.43E-2</v>
      </c>
      <c r="G149">
        <v>0.05</v>
      </c>
      <c r="H149">
        <v>-2.8576999999999999</v>
      </c>
      <c r="I149">
        <v>0</v>
      </c>
      <c r="J149">
        <v>0</v>
      </c>
      <c r="K149">
        <v>0</v>
      </c>
      <c r="L149">
        <v>0.31030000000000002</v>
      </c>
    </row>
    <row r="150" spans="1:12" x14ac:dyDescent="0.35">
      <c r="A150">
        <v>2.4</v>
      </c>
      <c r="B150">
        <v>0.75880000000000003</v>
      </c>
      <c r="C150">
        <v>1.367E-2</v>
      </c>
      <c r="D150">
        <v>7.9399999999999991E-3</v>
      </c>
      <c r="E150">
        <v>-4.53E-2</v>
      </c>
      <c r="F150">
        <v>1.4200000000000001E-2</v>
      </c>
      <c r="G150">
        <v>0.05</v>
      </c>
      <c r="H150">
        <v>-2.8887</v>
      </c>
      <c r="I150">
        <v>0</v>
      </c>
      <c r="J150">
        <v>0</v>
      </c>
      <c r="K150">
        <v>0</v>
      </c>
      <c r="L150">
        <v>0.30809999999999998</v>
      </c>
    </row>
    <row r="151" spans="1:12" x14ac:dyDescent="0.35">
      <c r="A151">
        <v>2.4500000000000002</v>
      </c>
      <c r="B151">
        <v>0.76890000000000003</v>
      </c>
      <c r="C151">
        <v>1.4069999999999999E-2</v>
      </c>
      <c r="D151">
        <v>8.4100000000000008E-3</v>
      </c>
      <c r="E151">
        <v>-4.4299999999999999E-2</v>
      </c>
      <c r="F151">
        <v>1.41E-2</v>
      </c>
      <c r="G151">
        <v>0.05</v>
      </c>
      <c r="H151">
        <v>-2.9165999999999999</v>
      </c>
      <c r="I151">
        <v>0</v>
      </c>
      <c r="J151">
        <v>0</v>
      </c>
      <c r="K151">
        <v>0</v>
      </c>
      <c r="L151">
        <v>0.30599999999999999</v>
      </c>
    </row>
    <row r="152" spans="1:12" x14ac:dyDescent="0.35">
      <c r="A152">
        <v>2.5</v>
      </c>
      <c r="B152">
        <v>0.77929999999999999</v>
      </c>
      <c r="C152">
        <v>1.4489999999999999E-2</v>
      </c>
      <c r="D152">
        <v>8.9099999999999995E-3</v>
      </c>
      <c r="E152">
        <v>-4.3299999999999998E-2</v>
      </c>
      <c r="F152">
        <v>1.4E-2</v>
      </c>
      <c r="G152">
        <v>0.05</v>
      </c>
      <c r="H152">
        <v>-2.9413</v>
      </c>
      <c r="I152">
        <v>0</v>
      </c>
      <c r="J152">
        <v>0</v>
      </c>
      <c r="K152">
        <v>0</v>
      </c>
      <c r="L152">
        <v>0.30399999999999999</v>
      </c>
    </row>
    <row r="153" spans="1:12" x14ac:dyDescent="0.35">
      <c r="A153">
        <v>2.5499999999999998</v>
      </c>
      <c r="B153">
        <v>0.78959999999999997</v>
      </c>
      <c r="C153">
        <v>1.4930000000000001E-2</v>
      </c>
      <c r="D153">
        <v>9.4299999999999991E-3</v>
      </c>
      <c r="E153">
        <v>-4.24E-2</v>
      </c>
      <c r="F153">
        <v>1.3899999999999999E-2</v>
      </c>
      <c r="G153">
        <v>0.05</v>
      </c>
      <c r="H153">
        <v>-2.9622999999999999</v>
      </c>
      <c r="I153">
        <v>0</v>
      </c>
      <c r="J153">
        <v>0</v>
      </c>
      <c r="K153">
        <v>0</v>
      </c>
      <c r="L153">
        <v>0.30199999999999999</v>
      </c>
    </row>
    <row r="154" spans="1:12" x14ac:dyDescent="0.35">
      <c r="A154">
        <v>2.6</v>
      </c>
      <c r="B154">
        <v>0.79979999999999996</v>
      </c>
      <c r="C154">
        <v>1.54E-2</v>
      </c>
      <c r="D154">
        <v>9.9699999999999997E-3</v>
      </c>
      <c r="E154">
        <v>-4.1500000000000002E-2</v>
      </c>
      <c r="F154">
        <v>1.37E-2</v>
      </c>
      <c r="G154">
        <v>0.05</v>
      </c>
      <c r="H154">
        <v>-2.9752000000000001</v>
      </c>
      <c r="I154">
        <v>0</v>
      </c>
      <c r="J154">
        <v>0</v>
      </c>
      <c r="K154">
        <v>0</v>
      </c>
      <c r="L154">
        <v>0.30020000000000002</v>
      </c>
    </row>
    <row r="155" spans="1:12" x14ac:dyDescent="0.35">
      <c r="A155">
        <v>2.65</v>
      </c>
      <c r="B155">
        <v>0.80969999999999998</v>
      </c>
      <c r="C155">
        <v>1.5890000000000001E-2</v>
      </c>
      <c r="D155">
        <v>1.0540000000000001E-2</v>
      </c>
      <c r="E155">
        <v>-4.0500000000000001E-2</v>
      </c>
      <c r="F155">
        <v>1.3599999999999999E-2</v>
      </c>
      <c r="G155">
        <v>0.05</v>
      </c>
      <c r="H155">
        <v>-2.9855</v>
      </c>
      <c r="I155">
        <v>0</v>
      </c>
      <c r="J155">
        <v>0</v>
      </c>
      <c r="K155">
        <v>0</v>
      </c>
      <c r="L155">
        <v>0.29830000000000001</v>
      </c>
    </row>
    <row r="156" spans="1:12" x14ac:dyDescent="0.35">
      <c r="A156">
        <v>2.7</v>
      </c>
      <c r="B156">
        <v>0.81910000000000005</v>
      </c>
      <c r="C156">
        <v>1.6400000000000001E-2</v>
      </c>
      <c r="D156">
        <v>1.1140000000000001E-2</v>
      </c>
      <c r="E156">
        <v>-3.9600000000000003E-2</v>
      </c>
      <c r="F156">
        <v>1.35E-2</v>
      </c>
      <c r="G156">
        <v>0.05</v>
      </c>
      <c r="H156">
        <v>-2.9933999999999998</v>
      </c>
      <c r="I156">
        <v>0</v>
      </c>
      <c r="J156">
        <v>0</v>
      </c>
      <c r="K156">
        <v>0</v>
      </c>
      <c r="L156">
        <v>0.29659999999999997</v>
      </c>
    </row>
    <row r="157" spans="1:12" x14ac:dyDescent="0.35">
      <c r="A157">
        <v>2.75</v>
      </c>
      <c r="B157">
        <v>0.82799999999999996</v>
      </c>
      <c r="C157">
        <v>1.6930000000000001E-2</v>
      </c>
      <c r="D157">
        <v>1.175E-2</v>
      </c>
      <c r="E157">
        <v>-3.8600000000000002E-2</v>
      </c>
      <c r="F157">
        <v>1.34E-2</v>
      </c>
      <c r="G157">
        <v>0.05</v>
      </c>
      <c r="H157">
        <v>-2.9988000000000001</v>
      </c>
      <c r="I157">
        <v>0</v>
      </c>
      <c r="J157">
        <v>0</v>
      </c>
      <c r="K157">
        <v>0</v>
      </c>
      <c r="L157">
        <v>0.29480000000000001</v>
      </c>
    </row>
    <row r="158" spans="1:12" x14ac:dyDescent="0.35">
      <c r="A158">
        <v>2.8</v>
      </c>
      <c r="B158">
        <v>0.83630000000000004</v>
      </c>
      <c r="C158">
        <v>1.7479999999999999E-2</v>
      </c>
      <c r="D158">
        <v>1.239E-2</v>
      </c>
      <c r="E158">
        <v>-3.7600000000000001E-2</v>
      </c>
      <c r="F158">
        <v>1.3299999999999999E-2</v>
      </c>
      <c r="G158">
        <v>0.05</v>
      </c>
      <c r="H158">
        <v>-3.0021</v>
      </c>
      <c r="I158">
        <v>0</v>
      </c>
      <c r="J158">
        <v>0</v>
      </c>
      <c r="K158">
        <v>0</v>
      </c>
      <c r="L158">
        <v>0.29320000000000002</v>
      </c>
    </row>
    <row r="159" spans="1:12" x14ac:dyDescent="0.35">
      <c r="A159">
        <v>2.85</v>
      </c>
      <c r="B159">
        <v>0.84399999999999997</v>
      </c>
      <c r="C159">
        <v>1.805E-2</v>
      </c>
      <c r="D159">
        <v>1.304E-2</v>
      </c>
      <c r="E159">
        <v>-3.6600000000000001E-2</v>
      </c>
      <c r="F159">
        <v>1.32E-2</v>
      </c>
      <c r="G159">
        <v>0.05</v>
      </c>
      <c r="H159">
        <v>-3.0034000000000001</v>
      </c>
      <c r="I159">
        <v>0</v>
      </c>
      <c r="J159">
        <v>0</v>
      </c>
      <c r="K159">
        <v>0</v>
      </c>
      <c r="L159">
        <v>0.29160000000000003</v>
      </c>
    </row>
    <row r="160" spans="1:12" x14ac:dyDescent="0.35">
      <c r="A160">
        <v>2.9</v>
      </c>
      <c r="B160">
        <v>0.85099999999999998</v>
      </c>
      <c r="C160">
        <v>1.864E-2</v>
      </c>
      <c r="D160">
        <v>1.371E-2</v>
      </c>
      <c r="E160">
        <v>-3.56E-2</v>
      </c>
      <c r="F160">
        <v>1.32E-2</v>
      </c>
      <c r="G160">
        <v>0.05</v>
      </c>
      <c r="H160">
        <v>-3.0028000000000001</v>
      </c>
      <c r="I160">
        <v>0</v>
      </c>
      <c r="J160">
        <v>0</v>
      </c>
      <c r="K160">
        <v>0</v>
      </c>
      <c r="L160">
        <v>0.28999999999999998</v>
      </c>
    </row>
    <row r="161" spans="1:12" x14ac:dyDescent="0.35">
      <c r="A161">
        <v>2.95</v>
      </c>
      <c r="B161">
        <v>0.85729999999999995</v>
      </c>
      <c r="C161">
        <v>1.924E-2</v>
      </c>
      <c r="D161">
        <v>1.44E-2</v>
      </c>
      <c r="E161">
        <v>-3.4599999999999999E-2</v>
      </c>
      <c r="F161">
        <v>1.3100000000000001E-2</v>
      </c>
      <c r="G161">
        <v>0.05</v>
      </c>
      <c r="H161">
        <v>-3.0005000000000002</v>
      </c>
      <c r="I161">
        <v>0</v>
      </c>
      <c r="J161">
        <v>0</v>
      </c>
      <c r="K161">
        <v>0</v>
      </c>
      <c r="L161">
        <v>0.28849999999999998</v>
      </c>
    </row>
    <row r="162" spans="1:12" x14ac:dyDescent="0.35">
      <c r="A162">
        <v>3</v>
      </c>
      <c r="B162">
        <v>0.86299999999999999</v>
      </c>
      <c r="C162">
        <v>1.9859999999999999E-2</v>
      </c>
      <c r="D162">
        <v>1.511E-2</v>
      </c>
      <c r="E162">
        <v>-3.3599999999999998E-2</v>
      </c>
      <c r="F162">
        <v>1.29E-2</v>
      </c>
      <c r="G162">
        <v>0.05</v>
      </c>
      <c r="H162">
        <v>-2.9969999999999999</v>
      </c>
      <c r="I162">
        <v>0</v>
      </c>
      <c r="J162">
        <v>0</v>
      </c>
      <c r="K162">
        <v>0</v>
      </c>
      <c r="L162">
        <v>0.28699999999999998</v>
      </c>
    </row>
    <row r="163" spans="1:12" x14ac:dyDescent="0.35">
      <c r="A163">
        <v>3.05</v>
      </c>
      <c r="B163">
        <v>0.86799999999999999</v>
      </c>
      <c r="C163">
        <v>2.0500000000000001E-2</v>
      </c>
      <c r="D163">
        <v>1.5820000000000001E-2</v>
      </c>
      <c r="E163">
        <v>-3.2599999999999997E-2</v>
      </c>
      <c r="F163">
        <v>1.2800000000000001E-2</v>
      </c>
      <c r="G163">
        <v>0.05</v>
      </c>
      <c r="H163">
        <v>-2.9923999999999999</v>
      </c>
      <c r="I163">
        <v>0</v>
      </c>
      <c r="J163">
        <v>0</v>
      </c>
      <c r="K163">
        <v>0</v>
      </c>
      <c r="L163">
        <v>0.28560000000000002</v>
      </c>
    </row>
    <row r="164" spans="1:12" x14ac:dyDescent="0.35">
      <c r="A164">
        <v>3.1</v>
      </c>
      <c r="B164">
        <v>0.87239999999999995</v>
      </c>
      <c r="C164">
        <v>2.1160000000000002E-2</v>
      </c>
      <c r="D164">
        <v>1.6570000000000001E-2</v>
      </c>
      <c r="E164">
        <v>-3.1600000000000003E-2</v>
      </c>
      <c r="F164">
        <v>1.26E-2</v>
      </c>
      <c r="G164">
        <v>0.05</v>
      </c>
      <c r="H164">
        <v>-2.9866999999999999</v>
      </c>
      <c r="I164">
        <v>0</v>
      </c>
      <c r="J164">
        <v>0</v>
      </c>
      <c r="K164">
        <v>0</v>
      </c>
      <c r="L164">
        <v>0.2843</v>
      </c>
    </row>
    <row r="165" spans="1:12" x14ac:dyDescent="0.35">
      <c r="A165">
        <v>3.15</v>
      </c>
      <c r="B165">
        <v>0.87619999999999998</v>
      </c>
      <c r="C165">
        <v>2.1829999999999999E-2</v>
      </c>
      <c r="D165">
        <v>1.7309999999999999E-2</v>
      </c>
      <c r="E165">
        <v>-3.0599999999999999E-2</v>
      </c>
      <c r="F165">
        <v>1.2500000000000001E-2</v>
      </c>
      <c r="G165">
        <v>0.05</v>
      </c>
      <c r="H165">
        <v>-2.9815999999999998</v>
      </c>
      <c r="I165">
        <v>0</v>
      </c>
      <c r="J165">
        <v>0</v>
      </c>
      <c r="K165">
        <v>0</v>
      </c>
      <c r="L165">
        <v>0.28299999999999997</v>
      </c>
    </row>
    <row r="166" spans="1:12" x14ac:dyDescent="0.35">
      <c r="A166">
        <v>3.2</v>
      </c>
      <c r="B166">
        <v>0.87939999999999996</v>
      </c>
      <c r="C166">
        <v>2.2509999999999999E-2</v>
      </c>
      <c r="D166">
        <v>1.8069999999999999E-2</v>
      </c>
      <c r="E166">
        <v>-2.9700000000000001E-2</v>
      </c>
      <c r="F166">
        <v>1.23E-2</v>
      </c>
      <c r="G166">
        <v>0.05</v>
      </c>
      <c r="H166">
        <v>-2.9765999999999999</v>
      </c>
      <c r="I166">
        <v>0</v>
      </c>
      <c r="J166">
        <v>0</v>
      </c>
      <c r="K166">
        <v>0</v>
      </c>
      <c r="L166">
        <v>0.28170000000000001</v>
      </c>
    </row>
    <row r="167" spans="1:12" x14ac:dyDescent="0.35">
      <c r="A167">
        <v>3.25</v>
      </c>
      <c r="B167">
        <v>0.8821</v>
      </c>
      <c r="C167">
        <v>2.3210000000000001E-2</v>
      </c>
      <c r="D167">
        <v>1.883E-2</v>
      </c>
      <c r="E167">
        <v>-2.8799999999999999E-2</v>
      </c>
      <c r="F167">
        <v>1.21E-2</v>
      </c>
      <c r="G167">
        <v>0.05</v>
      </c>
      <c r="H167">
        <v>-2.9716</v>
      </c>
      <c r="I167">
        <v>0</v>
      </c>
      <c r="J167">
        <v>0</v>
      </c>
      <c r="K167">
        <v>0</v>
      </c>
      <c r="L167">
        <v>0.28060000000000002</v>
      </c>
    </row>
    <row r="168" spans="1:12" x14ac:dyDescent="0.35">
      <c r="A168">
        <v>3.3</v>
      </c>
      <c r="B168">
        <v>0.88419999999999999</v>
      </c>
      <c r="C168">
        <v>2.3910000000000001E-2</v>
      </c>
      <c r="D168">
        <v>1.9609999999999999E-2</v>
      </c>
      <c r="E168">
        <v>-2.7900000000000001E-2</v>
      </c>
      <c r="F168">
        <v>1.2E-2</v>
      </c>
      <c r="G168">
        <v>0.05</v>
      </c>
      <c r="H168">
        <v>-2.9664000000000001</v>
      </c>
      <c r="I168">
        <v>0</v>
      </c>
      <c r="J168">
        <v>0</v>
      </c>
      <c r="K168">
        <v>0</v>
      </c>
      <c r="L168">
        <v>0.27950000000000003</v>
      </c>
    </row>
    <row r="169" spans="1:12" x14ac:dyDescent="0.35">
      <c r="A169">
        <v>3.35</v>
      </c>
      <c r="B169">
        <v>0.88580000000000003</v>
      </c>
      <c r="C169">
        <v>2.4639999999999999E-2</v>
      </c>
      <c r="D169">
        <v>2.0389999999999998E-2</v>
      </c>
      <c r="E169">
        <v>-2.7E-2</v>
      </c>
      <c r="F169">
        <v>1.1900000000000001E-2</v>
      </c>
      <c r="G169">
        <v>0.05</v>
      </c>
      <c r="H169">
        <v>-2.9607000000000001</v>
      </c>
      <c r="I169">
        <v>0</v>
      </c>
      <c r="J169">
        <v>0</v>
      </c>
      <c r="K169">
        <v>0</v>
      </c>
      <c r="L169">
        <v>0.27850000000000003</v>
      </c>
    </row>
    <row r="170" spans="1:12" x14ac:dyDescent="0.35">
      <c r="A170">
        <v>3.4</v>
      </c>
      <c r="B170">
        <v>0.88690000000000002</v>
      </c>
      <c r="C170">
        <v>2.537E-2</v>
      </c>
      <c r="D170">
        <v>2.1190000000000001E-2</v>
      </c>
      <c r="E170">
        <v>-2.6200000000000001E-2</v>
      </c>
      <c r="F170">
        <v>1.1900000000000001E-2</v>
      </c>
      <c r="G170">
        <v>0.05</v>
      </c>
      <c r="H170">
        <v>-2.9546000000000001</v>
      </c>
      <c r="I170">
        <v>0</v>
      </c>
      <c r="J170">
        <v>0</v>
      </c>
      <c r="K170">
        <v>0</v>
      </c>
      <c r="L170">
        <v>0.27750000000000002</v>
      </c>
    </row>
    <row r="171" spans="1:12" x14ac:dyDescent="0.35">
      <c r="A171">
        <v>3.45</v>
      </c>
      <c r="B171">
        <v>0.88749999999999996</v>
      </c>
      <c r="C171">
        <v>2.6110000000000001E-2</v>
      </c>
      <c r="D171">
        <v>2.1989999999999999E-2</v>
      </c>
      <c r="E171">
        <v>-2.5499999999999998E-2</v>
      </c>
      <c r="F171">
        <v>1.18E-2</v>
      </c>
      <c r="G171">
        <v>0.05</v>
      </c>
      <c r="H171">
        <v>-2.9479000000000002</v>
      </c>
      <c r="I171">
        <v>0</v>
      </c>
      <c r="J171">
        <v>0</v>
      </c>
      <c r="K171">
        <v>0</v>
      </c>
      <c r="L171">
        <v>0.27660000000000001</v>
      </c>
    </row>
    <row r="172" spans="1:12" x14ac:dyDescent="0.35">
      <c r="A172">
        <v>3.5</v>
      </c>
      <c r="B172">
        <v>0.88770000000000004</v>
      </c>
      <c r="C172">
        <v>2.6870000000000002E-2</v>
      </c>
      <c r="D172">
        <v>2.2800000000000001E-2</v>
      </c>
      <c r="E172">
        <v>-2.47E-2</v>
      </c>
      <c r="F172">
        <v>1.17E-2</v>
      </c>
      <c r="G172">
        <v>0.05</v>
      </c>
      <c r="H172">
        <v>-2.9407000000000001</v>
      </c>
      <c r="I172">
        <v>0</v>
      </c>
      <c r="J172">
        <v>0</v>
      </c>
      <c r="K172">
        <v>0</v>
      </c>
      <c r="L172">
        <v>0.2757</v>
      </c>
    </row>
    <row r="173" spans="1:12" x14ac:dyDescent="0.35">
      <c r="A173">
        <v>3.55</v>
      </c>
      <c r="B173">
        <v>0.88739999999999997</v>
      </c>
      <c r="C173">
        <v>2.7640000000000001E-2</v>
      </c>
      <c r="D173">
        <v>2.3619999999999999E-2</v>
      </c>
      <c r="E173">
        <v>-2.41E-2</v>
      </c>
      <c r="F173">
        <v>1.17E-2</v>
      </c>
      <c r="G173">
        <v>0.05</v>
      </c>
      <c r="H173">
        <v>-2.9329999999999998</v>
      </c>
      <c r="I173">
        <v>0</v>
      </c>
      <c r="J173">
        <v>0</v>
      </c>
      <c r="K173">
        <v>0</v>
      </c>
      <c r="L173">
        <v>0.27500000000000002</v>
      </c>
    </row>
    <row r="174" spans="1:12" x14ac:dyDescent="0.35">
      <c r="A174">
        <v>3.6</v>
      </c>
      <c r="B174">
        <v>0.88670000000000004</v>
      </c>
      <c r="C174">
        <v>2.8420000000000001E-2</v>
      </c>
      <c r="D174">
        <v>2.445E-2</v>
      </c>
      <c r="E174">
        <v>-2.35E-2</v>
      </c>
      <c r="F174">
        <v>1.17E-2</v>
      </c>
      <c r="G174">
        <v>0.05</v>
      </c>
      <c r="H174">
        <v>-2.9247999999999998</v>
      </c>
      <c r="I174">
        <v>0</v>
      </c>
      <c r="J174">
        <v>0</v>
      </c>
      <c r="K174">
        <v>0</v>
      </c>
      <c r="L174">
        <v>0.27429999999999999</v>
      </c>
    </row>
    <row r="175" spans="1:12" x14ac:dyDescent="0.35">
      <c r="A175">
        <v>3.65</v>
      </c>
      <c r="B175">
        <v>0.88560000000000005</v>
      </c>
      <c r="C175">
        <v>2.921E-2</v>
      </c>
      <c r="D175">
        <v>2.529E-2</v>
      </c>
      <c r="E175">
        <v>-2.29E-2</v>
      </c>
      <c r="F175">
        <v>1.1599999999999999E-2</v>
      </c>
      <c r="G175">
        <v>0.05</v>
      </c>
      <c r="H175">
        <v>-2.9161000000000001</v>
      </c>
      <c r="I175">
        <v>0</v>
      </c>
      <c r="J175">
        <v>0</v>
      </c>
      <c r="K175">
        <v>0</v>
      </c>
      <c r="L175">
        <v>0.27360000000000001</v>
      </c>
    </row>
    <row r="176" spans="1:12" x14ac:dyDescent="0.35">
      <c r="A176">
        <v>3.7</v>
      </c>
      <c r="B176">
        <v>0.88329999999999997</v>
      </c>
      <c r="C176">
        <v>2.9940000000000001E-2</v>
      </c>
      <c r="D176">
        <v>2.606E-2</v>
      </c>
      <c r="E176">
        <v>-2.2100000000000002E-2</v>
      </c>
      <c r="F176">
        <v>1.1599999999999999E-2</v>
      </c>
      <c r="G176">
        <v>0.05</v>
      </c>
      <c r="H176">
        <v>-2.9073000000000002</v>
      </c>
      <c r="I176">
        <v>0</v>
      </c>
      <c r="J176">
        <v>0</v>
      </c>
      <c r="K176">
        <v>0</v>
      </c>
      <c r="L176">
        <v>0.27279999999999999</v>
      </c>
    </row>
    <row r="177" spans="1:12" x14ac:dyDescent="0.35">
      <c r="A177">
        <v>3.75</v>
      </c>
      <c r="B177">
        <v>0.88029999999999997</v>
      </c>
      <c r="C177">
        <v>3.065E-2</v>
      </c>
      <c r="D177">
        <v>2.681E-2</v>
      </c>
      <c r="E177">
        <v>-2.1299999999999999E-2</v>
      </c>
      <c r="F177">
        <v>1.1599999999999999E-2</v>
      </c>
      <c r="G177">
        <v>0.05</v>
      </c>
      <c r="H177">
        <v>-2.8984000000000001</v>
      </c>
      <c r="I177">
        <v>0</v>
      </c>
      <c r="J177">
        <v>0</v>
      </c>
      <c r="K177">
        <v>0</v>
      </c>
      <c r="L177">
        <v>0.27200000000000002</v>
      </c>
    </row>
    <row r="178" spans="1:12" x14ac:dyDescent="0.35">
      <c r="A178">
        <v>3.8</v>
      </c>
      <c r="B178">
        <v>0.87770000000000004</v>
      </c>
      <c r="C178">
        <v>3.143E-2</v>
      </c>
      <c r="D178">
        <v>2.7619999999999999E-2</v>
      </c>
      <c r="E178">
        <v>-2.0799999999999999E-2</v>
      </c>
      <c r="F178">
        <v>1.1599999999999999E-2</v>
      </c>
      <c r="G178">
        <v>0.05</v>
      </c>
      <c r="H178">
        <v>-2.8889999999999998</v>
      </c>
      <c r="I178">
        <v>0</v>
      </c>
      <c r="J178">
        <v>0</v>
      </c>
      <c r="K178">
        <v>0</v>
      </c>
      <c r="L178">
        <v>0.27139999999999997</v>
      </c>
    </row>
    <row r="179" spans="1:12" x14ac:dyDescent="0.35">
      <c r="A179">
        <v>3.85</v>
      </c>
      <c r="B179">
        <v>0.87509999999999999</v>
      </c>
      <c r="C179">
        <v>3.2259999999999997E-2</v>
      </c>
      <c r="D179">
        <v>2.8479999999999998E-2</v>
      </c>
      <c r="E179">
        <v>-2.0400000000000001E-2</v>
      </c>
      <c r="F179">
        <v>1.15E-2</v>
      </c>
      <c r="G179">
        <v>0.05</v>
      </c>
      <c r="H179">
        <v>-2.8980000000000001</v>
      </c>
      <c r="I179">
        <v>0</v>
      </c>
      <c r="J179">
        <v>0</v>
      </c>
      <c r="K179">
        <v>0</v>
      </c>
      <c r="L179">
        <v>0.27100000000000002</v>
      </c>
    </row>
    <row r="180" spans="1:12" x14ac:dyDescent="0.35">
      <c r="A180">
        <v>3.9</v>
      </c>
      <c r="B180">
        <v>0.87260000000000004</v>
      </c>
      <c r="C180">
        <v>3.3119999999999997E-2</v>
      </c>
      <c r="D180">
        <v>2.937E-2</v>
      </c>
      <c r="E180">
        <v>-2.01E-2</v>
      </c>
      <c r="F180">
        <v>1.15E-2</v>
      </c>
      <c r="G180">
        <v>0.05</v>
      </c>
      <c r="H180">
        <v>-2.9074</v>
      </c>
      <c r="I180">
        <v>0</v>
      </c>
      <c r="J180">
        <v>0</v>
      </c>
      <c r="K180">
        <v>0</v>
      </c>
      <c r="L180">
        <v>0.2707</v>
      </c>
    </row>
    <row r="181" spans="1:12" x14ac:dyDescent="0.35">
      <c r="A181">
        <v>3.95</v>
      </c>
      <c r="B181">
        <v>0.87</v>
      </c>
      <c r="C181">
        <v>3.4000000000000002E-2</v>
      </c>
      <c r="D181">
        <v>3.0290000000000001E-2</v>
      </c>
      <c r="E181">
        <v>-0.02</v>
      </c>
      <c r="F181">
        <v>1.15E-2</v>
      </c>
      <c r="G181">
        <v>0.05</v>
      </c>
      <c r="H181">
        <v>-2.9157000000000002</v>
      </c>
      <c r="I181">
        <v>0</v>
      </c>
      <c r="J181">
        <v>0</v>
      </c>
      <c r="K181">
        <v>0</v>
      </c>
      <c r="L181">
        <v>0.27060000000000001</v>
      </c>
    </row>
    <row r="182" spans="1:12" x14ac:dyDescent="0.35">
      <c r="A182">
        <v>4</v>
      </c>
      <c r="B182">
        <v>0.86729999999999996</v>
      </c>
      <c r="C182">
        <v>3.492E-2</v>
      </c>
      <c r="D182">
        <v>3.124E-2</v>
      </c>
      <c r="E182">
        <v>-0.02</v>
      </c>
      <c r="F182">
        <v>1.14E-2</v>
      </c>
      <c r="G182">
        <v>0.05</v>
      </c>
      <c r="H182">
        <v>-2.9226999999999999</v>
      </c>
      <c r="I182">
        <v>0</v>
      </c>
      <c r="J182">
        <v>0</v>
      </c>
      <c r="K182">
        <v>0</v>
      </c>
      <c r="L182">
        <v>0.2707</v>
      </c>
    </row>
    <row r="183" spans="1:12" x14ac:dyDescent="0.35">
      <c r="A183">
        <v>4.05</v>
      </c>
      <c r="B183">
        <v>0.86460000000000004</v>
      </c>
      <c r="C183">
        <v>3.5869999999999999E-2</v>
      </c>
      <c r="D183">
        <v>3.2210000000000003E-2</v>
      </c>
      <c r="E183">
        <v>-2.01E-2</v>
      </c>
      <c r="F183">
        <v>1.14E-2</v>
      </c>
      <c r="G183">
        <v>0.05</v>
      </c>
      <c r="H183">
        <v>-2.9281000000000001</v>
      </c>
      <c r="I183">
        <v>0</v>
      </c>
      <c r="J183">
        <v>0</v>
      </c>
      <c r="K183">
        <v>0</v>
      </c>
      <c r="L183">
        <v>0.27089999999999997</v>
      </c>
    </row>
    <row r="184" spans="1:12" x14ac:dyDescent="0.35">
      <c r="A184">
        <v>4.0999999999999996</v>
      </c>
      <c r="B184">
        <v>0.86199999999999999</v>
      </c>
      <c r="C184">
        <v>3.6839999999999998E-2</v>
      </c>
      <c r="D184">
        <v>3.3210000000000003E-2</v>
      </c>
      <c r="E184">
        <v>-2.0400000000000001E-2</v>
      </c>
      <c r="F184">
        <v>1.12E-2</v>
      </c>
      <c r="G184">
        <v>0.05</v>
      </c>
      <c r="H184">
        <v>-2.9318</v>
      </c>
      <c r="I184">
        <v>0</v>
      </c>
      <c r="J184">
        <v>0</v>
      </c>
      <c r="K184">
        <v>0</v>
      </c>
      <c r="L184">
        <v>0.2712</v>
      </c>
    </row>
    <row r="185" spans="1:12" x14ac:dyDescent="0.35">
      <c r="A185">
        <v>4.1500000000000004</v>
      </c>
      <c r="B185">
        <v>0.85940000000000005</v>
      </c>
      <c r="C185">
        <v>3.7839999999999999E-2</v>
      </c>
      <c r="D185">
        <v>3.4229999999999997E-2</v>
      </c>
      <c r="E185">
        <v>-2.0799999999999999E-2</v>
      </c>
      <c r="F185">
        <v>1.0999999999999999E-2</v>
      </c>
      <c r="G185">
        <v>0.05</v>
      </c>
      <c r="H185">
        <v>-2.9340000000000002</v>
      </c>
      <c r="I185">
        <v>0</v>
      </c>
      <c r="J185">
        <v>0</v>
      </c>
      <c r="K185">
        <v>0</v>
      </c>
      <c r="L185">
        <v>0.2717</v>
      </c>
    </row>
    <row r="186" spans="1:12" x14ac:dyDescent="0.35">
      <c r="A186">
        <v>4.2</v>
      </c>
      <c r="B186">
        <v>0.8569</v>
      </c>
      <c r="C186">
        <v>3.8870000000000002E-2</v>
      </c>
      <c r="D186">
        <v>3.5279999999999999E-2</v>
      </c>
      <c r="E186">
        <v>-2.12E-2</v>
      </c>
      <c r="F186">
        <v>1.0699999999999999E-2</v>
      </c>
      <c r="G186">
        <v>0.05</v>
      </c>
      <c r="H186">
        <v>-2.9348000000000001</v>
      </c>
      <c r="I186">
        <v>0</v>
      </c>
      <c r="J186">
        <v>0</v>
      </c>
      <c r="K186">
        <v>0</v>
      </c>
      <c r="L186">
        <v>0.27229999999999999</v>
      </c>
    </row>
    <row r="187" spans="1:12" x14ac:dyDescent="0.35">
      <c r="A187">
        <v>4.25</v>
      </c>
      <c r="B187">
        <v>0.85450000000000004</v>
      </c>
      <c r="C187">
        <v>3.9919999999999997E-2</v>
      </c>
      <c r="D187">
        <v>3.6360000000000003E-2</v>
      </c>
      <c r="E187">
        <v>-2.18E-2</v>
      </c>
      <c r="F187">
        <v>1.04E-2</v>
      </c>
      <c r="G187">
        <v>0.05</v>
      </c>
      <c r="H187">
        <v>-2.9344999999999999</v>
      </c>
      <c r="I187">
        <v>0</v>
      </c>
      <c r="J187">
        <v>0</v>
      </c>
      <c r="K187">
        <v>0</v>
      </c>
      <c r="L187">
        <v>0.27300000000000002</v>
      </c>
    </row>
    <row r="188" spans="1:12" x14ac:dyDescent="0.35">
      <c r="A188">
        <v>4.3</v>
      </c>
      <c r="B188">
        <v>0.85209999999999997</v>
      </c>
      <c r="C188">
        <v>4.1000000000000002E-2</v>
      </c>
      <c r="D188">
        <v>3.746E-2</v>
      </c>
      <c r="E188">
        <v>-2.2499999999999999E-2</v>
      </c>
      <c r="F188">
        <v>1.0200000000000001E-2</v>
      </c>
      <c r="G188">
        <v>0.05</v>
      </c>
      <c r="H188">
        <v>-2.9327999999999999</v>
      </c>
      <c r="I188">
        <v>0</v>
      </c>
      <c r="J188">
        <v>0</v>
      </c>
      <c r="K188">
        <v>0</v>
      </c>
      <c r="L188">
        <v>0.27389999999999998</v>
      </c>
    </row>
    <row r="189" spans="1:12" x14ac:dyDescent="0.35">
      <c r="A189">
        <v>4.3499999999999996</v>
      </c>
      <c r="B189">
        <v>0.84989999999999999</v>
      </c>
      <c r="C189">
        <v>4.2110000000000002E-2</v>
      </c>
      <c r="D189">
        <v>3.8580000000000003E-2</v>
      </c>
      <c r="E189">
        <v>-2.3300000000000001E-2</v>
      </c>
      <c r="F189">
        <v>9.9000000000000008E-3</v>
      </c>
      <c r="G189">
        <v>0.05</v>
      </c>
      <c r="H189">
        <v>-2.9293999999999998</v>
      </c>
      <c r="I189">
        <v>0</v>
      </c>
      <c r="J189">
        <v>0</v>
      </c>
      <c r="K189">
        <v>0</v>
      </c>
      <c r="L189">
        <v>0.27479999999999999</v>
      </c>
    </row>
    <row r="190" spans="1:12" x14ac:dyDescent="0.35">
      <c r="A190">
        <v>4.4000000000000004</v>
      </c>
      <c r="B190">
        <v>0.84770000000000001</v>
      </c>
      <c r="C190">
        <v>4.3240000000000001E-2</v>
      </c>
      <c r="D190">
        <v>3.9730000000000001E-2</v>
      </c>
      <c r="E190">
        <v>-2.41E-2</v>
      </c>
      <c r="F190">
        <v>9.7999999999999997E-3</v>
      </c>
      <c r="G190">
        <v>0.05</v>
      </c>
      <c r="H190">
        <v>-2.9243000000000001</v>
      </c>
      <c r="I190">
        <v>0</v>
      </c>
      <c r="J190">
        <v>0</v>
      </c>
      <c r="K190">
        <v>0</v>
      </c>
      <c r="L190">
        <v>0.27589999999999998</v>
      </c>
    </row>
    <row r="191" spans="1:12" x14ac:dyDescent="0.35">
      <c r="A191">
        <v>4.45</v>
      </c>
      <c r="B191">
        <v>0.8458</v>
      </c>
      <c r="C191">
        <v>4.4389999999999999E-2</v>
      </c>
      <c r="D191">
        <v>4.0899999999999999E-2</v>
      </c>
      <c r="E191">
        <v>-2.5000000000000001E-2</v>
      </c>
      <c r="F191">
        <v>9.5999999999999992E-3</v>
      </c>
      <c r="G191">
        <v>0.05</v>
      </c>
      <c r="H191">
        <v>-2.9180000000000001</v>
      </c>
      <c r="I191">
        <v>0</v>
      </c>
      <c r="J191">
        <v>0</v>
      </c>
      <c r="K191">
        <v>0</v>
      </c>
      <c r="L191">
        <v>0.27700000000000002</v>
      </c>
    </row>
    <row r="192" spans="1:12" x14ac:dyDescent="0.35">
      <c r="A192">
        <v>4.5</v>
      </c>
      <c r="B192">
        <v>0.84389999999999998</v>
      </c>
      <c r="C192">
        <v>4.5569999999999999E-2</v>
      </c>
      <c r="D192">
        <v>4.2090000000000002E-2</v>
      </c>
      <c r="E192">
        <v>-2.5999999999999999E-2</v>
      </c>
      <c r="F192">
        <v>9.4000000000000004E-3</v>
      </c>
      <c r="G192">
        <v>0.05</v>
      </c>
      <c r="H192">
        <v>-2.9108000000000001</v>
      </c>
      <c r="I192">
        <v>0</v>
      </c>
      <c r="J192">
        <v>0</v>
      </c>
      <c r="K192">
        <v>0</v>
      </c>
      <c r="L192">
        <v>0.27829999999999999</v>
      </c>
    </row>
    <row r="193" spans="1:12" x14ac:dyDescent="0.35">
      <c r="A193">
        <v>4.55</v>
      </c>
      <c r="B193">
        <v>0.84219999999999995</v>
      </c>
      <c r="C193">
        <v>4.6769999999999999E-2</v>
      </c>
      <c r="D193">
        <v>4.3299999999999998E-2</v>
      </c>
      <c r="E193">
        <v>-2.7099999999999999E-2</v>
      </c>
      <c r="F193">
        <v>9.1999999999999998E-3</v>
      </c>
      <c r="G193">
        <v>0.05</v>
      </c>
      <c r="H193">
        <v>-2.9028999999999998</v>
      </c>
      <c r="I193">
        <v>0</v>
      </c>
      <c r="J193">
        <v>0</v>
      </c>
      <c r="K193">
        <v>0</v>
      </c>
      <c r="L193">
        <v>0.27960000000000002</v>
      </c>
    </row>
    <row r="194" spans="1:12" x14ac:dyDescent="0.35">
      <c r="A194">
        <v>4.5999999999999996</v>
      </c>
      <c r="B194">
        <v>0.8407</v>
      </c>
      <c r="C194">
        <v>4.7989999999999998E-2</v>
      </c>
      <c r="D194">
        <v>4.453E-2</v>
      </c>
      <c r="E194">
        <v>-2.8199999999999999E-2</v>
      </c>
      <c r="F194">
        <v>8.9999999999999993E-3</v>
      </c>
      <c r="G194">
        <v>0.05</v>
      </c>
      <c r="H194">
        <v>-2.8944999999999999</v>
      </c>
      <c r="I194">
        <v>0</v>
      </c>
      <c r="J194">
        <v>0</v>
      </c>
      <c r="K194">
        <v>0</v>
      </c>
      <c r="L194">
        <v>0.28089999999999998</v>
      </c>
    </row>
    <row r="195" spans="1:12" x14ac:dyDescent="0.35">
      <c r="A195">
        <v>4.6500000000000004</v>
      </c>
      <c r="B195">
        <v>0.83940000000000003</v>
      </c>
      <c r="C195">
        <v>4.922E-2</v>
      </c>
      <c r="D195">
        <v>4.5780000000000001E-2</v>
      </c>
      <c r="E195">
        <v>-2.9399999999999999E-2</v>
      </c>
      <c r="F195">
        <v>8.6999999999999994E-3</v>
      </c>
      <c r="G195">
        <v>0.05</v>
      </c>
      <c r="H195">
        <v>-2.8858000000000001</v>
      </c>
      <c r="I195">
        <v>0</v>
      </c>
      <c r="J195">
        <v>0</v>
      </c>
      <c r="K195">
        <v>0</v>
      </c>
      <c r="L195">
        <v>0.28239999999999998</v>
      </c>
    </row>
    <row r="196" spans="1:12" x14ac:dyDescent="0.35">
      <c r="A196">
        <v>4.7</v>
      </c>
      <c r="B196">
        <v>0.83819999999999995</v>
      </c>
      <c r="C196">
        <v>5.0479999999999997E-2</v>
      </c>
      <c r="D196">
        <v>4.7050000000000002E-2</v>
      </c>
      <c r="E196">
        <v>-3.0599999999999999E-2</v>
      </c>
      <c r="F196">
        <v>8.5000000000000006E-3</v>
      </c>
      <c r="G196">
        <v>0.05</v>
      </c>
      <c r="H196">
        <v>-2.8767999999999998</v>
      </c>
      <c r="I196">
        <v>0</v>
      </c>
      <c r="J196">
        <v>0</v>
      </c>
      <c r="K196">
        <v>0</v>
      </c>
      <c r="L196">
        <v>0.2838</v>
      </c>
    </row>
    <row r="197" spans="1:12" x14ac:dyDescent="0.35">
      <c r="A197">
        <v>4.75</v>
      </c>
      <c r="B197">
        <v>0.83730000000000004</v>
      </c>
      <c r="C197">
        <v>5.1749999999999997E-2</v>
      </c>
      <c r="D197">
        <v>4.8329999999999998E-2</v>
      </c>
      <c r="E197">
        <v>-3.1899999999999998E-2</v>
      </c>
      <c r="F197">
        <v>8.3999999999999995E-3</v>
      </c>
      <c r="G197">
        <v>0.05</v>
      </c>
      <c r="H197">
        <v>-2.8675000000000002</v>
      </c>
      <c r="I197">
        <v>0</v>
      </c>
      <c r="J197">
        <v>0</v>
      </c>
      <c r="K197">
        <v>0</v>
      </c>
      <c r="L197">
        <v>0.28539999999999999</v>
      </c>
    </row>
    <row r="198" spans="1:12" x14ac:dyDescent="0.35">
      <c r="A198">
        <v>4.8</v>
      </c>
      <c r="B198">
        <v>0.83650000000000002</v>
      </c>
      <c r="C198">
        <v>5.305E-2</v>
      </c>
      <c r="D198">
        <v>4.9630000000000001E-2</v>
      </c>
      <c r="E198">
        <v>-3.32E-2</v>
      </c>
      <c r="F198">
        <v>8.2000000000000007E-3</v>
      </c>
      <c r="G198">
        <v>0.05</v>
      </c>
      <c r="H198">
        <v>-2.8580000000000001</v>
      </c>
      <c r="I198">
        <v>0</v>
      </c>
      <c r="J198">
        <v>0</v>
      </c>
      <c r="K198">
        <v>0</v>
      </c>
      <c r="L198">
        <v>0.28689999999999999</v>
      </c>
    </row>
    <row r="199" spans="1:12" x14ac:dyDescent="0.35">
      <c r="A199">
        <v>4.8499999999999996</v>
      </c>
      <c r="B199">
        <v>0.83589999999999998</v>
      </c>
      <c r="C199">
        <v>5.4359999999999999E-2</v>
      </c>
      <c r="D199">
        <v>5.0950000000000002E-2</v>
      </c>
      <c r="E199">
        <v>-3.4500000000000003E-2</v>
      </c>
      <c r="F199">
        <v>8.0000000000000002E-3</v>
      </c>
      <c r="G199">
        <v>0.05</v>
      </c>
      <c r="H199">
        <v>-2.8481000000000001</v>
      </c>
      <c r="I199">
        <v>0</v>
      </c>
      <c r="J199">
        <v>0</v>
      </c>
      <c r="K199">
        <v>0</v>
      </c>
      <c r="L199">
        <v>0.28860000000000002</v>
      </c>
    </row>
    <row r="200" spans="1:12" x14ac:dyDescent="0.35">
      <c r="A200">
        <v>4.9000000000000004</v>
      </c>
      <c r="B200">
        <v>0.83550000000000002</v>
      </c>
      <c r="C200">
        <v>5.5710000000000003E-2</v>
      </c>
      <c r="D200">
        <v>5.2299999999999999E-2</v>
      </c>
      <c r="E200">
        <v>-3.5900000000000001E-2</v>
      </c>
      <c r="F200">
        <v>7.9000000000000008E-3</v>
      </c>
      <c r="G200">
        <v>0.05</v>
      </c>
      <c r="H200">
        <v>-2.8376000000000001</v>
      </c>
      <c r="I200">
        <v>0</v>
      </c>
      <c r="J200">
        <v>0</v>
      </c>
      <c r="K200">
        <v>0</v>
      </c>
      <c r="L200">
        <v>0.2903</v>
      </c>
    </row>
    <row r="201" spans="1:12" x14ac:dyDescent="0.35">
      <c r="A201">
        <v>4.95</v>
      </c>
      <c r="B201">
        <v>0.83530000000000004</v>
      </c>
      <c r="C201">
        <v>5.7070000000000003E-2</v>
      </c>
      <c r="D201">
        <v>5.3659999999999999E-2</v>
      </c>
      <c r="E201">
        <v>-3.7400000000000003E-2</v>
      </c>
      <c r="F201">
        <v>7.7999999999999996E-3</v>
      </c>
      <c r="G201">
        <v>0.05</v>
      </c>
      <c r="H201">
        <v>-2.8269000000000002</v>
      </c>
      <c r="I201">
        <v>0</v>
      </c>
      <c r="J201">
        <v>0</v>
      </c>
      <c r="K201">
        <v>0</v>
      </c>
      <c r="L201">
        <v>0.29199999999999998</v>
      </c>
    </row>
    <row r="202" spans="1:12" x14ac:dyDescent="0.35">
      <c r="A202">
        <v>5</v>
      </c>
      <c r="B202">
        <v>0.83509999999999995</v>
      </c>
      <c r="C202">
        <v>5.8409999999999997E-2</v>
      </c>
      <c r="D202">
        <v>5.5E-2</v>
      </c>
      <c r="E202">
        <v>-3.8699999999999998E-2</v>
      </c>
      <c r="F202">
        <v>7.6E-3</v>
      </c>
      <c r="G202">
        <v>0.05</v>
      </c>
      <c r="H202">
        <v>-2.8161999999999998</v>
      </c>
      <c r="I202">
        <v>0</v>
      </c>
      <c r="J202">
        <v>0</v>
      </c>
      <c r="K202">
        <v>0</v>
      </c>
      <c r="L202">
        <v>0.29360000000000003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C653C-28D9-483F-8A5A-6C710BBF3E25}">
  <sheetPr codeName="Sheet29"/>
  <dimension ref="A1:L202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-5</v>
      </c>
      <c r="B2">
        <v>-0.38400000000000001</v>
      </c>
      <c r="C2">
        <v>6.2449999999999999E-2</v>
      </c>
      <c r="D2">
        <v>5.8029999999999998E-2</v>
      </c>
      <c r="E2">
        <v>-4.7E-2</v>
      </c>
      <c r="F2">
        <v>0.05</v>
      </c>
      <c r="G2">
        <v>5.5999999999999999E-3</v>
      </c>
      <c r="H2">
        <v>-2.2637999999999998</v>
      </c>
      <c r="I2">
        <v>0</v>
      </c>
      <c r="J2">
        <v>0</v>
      </c>
      <c r="K2">
        <v>0</v>
      </c>
      <c r="L2">
        <v>0.12470000000000001</v>
      </c>
    </row>
    <row r="3" spans="1:12" x14ac:dyDescent="0.35">
      <c r="A3">
        <v>-4.95</v>
      </c>
      <c r="B3">
        <v>-0.38229999999999997</v>
      </c>
      <c r="C3">
        <v>6.1620000000000001E-2</v>
      </c>
      <c r="D3">
        <v>5.7200000000000001E-2</v>
      </c>
      <c r="E3">
        <v>-4.7699999999999999E-2</v>
      </c>
      <c r="F3">
        <v>0.05</v>
      </c>
      <c r="G3">
        <v>5.7000000000000002E-3</v>
      </c>
      <c r="H3">
        <v>-2.2593000000000001</v>
      </c>
      <c r="I3">
        <v>0</v>
      </c>
      <c r="J3">
        <v>0</v>
      </c>
      <c r="K3">
        <v>0</v>
      </c>
      <c r="L3">
        <v>0.1226</v>
      </c>
    </row>
    <row r="4" spans="1:12" x14ac:dyDescent="0.35">
      <c r="A4">
        <v>-4.9000000000000004</v>
      </c>
      <c r="B4">
        <v>-0.38059999999999999</v>
      </c>
      <c r="C4">
        <v>6.0780000000000001E-2</v>
      </c>
      <c r="D4">
        <v>5.6370000000000003E-2</v>
      </c>
      <c r="E4">
        <v>-4.8300000000000003E-2</v>
      </c>
      <c r="F4">
        <v>0.05</v>
      </c>
      <c r="G4">
        <v>5.7999999999999996E-3</v>
      </c>
      <c r="H4">
        <v>-2.2555000000000001</v>
      </c>
      <c r="I4">
        <v>0</v>
      </c>
      <c r="J4">
        <v>0</v>
      </c>
      <c r="K4">
        <v>0</v>
      </c>
      <c r="L4">
        <v>0.12039999999999999</v>
      </c>
    </row>
    <row r="5" spans="1:12" x14ac:dyDescent="0.35">
      <c r="A5">
        <v>-4.8499999999999996</v>
      </c>
      <c r="B5">
        <v>-0.37890000000000001</v>
      </c>
      <c r="C5">
        <v>5.9950000000000003E-2</v>
      </c>
      <c r="D5">
        <v>5.5530000000000003E-2</v>
      </c>
      <c r="E5">
        <v>-4.8899999999999999E-2</v>
      </c>
      <c r="F5">
        <v>0.05</v>
      </c>
      <c r="G5">
        <v>6.0000000000000001E-3</v>
      </c>
      <c r="H5">
        <v>-2.2526000000000002</v>
      </c>
      <c r="I5">
        <v>0</v>
      </c>
      <c r="J5">
        <v>0</v>
      </c>
      <c r="K5">
        <v>0</v>
      </c>
      <c r="L5">
        <v>0.1183</v>
      </c>
    </row>
    <row r="6" spans="1:12" x14ac:dyDescent="0.35">
      <c r="A6">
        <v>-4.8</v>
      </c>
      <c r="B6">
        <v>-0.37719999999999998</v>
      </c>
      <c r="C6">
        <v>5.9110000000000003E-2</v>
      </c>
      <c r="D6">
        <v>5.4699999999999999E-2</v>
      </c>
      <c r="E6">
        <v>-4.9500000000000002E-2</v>
      </c>
      <c r="F6">
        <v>0.05</v>
      </c>
      <c r="G6">
        <v>6.1000000000000004E-3</v>
      </c>
      <c r="H6">
        <v>-2.2505999999999999</v>
      </c>
      <c r="I6">
        <v>0</v>
      </c>
      <c r="J6">
        <v>0</v>
      </c>
      <c r="K6">
        <v>0</v>
      </c>
      <c r="L6">
        <v>0.11600000000000001</v>
      </c>
    </row>
    <row r="7" spans="1:12" x14ac:dyDescent="0.35">
      <c r="A7">
        <v>-4.75</v>
      </c>
      <c r="B7">
        <v>-0.3755</v>
      </c>
      <c r="C7">
        <v>5.8270000000000002E-2</v>
      </c>
      <c r="D7">
        <v>5.3870000000000001E-2</v>
      </c>
      <c r="E7">
        <v>-5.0099999999999999E-2</v>
      </c>
      <c r="F7">
        <v>0.05</v>
      </c>
      <c r="G7">
        <v>6.1999999999999998E-3</v>
      </c>
      <c r="H7">
        <v>-2.2496</v>
      </c>
      <c r="I7">
        <v>0</v>
      </c>
      <c r="J7">
        <v>0</v>
      </c>
      <c r="K7">
        <v>0</v>
      </c>
      <c r="L7">
        <v>0.1138</v>
      </c>
    </row>
    <row r="8" spans="1:12" x14ac:dyDescent="0.35">
      <c r="A8">
        <v>-4.7</v>
      </c>
      <c r="B8">
        <v>-0.37390000000000001</v>
      </c>
      <c r="C8">
        <v>5.7430000000000002E-2</v>
      </c>
      <c r="D8">
        <v>5.3030000000000001E-2</v>
      </c>
      <c r="E8">
        <v>-5.0799999999999998E-2</v>
      </c>
      <c r="F8">
        <v>0.05</v>
      </c>
      <c r="G8">
        <v>6.4000000000000003E-3</v>
      </c>
      <c r="H8">
        <v>-2.2496</v>
      </c>
      <c r="I8">
        <v>0</v>
      </c>
      <c r="J8">
        <v>0</v>
      </c>
      <c r="K8">
        <v>0</v>
      </c>
      <c r="L8">
        <v>0.1115</v>
      </c>
    </row>
    <row r="9" spans="1:12" x14ac:dyDescent="0.35">
      <c r="A9">
        <v>-4.6500000000000004</v>
      </c>
      <c r="B9">
        <v>-0.37230000000000002</v>
      </c>
      <c r="C9">
        <v>5.6590000000000001E-2</v>
      </c>
      <c r="D9">
        <v>5.219E-2</v>
      </c>
      <c r="E9">
        <v>-5.1499999999999997E-2</v>
      </c>
      <c r="F9">
        <v>0.05</v>
      </c>
      <c r="G9">
        <v>6.4999999999999997E-3</v>
      </c>
      <c r="H9">
        <v>-2.2505999999999999</v>
      </c>
      <c r="I9">
        <v>0</v>
      </c>
      <c r="J9">
        <v>0</v>
      </c>
      <c r="K9">
        <v>0</v>
      </c>
      <c r="L9">
        <v>0.10920000000000001</v>
      </c>
    </row>
    <row r="10" spans="1:12" x14ac:dyDescent="0.35">
      <c r="A10">
        <v>-4.5999999999999996</v>
      </c>
      <c r="B10">
        <v>-0.37080000000000002</v>
      </c>
      <c r="C10">
        <v>5.5750000000000001E-2</v>
      </c>
      <c r="D10">
        <v>5.135E-2</v>
      </c>
      <c r="E10">
        <v>-5.21E-2</v>
      </c>
      <c r="F10">
        <v>0.05</v>
      </c>
      <c r="G10">
        <v>6.6E-3</v>
      </c>
      <c r="H10">
        <v>-2.2526999999999999</v>
      </c>
      <c r="I10">
        <v>0</v>
      </c>
      <c r="J10">
        <v>0</v>
      </c>
      <c r="K10">
        <v>0</v>
      </c>
      <c r="L10">
        <v>0.10680000000000001</v>
      </c>
    </row>
    <row r="11" spans="1:12" x14ac:dyDescent="0.35">
      <c r="A11">
        <v>-4.55</v>
      </c>
      <c r="B11">
        <v>-0.36930000000000002</v>
      </c>
      <c r="C11">
        <v>5.4899999999999997E-2</v>
      </c>
      <c r="D11">
        <v>5.0509999999999999E-2</v>
      </c>
      <c r="E11">
        <v>-5.28E-2</v>
      </c>
      <c r="F11">
        <v>0.05</v>
      </c>
      <c r="G11">
        <v>6.7000000000000002E-3</v>
      </c>
      <c r="H11">
        <v>-2.2555999999999998</v>
      </c>
      <c r="I11">
        <v>0</v>
      </c>
      <c r="J11">
        <v>0</v>
      </c>
      <c r="K11">
        <v>0</v>
      </c>
      <c r="L11">
        <v>0.10440000000000001</v>
      </c>
    </row>
    <row r="12" spans="1:12" x14ac:dyDescent="0.35">
      <c r="A12">
        <v>-4.5</v>
      </c>
      <c r="B12">
        <v>-0.36780000000000002</v>
      </c>
      <c r="C12">
        <v>5.4050000000000001E-2</v>
      </c>
      <c r="D12">
        <v>4.9660000000000003E-2</v>
      </c>
      <c r="E12">
        <v>-5.3499999999999999E-2</v>
      </c>
      <c r="F12">
        <v>0.05</v>
      </c>
      <c r="G12">
        <v>6.7000000000000002E-3</v>
      </c>
      <c r="H12">
        <v>-2.2593999999999999</v>
      </c>
      <c r="I12">
        <v>0</v>
      </c>
      <c r="J12">
        <v>0</v>
      </c>
      <c r="K12">
        <v>0</v>
      </c>
      <c r="L12">
        <v>0.1019</v>
      </c>
    </row>
    <row r="13" spans="1:12" x14ac:dyDescent="0.35">
      <c r="A13">
        <v>-4.45</v>
      </c>
      <c r="B13">
        <v>-0.3664</v>
      </c>
      <c r="C13">
        <v>5.3190000000000001E-2</v>
      </c>
      <c r="D13">
        <v>4.8809999999999999E-2</v>
      </c>
      <c r="E13">
        <v>-5.4300000000000001E-2</v>
      </c>
      <c r="F13">
        <v>0.05</v>
      </c>
      <c r="G13">
        <v>6.7999999999999996E-3</v>
      </c>
      <c r="H13">
        <v>-2.2639</v>
      </c>
      <c r="I13">
        <v>0</v>
      </c>
      <c r="J13">
        <v>0</v>
      </c>
      <c r="K13">
        <v>0</v>
      </c>
      <c r="L13">
        <v>9.9400000000000002E-2</v>
      </c>
    </row>
    <row r="14" spans="1:12" x14ac:dyDescent="0.35">
      <c r="A14">
        <v>-4.4000000000000004</v>
      </c>
      <c r="B14">
        <v>-0.36509999999999998</v>
      </c>
      <c r="C14">
        <v>5.2339999999999998E-2</v>
      </c>
      <c r="D14">
        <v>4.7960000000000003E-2</v>
      </c>
      <c r="E14">
        <v>-5.5E-2</v>
      </c>
      <c r="F14">
        <v>0.05</v>
      </c>
      <c r="G14">
        <v>6.7999999999999996E-3</v>
      </c>
      <c r="H14">
        <v>-2.2684000000000002</v>
      </c>
      <c r="I14">
        <v>0</v>
      </c>
      <c r="J14">
        <v>0</v>
      </c>
      <c r="K14">
        <v>0</v>
      </c>
      <c r="L14">
        <v>9.6799999999999997E-2</v>
      </c>
    </row>
    <row r="15" spans="1:12" x14ac:dyDescent="0.35">
      <c r="A15">
        <v>-4.3499999999999996</v>
      </c>
      <c r="B15">
        <v>-0.3639</v>
      </c>
      <c r="C15">
        <v>5.1479999999999998E-2</v>
      </c>
      <c r="D15">
        <v>4.7109999999999999E-2</v>
      </c>
      <c r="E15">
        <v>-5.5800000000000002E-2</v>
      </c>
      <c r="F15">
        <v>0.05</v>
      </c>
      <c r="G15">
        <v>6.7999999999999996E-3</v>
      </c>
      <c r="H15">
        <v>-2.2726999999999999</v>
      </c>
      <c r="I15">
        <v>0</v>
      </c>
      <c r="J15">
        <v>0</v>
      </c>
      <c r="K15">
        <v>0</v>
      </c>
      <c r="L15">
        <v>9.4200000000000006E-2</v>
      </c>
    </row>
    <row r="16" spans="1:12" x14ac:dyDescent="0.35">
      <c r="A16">
        <v>-4.3</v>
      </c>
      <c r="B16">
        <v>-0.36280000000000001</v>
      </c>
      <c r="C16">
        <v>5.0619999999999998E-2</v>
      </c>
      <c r="D16">
        <v>4.6249999999999999E-2</v>
      </c>
      <c r="E16">
        <v>-5.6599999999999998E-2</v>
      </c>
      <c r="F16">
        <v>0.05</v>
      </c>
      <c r="G16">
        <v>6.7999999999999996E-3</v>
      </c>
      <c r="H16">
        <v>-2.2768999999999999</v>
      </c>
      <c r="I16">
        <v>0</v>
      </c>
      <c r="J16">
        <v>0</v>
      </c>
      <c r="K16">
        <v>0</v>
      </c>
      <c r="L16">
        <v>9.1600000000000001E-2</v>
      </c>
    </row>
    <row r="17" spans="1:12" x14ac:dyDescent="0.35">
      <c r="A17">
        <v>-4.25</v>
      </c>
      <c r="B17">
        <v>-0.36199999999999999</v>
      </c>
      <c r="C17">
        <v>4.9770000000000002E-2</v>
      </c>
      <c r="D17">
        <v>4.5409999999999999E-2</v>
      </c>
      <c r="E17">
        <v>-5.74E-2</v>
      </c>
      <c r="F17">
        <v>0.05</v>
      </c>
      <c r="G17">
        <v>6.8999999999999999E-3</v>
      </c>
      <c r="H17">
        <v>-2.2810999999999999</v>
      </c>
      <c r="I17">
        <v>0</v>
      </c>
      <c r="J17">
        <v>0</v>
      </c>
      <c r="K17">
        <v>0</v>
      </c>
      <c r="L17">
        <v>8.8999999999999996E-2</v>
      </c>
    </row>
    <row r="18" spans="1:12" x14ac:dyDescent="0.35">
      <c r="A18">
        <v>-4.2</v>
      </c>
      <c r="B18">
        <v>-0.36149999999999999</v>
      </c>
      <c r="C18">
        <v>4.895E-2</v>
      </c>
      <c r="D18">
        <v>4.4589999999999998E-2</v>
      </c>
      <c r="E18">
        <v>-5.8200000000000002E-2</v>
      </c>
      <c r="F18">
        <v>0.05</v>
      </c>
      <c r="G18">
        <v>6.8999999999999999E-3</v>
      </c>
      <c r="H18">
        <v>-2.2852999999999999</v>
      </c>
      <c r="I18">
        <v>0</v>
      </c>
      <c r="J18">
        <v>0</v>
      </c>
      <c r="K18">
        <v>0</v>
      </c>
      <c r="L18">
        <v>8.6599999999999996E-2</v>
      </c>
    </row>
    <row r="19" spans="1:12" x14ac:dyDescent="0.35">
      <c r="A19">
        <v>-4.1500000000000004</v>
      </c>
      <c r="B19">
        <v>-0.36109999999999998</v>
      </c>
      <c r="C19">
        <v>4.8120000000000003E-2</v>
      </c>
      <c r="D19">
        <v>4.376E-2</v>
      </c>
      <c r="E19">
        <v>-5.91E-2</v>
      </c>
      <c r="F19">
        <v>0.05</v>
      </c>
      <c r="G19">
        <v>6.8999999999999999E-3</v>
      </c>
      <c r="H19">
        <v>-2.2894999999999999</v>
      </c>
      <c r="I19">
        <v>0</v>
      </c>
      <c r="J19">
        <v>0</v>
      </c>
      <c r="K19">
        <v>0</v>
      </c>
      <c r="L19">
        <v>8.3900000000000002E-2</v>
      </c>
    </row>
    <row r="20" spans="1:12" x14ac:dyDescent="0.35">
      <c r="A20">
        <v>-4.0999999999999996</v>
      </c>
      <c r="B20">
        <v>-0.36030000000000001</v>
      </c>
      <c r="C20">
        <v>4.7239999999999997E-2</v>
      </c>
      <c r="D20">
        <v>4.2880000000000001E-2</v>
      </c>
      <c r="E20">
        <v>-6.0299999999999999E-2</v>
      </c>
      <c r="F20">
        <v>0.05</v>
      </c>
      <c r="G20">
        <v>7.0000000000000001E-3</v>
      </c>
      <c r="H20">
        <v>-2.2934000000000001</v>
      </c>
      <c r="I20">
        <v>0</v>
      </c>
      <c r="J20">
        <v>0</v>
      </c>
      <c r="K20">
        <v>0</v>
      </c>
      <c r="L20">
        <v>8.0399999999999999E-2</v>
      </c>
    </row>
    <row r="21" spans="1:12" x14ac:dyDescent="0.35">
      <c r="A21">
        <v>-4.05</v>
      </c>
      <c r="B21">
        <v>-0.35870000000000002</v>
      </c>
      <c r="C21">
        <v>4.6300000000000001E-2</v>
      </c>
      <c r="D21">
        <v>4.1939999999999998E-2</v>
      </c>
      <c r="E21">
        <v>-6.1600000000000002E-2</v>
      </c>
      <c r="F21">
        <v>0.05</v>
      </c>
      <c r="G21">
        <v>7.0000000000000001E-3</v>
      </c>
      <c r="H21">
        <v>-2.2965</v>
      </c>
      <c r="I21">
        <v>0</v>
      </c>
      <c r="J21">
        <v>0</v>
      </c>
      <c r="K21">
        <v>0</v>
      </c>
      <c r="L21">
        <v>7.5899999999999995E-2</v>
      </c>
    </row>
    <row r="22" spans="1:12" x14ac:dyDescent="0.35">
      <c r="A22">
        <v>-4</v>
      </c>
      <c r="B22">
        <v>-0.35699999999999998</v>
      </c>
      <c r="C22">
        <v>4.5400000000000003E-2</v>
      </c>
      <c r="D22">
        <v>4.1029999999999997E-2</v>
      </c>
      <c r="E22">
        <v>-6.2799999999999995E-2</v>
      </c>
      <c r="F22">
        <v>0.05</v>
      </c>
      <c r="G22">
        <v>7.0000000000000001E-3</v>
      </c>
      <c r="H22">
        <v>-2.2982999999999998</v>
      </c>
      <c r="I22">
        <v>0</v>
      </c>
      <c r="J22">
        <v>0</v>
      </c>
      <c r="K22">
        <v>0</v>
      </c>
      <c r="L22">
        <v>7.1999999999999995E-2</v>
      </c>
    </row>
    <row r="23" spans="1:12" x14ac:dyDescent="0.35">
      <c r="A23">
        <v>-3.95</v>
      </c>
      <c r="B23">
        <v>-0.3553</v>
      </c>
      <c r="C23">
        <v>4.4519999999999997E-2</v>
      </c>
      <c r="D23">
        <v>4.0140000000000002E-2</v>
      </c>
      <c r="E23">
        <v>-6.3700000000000007E-2</v>
      </c>
      <c r="F23">
        <v>0.05</v>
      </c>
      <c r="G23">
        <v>7.1000000000000004E-3</v>
      </c>
      <c r="H23">
        <v>-2.2989999999999999</v>
      </c>
      <c r="I23">
        <v>0</v>
      </c>
      <c r="J23">
        <v>0</v>
      </c>
      <c r="K23">
        <v>0</v>
      </c>
      <c r="L23">
        <v>6.8500000000000005E-2</v>
      </c>
    </row>
    <row r="24" spans="1:12" x14ac:dyDescent="0.35">
      <c r="A24">
        <v>-3.9</v>
      </c>
      <c r="B24">
        <v>-0.35360000000000003</v>
      </c>
      <c r="C24">
        <v>4.3650000000000001E-2</v>
      </c>
      <c r="D24">
        <v>3.9260000000000003E-2</v>
      </c>
      <c r="E24">
        <v>-6.4600000000000005E-2</v>
      </c>
      <c r="F24">
        <v>0.05</v>
      </c>
      <c r="G24">
        <v>7.1000000000000004E-3</v>
      </c>
      <c r="H24">
        <v>-2.2988</v>
      </c>
      <c r="I24">
        <v>0</v>
      </c>
      <c r="J24">
        <v>0</v>
      </c>
      <c r="K24">
        <v>0</v>
      </c>
      <c r="L24">
        <v>6.5100000000000005E-2</v>
      </c>
    </row>
    <row r="25" spans="1:12" x14ac:dyDescent="0.35">
      <c r="A25">
        <v>-3.85</v>
      </c>
      <c r="B25">
        <v>-0.35189999999999999</v>
      </c>
      <c r="C25">
        <v>4.2779999999999999E-2</v>
      </c>
      <c r="D25">
        <v>3.8390000000000001E-2</v>
      </c>
      <c r="E25">
        <v>-6.5500000000000003E-2</v>
      </c>
      <c r="F25">
        <v>0.05</v>
      </c>
      <c r="G25">
        <v>7.1000000000000004E-3</v>
      </c>
      <c r="H25">
        <v>-2.2978999999999998</v>
      </c>
      <c r="I25">
        <v>0</v>
      </c>
      <c r="J25">
        <v>0</v>
      </c>
      <c r="K25">
        <v>0</v>
      </c>
      <c r="L25">
        <v>6.1699999999999998E-2</v>
      </c>
    </row>
    <row r="26" spans="1:12" x14ac:dyDescent="0.35">
      <c r="A26">
        <v>-3.8</v>
      </c>
      <c r="B26">
        <v>-0.35010000000000002</v>
      </c>
      <c r="C26">
        <v>4.1930000000000002E-2</v>
      </c>
      <c r="D26">
        <v>3.7519999999999998E-2</v>
      </c>
      <c r="E26">
        <v>-6.6400000000000001E-2</v>
      </c>
      <c r="F26">
        <v>0.05</v>
      </c>
      <c r="G26">
        <v>7.1999999999999998E-3</v>
      </c>
      <c r="H26">
        <v>-2.2959999999999998</v>
      </c>
      <c r="I26">
        <v>0</v>
      </c>
      <c r="J26">
        <v>0</v>
      </c>
      <c r="K26">
        <v>0</v>
      </c>
      <c r="L26">
        <v>5.8299999999999998E-2</v>
      </c>
    </row>
    <row r="27" spans="1:12" x14ac:dyDescent="0.35">
      <c r="A27">
        <v>-3.75</v>
      </c>
      <c r="B27">
        <v>-0.34820000000000001</v>
      </c>
      <c r="C27">
        <v>4.1070000000000002E-2</v>
      </c>
      <c r="D27">
        <v>3.6650000000000002E-2</v>
      </c>
      <c r="E27">
        <v>-6.7199999999999996E-2</v>
      </c>
      <c r="F27">
        <v>0.05</v>
      </c>
      <c r="G27">
        <v>7.1999999999999998E-3</v>
      </c>
      <c r="H27">
        <v>-2.2970999999999999</v>
      </c>
      <c r="I27">
        <v>0</v>
      </c>
      <c r="J27">
        <v>0</v>
      </c>
      <c r="K27">
        <v>0</v>
      </c>
      <c r="L27">
        <v>5.5E-2</v>
      </c>
    </row>
    <row r="28" spans="1:12" x14ac:dyDescent="0.35">
      <c r="A28">
        <v>-3.7</v>
      </c>
      <c r="B28">
        <v>-0.3463</v>
      </c>
      <c r="C28">
        <v>4.0219999999999999E-2</v>
      </c>
      <c r="D28">
        <v>3.5779999999999999E-2</v>
      </c>
      <c r="E28">
        <v>-6.8000000000000005E-2</v>
      </c>
      <c r="F28">
        <v>0.05</v>
      </c>
      <c r="G28">
        <v>7.1999999999999998E-3</v>
      </c>
      <c r="H28">
        <v>-2.3098000000000001</v>
      </c>
      <c r="I28">
        <v>0</v>
      </c>
      <c r="J28">
        <v>0</v>
      </c>
      <c r="K28">
        <v>0</v>
      </c>
      <c r="L28">
        <v>5.16E-2</v>
      </c>
    </row>
    <row r="29" spans="1:12" x14ac:dyDescent="0.35">
      <c r="A29">
        <v>-3.65</v>
      </c>
      <c r="B29">
        <v>-0.34429999999999999</v>
      </c>
      <c r="C29">
        <v>3.9370000000000002E-2</v>
      </c>
      <c r="D29">
        <v>3.492E-2</v>
      </c>
      <c r="E29">
        <v>-6.8699999999999997E-2</v>
      </c>
      <c r="F29">
        <v>0.05</v>
      </c>
      <c r="G29">
        <v>7.1999999999999998E-3</v>
      </c>
      <c r="H29">
        <v>-2.3227000000000002</v>
      </c>
      <c r="I29">
        <v>0</v>
      </c>
      <c r="J29">
        <v>0</v>
      </c>
      <c r="K29">
        <v>0</v>
      </c>
      <c r="L29">
        <v>4.8300000000000003E-2</v>
      </c>
    </row>
    <row r="30" spans="1:12" x14ac:dyDescent="0.35">
      <c r="A30">
        <v>-3.6</v>
      </c>
      <c r="B30">
        <v>-0.3422</v>
      </c>
      <c r="C30">
        <v>3.8530000000000002E-2</v>
      </c>
      <c r="D30">
        <v>3.406E-2</v>
      </c>
      <c r="E30">
        <v>-6.9500000000000006E-2</v>
      </c>
      <c r="F30">
        <v>0.05</v>
      </c>
      <c r="G30">
        <v>7.3000000000000001E-3</v>
      </c>
      <c r="H30">
        <v>-2.3355999999999999</v>
      </c>
      <c r="I30">
        <v>0</v>
      </c>
      <c r="J30">
        <v>0</v>
      </c>
      <c r="K30">
        <v>0</v>
      </c>
      <c r="L30">
        <v>4.4900000000000002E-2</v>
      </c>
    </row>
    <row r="31" spans="1:12" x14ac:dyDescent="0.35">
      <c r="A31">
        <v>-3.55</v>
      </c>
      <c r="B31">
        <v>-0.33989999999999998</v>
      </c>
      <c r="C31">
        <v>3.7690000000000001E-2</v>
      </c>
      <c r="D31">
        <v>3.3210000000000003E-2</v>
      </c>
      <c r="E31">
        <v>-7.0199999999999999E-2</v>
      </c>
      <c r="F31">
        <v>0.05</v>
      </c>
      <c r="G31">
        <v>7.3000000000000001E-3</v>
      </c>
      <c r="H31">
        <v>-2.3485999999999998</v>
      </c>
      <c r="I31">
        <v>0</v>
      </c>
      <c r="J31">
        <v>0</v>
      </c>
      <c r="K31">
        <v>0</v>
      </c>
      <c r="L31">
        <v>4.1500000000000002E-2</v>
      </c>
    </row>
    <row r="32" spans="1:12" x14ac:dyDescent="0.35">
      <c r="A32">
        <v>-3.5</v>
      </c>
      <c r="B32">
        <v>-0.33760000000000001</v>
      </c>
      <c r="C32">
        <v>3.6859999999999997E-2</v>
      </c>
      <c r="D32">
        <v>3.2349999999999997E-2</v>
      </c>
      <c r="E32">
        <v>-7.0900000000000005E-2</v>
      </c>
      <c r="F32">
        <v>0.05</v>
      </c>
      <c r="G32">
        <v>7.3000000000000001E-3</v>
      </c>
      <c r="H32">
        <v>-2.3616000000000001</v>
      </c>
      <c r="I32">
        <v>0</v>
      </c>
      <c r="J32">
        <v>0</v>
      </c>
      <c r="K32">
        <v>0</v>
      </c>
      <c r="L32">
        <v>3.7999999999999999E-2</v>
      </c>
    </row>
    <row r="33" spans="1:12" x14ac:dyDescent="0.35">
      <c r="A33">
        <v>-3.45</v>
      </c>
      <c r="B33">
        <v>-0.33510000000000001</v>
      </c>
      <c r="C33">
        <v>3.603E-2</v>
      </c>
      <c r="D33">
        <v>3.15E-2</v>
      </c>
      <c r="E33">
        <v>-7.1499999999999994E-2</v>
      </c>
      <c r="F33">
        <v>0.05</v>
      </c>
      <c r="G33">
        <v>7.4000000000000003E-3</v>
      </c>
      <c r="H33">
        <v>-2.3746</v>
      </c>
      <c r="I33">
        <v>0</v>
      </c>
      <c r="J33">
        <v>0</v>
      </c>
      <c r="K33">
        <v>0</v>
      </c>
      <c r="L33">
        <v>3.4599999999999999E-2</v>
      </c>
    </row>
    <row r="34" spans="1:12" x14ac:dyDescent="0.35">
      <c r="A34">
        <v>-3.4</v>
      </c>
      <c r="B34">
        <v>-0.33239999999999997</v>
      </c>
      <c r="C34">
        <v>3.5209999999999998E-2</v>
      </c>
      <c r="D34">
        <v>3.065E-2</v>
      </c>
      <c r="E34">
        <v>-7.2099999999999997E-2</v>
      </c>
      <c r="F34">
        <v>0.05</v>
      </c>
      <c r="G34">
        <v>7.4000000000000003E-3</v>
      </c>
      <c r="H34">
        <v>-2.3875000000000002</v>
      </c>
      <c r="I34">
        <v>0</v>
      </c>
      <c r="J34">
        <v>0</v>
      </c>
      <c r="K34">
        <v>0</v>
      </c>
      <c r="L34">
        <v>3.1E-2</v>
      </c>
    </row>
    <row r="35" spans="1:12" x14ac:dyDescent="0.35">
      <c r="A35">
        <v>-3.35</v>
      </c>
      <c r="B35">
        <v>-0.3296</v>
      </c>
      <c r="C35">
        <v>3.4389999999999997E-2</v>
      </c>
      <c r="D35">
        <v>2.98E-2</v>
      </c>
      <c r="E35">
        <v>-7.2700000000000001E-2</v>
      </c>
      <c r="F35">
        <v>0.05</v>
      </c>
      <c r="G35">
        <v>7.4000000000000003E-3</v>
      </c>
      <c r="H35">
        <v>-2.4003999999999999</v>
      </c>
      <c r="I35">
        <v>0</v>
      </c>
      <c r="J35">
        <v>0</v>
      </c>
      <c r="K35">
        <v>0</v>
      </c>
      <c r="L35">
        <v>2.7400000000000001E-2</v>
      </c>
    </row>
    <row r="36" spans="1:12" x14ac:dyDescent="0.35">
      <c r="A36">
        <v>-3.3</v>
      </c>
      <c r="B36">
        <v>-0.3266</v>
      </c>
      <c r="C36">
        <v>3.3570000000000003E-2</v>
      </c>
      <c r="D36">
        <v>2.896E-2</v>
      </c>
      <c r="E36">
        <v>-7.3300000000000004E-2</v>
      </c>
      <c r="F36">
        <v>0.05</v>
      </c>
      <c r="G36">
        <v>7.4999999999999997E-3</v>
      </c>
      <c r="H36">
        <v>-2.4131999999999998</v>
      </c>
      <c r="I36">
        <v>0</v>
      </c>
      <c r="J36">
        <v>0</v>
      </c>
      <c r="K36">
        <v>0</v>
      </c>
      <c r="L36">
        <v>2.3599999999999999E-2</v>
      </c>
    </row>
    <row r="37" spans="1:12" x14ac:dyDescent="0.35">
      <c r="A37">
        <v>-3.25</v>
      </c>
      <c r="B37">
        <v>-0.32329999999999998</v>
      </c>
      <c r="C37">
        <v>3.2759999999999997E-2</v>
      </c>
      <c r="D37">
        <v>2.8119999999999999E-2</v>
      </c>
      <c r="E37">
        <v>-7.3800000000000004E-2</v>
      </c>
      <c r="F37">
        <v>0.05</v>
      </c>
      <c r="G37">
        <v>7.4999999999999997E-3</v>
      </c>
      <c r="H37">
        <v>-2.4258000000000002</v>
      </c>
      <c r="I37">
        <v>0</v>
      </c>
      <c r="J37">
        <v>0</v>
      </c>
      <c r="K37">
        <v>0</v>
      </c>
      <c r="L37">
        <v>1.9800000000000002E-2</v>
      </c>
    </row>
    <row r="38" spans="1:12" x14ac:dyDescent="0.35">
      <c r="A38">
        <v>-3.2</v>
      </c>
      <c r="B38">
        <v>-0.31990000000000002</v>
      </c>
      <c r="C38">
        <v>3.1960000000000002E-2</v>
      </c>
      <c r="D38">
        <v>2.7279999999999999E-2</v>
      </c>
      <c r="E38">
        <v>-7.4300000000000005E-2</v>
      </c>
      <c r="F38">
        <v>0.05</v>
      </c>
      <c r="G38">
        <v>7.4999999999999997E-3</v>
      </c>
      <c r="H38">
        <v>-2.4380999999999999</v>
      </c>
      <c r="I38">
        <v>0</v>
      </c>
      <c r="J38">
        <v>0</v>
      </c>
      <c r="K38">
        <v>0</v>
      </c>
      <c r="L38">
        <v>1.5800000000000002E-2</v>
      </c>
    </row>
    <row r="39" spans="1:12" x14ac:dyDescent="0.35">
      <c r="A39">
        <v>-3.15</v>
      </c>
      <c r="B39">
        <v>-0.31609999999999999</v>
      </c>
      <c r="C39">
        <v>3.116E-2</v>
      </c>
      <c r="D39">
        <v>2.6440000000000002E-2</v>
      </c>
      <c r="E39">
        <v>-7.4700000000000003E-2</v>
      </c>
      <c r="F39">
        <v>0.05</v>
      </c>
      <c r="G39">
        <v>7.6E-3</v>
      </c>
      <c r="H39">
        <v>-2.4500000000000002</v>
      </c>
      <c r="I39">
        <v>0</v>
      </c>
      <c r="J39">
        <v>0</v>
      </c>
      <c r="K39">
        <v>0</v>
      </c>
      <c r="L39">
        <v>1.17E-2</v>
      </c>
    </row>
    <row r="40" spans="1:12" x14ac:dyDescent="0.35">
      <c r="A40">
        <v>-3.1</v>
      </c>
      <c r="B40">
        <v>-0.31219999999999998</v>
      </c>
      <c r="C40">
        <v>3.0370000000000001E-2</v>
      </c>
      <c r="D40">
        <v>2.5610000000000001E-2</v>
      </c>
      <c r="E40">
        <v>-7.51E-2</v>
      </c>
      <c r="F40">
        <v>0.05</v>
      </c>
      <c r="G40">
        <v>7.6E-3</v>
      </c>
      <c r="H40">
        <v>-2.4615999999999998</v>
      </c>
      <c r="I40">
        <v>0</v>
      </c>
      <c r="J40">
        <v>0</v>
      </c>
      <c r="K40">
        <v>0</v>
      </c>
      <c r="L40">
        <v>7.4000000000000003E-3</v>
      </c>
    </row>
    <row r="41" spans="1:12" x14ac:dyDescent="0.35">
      <c r="A41">
        <v>-3.05</v>
      </c>
      <c r="B41">
        <v>-0.30790000000000001</v>
      </c>
      <c r="C41">
        <v>2.9590000000000002E-2</v>
      </c>
      <c r="D41">
        <v>2.479E-2</v>
      </c>
      <c r="E41">
        <v>-7.5499999999999998E-2</v>
      </c>
      <c r="F41">
        <v>0.05</v>
      </c>
      <c r="G41">
        <v>7.7000000000000002E-3</v>
      </c>
      <c r="H41">
        <v>-2.4725999999999999</v>
      </c>
      <c r="I41">
        <v>0</v>
      </c>
      <c r="J41">
        <v>0</v>
      </c>
      <c r="K41">
        <v>0</v>
      </c>
      <c r="L41">
        <v>2.8999999999999998E-3</v>
      </c>
    </row>
    <row r="42" spans="1:12" x14ac:dyDescent="0.35">
      <c r="A42">
        <v>-3</v>
      </c>
      <c r="B42">
        <v>-0.3034</v>
      </c>
      <c r="C42">
        <v>2.8819999999999998E-2</v>
      </c>
      <c r="D42">
        <v>2.3970000000000002E-2</v>
      </c>
      <c r="E42">
        <v>-7.5800000000000006E-2</v>
      </c>
      <c r="F42">
        <v>0.05</v>
      </c>
      <c r="G42">
        <v>7.7999999999999996E-3</v>
      </c>
      <c r="H42">
        <v>-2.4830999999999999</v>
      </c>
      <c r="I42">
        <v>0</v>
      </c>
      <c r="J42">
        <v>0</v>
      </c>
      <c r="K42">
        <v>0</v>
      </c>
      <c r="L42">
        <v>-1.8E-3</v>
      </c>
    </row>
    <row r="43" spans="1:12" x14ac:dyDescent="0.35">
      <c r="A43">
        <v>-2.95</v>
      </c>
      <c r="B43">
        <v>-0.29859999999999998</v>
      </c>
      <c r="C43">
        <v>2.8049999999999999E-2</v>
      </c>
      <c r="D43">
        <v>2.315E-2</v>
      </c>
      <c r="E43">
        <v>-7.6100000000000001E-2</v>
      </c>
      <c r="F43">
        <v>0.05</v>
      </c>
      <c r="G43">
        <v>7.9000000000000008E-3</v>
      </c>
      <c r="H43">
        <v>-2.4929999999999999</v>
      </c>
      <c r="I43">
        <v>0</v>
      </c>
      <c r="J43">
        <v>0</v>
      </c>
      <c r="K43">
        <v>0</v>
      </c>
      <c r="L43">
        <v>-6.7999999999999996E-3</v>
      </c>
    </row>
    <row r="44" spans="1:12" x14ac:dyDescent="0.35">
      <c r="A44">
        <v>-2.9</v>
      </c>
      <c r="B44">
        <v>-0.29349999999999998</v>
      </c>
      <c r="C44">
        <v>2.7300000000000001E-2</v>
      </c>
      <c r="D44">
        <v>2.2339999999999999E-2</v>
      </c>
      <c r="E44">
        <v>-7.6399999999999996E-2</v>
      </c>
      <c r="F44">
        <v>0.05</v>
      </c>
      <c r="G44">
        <v>8.0000000000000002E-3</v>
      </c>
      <c r="H44">
        <v>-2.5019999999999998</v>
      </c>
      <c r="I44">
        <v>0</v>
      </c>
      <c r="J44">
        <v>0</v>
      </c>
      <c r="K44">
        <v>0</v>
      </c>
      <c r="L44">
        <v>-1.21E-2</v>
      </c>
    </row>
    <row r="45" spans="1:12" x14ac:dyDescent="0.35">
      <c r="A45">
        <v>-2.85</v>
      </c>
      <c r="B45">
        <v>-0.28810000000000002</v>
      </c>
      <c r="C45">
        <v>2.6550000000000001E-2</v>
      </c>
      <c r="D45">
        <v>2.154E-2</v>
      </c>
      <c r="E45">
        <v>-7.6600000000000001E-2</v>
      </c>
      <c r="F45">
        <v>0.05</v>
      </c>
      <c r="G45">
        <v>8.0999999999999996E-3</v>
      </c>
      <c r="H45">
        <v>-2.5102000000000002</v>
      </c>
      <c r="I45">
        <v>0</v>
      </c>
      <c r="J45">
        <v>0</v>
      </c>
      <c r="K45">
        <v>0</v>
      </c>
      <c r="L45">
        <v>-1.77E-2</v>
      </c>
    </row>
    <row r="46" spans="1:12" x14ac:dyDescent="0.35">
      <c r="A46">
        <v>-2.8</v>
      </c>
      <c r="B46">
        <v>-0.28239999999999998</v>
      </c>
      <c r="C46">
        <v>2.5819999999999999E-2</v>
      </c>
      <c r="D46">
        <v>2.0740000000000001E-2</v>
      </c>
      <c r="E46">
        <v>-7.6799999999999993E-2</v>
      </c>
      <c r="F46">
        <v>0.05</v>
      </c>
      <c r="G46">
        <v>8.2000000000000007E-3</v>
      </c>
      <c r="H46">
        <v>-2.5173999999999999</v>
      </c>
      <c r="I46">
        <v>0</v>
      </c>
      <c r="J46">
        <v>0</v>
      </c>
      <c r="K46">
        <v>0</v>
      </c>
      <c r="L46">
        <v>-2.3699999999999999E-2</v>
      </c>
    </row>
    <row r="47" spans="1:12" x14ac:dyDescent="0.35">
      <c r="A47">
        <v>-2.75</v>
      </c>
      <c r="B47">
        <v>-0.27629999999999999</v>
      </c>
      <c r="C47">
        <v>2.5090000000000001E-2</v>
      </c>
      <c r="D47">
        <v>1.9959999999999999E-2</v>
      </c>
      <c r="E47">
        <v>-7.6899999999999996E-2</v>
      </c>
      <c r="F47">
        <v>0.05</v>
      </c>
      <c r="G47">
        <v>8.3000000000000001E-3</v>
      </c>
      <c r="H47">
        <v>-2.5234000000000001</v>
      </c>
      <c r="I47">
        <v>0</v>
      </c>
      <c r="J47">
        <v>0</v>
      </c>
      <c r="K47">
        <v>0</v>
      </c>
      <c r="L47">
        <v>-3.0200000000000001E-2</v>
      </c>
    </row>
    <row r="48" spans="1:12" x14ac:dyDescent="0.35">
      <c r="A48">
        <v>-2.7</v>
      </c>
      <c r="B48">
        <v>-0.27</v>
      </c>
      <c r="C48">
        <v>2.4379999999999999E-2</v>
      </c>
      <c r="D48">
        <v>1.9179999999999999E-2</v>
      </c>
      <c r="E48">
        <v>-7.6999999999999999E-2</v>
      </c>
      <c r="F48">
        <v>0.05</v>
      </c>
      <c r="G48">
        <v>8.5000000000000006E-3</v>
      </c>
      <c r="H48">
        <v>-2.5283000000000002</v>
      </c>
      <c r="I48">
        <v>0</v>
      </c>
      <c r="J48">
        <v>0</v>
      </c>
      <c r="K48">
        <v>0</v>
      </c>
      <c r="L48">
        <v>-3.7100000000000001E-2</v>
      </c>
    </row>
    <row r="49" spans="1:12" x14ac:dyDescent="0.35">
      <c r="A49">
        <v>-2.65</v>
      </c>
      <c r="B49">
        <v>-0.26329999999999998</v>
      </c>
      <c r="C49">
        <v>2.368E-2</v>
      </c>
      <c r="D49">
        <v>1.8409999999999999E-2</v>
      </c>
      <c r="E49">
        <v>-7.6999999999999999E-2</v>
      </c>
      <c r="F49">
        <v>0.05</v>
      </c>
      <c r="G49">
        <v>8.6999999999999994E-3</v>
      </c>
      <c r="H49">
        <v>-2.5320999999999998</v>
      </c>
      <c r="I49">
        <v>0</v>
      </c>
      <c r="J49">
        <v>0</v>
      </c>
      <c r="K49">
        <v>0</v>
      </c>
      <c r="L49">
        <v>-4.4499999999999998E-2</v>
      </c>
    </row>
    <row r="50" spans="1:12" x14ac:dyDescent="0.35">
      <c r="A50">
        <v>-2.6</v>
      </c>
      <c r="B50">
        <v>-0.25619999999999998</v>
      </c>
      <c r="C50">
        <v>2.299E-2</v>
      </c>
      <c r="D50">
        <v>1.7649999999999999E-2</v>
      </c>
      <c r="E50">
        <v>-7.6999999999999999E-2</v>
      </c>
      <c r="F50">
        <v>0.05</v>
      </c>
      <c r="G50">
        <v>9.2999999999999992E-3</v>
      </c>
      <c r="H50">
        <v>-2.5381999999999998</v>
      </c>
      <c r="I50">
        <v>0</v>
      </c>
      <c r="J50">
        <v>0</v>
      </c>
      <c r="K50">
        <v>0</v>
      </c>
      <c r="L50">
        <v>-5.2699999999999997E-2</v>
      </c>
    </row>
    <row r="51" spans="1:12" x14ac:dyDescent="0.35">
      <c r="A51">
        <v>-2.5499999999999998</v>
      </c>
      <c r="B51">
        <v>-0.248</v>
      </c>
      <c r="C51">
        <v>2.23E-2</v>
      </c>
      <c r="D51">
        <v>1.6899999999999998E-2</v>
      </c>
      <c r="E51">
        <v>-7.6899999999999996E-2</v>
      </c>
      <c r="F51">
        <v>0.05</v>
      </c>
      <c r="G51">
        <v>1.0200000000000001E-2</v>
      </c>
      <c r="H51">
        <v>-2.5666000000000002</v>
      </c>
      <c r="I51">
        <v>0</v>
      </c>
      <c r="J51">
        <v>0</v>
      </c>
      <c r="K51">
        <v>0</v>
      </c>
      <c r="L51">
        <v>-6.2300000000000001E-2</v>
      </c>
    </row>
    <row r="52" spans="1:12" x14ac:dyDescent="0.35">
      <c r="A52">
        <v>-2.5</v>
      </c>
      <c r="B52">
        <v>-0.24079999999999999</v>
      </c>
      <c r="C52">
        <v>2.164E-2</v>
      </c>
      <c r="D52">
        <v>1.6150000000000001E-2</v>
      </c>
      <c r="E52">
        <v>-7.6899999999999996E-2</v>
      </c>
      <c r="F52">
        <v>0.05</v>
      </c>
      <c r="G52">
        <v>1.03E-2</v>
      </c>
      <c r="H52">
        <v>-2.5535999999999999</v>
      </c>
      <c r="I52">
        <v>0</v>
      </c>
      <c r="J52">
        <v>0</v>
      </c>
      <c r="K52">
        <v>0</v>
      </c>
      <c r="L52">
        <v>-7.1400000000000005E-2</v>
      </c>
    </row>
    <row r="53" spans="1:12" x14ac:dyDescent="0.35">
      <c r="A53">
        <v>-2.4500000000000002</v>
      </c>
      <c r="B53">
        <v>-0.23319999999999999</v>
      </c>
      <c r="C53">
        <v>2.0990000000000002E-2</v>
      </c>
      <c r="D53">
        <v>1.542E-2</v>
      </c>
      <c r="E53">
        <v>-7.6799999999999993E-2</v>
      </c>
      <c r="F53">
        <v>0.05</v>
      </c>
      <c r="G53">
        <v>1.04E-2</v>
      </c>
      <c r="H53">
        <v>-2.5405000000000002</v>
      </c>
      <c r="I53">
        <v>0</v>
      </c>
      <c r="J53">
        <v>0</v>
      </c>
      <c r="K53">
        <v>0</v>
      </c>
      <c r="L53">
        <v>-8.1600000000000006E-2</v>
      </c>
    </row>
    <row r="54" spans="1:12" x14ac:dyDescent="0.35">
      <c r="A54">
        <v>-2.4</v>
      </c>
      <c r="B54">
        <v>-0.22520000000000001</v>
      </c>
      <c r="C54">
        <v>2.036E-2</v>
      </c>
      <c r="D54">
        <v>1.4710000000000001E-2</v>
      </c>
      <c r="E54">
        <v>-7.6700000000000004E-2</v>
      </c>
      <c r="F54">
        <v>0.05</v>
      </c>
      <c r="G54">
        <v>1.0500000000000001E-2</v>
      </c>
      <c r="H54">
        <v>-2.5287000000000002</v>
      </c>
      <c r="I54">
        <v>0</v>
      </c>
      <c r="J54">
        <v>0</v>
      </c>
      <c r="K54">
        <v>0</v>
      </c>
      <c r="L54">
        <v>-9.2899999999999996E-2</v>
      </c>
    </row>
    <row r="55" spans="1:12" x14ac:dyDescent="0.35">
      <c r="A55">
        <v>-2.35</v>
      </c>
      <c r="B55">
        <v>-0.21679999999999999</v>
      </c>
      <c r="C55">
        <v>1.9740000000000001E-2</v>
      </c>
      <c r="D55">
        <v>1.4E-2</v>
      </c>
      <c r="E55">
        <v>-7.6600000000000001E-2</v>
      </c>
      <c r="F55">
        <v>0.05</v>
      </c>
      <c r="G55">
        <v>1.0500000000000001E-2</v>
      </c>
      <c r="H55">
        <v>-2.5163000000000002</v>
      </c>
      <c r="I55">
        <v>0</v>
      </c>
      <c r="J55">
        <v>0</v>
      </c>
      <c r="K55">
        <v>0</v>
      </c>
      <c r="L55">
        <v>-0.1053</v>
      </c>
    </row>
    <row r="56" spans="1:12" x14ac:dyDescent="0.35">
      <c r="A56">
        <v>-2.2999999999999998</v>
      </c>
      <c r="B56">
        <v>-0.2082</v>
      </c>
      <c r="C56">
        <v>1.9140000000000001E-2</v>
      </c>
      <c r="D56">
        <v>1.3310000000000001E-2</v>
      </c>
      <c r="E56">
        <v>-7.6399999999999996E-2</v>
      </c>
      <c r="F56">
        <v>0.05</v>
      </c>
      <c r="G56">
        <v>1.06E-2</v>
      </c>
      <c r="H56">
        <v>-2.5017999999999998</v>
      </c>
      <c r="I56">
        <v>0</v>
      </c>
      <c r="J56">
        <v>0</v>
      </c>
      <c r="K56">
        <v>0</v>
      </c>
      <c r="L56">
        <v>-0.1192</v>
      </c>
    </row>
    <row r="57" spans="1:12" x14ac:dyDescent="0.35">
      <c r="A57">
        <v>-2.25</v>
      </c>
      <c r="B57">
        <v>-0.1993</v>
      </c>
      <c r="C57">
        <v>1.856E-2</v>
      </c>
      <c r="D57">
        <v>1.264E-2</v>
      </c>
      <c r="E57">
        <v>-7.6200000000000004E-2</v>
      </c>
      <c r="F57">
        <v>0.05</v>
      </c>
      <c r="G57">
        <v>1.06E-2</v>
      </c>
      <c r="H57">
        <v>-2.4851000000000001</v>
      </c>
      <c r="I57">
        <v>0</v>
      </c>
      <c r="J57">
        <v>0</v>
      </c>
      <c r="K57">
        <v>0</v>
      </c>
      <c r="L57">
        <v>-0.13450000000000001</v>
      </c>
    </row>
    <row r="58" spans="1:12" x14ac:dyDescent="0.35">
      <c r="A58">
        <v>-2.2000000000000002</v>
      </c>
      <c r="B58">
        <v>-0.19009999999999999</v>
      </c>
      <c r="C58">
        <v>1.7989999999999999E-2</v>
      </c>
      <c r="D58">
        <v>1.1979999999999999E-2</v>
      </c>
      <c r="E58">
        <v>-7.5999999999999998E-2</v>
      </c>
      <c r="F58">
        <v>0.05</v>
      </c>
      <c r="G58">
        <v>1.0699999999999999E-2</v>
      </c>
      <c r="H58">
        <v>-2.4659</v>
      </c>
      <c r="I58">
        <v>0</v>
      </c>
      <c r="J58">
        <v>0</v>
      </c>
      <c r="K58">
        <v>0</v>
      </c>
      <c r="L58">
        <v>-0.15179999999999999</v>
      </c>
    </row>
    <row r="59" spans="1:12" x14ac:dyDescent="0.35">
      <c r="A59">
        <v>-2.15</v>
      </c>
      <c r="B59">
        <v>-0.1807</v>
      </c>
      <c r="C59">
        <v>1.7440000000000001E-2</v>
      </c>
      <c r="D59">
        <v>1.133E-2</v>
      </c>
      <c r="E59">
        <v>-7.5700000000000003E-2</v>
      </c>
      <c r="F59">
        <v>0.05</v>
      </c>
      <c r="G59">
        <v>1.0699999999999999E-2</v>
      </c>
      <c r="H59">
        <v>-2.4441000000000002</v>
      </c>
      <c r="I59">
        <v>0</v>
      </c>
      <c r="J59">
        <v>0</v>
      </c>
      <c r="K59">
        <v>0</v>
      </c>
      <c r="L59">
        <v>-0.1711</v>
      </c>
    </row>
    <row r="60" spans="1:12" x14ac:dyDescent="0.35">
      <c r="A60">
        <v>-2.1</v>
      </c>
      <c r="B60">
        <v>-0.1711</v>
      </c>
      <c r="C60">
        <v>1.6899999999999998E-2</v>
      </c>
      <c r="D60">
        <v>1.0699999999999999E-2</v>
      </c>
      <c r="E60">
        <v>-7.5399999999999995E-2</v>
      </c>
      <c r="F60">
        <v>0.05</v>
      </c>
      <c r="G60">
        <v>1.0800000000000001E-2</v>
      </c>
      <c r="H60">
        <v>-2.4194</v>
      </c>
      <c r="I60">
        <v>0</v>
      </c>
      <c r="J60">
        <v>0</v>
      </c>
      <c r="K60">
        <v>0</v>
      </c>
      <c r="L60">
        <v>-0.19309999999999999</v>
      </c>
    </row>
    <row r="61" spans="1:12" x14ac:dyDescent="0.35">
      <c r="A61">
        <v>-2.0499999999999998</v>
      </c>
      <c r="B61">
        <v>-0.1613</v>
      </c>
      <c r="C61">
        <v>1.6389999999999998E-2</v>
      </c>
      <c r="D61">
        <v>1.009E-2</v>
      </c>
      <c r="E61">
        <v>-7.51E-2</v>
      </c>
      <c r="F61">
        <v>0.05</v>
      </c>
      <c r="G61">
        <v>1.09E-2</v>
      </c>
      <c r="H61">
        <v>-2.3915999999999999</v>
      </c>
      <c r="I61">
        <v>0</v>
      </c>
      <c r="J61">
        <v>0</v>
      </c>
      <c r="K61">
        <v>0</v>
      </c>
      <c r="L61">
        <v>-0.21809999999999999</v>
      </c>
    </row>
    <row r="62" spans="1:12" x14ac:dyDescent="0.35">
      <c r="A62">
        <v>-2</v>
      </c>
      <c r="B62">
        <v>-0.1512</v>
      </c>
      <c r="C62">
        <v>1.5890000000000001E-2</v>
      </c>
      <c r="D62">
        <v>9.4999999999999998E-3</v>
      </c>
      <c r="E62">
        <v>-7.4700000000000003E-2</v>
      </c>
      <c r="F62">
        <v>0.05</v>
      </c>
      <c r="G62">
        <v>1.0999999999999999E-2</v>
      </c>
      <c r="H62">
        <v>-2.3677999999999999</v>
      </c>
      <c r="I62">
        <v>0</v>
      </c>
      <c r="J62">
        <v>0</v>
      </c>
      <c r="K62">
        <v>0</v>
      </c>
      <c r="L62">
        <v>-0.2467</v>
      </c>
    </row>
    <row r="63" spans="1:12" x14ac:dyDescent="0.35">
      <c r="A63">
        <v>-1.95</v>
      </c>
      <c r="B63">
        <v>-0.1411</v>
      </c>
      <c r="C63">
        <v>1.542E-2</v>
      </c>
      <c r="D63">
        <v>8.94E-3</v>
      </c>
      <c r="E63">
        <v>-7.4399999999999994E-2</v>
      </c>
      <c r="F63">
        <v>0.05</v>
      </c>
      <c r="G63">
        <v>1.11E-2</v>
      </c>
      <c r="H63">
        <v>-2.3607</v>
      </c>
      <c r="I63">
        <v>0</v>
      </c>
      <c r="J63">
        <v>0</v>
      </c>
      <c r="K63">
        <v>0</v>
      </c>
      <c r="L63">
        <v>-0.27989999999999998</v>
      </c>
    </row>
    <row r="64" spans="1:12" x14ac:dyDescent="0.35">
      <c r="A64">
        <v>-1.9</v>
      </c>
      <c r="B64">
        <v>-0.1308</v>
      </c>
      <c r="C64">
        <v>1.4959999999999999E-2</v>
      </c>
      <c r="D64">
        <v>8.3899999999999999E-3</v>
      </c>
      <c r="E64">
        <v>-7.3999999999999996E-2</v>
      </c>
      <c r="F64">
        <v>0.05</v>
      </c>
      <c r="G64">
        <v>1.1299999999999999E-2</v>
      </c>
      <c r="H64">
        <v>-2.3515000000000001</v>
      </c>
      <c r="I64">
        <v>0</v>
      </c>
      <c r="J64">
        <v>0</v>
      </c>
      <c r="K64">
        <v>0</v>
      </c>
      <c r="L64">
        <v>-0.31850000000000001</v>
      </c>
    </row>
    <row r="65" spans="1:12" x14ac:dyDescent="0.35">
      <c r="A65">
        <v>-1.85</v>
      </c>
      <c r="B65">
        <v>-0.12039999999999999</v>
      </c>
      <c r="C65">
        <v>1.453E-2</v>
      </c>
      <c r="D65">
        <v>7.8700000000000003E-3</v>
      </c>
      <c r="E65">
        <v>-7.3499999999999996E-2</v>
      </c>
      <c r="F65">
        <v>0.05</v>
      </c>
      <c r="G65">
        <v>1.15E-2</v>
      </c>
      <c r="H65">
        <v>-2.3395999999999999</v>
      </c>
      <c r="I65">
        <v>0</v>
      </c>
      <c r="J65">
        <v>0</v>
      </c>
      <c r="K65">
        <v>0</v>
      </c>
      <c r="L65">
        <v>-0.36399999999999999</v>
      </c>
    </row>
    <row r="66" spans="1:12" x14ac:dyDescent="0.35">
      <c r="A66">
        <v>-1.8</v>
      </c>
      <c r="B66">
        <v>-0.1099</v>
      </c>
      <c r="C66">
        <v>1.4120000000000001E-2</v>
      </c>
      <c r="D66">
        <v>7.3800000000000003E-3</v>
      </c>
      <c r="E66">
        <v>-7.3099999999999998E-2</v>
      </c>
      <c r="F66">
        <v>0.05</v>
      </c>
      <c r="G66">
        <v>1.17E-2</v>
      </c>
      <c r="H66">
        <v>-2.3243</v>
      </c>
      <c r="I66">
        <v>0</v>
      </c>
      <c r="J66">
        <v>0</v>
      </c>
      <c r="K66">
        <v>0</v>
      </c>
      <c r="L66">
        <v>-0.41830000000000001</v>
      </c>
    </row>
    <row r="67" spans="1:12" x14ac:dyDescent="0.35">
      <c r="A67">
        <v>-1.75</v>
      </c>
      <c r="B67">
        <v>-9.9500000000000005E-2</v>
      </c>
      <c r="C67">
        <v>1.374E-2</v>
      </c>
      <c r="D67">
        <v>6.9100000000000003E-3</v>
      </c>
      <c r="E67">
        <v>-7.2599999999999998E-2</v>
      </c>
      <c r="F67">
        <v>0.05</v>
      </c>
      <c r="G67">
        <v>1.2E-2</v>
      </c>
      <c r="H67">
        <v>-2.3047</v>
      </c>
      <c r="I67">
        <v>0</v>
      </c>
      <c r="J67">
        <v>0</v>
      </c>
      <c r="K67">
        <v>0</v>
      </c>
      <c r="L67">
        <v>-0.48380000000000001</v>
      </c>
    </row>
    <row r="68" spans="1:12" x14ac:dyDescent="0.35">
      <c r="A68">
        <v>-1.7</v>
      </c>
      <c r="B68">
        <v>-8.8999999999999996E-2</v>
      </c>
      <c r="C68">
        <v>1.338E-2</v>
      </c>
      <c r="D68">
        <v>6.4799999999999996E-3</v>
      </c>
      <c r="E68">
        <v>-7.22E-2</v>
      </c>
      <c r="F68">
        <v>0.05</v>
      </c>
      <c r="G68">
        <v>1.23E-2</v>
      </c>
      <c r="H68">
        <v>-2.2801</v>
      </c>
      <c r="I68">
        <v>0</v>
      </c>
      <c r="J68">
        <v>0</v>
      </c>
      <c r="K68">
        <v>0</v>
      </c>
      <c r="L68">
        <v>-0.5645</v>
      </c>
    </row>
    <row r="69" spans="1:12" x14ac:dyDescent="0.35">
      <c r="A69">
        <v>-1.65</v>
      </c>
      <c r="B69">
        <v>-7.8600000000000003E-2</v>
      </c>
      <c r="C69">
        <v>1.304E-2</v>
      </c>
      <c r="D69">
        <v>6.0699999999999999E-3</v>
      </c>
      <c r="E69">
        <v>-7.17E-2</v>
      </c>
      <c r="F69">
        <v>0.05</v>
      </c>
      <c r="G69">
        <v>1.26E-2</v>
      </c>
      <c r="H69">
        <v>-2.2494999999999998</v>
      </c>
      <c r="I69">
        <v>0</v>
      </c>
      <c r="J69">
        <v>0</v>
      </c>
      <c r="K69">
        <v>0</v>
      </c>
      <c r="L69">
        <v>-0.66590000000000005</v>
      </c>
    </row>
    <row r="70" spans="1:12" x14ac:dyDescent="0.35">
      <c r="A70">
        <v>-1.6</v>
      </c>
      <c r="B70">
        <v>-6.83E-2</v>
      </c>
      <c r="C70">
        <v>1.273E-2</v>
      </c>
      <c r="D70">
        <v>5.6800000000000002E-3</v>
      </c>
      <c r="E70">
        <v>-7.1199999999999999E-2</v>
      </c>
      <c r="F70">
        <v>0.05</v>
      </c>
      <c r="G70">
        <v>1.2999999999999999E-2</v>
      </c>
      <c r="H70">
        <v>-2.2115999999999998</v>
      </c>
      <c r="I70">
        <v>0</v>
      </c>
      <c r="J70">
        <v>0</v>
      </c>
      <c r="K70">
        <v>0</v>
      </c>
      <c r="L70">
        <v>-0.79749999999999999</v>
      </c>
    </row>
    <row r="71" spans="1:12" x14ac:dyDescent="0.35">
      <c r="A71">
        <v>-1.55</v>
      </c>
      <c r="B71">
        <v>-5.79E-2</v>
      </c>
      <c r="C71">
        <v>1.2449999999999999E-2</v>
      </c>
      <c r="D71">
        <v>5.3299999999999997E-3</v>
      </c>
      <c r="E71">
        <v>-7.0699999999999999E-2</v>
      </c>
      <c r="F71">
        <v>0.05</v>
      </c>
      <c r="G71">
        <v>1.3899999999999999E-2</v>
      </c>
      <c r="H71">
        <v>-2.1564000000000001</v>
      </c>
      <c r="I71">
        <v>0</v>
      </c>
      <c r="J71">
        <v>0</v>
      </c>
      <c r="K71">
        <v>0</v>
      </c>
      <c r="L71">
        <v>-0.97650000000000003</v>
      </c>
    </row>
    <row r="72" spans="1:12" x14ac:dyDescent="0.35">
      <c r="A72">
        <v>-1.5</v>
      </c>
      <c r="B72">
        <v>-4.7600000000000003E-2</v>
      </c>
      <c r="C72">
        <v>1.2200000000000001E-2</v>
      </c>
      <c r="D72">
        <v>5.0200000000000002E-3</v>
      </c>
      <c r="E72">
        <v>-7.0199999999999999E-2</v>
      </c>
      <c r="F72">
        <v>0.05</v>
      </c>
      <c r="G72">
        <v>1.49E-2</v>
      </c>
      <c r="H72">
        <v>-2.097</v>
      </c>
      <c r="I72">
        <v>0</v>
      </c>
      <c r="J72">
        <v>0</v>
      </c>
      <c r="K72">
        <v>0</v>
      </c>
      <c r="L72">
        <v>-1.2326999999999999</v>
      </c>
    </row>
    <row r="73" spans="1:12" x14ac:dyDescent="0.35">
      <c r="A73">
        <v>-1.45</v>
      </c>
      <c r="B73">
        <v>-3.73E-2</v>
      </c>
      <c r="C73">
        <v>1.196E-2</v>
      </c>
      <c r="D73">
        <v>4.7200000000000002E-3</v>
      </c>
      <c r="E73">
        <v>-6.9800000000000001E-2</v>
      </c>
      <c r="F73">
        <v>0.05</v>
      </c>
      <c r="G73">
        <v>1.54E-2</v>
      </c>
      <c r="H73">
        <v>-2.0388000000000002</v>
      </c>
      <c r="I73">
        <v>0</v>
      </c>
      <c r="J73">
        <v>0</v>
      </c>
      <c r="K73">
        <v>0</v>
      </c>
      <c r="L73">
        <v>-1.6269</v>
      </c>
    </row>
    <row r="74" spans="1:12" x14ac:dyDescent="0.35">
      <c r="A74">
        <v>-1.4</v>
      </c>
      <c r="B74">
        <v>-2.7199999999999998E-2</v>
      </c>
      <c r="C74">
        <v>1.172E-2</v>
      </c>
      <c r="D74">
        <v>4.4299999999999999E-3</v>
      </c>
      <c r="E74">
        <v>-6.93E-2</v>
      </c>
      <c r="F74">
        <v>0.05</v>
      </c>
      <c r="G74">
        <v>1.55E-2</v>
      </c>
      <c r="H74">
        <v>-1.9806999999999999</v>
      </c>
      <c r="I74">
        <v>0</v>
      </c>
      <c r="J74">
        <v>0</v>
      </c>
      <c r="K74">
        <v>0</v>
      </c>
      <c r="L74">
        <v>-2.3123999999999998</v>
      </c>
    </row>
    <row r="75" spans="1:12" x14ac:dyDescent="0.35">
      <c r="A75">
        <v>-1.35</v>
      </c>
      <c r="B75">
        <v>-1.7000000000000001E-2</v>
      </c>
      <c r="C75">
        <v>1.15E-2</v>
      </c>
      <c r="D75">
        <v>4.1599999999999996E-3</v>
      </c>
      <c r="E75">
        <v>-6.8900000000000003E-2</v>
      </c>
      <c r="F75">
        <v>0.05</v>
      </c>
      <c r="G75">
        <v>1.55E-2</v>
      </c>
      <c r="H75">
        <v>-1.9164000000000001</v>
      </c>
      <c r="I75">
        <v>0</v>
      </c>
      <c r="J75">
        <v>0</v>
      </c>
      <c r="K75">
        <v>0</v>
      </c>
      <c r="L75">
        <v>-3.8256999999999999</v>
      </c>
    </row>
    <row r="76" spans="1:12" x14ac:dyDescent="0.35">
      <c r="A76">
        <v>-1.3</v>
      </c>
      <c r="B76">
        <v>-6.7000000000000002E-3</v>
      </c>
      <c r="C76">
        <v>1.1310000000000001E-2</v>
      </c>
      <c r="D76">
        <v>3.9100000000000003E-3</v>
      </c>
      <c r="E76">
        <v>-6.8599999999999994E-2</v>
      </c>
      <c r="F76">
        <v>0.05</v>
      </c>
      <c r="G76">
        <v>1.5599999999999999E-2</v>
      </c>
      <c r="H76">
        <v>-1.8464</v>
      </c>
      <c r="I76">
        <v>0</v>
      </c>
      <c r="J76">
        <v>0</v>
      </c>
      <c r="K76">
        <v>0</v>
      </c>
      <c r="L76">
        <v>-9.9801000000000002</v>
      </c>
    </row>
    <row r="77" spans="1:12" x14ac:dyDescent="0.35">
      <c r="A77">
        <v>-1.25</v>
      </c>
      <c r="B77">
        <v>3.5999999999999999E-3</v>
      </c>
      <c r="C77">
        <v>1.1129999999999999E-2</v>
      </c>
      <c r="D77">
        <v>3.6800000000000001E-3</v>
      </c>
      <c r="E77">
        <v>-6.8199999999999997E-2</v>
      </c>
      <c r="F77">
        <v>0.05</v>
      </c>
      <c r="G77">
        <v>1.5800000000000002E-2</v>
      </c>
      <c r="H77">
        <v>-1.7716000000000001</v>
      </c>
      <c r="I77">
        <v>0</v>
      </c>
      <c r="J77">
        <v>0</v>
      </c>
      <c r="K77">
        <v>0</v>
      </c>
      <c r="L77">
        <v>19.226199999999999</v>
      </c>
    </row>
    <row r="78" spans="1:12" x14ac:dyDescent="0.35">
      <c r="A78">
        <v>-1.2</v>
      </c>
      <c r="B78">
        <v>1.4E-2</v>
      </c>
      <c r="C78">
        <v>1.0970000000000001E-2</v>
      </c>
      <c r="D78">
        <v>3.47E-3</v>
      </c>
      <c r="E78">
        <v>-6.7900000000000002E-2</v>
      </c>
      <c r="F78">
        <v>0.05</v>
      </c>
      <c r="G78">
        <v>1.5900000000000001E-2</v>
      </c>
      <c r="H78">
        <v>-1.7121999999999999</v>
      </c>
      <c r="I78">
        <v>0</v>
      </c>
      <c r="J78">
        <v>0</v>
      </c>
      <c r="K78">
        <v>0</v>
      </c>
      <c r="L78">
        <v>5.1067</v>
      </c>
    </row>
    <row r="79" spans="1:12" x14ac:dyDescent="0.35">
      <c r="A79">
        <v>-1.1499999999999999</v>
      </c>
      <c r="B79">
        <v>2.4500000000000001E-2</v>
      </c>
      <c r="C79">
        <v>1.0829999999999999E-2</v>
      </c>
      <c r="D79">
        <v>3.2799999999999999E-3</v>
      </c>
      <c r="E79">
        <v>-6.7699999999999996E-2</v>
      </c>
      <c r="F79">
        <v>0.05</v>
      </c>
      <c r="G79">
        <v>1.6199999999999999E-2</v>
      </c>
      <c r="H79">
        <v>-1.6666000000000001</v>
      </c>
      <c r="I79">
        <v>0</v>
      </c>
      <c r="J79">
        <v>0</v>
      </c>
      <c r="K79">
        <v>0</v>
      </c>
      <c r="L79">
        <v>3.0154000000000001</v>
      </c>
    </row>
    <row r="80" spans="1:12" x14ac:dyDescent="0.35">
      <c r="A80">
        <v>-1.1000000000000001</v>
      </c>
      <c r="B80">
        <v>3.5099999999999999E-2</v>
      </c>
      <c r="C80">
        <v>1.0699999999999999E-2</v>
      </c>
      <c r="D80">
        <v>3.1099999999999999E-3</v>
      </c>
      <c r="E80">
        <v>-6.7400000000000002E-2</v>
      </c>
      <c r="F80">
        <v>0.05</v>
      </c>
      <c r="G80">
        <v>1.6500000000000001E-2</v>
      </c>
      <c r="H80">
        <v>-1.6176999999999999</v>
      </c>
      <c r="I80">
        <v>0</v>
      </c>
      <c r="J80">
        <v>0</v>
      </c>
      <c r="K80">
        <v>0</v>
      </c>
      <c r="L80">
        <v>2.1749000000000001</v>
      </c>
    </row>
    <row r="81" spans="1:12" x14ac:dyDescent="0.35">
      <c r="A81">
        <v>-1.05</v>
      </c>
      <c r="B81">
        <v>4.58E-2</v>
      </c>
      <c r="C81">
        <v>1.059E-2</v>
      </c>
      <c r="D81">
        <v>2.96E-3</v>
      </c>
      <c r="E81">
        <v>-6.7199999999999996E-2</v>
      </c>
      <c r="F81">
        <v>0.05</v>
      </c>
      <c r="G81">
        <v>1.6799999999999999E-2</v>
      </c>
      <c r="H81">
        <v>-1.5656000000000001</v>
      </c>
      <c r="I81">
        <v>0</v>
      </c>
      <c r="J81">
        <v>0</v>
      </c>
      <c r="K81">
        <v>0</v>
      </c>
      <c r="L81">
        <v>1.7222999999999999</v>
      </c>
    </row>
    <row r="82" spans="1:12" x14ac:dyDescent="0.35">
      <c r="A82">
        <v>-1</v>
      </c>
      <c r="B82">
        <v>5.6500000000000002E-2</v>
      </c>
      <c r="C82">
        <v>1.0500000000000001E-2</v>
      </c>
      <c r="D82">
        <v>2.8300000000000001E-3</v>
      </c>
      <c r="E82">
        <v>-6.7000000000000004E-2</v>
      </c>
      <c r="F82">
        <v>0.05</v>
      </c>
      <c r="G82">
        <v>1.72E-2</v>
      </c>
      <c r="H82">
        <v>-1.5101</v>
      </c>
      <c r="I82">
        <v>0</v>
      </c>
      <c r="J82">
        <v>0</v>
      </c>
      <c r="K82">
        <v>0</v>
      </c>
      <c r="L82">
        <v>1.4399</v>
      </c>
    </row>
    <row r="83" spans="1:12" x14ac:dyDescent="0.35">
      <c r="A83">
        <v>-0.95</v>
      </c>
      <c r="B83">
        <v>6.7199999999999996E-2</v>
      </c>
      <c r="C83">
        <v>1.042E-2</v>
      </c>
      <c r="D83">
        <v>2.7100000000000002E-3</v>
      </c>
      <c r="E83">
        <v>-6.6799999999999998E-2</v>
      </c>
      <c r="F83">
        <v>0.05</v>
      </c>
      <c r="G83">
        <v>1.77E-2</v>
      </c>
      <c r="H83">
        <v>-1.4511000000000001</v>
      </c>
      <c r="I83">
        <v>0</v>
      </c>
      <c r="J83">
        <v>0</v>
      </c>
      <c r="K83">
        <v>0</v>
      </c>
      <c r="L83">
        <v>1.2473000000000001</v>
      </c>
    </row>
    <row r="84" spans="1:12" x14ac:dyDescent="0.35">
      <c r="A84">
        <v>-0.9</v>
      </c>
      <c r="B84">
        <v>7.7899999999999997E-2</v>
      </c>
      <c r="C84">
        <v>1.035E-2</v>
      </c>
      <c r="D84">
        <v>2.6099999999999999E-3</v>
      </c>
      <c r="E84">
        <v>-6.6699999999999995E-2</v>
      </c>
      <c r="F84">
        <v>0.05</v>
      </c>
      <c r="G84">
        <v>1.8100000000000002E-2</v>
      </c>
      <c r="H84">
        <v>-1.389</v>
      </c>
      <c r="I84">
        <v>0</v>
      </c>
      <c r="J84">
        <v>0</v>
      </c>
      <c r="K84">
        <v>0</v>
      </c>
      <c r="L84">
        <v>1.1077999999999999</v>
      </c>
    </row>
    <row r="85" spans="1:12" x14ac:dyDescent="0.35">
      <c r="A85">
        <v>-0.85</v>
      </c>
      <c r="B85">
        <v>8.8599999999999998E-2</v>
      </c>
      <c r="C85">
        <v>1.03E-2</v>
      </c>
      <c r="D85">
        <v>2.5200000000000001E-3</v>
      </c>
      <c r="E85">
        <v>-6.6500000000000004E-2</v>
      </c>
      <c r="F85">
        <v>0.05</v>
      </c>
      <c r="G85">
        <v>1.8599999999999998E-2</v>
      </c>
      <c r="H85">
        <v>-1.3243</v>
      </c>
      <c r="I85">
        <v>0</v>
      </c>
      <c r="J85">
        <v>0</v>
      </c>
      <c r="K85">
        <v>0</v>
      </c>
      <c r="L85">
        <v>1.0021</v>
      </c>
    </row>
    <row r="86" spans="1:12" x14ac:dyDescent="0.35">
      <c r="A86">
        <v>-0.8</v>
      </c>
      <c r="B86">
        <v>9.9299999999999999E-2</v>
      </c>
      <c r="C86">
        <v>1.025E-2</v>
      </c>
      <c r="D86">
        <v>2.4499999999999999E-3</v>
      </c>
      <c r="E86">
        <v>-6.6299999999999998E-2</v>
      </c>
      <c r="F86">
        <v>0.05</v>
      </c>
      <c r="G86">
        <v>1.9E-2</v>
      </c>
      <c r="H86">
        <v>-1.2585</v>
      </c>
      <c r="I86">
        <v>0</v>
      </c>
      <c r="J86">
        <v>0</v>
      </c>
      <c r="K86">
        <v>0</v>
      </c>
      <c r="L86">
        <v>0.91949999999999998</v>
      </c>
    </row>
    <row r="87" spans="1:12" x14ac:dyDescent="0.35">
      <c r="A87">
        <v>-0.75</v>
      </c>
      <c r="B87">
        <v>0.1099</v>
      </c>
      <c r="C87">
        <v>1.018E-2</v>
      </c>
      <c r="D87">
        <v>2.3700000000000001E-3</v>
      </c>
      <c r="E87">
        <v>-6.6199999999999995E-2</v>
      </c>
      <c r="F87">
        <v>0.05</v>
      </c>
      <c r="G87">
        <v>1.9900000000000001E-2</v>
      </c>
      <c r="H87">
        <v>-1.1995</v>
      </c>
      <c r="I87">
        <v>0</v>
      </c>
      <c r="J87">
        <v>0</v>
      </c>
      <c r="K87">
        <v>0</v>
      </c>
      <c r="L87">
        <v>0.85340000000000005</v>
      </c>
    </row>
    <row r="88" spans="1:12" x14ac:dyDescent="0.35">
      <c r="A88">
        <v>-0.7</v>
      </c>
      <c r="B88">
        <v>0.1206</v>
      </c>
      <c r="C88">
        <v>1.014E-2</v>
      </c>
      <c r="D88">
        <v>2.3E-3</v>
      </c>
      <c r="E88">
        <v>-6.6100000000000006E-2</v>
      </c>
      <c r="F88">
        <v>0.05</v>
      </c>
      <c r="G88">
        <v>2.1000000000000001E-2</v>
      </c>
      <c r="H88">
        <v>-1.1356999999999999</v>
      </c>
      <c r="I88">
        <v>0</v>
      </c>
      <c r="J88">
        <v>0</v>
      </c>
      <c r="K88">
        <v>0</v>
      </c>
      <c r="L88">
        <v>0.79900000000000004</v>
      </c>
    </row>
    <row r="89" spans="1:12" x14ac:dyDescent="0.35">
      <c r="A89">
        <v>-0.65</v>
      </c>
      <c r="B89">
        <v>0.13120000000000001</v>
      </c>
      <c r="C89">
        <v>1.01E-2</v>
      </c>
      <c r="D89">
        <v>2.2499999999999998E-3</v>
      </c>
      <c r="E89">
        <v>-6.6000000000000003E-2</v>
      </c>
      <c r="F89">
        <v>0.05</v>
      </c>
      <c r="G89">
        <v>2.23E-2</v>
      </c>
      <c r="H89">
        <v>-1.0705</v>
      </c>
      <c r="I89">
        <v>0</v>
      </c>
      <c r="J89">
        <v>0</v>
      </c>
      <c r="K89">
        <v>0</v>
      </c>
      <c r="L89">
        <v>0.75349999999999995</v>
      </c>
    </row>
    <row r="90" spans="1:12" x14ac:dyDescent="0.35">
      <c r="A90">
        <v>-0.6</v>
      </c>
      <c r="B90">
        <v>0.14180000000000001</v>
      </c>
      <c r="C90">
        <v>1.0070000000000001E-2</v>
      </c>
      <c r="D90">
        <v>2.2100000000000002E-3</v>
      </c>
      <c r="E90">
        <v>-6.59E-2</v>
      </c>
      <c r="F90">
        <v>0.05</v>
      </c>
      <c r="G90">
        <v>2.3699999999999999E-2</v>
      </c>
      <c r="H90">
        <v>-1.0058</v>
      </c>
      <c r="I90">
        <v>0</v>
      </c>
      <c r="J90">
        <v>0</v>
      </c>
      <c r="K90">
        <v>0</v>
      </c>
      <c r="L90">
        <v>0.71489999999999998</v>
      </c>
    </row>
    <row r="91" spans="1:12" x14ac:dyDescent="0.35">
      <c r="A91">
        <v>-0.55000000000000004</v>
      </c>
      <c r="B91">
        <v>0.15240000000000001</v>
      </c>
      <c r="C91">
        <v>1.005E-2</v>
      </c>
      <c r="D91">
        <v>2.1800000000000001E-3</v>
      </c>
      <c r="E91">
        <v>-6.5799999999999997E-2</v>
      </c>
      <c r="F91">
        <v>0.05</v>
      </c>
      <c r="G91">
        <v>2.52E-2</v>
      </c>
      <c r="H91">
        <v>-0.94220000000000004</v>
      </c>
      <c r="I91">
        <v>0</v>
      </c>
      <c r="J91">
        <v>0</v>
      </c>
      <c r="K91">
        <v>0</v>
      </c>
      <c r="L91">
        <v>0.68179999999999996</v>
      </c>
    </row>
    <row r="92" spans="1:12" x14ac:dyDescent="0.35">
      <c r="A92">
        <v>-0.5</v>
      </c>
      <c r="B92">
        <v>0.16300000000000001</v>
      </c>
      <c r="C92">
        <v>1.0030000000000001E-2</v>
      </c>
      <c r="D92">
        <v>2.15E-3</v>
      </c>
      <c r="E92">
        <v>-6.5699999999999995E-2</v>
      </c>
      <c r="F92">
        <v>0.05</v>
      </c>
      <c r="G92">
        <v>2.69E-2</v>
      </c>
      <c r="H92">
        <v>-0.88</v>
      </c>
      <c r="I92">
        <v>0</v>
      </c>
      <c r="J92">
        <v>0</v>
      </c>
      <c r="K92">
        <v>0</v>
      </c>
      <c r="L92">
        <v>0.65310000000000001</v>
      </c>
    </row>
    <row r="93" spans="1:12" x14ac:dyDescent="0.35">
      <c r="A93">
        <v>-0.45</v>
      </c>
      <c r="B93">
        <v>0.1736</v>
      </c>
      <c r="C93">
        <v>1.0019999999999999E-2</v>
      </c>
      <c r="D93">
        <v>2.1199999999999999E-3</v>
      </c>
      <c r="E93">
        <v>-6.5600000000000006E-2</v>
      </c>
      <c r="F93">
        <v>0.05</v>
      </c>
      <c r="G93">
        <v>2.87E-2</v>
      </c>
      <c r="H93">
        <v>-0.82299999999999995</v>
      </c>
      <c r="I93">
        <v>0</v>
      </c>
      <c r="J93">
        <v>0</v>
      </c>
      <c r="K93">
        <v>0</v>
      </c>
      <c r="L93">
        <v>0.628</v>
      </c>
    </row>
    <row r="94" spans="1:12" x14ac:dyDescent="0.35">
      <c r="A94">
        <v>-0.4</v>
      </c>
      <c r="B94">
        <v>0.18410000000000001</v>
      </c>
      <c r="C94">
        <v>0.01</v>
      </c>
      <c r="D94">
        <v>2.0999999999999999E-3</v>
      </c>
      <c r="E94">
        <v>-6.5500000000000003E-2</v>
      </c>
      <c r="F94">
        <v>0.05</v>
      </c>
      <c r="G94">
        <v>3.2000000000000001E-2</v>
      </c>
      <c r="H94">
        <v>-0.76249999999999996</v>
      </c>
      <c r="I94">
        <v>0</v>
      </c>
      <c r="J94">
        <v>0</v>
      </c>
      <c r="K94">
        <v>0</v>
      </c>
      <c r="L94">
        <v>0.60589999999999999</v>
      </c>
    </row>
    <row r="95" spans="1:12" x14ac:dyDescent="0.35">
      <c r="A95">
        <v>-0.35</v>
      </c>
      <c r="B95">
        <v>0.1946</v>
      </c>
      <c r="C95">
        <v>9.9699999999999997E-3</v>
      </c>
      <c r="D95">
        <v>2.0799999999999998E-3</v>
      </c>
      <c r="E95">
        <v>-6.54E-2</v>
      </c>
      <c r="F95">
        <v>0.05</v>
      </c>
      <c r="G95">
        <v>3.7400000000000003E-2</v>
      </c>
      <c r="H95">
        <v>-0.70309999999999995</v>
      </c>
      <c r="I95">
        <v>0</v>
      </c>
      <c r="J95">
        <v>0</v>
      </c>
      <c r="K95">
        <v>0</v>
      </c>
      <c r="L95">
        <v>0.58630000000000004</v>
      </c>
    </row>
    <row r="96" spans="1:12" x14ac:dyDescent="0.35">
      <c r="A96">
        <v>-0.3</v>
      </c>
      <c r="B96">
        <v>0.20499999999999999</v>
      </c>
      <c r="C96">
        <v>9.9299999999999996E-3</v>
      </c>
      <c r="D96">
        <v>2.0600000000000002E-3</v>
      </c>
      <c r="E96">
        <v>-6.54E-2</v>
      </c>
      <c r="F96">
        <v>0.05</v>
      </c>
      <c r="G96">
        <v>4.82E-2</v>
      </c>
      <c r="H96">
        <v>-0.64570000000000005</v>
      </c>
      <c r="I96">
        <v>0</v>
      </c>
      <c r="J96">
        <v>0</v>
      </c>
      <c r="K96">
        <v>0</v>
      </c>
      <c r="L96">
        <v>0.56889999999999996</v>
      </c>
    </row>
    <row r="97" spans="1:12" x14ac:dyDescent="0.35">
      <c r="A97">
        <v>-0.25</v>
      </c>
      <c r="B97">
        <v>0.2155</v>
      </c>
      <c r="C97">
        <v>9.9299999999999996E-3</v>
      </c>
      <c r="D97">
        <v>2.0600000000000002E-3</v>
      </c>
      <c r="E97">
        <v>-6.5299999999999997E-2</v>
      </c>
      <c r="F97">
        <v>0.05</v>
      </c>
      <c r="G97">
        <v>0.05</v>
      </c>
      <c r="H97">
        <v>-0.58950000000000002</v>
      </c>
      <c r="I97">
        <v>0</v>
      </c>
      <c r="J97">
        <v>0</v>
      </c>
      <c r="K97">
        <v>0</v>
      </c>
      <c r="L97">
        <v>0.55289999999999995</v>
      </c>
    </row>
    <row r="98" spans="1:12" x14ac:dyDescent="0.35">
      <c r="A98">
        <v>-0.2</v>
      </c>
      <c r="B98">
        <v>0.22600000000000001</v>
      </c>
      <c r="C98">
        <v>9.9399999999999992E-3</v>
      </c>
      <c r="D98">
        <v>2.0500000000000002E-3</v>
      </c>
      <c r="E98">
        <v>-6.5199999999999994E-2</v>
      </c>
      <c r="F98">
        <v>0.05</v>
      </c>
      <c r="G98">
        <v>0.05</v>
      </c>
      <c r="H98">
        <v>-0.53420000000000001</v>
      </c>
      <c r="I98">
        <v>0</v>
      </c>
      <c r="J98">
        <v>0</v>
      </c>
      <c r="K98">
        <v>0</v>
      </c>
      <c r="L98">
        <v>0.53849999999999998</v>
      </c>
    </row>
    <row r="99" spans="1:12" x14ac:dyDescent="0.35">
      <c r="A99">
        <v>-0.15</v>
      </c>
      <c r="B99">
        <v>0.23649999999999999</v>
      </c>
      <c r="C99">
        <v>9.9399999999999992E-3</v>
      </c>
      <c r="D99">
        <v>2.0500000000000002E-3</v>
      </c>
      <c r="E99">
        <v>-6.5100000000000005E-2</v>
      </c>
      <c r="F99">
        <v>0.05</v>
      </c>
      <c r="G99">
        <v>0.05</v>
      </c>
      <c r="H99">
        <v>-0.496</v>
      </c>
      <c r="I99">
        <v>0</v>
      </c>
      <c r="J99">
        <v>0</v>
      </c>
      <c r="K99">
        <v>0</v>
      </c>
      <c r="L99">
        <v>0.52529999999999999</v>
      </c>
    </row>
    <row r="100" spans="1:12" x14ac:dyDescent="0.35">
      <c r="A100">
        <v>-0.1</v>
      </c>
      <c r="B100">
        <v>0.24690000000000001</v>
      </c>
      <c r="C100">
        <v>9.9500000000000005E-3</v>
      </c>
      <c r="D100">
        <v>2.0500000000000002E-3</v>
      </c>
      <c r="E100">
        <v>-6.5000000000000002E-2</v>
      </c>
      <c r="F100">
        <v>0.05</v>
      </c>
      <c r="G100">
        <v>0.05</v>
      </c>
      <c r="H100">
        <v>-0.50060000000000004</v>
      </c>
      <c r="I100">
        <v>0</v>
      </c>
      <c r="J100">
        <v>0</v>
      </c>
      <c r="K100">
        <v>0</v>
      </c>
      <c r="L100">
        <v>0.51329999999999998</v>
      </c>
    </row>
    <row r="101" spans="1:12" x14ac:dyDescent="0.35">
      <c r="A101">
        <v>-0.05</v>
      </c>
      <c r="B101">
        <v>0.25740000000000002</v>
      </c>
      <c r="C101">
        <v>9.9600000000000001E-3</v>
      </c>
      <c r="D101">
        <v>2.0500000000000002E-3</v>
      </c>
      <c r="E101">
        <v>-6.5000000000000002E-2</v>
      </c>
      <c r="F101">
        <v>0.05</v>
      </c>
      <c r="G101">
        <v>0.05</v>
      </c>
      <c r="H101">
        <v>-0.50529999999999997</v>
      </c>
      <c r="I101">
        <v>0</v>
      </c>
      <c r="J101">
        <v>0</v>
      </c>
      <c r="K101">
        <v>0</v>
      </c>
      <c r="L101">
        <v>0.50229999999999997</v>
      </c>
    </row>
    <row r="102" spans="1:12" x14ac:dyDescent="0.35">
      <c r="A102">
        <v>0</v>
      </c>
      <c r="B102">
        <v>0.26779999999999998</v>
      </c>
      <c r="C102">
        <v>9.9699999999999997E-3</v>
      </c>
      <c r="D102">
        <v>2.0600000000000002E-3</v>
      </c>
      <c r="E102">
        <v>-6.4899999999999999E-2</v>
      </c>
      <c r="F102">
        <v>0.05</v>
      </c>
      <c r="G102">
        <v>0.05</v>
      </c>
      <c r="H102">
        <v>-0.5101</v>
      </c>
      <c r="I102">
        <v>0</v>
      </c>
      <c r="J102">
        <v>0</v>
      </c>
      <c r="K102">
        <v>0</v>
      </c>
      <c r="L102">
        <v>0.49209999999999998</v>
      </c>
    </row>
    <row r="103" spans="1:12" x14ac:dyDescent="0.35">
      <c r="A103">
        <v>0.05</v>
      </c>
      <c r="B103">
        <v>0.2782</v>
      </c>
      <c r="C103">
        <v>9.9799999999999993E-3</v>
      </c>
      <c r="D103">
        <v>2.0699999999999998E-3</v>
      </c>
      <c r="E103">
        <v>-6.4799999999999996E-2</v>
      </c>
      <c r="F103">
        <v>0.05</v>
      </c>
      <c r="G103">
        <v>0.05</v>
      </c>
      <c r="H103">
        <v>-0.51490000000000002</v>
      </c>
      <c r="I103">
        <v>0</v>
      </c>
      <c r="J103">
        <v>0</v>
      </c>
      <c r="K103">
        <v>0</v>
      </c>
      <c r="L103">
        <v>0.48270000000000002</v>
      </c>
    </row>
    <row r="104" spans="1:12" x14ac:dyDescent="0.35">
      <c r="A104">
        <v>0.1</v>
      </c>
      <c r="B104">
        <v>0.28860000000000002</v>
      </c>
      <c r="C104">
        <v>9.9900000000000006E-3</v>
      </c>
      <c r="D104">
        <v>2.0799999999999998E-3</v>
      </c>
      <c r="E104">
        <v>-6.4699999999999994E-2</v>
      </c>
      <c r="F104">
        <v>0.05</v>
      </c>
      <c r="G104">
        <v>0.05</v>
      </c>
      <c r="H104">
        <v>-0.51970000000000005</v>
      </c>
      <c r="I104">
        <v>0</v>
      </c>
      <c r="J104">
        <v>0</v>
      </c>
      <c r="K104">
        <v>0</v>
      </c>
      <c r="L104">
        <v>0.47399999999999998</v>
      </c>
    </row>
    <row r="105" spans="1:12" x14ac:dyDescent="0.35">
      <c r="A105">
        <v>0.15</v>
      </c>
      <c r="B105">
        <v>0.29899999999999999</v>
      </c>
      <c r="C105">
        <v>0.01</v>
      </c>
      <c r="D105">
        <v>2.0899999999999998E-3</v>
      </c>
      <c r="E105">
        <v>-6.4699999999999994E-2</v>
      </c>
      <c r="F105">
        <v>0.05</v>
      </c>
      <c r="G105">
        <v>0.05</v>
      </c>
      <c r="H105">
        <v>-0.52459999999999996</v>
      </c>
      <c r="I105">
        <v>0</v>
      </c>
      <c r="J105">
        <v>0</v>
      </c>
      <c r="K105">
        <v>0</v>
      </c>
      <c r="L105">
        <v>0.46589999999999998</v>
      </c>
    </row>
    <row r="106" spans="1:12" x14ac:dyDescent="0.35">
      <c r="A106">
        <v>0.2</v>
      </c>
      <c r="B106">
        <v>0.30940000000000001</v>
      </c>
      <c r="C106">
        <v>1.0019999999999999E-2</v>
      </c>
      <c r="D106">
        <v>2.0999999999999999E-3</v>
      </c>
      <c r="E106">
        <v>-6.4600000000000005E-2</v>
      </c>
      <c r="F106">
        <v>0.05</v>
      </c>
      <c r="G106">
        <v>0.05</v>
      </c>
      <c r="H106">
        <v>-0.52949999999999997</v>
      </c>
      <c r="I106">
        <v>0</v>
      </c>
      <c r="J106">
        <v>0</v>
      </c>
      <c r="K106">
        <v>0</v>
      </c>
      <c r="L106">
        <v>0.45829999999999999</v>
      </c>
    </row>
    <row r="107" spans="1:12" x14ac:dyDescent="0.35">
      <c r="A107">
        <v>0.25</v>
      </c>
      <c r="B107">
        <v>0.31979999999999997</v>
      </c>
      <c r="C107">
        <v>1.0030000000000001E-2</v>
      </c>
      <c r="D107">
        <v>2.1199999999999999E-3</v>
      </c>
      <c r="E107">
        <v>-6.4500000000000002E-2</v>
      </c>
      <c r="F107">
        <v>0.05</v>
      </c>
      <c r="G107">
        <v>0.05</v>
      </c>
      <c r="H107">
        <v>-0.53439999999999999</v>
      </c>
      <c r="I107">
        <v>0</v>
      </c>
      <c r="J107">
        <v>0</v>
      </c>
      <c r="K107">
        <v>0</v>
      </c>
      <c r="L107">
        <v>0.45129999999999998</v>
      </c>
    </row>
    <row r="108" spans="1:12" x14ac:dyDescent="0.35">
      <c r="A108">
        <v>0.3</v>
      </c>
      <c r="B108">
        <v>0.33019999999999999</v>
      </c>
      <c r="C108">
        <v>1.005E-2</v>
      </c>
      <c r="D108">
        <v>2.14E-3</v>
      </c>
      <c r="E108">
        <v>-6.4399999999999999E-2</v>
      </c>
      <c r="F108">
        <v>0.05</v>
      </c>
      <c r="G108">
        <v>0.05</v>
      </c>
      <c r="H108">
        <v>-0.53939999999999999</v>
      </c>
      <c r="I108">
        <v>0</v>
      </c>
      <c r="J108">
        <v>0</v>
      </c>
      <c r="K108">
        <v>0</v>
      </c>
      <c r="L108">
        <v>0.4446</v>
      </c>
    </row>
    <row r="109" spans="1:12" x14ac:dyDescent="0.35">
      <c r="A109">
        <v>0.35</v>
      </c>
      <c r="B109">
        <v>0.34060000000000001</v>
      </c>
      <c r="C109">
        <v>1.0059999999999999E-2</v>
      </c>
      <c r="D109">
        <v>2.16E-3</v>
      </c>
      <c r="E109">
        <v>-6.4299999999999996E-2</v>
      </c>
      <c r="F109">
        <v>0.05</v>
      </c>
      <c r="G109">
        <v>0.05</v>
      </c>
      <c r="H109">
        <v>-0.5444</v>
      </c>
      <c r="I109">
        <v>0</v>
      </c>
      <c r="J109">
        <v>0</v>
      </c>
      <c r="K109">
        <v>0</v>
      </c>
      <c r="L109">
        <v>0.43840000000000001</v>
      </c>
    </row>
    <row r="110" spans="1:12" x14ac:dyDescent="0.35">
      <c r="A110">
        <v>0.4</v>
      </c>
      <c r="B110">
        <v>0.35099999999999998</v>
      </c>
      <c r="C110">
        <v>1.008E-2</v>
      </c>
      <c r="D110">
        <v>2.1800000000000001E-3</v>
      </c>
      <c r="E110">
        <v>-6.4199999999999993E-2</v>
      </c>
      <c r="F110">
        <v>0.05</v>
      </c>
      <c r="G110">
        <v>0.05</v>
      </c>
      <c r="H110">
        <v>-0.54949999999999999</v>
      </c>
      <c r="I110">
        <v>0</v>
      </c>
      <c r="J110">
        <v>0</v>
      </c>
      <c r="K110">
        <v>0</v>
      </c>
      <c r="L110">
        <v>0.4325</v>
      </c>
    </row>
    <row r="111" spans="1:12" x14ac:dyDescent="0.35">
      <c r="A111">
        <v>0.45</v>
      </c>
      <c r="B111">
        <v>0.3614</v>
      </c>
      <c r="C111">
        <v>1.009E-2</v>
      </c>
      <c r="D111">
        <v>2.2000000000000001E-3</v>
      </c>
      <c r="E111">
        <v>-6.4100000000000004E-2</v>
      </c>
      <c r="F111">
        <v>0.05</v>
      </c>
      <c r="G111">
        <v>0.05</v>
      </c>
      <c r="H111">
        <v>-0.55459999999999998</v>
      </c>
      <c r="I111">
        <v>0</v>
      </c>
      <c r="J111">
        <v>0</v>
      </c>
      <c r="K111">
        <v>0</v>
      </c>
      <c r="L111">
        <v>0.4269</v>
      </c>
    </row>
    <row r="112" spans="1:12" x14ac:dyDescent="0.35">
      <c r="A112">
        <v>0.5</v>
      </c>
      <c r="B112">
        <v>0.37180000000000002</v>
      </c>
      <c r="C112">
        <v>1.0109999999999999E-2</v>
      </c>
      <c r="D112">
        <v>2.2300000000000002E-3</v>
      </c>
      <c r="E112">
        <v>-6.4000000000000001E-2</v>
      </c>
      <c r="F112">
        <v>0.05</v>
      </c>
      <c r="G112">
        <v>0.05</v>
      </c>
      <c r="H112">
        <v>-0.55969999999999998</v>
      </c>
      <c r="I112">
        <v>0</v>
      </c>
      <c r="J112">
        <v>0</v>
      </c>
      <c r="K112">
        <v>0</v>
      </c>
      <c r="L112">
        <v>0.42170000000000002</v>
      </c>
    </row>
    <row r="113" spans="1:12" x14ac:dyDescent="0.35">
      <c r="A113">
        <v>0.55000000000000004</v>
      </c>
      <c r="B113">
        <v>0.38219999999999998</v>
      </c>
      <c r="C113">
        <v>1.013E-2</v>
      </c>
      <c r="D113">
        <v>2.2599999999999999E-3</v>
      </c>
      <c r="E113">
        <v>-6.3899999999999998E-2</v>
      </c>
      <c r="F113">
        <v>0.05</v>
      </c>
      <c r="G113">
        <v>0.05</v>
      </c>
      <c r="H113">
        <v>-0.56489999999999996</v>
      </c>
      <c r="I113">
        <v>0</v>
      </c>
      <c r="J113">
        <v>0</v>
      </c>
      <c r="K113">
        <v>0</v>
      </c>
      <c r="L113">
        <v>0.41670000000000001</v>
      </c>
    </row>
    <row r="114" spans="1:12" x14ac:dyDescent="0.35">
      <c r="A114">
        <v>0.6</v>
      </c>
      <c r="B114">
        <v>0.3926</v>
      </c>
      <c r="C114">
        <v>1.0149999999999999E-2</v>
      </c>
      <c r="D114">
        <v>2.2899999999999999E-3</v>
      </c>
      <c r="E114">
        <v>-6.3799999999999996E-2</v>
      </c>
      <c r="F114">
        <v>0.05</v>
      </c>
      <c r="G114">
        <v>0.05</v>
      </c>
      <c r="H114">
        <v>-0.59989999999999999</v>
      </c>
      <c r="I114">
        <v>0</v>
      </c>
      <c r="J114">
        <v>0</v>
      </c>
      <c r="K114">
        <v>0</v>
      </c>
      <c r="L114">
        <v>0.41189999999999999</v>
      </c>
    </row>
    <row r="115" spans="1:12" x14ac:dyDescent="0.35">
      <c r="A115">
        <v>0.65</v>
      </c>
      <c r="B115">
        <v>0.40310000000000001</v>
      </c>
      <c r="C115">
        <v>1.017E-2</v>
      </c>
      <c r="D115">
        <v>2.32E-3</v>
      </c>
      <c r="E115">
        <v>-6.3700000000000007E-2</v>
      </c>
      <c r="F115">
        <v>0.05</v>
      </c>
      <c r="G115">
        <v>0.05</v>
      </c>
      <c r="H115">
        <v>-0.65190000000000003</v>
      </c>
      <c r="I115">
        <v>0</v>
      </c>
      <c r="J115">
        <v>0</v>
      </c>
      <c r="K115">
        <v>0</v>
      </c>
      <c r="L115">
        <v>0.40739999999999998</v>
      </c>
    </row>
    <row r="116" spans="1:12" x14ac:dyDescent="0.35">
      <c r="A116">
        <v>0.7</v>
      </c>
      <c r="B116">
        <v>0.41349999999999998</v>
      </c>
      <c r="C116">
        <v>1.0189999999999999E-2</v>
      </c>
      <c r="D116">
        <v>2.3500000000000001E-3</v>
      </c>
      <c r="E116">
        <v>-6.3500000000000001E-2</v>
      </c>
      <c r="F116">
        <v>0.05</v>
      </c>
      <c r="G116">
        <v>0.05</v>
      </c>
      <c r="H116">
        <v>-0.70550000000000002</v>
      </c>
      <c r="I116">
        <v>0</v>
      </c>
      <c r="J116">
        <v>0</v>
      </c>
      <c r="K116">
        <v>0</v>
      </c>
      <c r="L116">
        <v>0.40300000000000002</v>
      </c>
    </row>
    <row r="117" spans="1:12" x14ac:dyDescent="0.35">
      <c r="A117">
        <v>0.75</v>
      </c>
      <c r="B117">
        <v>0.42399999999999999</v>
      </c>
      <c r="C117">
        <v>1.021E-2</v>
      </c>
      <c r="D117">
        <v>2.3900000000000002E-3</v>
      </c>
      <c r="E117">
        <v>-6.3399999999999998E-2</v>
      </c>
      <c r="F117">
        <v>0.05</v>
      </c>
      <c r="G117">
        <v>0.05</v>
      </c>
      <c r="H117">
        <v>-0.76070000000000004</v>
      </c>
      <c r="I117">
        <v>0</v>
      </c>
      <c r="J117">
        <v>0</v>
      </c>
      <c r="K117">
        <v>0</v>
      </c>
      <c r="L117">
        <v>0.39889999999999998</v>
      </c>
    </row>
    <row r="118" spans="1:12" x14ac:dyDescent="0.35">
      <c r="A118">
        <v>0.8</v>
      </c>
      <c r="B118">
        <v>0.4345</v>
      </c>
      <c r="C118">
        <v>1.0240000000000001E-2</v>
      </c>
      <c r="D118">
        <v>2.4299999999999999E-3</v>
      </c>
      <c r="E118">
        <v>-6.3299999999999995E-2</v>
      </c>
      <c r="F118">
        <v>0.05</v>
      </c>
      <c r="G118">
        <v>0.05</v>
      </c>
      <c r="H118">
        <v>-0.81740000000000002</v>
      </c>
      <c r="I118">
        <v>0</v>
      </c>
      <c r="J118">
        <v>0</v>
      </c>
      <c r="K118">
        <v>0</v>
      </c>
      <c r="L118">
        <v>0.39489999999999997</v>
      </c>
    </row>
    <row r="119" spans="1:12" x14ac:dyDescent="0.35">
      <c r="A119">
        <v>0.85</v>
      </c>
      <c r="B119">
        <v>0.44500000000000001</v>
      </c>
      <c r="C119">
        <v>1.026E-2</v>
      </c>
      <c r="D119">
        <v>2.47E-3</v>
      </c>
      <c r="E119">
        <v>-6.3100000000000003E-2</v>
      </c>
      <c r="F119">
        <v>0.05</v>
      </c>
      <c r="G119">
        <v>0.05</v>
      </c>
      <c r="H119">
        <v>-0.87570000000000003</v>
      </c>
      <c r="I119">
        <v>0</v>
      </c>
      <c r="J119">
        <v>0</v>
      </c>
      <c r="K119">
        <v>0</v>
      </c>
      <c r="L119">
        <v>0.3911</v>
      </c>
    </row>
    <row r="120" spans="1:12" x14ac:dyDescent="0.35">
      <c r="A120">
        <v>0.9</v>
      </c>
      <c r="B120">
        <v>0.45550000000000002</v>
      </c>
      <c r="C120">
        <v>1.0279999999999999E-2</v>
      </c>
      <c r="D120">
        <v>2.5100000000000001E-3</v>
      </c>
      <c r="E120">
        <v>-6.2899999999999998E-2</v>
      </c>
      <c r="F120">
        <v>0.05</v>
      </c>
      <c r="G120">
        <v>0.05</v>
      </c>
      <c r="H120">
        <v>-0.93559999999999999</v>
      </c>
      <c r="I120">
        <v>0</v>
      </c>
      <c r="J120">
        <v>0</v>
      </c>
      <c r="K120">
        <v>0</v>
      </c>
      <c r="L120">
        <v>0.38740000000000002</v>
      </c>
    </row>
    <row r="121" spans="1:12" x14ac:dyDescent="0.35">
      <c r="A121">
        <v>0.95</v>
      </c>
      <c r="B121">
        <v>0.46600000000000003</v>
      </c>
      <c r="C121">
        <v>1.031E-2</v>
      </c>
      <c r="D121">
        <v>2.5500000000000002E-3</v>
      </c>
      <c r="E121">
        <v>-6.2799999999999995E-2</v>
      </c>
      <c r="F121">
        <v>0.05</v>
      </c>
      <c r="G121">
        <v>0.05</v>
      </c>
      <c r="H121">
        <v>-0.99690000000000001</v>
      </c>
      <c r="I121">
        <v>0</v>
      </c>
      <c r="J121">
        <v>0</v>
      </c>
      <c r="K121">
        <v>0</v>
      </c>
      <c r="L121">
        <v>0.38390000000000002</v>
      </c>
    </row>
    <row r="122" spans="1:12" x14ac:dyDescent="0.35">
      <c r="A122">
        <v>1</v>
      </c>
      <c r="B122">
        <v>0.47660000000000002</v>
      </c>
      <c r="C122">
        <v>1.034E-2</v>
      </c>
      <c r="D122">
        <v>2.5999999999999999E-3</v>
      </c>
      <c r="E122">
        <v>-6.2600000000000003E-2</v>
      </c>
      <c r="F122">
        <v>0.05</v>
      </c>
      <c r="G122">
        <v>0.05</v>
      </c>
      <c r="H122">
        <v>-1.0597000000000001</v>
      </c>
      <c r="I122">
        <v>0</v>
      </c>
      <c r="J122">
        <v>0</v>
      </c>
      <c r="K122">
        <v>0</v>
      </c>
      <c r="L122">
        <v>0.3805</v>
      </c>
    </row>
    <row r="123" spans="1:12" x14ac:dyDescent="0.35">
      <c r="A123">
        <v>1.05</v>
      </c>
      <c r="B123">
        <v>0.48720000000000002</v>
      </c>
      <c r="C123">
        <v>1.0370000000000001E-2</v>
      </c>
      <c r="D123">
        <v>2.66E-3</v>
      </c>
      <c r="E123">
        <v>-6.2300000000000001E-2</v>
      </c>
      <c r="F123">
        <v>0.05</v>
      </c>
      <c r="G123">
        <v>0.05</v>
      </c>
      <c r="H123">
        <v>-1.1236999999999999</v>
      </c>
      <c r="I123">
        <v>0</v>
      </c>
      <c r="J123">
        <v>0</v>
      </c>
      <c r="K123">
        <v>0</v>
      </c>
      <c r="L123">
        <v>0.37719999999999998</v>
      </c>
    </row>
    <row r="124" spans="1:12" x14ac:dyDescent="0.35">
      <c r="A124">
        <v>1.1000000000000001</v>
      </c>
      <c r="B124">
        <v>0.49659999999999999</v>
      </c>
      <c r="C124">
        <v>1.0460000000000001E-2</v>
      </c>
      <c r="D124">
        <v>2.7399999999999998E-3</v>
      </c>
      <c r="E124">
        <v>-6.2E-2</v>
      </c>
      <c r="F124">
        <v>4.0399999999999998E-2</v>
      </c>
      <c r="G124">
        <v>0.05</v>
      </c>
      <c r="H124">
        <v>-1.1847000000000001</v>
      </c>
      <c r="I124">
        <v>0</v>
      </c>
      <c r="J124">
        <v>0</v>
      </c>
      <c r="K124">
        <v>0</v>
      </c>
      <c r="L124">
        <v>0.374</v>
      </c>
    </row>
    <row r="125" spans="1:12" x14ac:dyDescent="0.35">
      <c r="A125">
        <v>1.1499999999999999</v>
      </c>
      <c r="B125">
        <v>0.50649999999999995</v>
      </c>
      <c r="C125">
        <v>1.0540000000000001E-2</v>
      </c>
      <c r="D125">
        <v>2.82E-3</v>
      </c>
      <c r="E125">
        <v>-6.1699999999999998E-2</v>
      </c>
      <c r="F125">
        <v>3.5200000000000002E-2</v>
      </c>
      <c r="G125">
        <v>0.05</v>
      </c>
      <c r="H125">
        <v>-1.2484</v>
      </c>
      <c r="I125">
        <v>0</v>
      </c>
      <c r="J125">
        <v>0</v>
      </c>
      <c r="K125">
        <v>0</v>
      </c>
      <c r="L125">
        <v>0.37090000000000001</v>
      </c>
    </row>
    <row r="126" spans="1:12" x14ac:dyDescent="0.35">
      <c r="A126">
        <v>1.2</v>
      </c>
      <c r="B126">
        <v>0.51659999999999995</v>
      </c>
      <c r="C126">
        <v>1.06E-2</v>
      </c>
      <c r="D126">
        <v>2.8999999999999998E-3</v>
      </c>
      <c r="E126">
        <v>-6.13E-2</v>
      </c>
      <c r="F126">
        <v>3.2199999999999999E-2</v>
      </c>
      <c r="G126">
        <v>0.05</v>
      </c>
      <c r="H126">
        <v>-1.3143</v>
      </c>
      <c r="I126">
        <v>0</v>
      </c>
      <c r="J126">
        <v>0</v>
      </c>
      <c r="K126">
        <v>0</v>
      </c>
      <c r="L126">
        <v>0.3679</v>
      </c>
    </row>
    <row r="127" spans="1:12" x14ac:dyDescent="0.35">
      <c r="A127">
        <v>1.25</v>
      </c>
      <c r="B127">
        <v>0.52680000000000005</v>
      </c>
      <c r="C127">
        <v>1.0659999999999999E-2</v>
      </c>
      <c r="D127">
        <v>2.98E-3</v>
      </c>
      <c r="E127">
        <v>-6.0999999999999999E-2</v>
      </c>
      <c r="F127">
        <v>0.03</v>
      </c>
      <c r="G127">
        <v>0.05</v>
      </c>
      <c r="H127">
        <v>-1.3818999999999999</v>
      </c>
      <c r="I127">
        <v>0</v>
      </c>
      <c r="J127">
        <v>0</v>
      </c>
      <c r="K127">
        <v>0</v>
      </c>
      <c r="L127">
        <v>0.3649</v>
      </c>
    </row>
    <row r="128" spans="1:12" x14ac:dyDescent="0.35">
      <c r="A128">
        <v>1.3</v>
      </c>
      <c r="B128">
        <v>0.53690000000000004</v>
      </c>
      <c r="C128">
        <v>1.073E-2</v>
      </c>
      <c r="D128">
        <v>3.0699999999999998E-3</v>
      </c>
      <c r="E128">
        <v>-6.0600000000000001E-2</v>
      </c>
      <c r="F128">
        <v>2.8000000000000001E-2</v>
      </c>
      <c r="G128">
        <v>0.05</v>
      </c>
      <c r="H128">
        <v>-1.4502999999999999</v>
      </c>
      <c r="I128">
        <v>0</v>
      </c>
      <c r="J128">
        <v>0</v>
      </c>
      <c r="K128">
        <v>0</v>
      </c>
      <c r="L128">
        <v>0.36209999999999998</v>
      </c>
    </row>
    <row r="129" spans="1:12" x14ac:dyDescent="0.35">
      <c r="A129">
        <v>1.35</v>
      </c>
      <c r="B129">
        <v>0.54690000000000005</v>
      </c>
      <c r="C129">
        <v>1.081E-2</v>
      </c>
      <c r="D129">
        <v>3.1700000000000001E-3</v>
      </c>
      <c r="E129">
        <v>-6.0199999999999997E-2</v>
      </c>
      <c r="F129">
        <v>2.6200000000000001E-2</v>
      </c>
      <c r="G129">
        <v>0.05</v>
      </c>
      <c r="H129">
        <v>-1.5186999999999999</v>
      </c>
      <c r="I129">
        <v>0</v>
      </c>
      <c r="J129">
        <v>0</v>
      </c>
      <c r="K129">
        <v>0</v>
      </c>
      <c r="L129">
        <v>0.35920000000000002</v>
      </c>
    </row>
    <row r="130" spans="1:12" x14ac:dyDescent="0.35">
      <c r="A130">
        <v>1.4</v>
      </c>
      <c r="B130">
        <v>0.55669999999999997</v>
      </c>
      <c r="C130">
        <v>1.09E-2</v>
      </c>
      <c r="D130">
        <v>3.2799999999999999E-3</v>
      </c>
      <c r="E130">
        <v>-5.9799999999999999E-2</v>
      </c>
      <c r="F130">
        <v>2.47E-2</v>
      </c>
      <c r="G130">
        <v>0.05</v>
      </c>
      <c r="H130">
        <v>-1.5855999999999999</v>
      </c>
      <c r="I130">
        <v>0</v>
      </c>
      <c r="J130">
        <v>0</v>
      </c>
      <c r="K130">
        <v>0</v>
      </c>
      <c r="L130">
        <v>0.35649999999999998</v>
      </c>
    </row>
    <row r="131" spans="1:12" x14ac:dyDescent="0.35">
      <c r="A131">
        <v>1.45</v>
      </c>
      <c r="B131">
        <v>0.56640000000000001</v>
      </c>
      <c r="C131">
        <v>1.0999999999999999E-2</v>
      </c>
      <c r="D131">
        <v>3.4099999999999998E-3</v>
      </c>
      <c r="E131">
        <v>-5.9299999999999999E-2</v>
      </c>
      <c r="F131">
        <v>2.35E-2</v>
      </c>
      <c r="G131">
        <v>0.05</v>
      </c>
      <c r="H131">
        <v>-1.6485000000000001</v>
      </c>
      <c r="I131">
        <v>0</v>
      </c>
      <c r="J131">
        <v>0</v>
      </c>
      <c r="K131">
        <v>0</v>
      </c>
      <c r="L131">
        <v>0.35370000000000001</v>
      </c>
    </row>
    <row r="132" spans="1:12" x14ac:dyDescent="0.35">
      <c r="A132">
        <v>1.5</v>
      </c>
      <c r="B132">
        <v>0.57640000000000002</v>
      </c>
      <c r="C132">
        <v>1.1089999999999999E-2</v>
      </c>
      <c r="D132">
        <v>3.5400000000000002E-3</v>
      </c>
      <c r="E132">
        <v>-5.8799999999999998E-2</v>
      </c>
      <c r="F132">
        <v>2.29E-2</v>
      </c>
      <c r="G132">
        <v>0.05</v>
      </c>
      <c r="H132">
        <v>-1.7161</v>
      </c>
      <c r="I132">
        <v>0</v>
      </c>
      <c r="J132">
        <v>0</v>
      </c>
      <c r="K132">
        <v>0</v>
      </c>
      <c r="L132">
        <v>0.35099999999999998</v>
      </c>
    </row>
    <row r="133" spans="1:12" x14ac:dyDescent="0.35">
      <c r="A133">
        <v>1.55</v>
      </c>
      <c r="B133">
        <v>0.58620000000000005</v>
      </c>
      <c r="C133">
        <v>1.119E-2</v>
      </c>
      <c r="D133">
        <v>3.6900000000000001E-3</v>
      </c>
      <c r="E133">
        <v>-5.8299999999999998E-2</v>
      </c>
      <c r="F133">
        <v>2.23E-2</v>
      </c>
      <c r="G133">
        <v>0.05</v>
      </c>
      <c r="H133">
        <v>-1.7806999999999999</v>
      </c>
      <c r="I133">
        <v>0</v>
      </c>
      <c r="J133">
        <v>0</v>
      </c>
      <c r="K133">
        <v>0</v>
      </c>
      <c r="L133">
        <v>0.34839999999999999</v>
      </c>
    </row>
    <row r="134" spans="1:12" x14ac:dyDescent="0.35">
      <c r="A134">
        <v>1.6</v>
      </c>
      <c r="B134">
        <v>0.5958</v>
      </c>
      <c r="C134">
        <v>1.1310000000000001E-2</v>
      </c>
      <c r="D134">
        <v>3.8400000000000001E-3</v>
      </c>
      <c r="E134">
        <v>-5.7700000000000001E-2</v>
      </c>
      <c r="F134">
        <v>2.18E-2</v>
      </c>
      <c r="G134">
        <v>0.05</v>
      </c>
      <c r="H134">
        <v>-1.8429</v>
      </c>
      <c r="I134">
        <v>0</v>
      </c>
      <c r="J134">
        <v>0</v>
      </c>
      <c r="K134">
        <v>0</v>
      </c>
      <c r="L134">
        <v>0.3458</v>
      </c>
    </row>
    <row r="135" spans="1:12" x14ac:dyDescent="0.35">
      <c r="A135">
        <v>1.65</v>
      </c>
      <c r="B135">
        <v>0.60519999999999996</v>
      </c>
      <c r="C135">
        <v>1.1440000000000001E-2</v>
      </c>
      <c r="D135">
        <v>4.0200000000000001E-3</v>
      </c>
      <c r="E135">
        <v>-5.7099999999999998E-2</v>
      </c>
      <c r="F135">
        <v>2.1299999999999999E-2</v>
      </c>
      <c r="G135">
        <v>0.05</v>
      </c>
      <c r="H135">
        <v>-1.9025000000000001</v>
      </c>
      <c r="I135">
        <v>0</v>
      </c>
      <c r="J135">
        <v>0</v>
      </c>
      <c r="K135">
        <v>0</v>
      </c>
      <c r="L135">
        <v>0.34320000000000001</v>
      </c>
    </row>
    <row r="136" spans="1:12" x14ac:dyDescent="0.35">
      <c r="A136">
        <v>1.7</v>
      </c>
      <c r="B136">
        <v>0.61450000000000005</v>
      </c>
      <c r="C136">
        <v>1.158E-2</v>
      </c>
      <c r="D136">
        <v>4.1999999999999997E-3</v>
      </c>
      <c r="E136">
        <v>-5.6399999999999999E-2</v>
      </c>
      <c r="F136">
        <v>2.1000000000000001E-2</v>
      </c>
      <c r="G136">
        <v>0.05</v>
      </c>
      <c r="H136">
        <v>-1.9596</v>
      </c>
      <c r="I136">
        <v>0</v>
      </c>
      <c r="J136">
        <v>0</v>
      </c>
      <c r="K136">
        <v>0</v>
      </c>
      <c r="L136">
        <v>0.34060000000000001</v>
      </c>
    </row>
    <row r="137" spans="1:12" x14ac:dyDescent="0.35">
      <c r="A137">
        <v>1.75</v>
      </c>
      <c r="B137">
        <v>0.62350000000000005</v>
      </c>
      <c r="C137">
        <v>1.174E-2</v>
      </c>
      <c r="D137">
        <v>4.4099999999999999E-3</v>
      </c>
      <c r="E137">
        <v>-5.5599999999999997E-2</v>
      </c>
      <c r="F137">
        <v>2.0799999999999999E-2</v>
      </c>
      <c r="G137">
        <v>0.05</v>
      </c>
      <c r="H137">
        <v>-2.0144000000000002</v>
      </c>
      <c r="I137">
        <v>0</v>
      </c>
      <c r="J137">
        <v>0</v>
      </c>
      <c r="K137">
        <v>0</v>
      </c>
      <c r="L137">
        <v>0.33810000000000001</v>
      </c>
    </row>
    <row r="138" spans="1:12" x14ac:dyDescent="0.35">
      <c r="A138">
        <v>1.8</v>
      </c>
      <c r="B138">
        <v>0.63229999999999997</v>
      </c>
      <c r="C138">
        <v>1.1900000000000001E-2</v>
      </c>
      <c r="D138">
        <v>4.62E-3</v>
      </c>
      <c r="E138">
        <v>-5.4800000000000001E-2</v>
      </c>
      <c r="F138">
        <v>2.06E-2</v>
      </c>
      <c r="G138">
        <v>0.05</v>
      </c>
      <c r="H138">
        <v>-2.0669</v>
      </c>
      <c r="I138">
        <v>0</v>
      </c>
      <c r="J138">
        <v>0</v>
      </c>
      <c r="K138">
        <v>0</v>
      </c>
      <c r="L138">
        <v>0.33550000000000002</v>
      </c>
    </row>
    <row r="139" spans="1:12" x14ac:dyDescent="0.35">
      <c r="A139">
        <v>1.85</v>
      </c>
      <c r="B139">
        <v>0.64090000000000003</v>
      </c>
      <c r="C139">
        <v>1.208E-2</v>
      </c>
      <c r="D139">
        <v>4.8599999999999997E-3</v>
      </c>
      <c r="E139">
        <v>-5.3999999999999999E-2</v>
      </c>
      <c r="F139">
        <v>2.0500000000000001E-2</v>
      </c>
      <c r="G139">
        <v>0.05</v>
      </c>
      <c r="H139">
        <v>-2.1168999999999998</v>
      </c>
      <c r="I139">
        <v>0</v>
      </c>
      <c r="J139">
        <v>0</v>
      </c>
      <c r="K139">
        <v>0</v>
      </c>
      <c r="L139">
        <v>0.33300000000000002</v>
      </c>
    </row>
    <row r="140" spans="1:12" x14ac:dyDescent="0.35">
      <c r="A140">
        <v>1.9</v>
      </c>
      <c r="B140">
        <v>0.64929999999999999</v>
      </c>
      <c r="C140">
        <v>1.2279999999999999E-2</v>
      </c>
      <c r="D140">
        <v>5.11E-3</v>
      </c>
      <c r="E140">
        <v>-5.3100000000000001E-2</v>
      </c>
      <c r="F140">
        <v>2.0400000000000001E-2</v>
      </c>
      <c r="G140">
        <v>0.05</v>
      </c>
      <c r="H140">
        <v>-2.1642999999999999</v>
      </c>
      <c r="I140">
        <v>0</v>
      </c>
      <c r="J140">
        <v>0</v>
      </c>
      <c r="K140">
        <v>0</v>
      </c>
      <c r="L140">
        <v>0.33050000000000002</v>
      </c>
    </row>
    <row r="141" spans="1:12" x14ac:dyDescent="0.35">
      <c r="A141">
        <v>1.95</v>
      </c>
      <c r="B141">
        <v>0.65749999999999997</v>
      </c>
      <c r="C141">
        <v>1.2489999999999999E-2</v>
      </c>
      <c r="D141">
        <v>5.3699999999999998E-3</v>
      </c>
      <c r="E141">
        <v>-5.21E-2</v>
      </c>
      <c r="F141">
        <v>2.0400000000000001E-2</v>
      </c>
      <c r="G141">
        <v>0.05</v>
      </c>
      <c r="H141">
        <v>-2.2233000000000001</v>
      </c>
      <c r="I141">
        <v>0</v>
      </c>
      <c r="J141">
        <v>0</v>
      </c>
      <c r="K141">
        <v>0</v>
      </c>
      <c r="L141">
        <v>0.32800000000000001</v>
      </c>
    </row>
    <row r="142" spans="1:12" x14ac:dyDescent="0.35">
      <c r="A142">
        <v>2</v>
      </c>
      <c r="B142">
        <v>0.66549999999999998</v>
      </c>
      <c r="C142">
        <v>1.2710000000000001E-2</v>
      </c>
      <c r="D142">
        <v>5.6499999999999996E-3</v>
      </c>
      <c r="E142">
        <v>-5.11E-2</v>
      </c>
      <c r="F142">
        <v>2.0299999999999999E-2</v>
      </c>
      <c r="G142">
        <v>0.05</v>
      </c>
      <c r="H142">
        <v>-2.2797000000000001</v>
      </c>
      <c r="I142">
        <v>0</v>
      </c>
      <c r="J142">
        <v>0</v>
      </c>
      <c r="K142">
        <v>0</v>
      </c>
      <c r="L142">
        <v>0.32550000000000001</v>
      </c>
    </row>
    <row r="143" spans="1:12" x14ac:dyDescent="0.35">
      <c r="A143">
        <v>2.0499999999999998</v>
      </c>
      <c r="B143">
        <v>0.67349999999999999</v>
      </c>
      <c r="C143">
        <v>1.295E-2</v>
      </c>
      <c r="D143">
        <v>5.94E-3</v>
      </c>
      <c r="E143">
        <v>-5.0099999999999999E-2</v>
      </c>
      <c r="F143">
        <v>2.0299999999999999E-2</v>
      </c>
      <c r="G143">
        <v>0.05</v>
      </c>
      <c r="H143">
        <v>-2.3332999999999999</v>
      </c>
      <c r="I143">
        <v>0</v>
      </c>
      <c r="J143">
        <v>0</v>
      </c>
      <c r="K143">
        <v>0</v>
      </c>
      <c r="L143">
        <v>0.32300000000000001</v>
      </c>
    </row>
    <row r="144" spans="1:12" x14ac:dyDescent="0.35">
      <c r="A144">
        <v>2.1</v>
      </c>
      <c r="B144">
        <v>0.68149999999999999</v>
      </c>
      <c r="C144">
        <v>1.319E-2</v>
      </c>
      <c r="D144">
        <v>6.2399999999999999E-3</v>
      </c>
      <c r="E144">
        <v>-4.9000000000000002E-2</v>
      </c>
      <c r="F144">
        <v>2.0299999999999999E-2</v>
      </c>
      <c r="G144">
        <v>0.05</v>
      </c>
      <c r="H144">
        <v>-2.3845999999999998</v>
      </c>
      <c r="I144">
        <v>0</v>
      </c>
      <c r="J144">
        <v>0</v>
      </c>
      <c r="K144">
        <v>0</v>
      </c>
      <c r="L144">
        <v>0.32050000000000001</v>
      </c>
    </row>
    <row r="145" spans="1:12" x14ac:dyDescent="0.35">
      <c r="A145">
        <v>2.15</v>
      </c>
      <c r="B145">
        <v>0.68969999999999998</v>
      </c>
      <c r="C145">
        <v>1.345E-2</v>
      </c>
      <c r="D145">
        <v>6.5599999999999999E-3</v>
      </c>
      <c r="E145">
        <v>-4.7899999999999998E-2</v>
      </c>
      <c r="F145">
        <v>2.0199999999999999E-2</v>
      </c>
      <c r="G145">
        <v>0.05</v>
      </c>
      <c r="H145">
        <v>-2.4338000000000002</v>
      </c>
      <c r="I145">
        <v>0</v>
      </c>
      <c r="J145">
        <v>0</v>
      </c>
      <c r="K145">
        <v>0</v>
      </c>
      <c r="L145">
        <v>0.31809999999999999</v>
      </c>
    </row>
    <row r="146" spans="1:12" x14ac:dyDescent="0.35">
      <c r="A146">
        <v>2.2000000000000002</v>
      </c>
      <c r="B146">
        <v>0.69799999999999995</v>
      </c>
      <c r="C146">
        <v>1.3729999999999999E-2</v>
      </c>
      <c r="D146">
        <v>6.8999999999999999E-3</v>
      </c>
      <c r="E146">
        <v>-4.6899999999999997E-2</v>
      </c>
      <c r="F146">
        <v>2.01E-2</v>
      </c>
      <c r="G146">
        <v>0.05</v>
      </c>
      <c r="H146">
        <v>-2.4809000000000001</v>
      </c>
      <c r="I146">
        <v>0</v>
      </c>
      <c r="J146">
        <v>0</v>
      </c>
      <c r="K146">
        <v>0</v>
      </c>
      <c r="L146">
        <v>0.31569999999999998</v>
      </c>
    </row>
    <row r="147" spans="1:12" x14ac:dyDescent="0.35">
      <c r="A147">
        <v>2.25</v>
      </c>
      <c r="B147">
        <v>0.70660000000000001</v>
      </c>
      <c r="C147">
        <v>1.4019999999999999E-2</v>
      </c>
      <c r="D147">
        <v>7.2500000000000004E-3</v>
      </c>
      <c r="E147">
        <v>-4.58E-2</v>
      </c>
      <c r="F147">
        <v>0.02</v>
      </c>
      <c r="G147">
        <v>0.05</v>
      </c>
      <c r="H147">
        <v>-2.5261</v>
      </c>
      <c r="I147">
        <v>0</v>
      </c>
      <c r="J147">
        <v>0</v>
      </c>
      <c r="K147">
        <v>0</v>
      </c>
      <c r="L147">
        <v>0.31330000000000002</v>
      </c>
    </row>
    <row r="148" spans="1:12" x14ac:dyDescent="0.35">
      <c r="A148">
        <v>2.2999999999999998</v>
      </c>
      <c r="B148">
        <v>0.71560000000000001</v>
      </c>
      <c r="C148">
        <v>1.4330000000000001E-2</v>
      </c>
      <c r="D148">
        <v>7.6299999999999996E-3</v>
      </c>
      <c r="E148">
        <v>-4.4699999999999997E-2</v>
      </c>
      <c r="F148">
        <v>1.9800000000000002E-2</v>
      </c>
      <c r="G148">
        <v>0.05</v>
      </c>
      <c r="H148">
        <v>-2.5693999999999999</v>
      </c>
      <c r="I148">
        <v>0</v>
      </c>
      <c r="J148">
        <v>0</v>
      </c>
      <c r="K148">
        <v>0</v>
      </c>
      <c r="L148">
        <v>0.311</v>
      </c>
    </row>
    <row r="149" spans="1:12" x14ac:dyDescent="0.35">
      <c r="A149">
        <v>2.35</v>
      </c>
      <c r="B149">
        <v>0.72499999999999998</v>
      </c>
      <c r="C149">
        <v>1.4659999999999999E-2</v>
      </c>
      <c r="D149">
        <v>8.0300000000000007E-3</v>
      </c>
      <c r="E149">
        <v>-4.3700000000000003E-2</v>
      </c>
      <c r="F149">
        <v>1.9599999999999999E-2</v>
      </c>
      <c r="G149">
        <v>0.05</v>
      </c>
      <c r="H149">
        <v>-2.6110000000000002</v>
      </c>
      <c r="I149">
        <v>0</v>
      </c>
      <c r="J149">
        <v>0</v>
      </c>
      <c r="K149">
        <v>0</v>
      </c>
      <c r="L149">
        <v>0.30880000000000002</v>
      </c>
    </row>
    <row r="150" spans="1:12" x14ac:dyDescent="0.35">
      <c r="A150">
        <v>2.4</v>
      </c>
      <c r="B150">
        <v>0.73480000000000001</v>
      </c>
      <c r="C150">
        <v>1.5010000000000001E-2</v>
      </c>
      <c r="D150">
        <v>8.4499999999999992E-3</v>
      </c>
      <c r="E150">
        <v>-4.2700000000000002E-2</v>
      </c>
      <c r="F150">
        <v>1.9300000000000001E-2</v>
      </c>
      <c r="G150">
        <v>0.05</v>
      </c>
      <c r="H150">
        <v>-2.6509</v>
      </c>
      <c r="I150">
        <v>0</v>
      </c>
      <c r="J150">
        <v>0</v>
      </c>
      <c r="K150">
        <v>0</v>
      </c>
      <c r="L150">
        <v>0.30659999999999998</v>
      </c>
    </row>
    <row r="151" spans="1:12" x14ac:dyDescent="0.35">
      <c r="A151">
        <v>2.4500000000000002</v>
      </c>
      <c r="B151">
        <v>0.745</v>
      </c>
      <c r="C151">
        <v>1.5389999999999999E-2</v>
      </c>
      <c r="D151">
        <v>8.9099999999999995E-3</v>
      </c>
      <c r="E151">
        <v>-4.1799999999999997E-2</v>
      </c>
      <c r="F151">
        <v>1.9099999999999999E-2</v>
      </c>
      <c r="G151">
        <v>0.05</v>
      </c>
      <c r="H151">
        <v>-2.6886000000000001</v>
      </c>
      <c r="I151">
        <v>0</v>
      </c>
      <c r="J151">
        <v>0</v>
      </c>
      <c r="K151">
        <v>0</v>
      </c>
      <c r="L151">
        <v>0.30449999999999999</v>
      </c>
    </row>
    <row r="152" spans="1:12" x14ac:dyDescent="0.35">
      <c r="A152">
        <v>2.5</v>
      </c>
      <c r="B152">
        <v>0.75539999999999996</v>
      </c>
      <c r="C152">
        <v>1.5789999999999998E-2</v>
      </c>
      <c r="D152">
        <v>9.3900000000000008E-3</v>
      </c>
      <c r="E152">
        <v>-4.0800000000000003E-2</v>
      </c>
      <c r="F152">
        <v>1.8800000000000001E-2</v>
      </c>
      <c r="G152">
        <v>0.05</v>
      </c>
      <c r="H152">
        <v>-2.7239</v>
      </c>
      <c r="I152">
        <v>0</v>
      </c>
      <c r="J152">
        <v>0</v>
      </c>
      <c r="K152">
        <v>0</v>
      </c>
      <c r="L152">
        <v>0.3024</v>
      </c>
    </row>
    <row r="153" spans="1:12" x14ac:dyDescent="0.35">
      <c r="A153">
        <v>2.5499999999999998</v>
      </c>
      <c r="B153">
        <v>0.76600000000000001</v>
      </c>
      <c r="C153">
        <v>1.6219999999999998E-2</v>
      </c>
      <c r="D153">
        <v>9.9000000000000008E-3</v>
      </c>
      <c r="E153">
        <v>-3.9899999999999998E-2</v>
      </c>
      <c r="F153">
        <v>1.8499999999999999E-2</v>
      </c>
      <c r="G153">
        <v>0.05</v>
      </c>
      <c r="H153">
        <v>-2.7559</v>
      </c>
      <c r="I153">
        <v>0</v>
      </c>
      <c r="J153">
        <v>0</v>
      </c>
      <c r="K153">
        <v>0</v>
      </c>
      <c r="L153">
        <v>0.3004</v>
      </c>
    </row>
    <row r="154" spans="1:12" x14ac:dyDescent="0.35">
      <c r="A154">
        <v>2.6</v>
      </c>
      <c r="B154">
        <v>0.77639999999999998</v>
      </c>
      <c r="C154">
        <v>1.6670000000000001E-2</v>
      </c>
      <c r="D154">
        <v>1.0449999999999999E-2</v>
      </c>
      <c r="E154">
        <v>-3.9E-2</v>
      </c>
      <c r="F154">
        <v>1.84E-2</v>
      </c>
      <c r="G154">
        <v>0.05</v>
      </c>
      <c r="H154">
        <v>-2.7843</v>
      </c>
      <c r="I154">
        <v>0</v>
      </c>
      <c r="J154">
        <v>0</v>
      </c>
      <c r="K154">
        <v>0</v>
      </c>
      <c r="L154">
        <v>0.29859999999999998</v>
      </c>
    </row>
    <row r="155" spans="1:12" x14ac:dyDescent="0.35">
      <c r="A155">
        <v>2.65</v>
      </c>
      <c r="B155">
        <v>0.78669999999999995</v>
      </c>
      <c r="C155">
        <v>1.7149999999999999E-2</v>
      </c>
      <c r="D155">
        <v>1.102E-2</v>
      </c>
      <c r="E155">
        <v>-3.8100000000000002E-2</v>
      </c>
      <c r="F155">
        <v>1.83E-2</v>
      </c>
      <c r="G155">
        <v>0.05</v>
      </c>
      <c r="H155">
        <v>-2.8094999999999999</v>
      </c>
      <c r="I155">
        <v>0</v>
      </c>
      <c r="J155">
        <v>0</v>
      </c>
      <c r="K155">
        <v>0</v>
      </c>
      <c r="L155">
        <v>0.29670000000000002</v>
      </c>
    </row>
    <row r="156" spans="1:12" x14ac:dyDescent="0.35">
      <c r="A156">
        <v>2.7</v>
      </c>
      <c r="B156">
        <v>0.79649999999999999</v>
      </c>
      <c r="C156">
        <v>1.7649999999999999E-2</v>
      </c>
      <c r="D156">
        <v>1.1610000000000001E-2</v>
      </c>
      <c r="E156">
        <v>-3.7199999999999997E-2</v>
      </c>
      <c r="F156">
        <v>1.8100000000000002E-2</v>
      </c>
      <c r="G156">
        <v>0.05</v>
      </c>
      <c r="H156">
        <v>-2.8313999999999999</v>
      </c>
      <c r="I156">
        <v>0</v>
      </c>
      <c r="J156">
        <v>0</v>
      </c>
      <c r="K156">
        <v>0</v>
      </c>
      <c r="L156">
        <v>0.29499999999999998</v>
      </c>
    </row>
    <row r="157" spans="1:12" x14ac:dyDescent="0.35">
      <c r="A157">
        <v>2.75</v>
      </c>
      <c r="B157">
        <v>0.80589999999999995</v>
      </c>
      <c r="C157">
        <v>1.8169999999999999E-2</v>
      </c>
      <c r="D157">
        <v>1.223E-2</v>
      </c>
      <c r="E157">
        <v>-3.6299999999999999E-2</v>
      </c>
      <c r="F157">
        <v>1.7999999999999999E-2</v>
      </c>
      <c r="G157">
        <v>0.05</v>
      </c>
      <c r="H157">
        <v>-2.85</v>
      </c>
      <c r="I157">
        <v>0</v>
      </c>
      <c r="J157">
        <v>0</v>
      </c>
      <c r="K157">
        <v>0</v>
      </c>
      <c r="L157">
        <v>0.29330000000000001</v>
      </c>
    </row>
    <row r="158" spans="1:12" x14ac:dyDescent="0.35">
      <c r="A158">
        <v>2.8</v>
      </c>
      <c r="B158">
        <v>0.81459999999999999</v>
      </c>
      <c r="C158">
        <v>1.8710000000000001E-2</v>
      </c>
      <c r="D158">
        <v>1.286E-2</v>
      </c>
      <c r="E158">
        <v>-3.5400000000000001E-2</v>
      </c>
      <c r="F158">
        <v>1.78E-2</v>
      </c>
      <c r="G158">
        <v>0.05</v>
      </c>
      <c r="H158">
        <v>-2.8656999999999999</v>
      </c>
      <c r="I158">
        <v>0</v>
      </c>
      <c r="J158">
        <v>0</v>
      </c>
      <c r="K158">
        <v>0</v>
      </c>
      <c r="L158">
        <v>0.29160000000000003</v>
      </c>
    </row>
    <row r="159" spans="1:12" x14ac:dyDescent="0.35">
      <c r="A159">
        <v>2.85</v>
      </c>
      <c r="B159">
        <v>0.82269999999999999</v>
      </c>
      <c r="C159">
        <v>1.9259999999999999E-2</v>
      </c>
      <c r="D159">
        <v>1.3509999999999999E-2</v>
      </c>
      <c r="E159">
        <v>-3.44E-2</v>
      </c>
      <c r="F159">
        <v>1.7600000000000001E-2</v>
      </c>
      <c r="G159">
        <v>0.05</v>
      </c>
      <c r="H159">
        <v>-2.8786</v>
      </c>
      <c r="I159">
        <v>0</v>
      </c>
      <c r="J159">
        <v>0</v>
      </c>
      <c r="K159">
        <v>0</v>
      </c>
      <c r="L159">
        <v>0.28999999999999998</v>
      </c>
    </row>
    <row r="160" spans="1:12" x14ac:dyDescent="0.35">
      <c r="A160">
        <v>2.9</v>
      </c>
      <c r="B160">
        <v>0.83020000000000005</v>
      </c>
      <c r="C160">
        <v>1.984E-2</v>
      </c>
      <c r="D160">
        <v>1.418E-2</v>
      </c>
      <c r="E160">
        <v>-3.3500000000000002E-2</v>
      </c>
      <c r="F160">
        <v>1.7500000000000002E-2</v>
      </c>
      <c r="G160">
        <v>0.05</v>
      </c>
      <c r="H160">
        <v>-2.8889999999999998</v>
      </c>
      <c r="I160">
        <v>0</v>
      </c>
      <c r="J160">
        <v>0</v>
      </c>
      <c r="K160">
        <v>0</v>
      </c>
      <c r="L160">
        <v>0.28849999999999998</v>
      </c>
    </row>
    <row r="161" spans="1:12" x14ac:dyDescent="0.35">
      <c r="A161">
        <v>2.95</v>
      </c>
      <c r="B161">
        <v>0.83699999999999997</v>
      </c>
      <c r="C161">
        <v>2.043E-2</v>
      </c>
      <c r="D161">
        <v>1.487E-2</v>
      </c>
      <c r="E161">
        <v>-3.2599999999999997E-2</v>
      </c>
      <c r="F161">
        <v>1.7399999999999999E-2</v>
      </c>
      <c r="G161">
        <v>0.05</v>
      </c>
      <c r="H161">
        <v>-2.8969</v>
      </c>
      <c r="I161">
        <v>0</v>
      </c>
      <c r="J161">
        <v>0</v>
      </c>
      <c r="K161">
        <v>0</v>
      </c>
      <c r="L161">
        <v>0.28699999999999998</v>
      </c>
    </row>
    <row r="162" spans="1:12" x14ac:dyDescent="0.35">
      <c r="A162">
        <v>3</v>
      </c>
      <c r="B162">
        <v>0.84309999999999996</v>
      </c>
      <c r="C162">
        <v>2.103E-2</v>
      </c>
      <c r="D162">
        <v>1.5570000000000001E-2</v>
      </c>
      <c r="E162">
        <v>-3.1600000000000003E-2</v>
      </c>
      <c r="F162">
        <v>1.72E-2</v>
      </c>
      <c r="G162">
        <v>0.05</v>
      </c>
      <c r="H162">
        <v>-2.9026999999999998</v>
      </c>
      <c r="I162">
        <v>0</v>
      </c>
      <c r="J162">
        <v>0</v>
      </c>
      <c r="K162">
        <v>0</v>
      </c>
      <c r="L162">
        <v>0.28560000000000002</v>
      </c>
    </row>
    <row r="163" spans="1:12" x14ac:dyDescent="0.35">
      <c r="A163">
        <v>3.05</v>
      </c>
      <c r="B163">
        <v>0.84850000000000003</v>
      </c>
      <c r="C163">
        <v>2.1649999999999999E-2</v>
      </c>
      <c r="D163">
        <v>1.6279999999999999E-2</v>
      </c>
      <c r="E163">
        <v>-3.0700000000000002E-2</v>
      </c>
      <c r="F163">
        <v>1.7100000000000001E-2</v>
      </c>
      <c r="G163">
        <v>0.05</v>
      </c>
      <c r="H163">
        <v>-2.9066000000000001</v>
      </c>
      <c r="I163">
        <v>0</v>
      </c>
      <c r="J163">
        <v>0</v>
      </c>
      <c r="K163">
        <v>0</v>
      </c>
      <c r="L163">
        <v>0.2843</v>
      </c>
    </row>
    <row r="164" spans="1:12" x14ac:dyDescent="0.35">
      <c r="A164">
        <v>3.1</v>
      </c>
      <c r="B164">
        <v>0.85340000000000005</v>
      </c>
      <c r="C164">
        <v>2.2290000000000001E-2</v>
      </c>
      <c r="D164">
        <v>1.7000000000000001E-2</v>
      </c>
      <c r="E164">
        <v>-2.98E-2</v>
      </c>
      <c r="F164">
        <v>1.6899999999999998E-2</v>
      </c>
      <c r="G164">
        <v>0.05</v>
      </c>
      <c r="H164">
        <v>-2.9087999999999998</v>
      </c>
      <c r="I164">
        <v>0</v>
      </c>
      <c r="J164">
        <v>0</v>
      </c>
      <c r="K164">
        <v>0</v>
      </c>
      <c r="L164">
        <v>0.28299999999999997</v>
      </c>
    </row>
    <row r="165" spans="1:12" x14ac:dyDescent="0.35">
      <c r="A165">
        <v>3.15</v>
      </c>
      <c r="B165">
        <v>0.85760000000000003</v>
      </c>
      <c r="C165">
        <v>2.2939999999999999E-2</v>
      </c>
      <c r="D165">
        <v>1.7739999999999999E-2</v>
      </c>
      <c r="E165">
        <v>-2.8899999999999999E-2</v>
      </c>
      <c r="F165">
        <v>1.6799999999999999E-2</v>
      </c>
      <c r="G165">
        <v>0.05</v>
      </c>
      <c r="H165">
        <v>-2.9094000000000002</v>
      </c>
      <c r="I165">
        <v>0</v>
      </c>
      <c r="J165">
        <v>0</v>
      </c>
      <c r="K165">
        <v>0</v>
      </c>
      <c r="L165">
        <v>0.28170000000000001</v>
      </c>
    </row>
    <row r="166" spans="1:12" x14ac:dyDescent="0.35">
      <c r="A166">
        <v>3.2</v>
      </c>
      <c r="B166">
        <v>0.86119999999999997</v>
      </c>
      <c r="C166">
        <v>2.3609999999999999E-2</v>
      </c>
      <c r="D166">
        <v>1.848E-2</v>
      </c>
      <c r="E166">
        <v>-2.8000000000000001E-2</v>
      </c>
      <c r="F166">
        <v>1.67E-2</v>
      </c>
      <c r="G166">
        <v>0.05</v>
      </c>
      <c r="H166">
        <v>-2.9087999999999998</v>
      </c>
      <c r="I166">
        <v>0</v>
      </c>
      <c r="J166">
        <v>0</v>
      </c>
      <c r="K166">
        <v>0</v>
      </c>
      <c r="L166">
        <v>0.28050000000000003</v>
      </c>
    </row>
    <row r="167" spans="1:12" x14ac:dyDescent="0.35">
      <c r="A167">
        <v>3.25</v>
      </c>
      <c r="B167">
        <v>0.86419999999999997</v>
      </c>
      <c r="C167">
        <v>2.4289999999999999E-2</v>
      </c>
      <c r="D167">
        <v>1.925E-2</v>
      </c>
      <c r="E167">
        <v>-2.7199999999999998E-2</v>
      </c>
      <c r="F167">
        <v>1.6500000000000001E-2</v>
      </c>
      <c r="G167">
        <v>0.05</v>
      </c>
      <c r="H167">
        <v>-2.9068000000000001</v>
      </c>
      <c r="I167">
        <v>0</v>
      </c>
      <c r="J167">
        <v>0</v>
      </c>
      <c r="K167">
        <v>0</v>
      </c>
      <c r="L167">
        <v>0.27939999999999998</v>
      </c>
    </row>
    <row r="168" spans="1:12" x14ac:dyDescent="0.35">
      <c r="A168">
        <v>3.3</v>
      </c>
      <c r="B168">
        <v>0.86660000000000004</v>
      </c>
      <c r="C168">
        <v>2.4979999999999999E-2</v>
      </c>
      <c r="D168">
        <v>2.002E-2</v>
      </c>
      <c r="E168">
        <v>-2.63E-2</v>
      </c>
      <c r="F168">
        <v>1.6299999999999999E-2</v>
      </c>
      <c r="G168">
        <v>0.05</v>
      </c>
      <c r="H168">
        <v>-2.9039999999999999</v>
      </c>
      <c r="I168">
        <v>0</v>
      </c>
      <c r="J168">
        <v>0</v>
      </c>
      <c r="K168">
        <v>0</v>
      </c>
      <c r="L168">
        <v>0.27839999999999998</v>
      </c>
    </row>
    <row r="169" spans="1:12" x14ac:dyDescent="0.35">
      <c r="A169">
        <v>3.35</v>
      </c>
      <c r="B169">
        <v>0.86860000000000004</v>
      </c>
      <c r="C169">
        <v>2.5690000000000001E-2</v>
      </c>
      <c r="D169">
        <v>2.0799999999999999E-2</v>
      </c>
      <c r="E169">
        <v>-2.5600000000000001E-2</v>
      </c>
      <c r="F169">
        <v>1.61E-2</v>
      </c>
      <c r="G169">
        <v>0.05</v>
      </c>
      <c r="H169">
        <v>-2.9005999999999998</v>
      </c>
      <c r="I169">
        <v>0</v>
      </c>
      <c r="J169">
        <v>0</v>
      </c>
      <c r="K169">
        <v>0</v>
      </c>
      <c r="L169">
        <v>0.27739999999999998</v>
      </c>
    </row>
    <row r="170" spans="1:12" x14ac:dyDescent="0.35">
      <c r="A170">
        <v>3.4</v>
      </c>
      <c r="B170">
        <v>0.87</v>
      </c>
      <c r="C170">
        <v>2.6409999999999999E-2</v>
      </c>
      <c r="D170">
        <v>2.1590000000000002E-2</v>
      </c>
      <c r="E170">
        <v>-2.4799999999999999E-2</v>
      </c>
      <c r="F170">
        <v>1.5900000000000001E-2</v>
      </c>
      <c r="G170">
        <v>0.05</v>
      </c>
      <c r="H170">
        <v>-2.8969</v>
      </c>
      <c r="I170">
        <v>0</v>
      </c>
      <c r="J170">
        <v>0</v>
      </c>
      <c r="K170">
        <v>0</v>
      </c>
      <c r="L170">
        <v>0.27639999999999998</v>
      </c>
    </row>
    <row r="171" spans="1:12" x14ac:dyDescent="0.35">
      <c r="A171">
        <v>3.45</v>
      </c>
      <c r="B171">
        <v>0.87090000000000001</v>
      </c>
      <c r="C171">
        <v>2.7140000000000001E-2</v>
      </c>
      <c r="D171">
        <v>2.239E-2</v>
      </c>
      <c r="E171">
        <v>-2.41E-2</v>
      </c>
      <c r="F171">
        <v>1.5800000000000002E-2</v>
      </c>
      <c r="G171">
        <v>0.05</v>
      </c>
      <c r="H171">
        <v>-2.8927999999999998</v>
      </c>
      <c r="I171">
        <v>0</v>
      </c>
      <c r="J171">
        <v>0</v>
      </c>
      <c r="K171">
        <v>0</v>
      </c>
      <c r="L171">
        <v>0.27560000000000001</v>
      </c>
    </row>
    <row r="172" spans="1:12" x14ac:dyDescent="0.35">
      <c r="A172">
        <v>3.5</v>
      </c>
      <c r="B172">
        <v>0.87139999999999995</v>
      </c>
      <c r="C172">
        <v>2.7890000000000002E-2</v>
      </c>
      <c r="D172">
        <v>2.3199999999999998E-2</v>
      </c>
      <c r="E172">
        <v>-2.35E-2</v>
      </c>
      <c r="F172">
        <v>1.5599999999999999E-2</v>
      </c>
      <c r="G172">
        <v>0.05</v>
      </c>
      <c r="H172">
        <v>-2.8887</v>
      </c>
      <c r="I172">
        <v>0</v>
      </c>
      <c r="J172">
        <v>0</v>
      </c>
      <c r="K172">
        <v>0</v>
      </c>
      <c r="L172">
        <v>0.27479999999999999</v>
      </c>
    </row>
    <row r="173" spans="1:12" x14ac:dyDescent="0.35">
      <c r="A173">
        <v>3.55</v>
      </c>
      <c r="B173">
        <v>0.87139999999999995</v>
      </c>
      <c r="C173">
        <v>2.8649999999999998E-2</v>
      </c>
      <c r="D173">
        <v>2.401E-2</v>
      </c>
      <c r="E173">
        <v>-2.2800000000000001E-2</v>
      </c>
      <c r="F173">
        <v>1.54E-2</v>
      </c>
      <c r="G173">
        <v>0.05</v>
      </c>
      <c r="H173">
        <v>-2.8843000000000001</v>
      </c>
      <c r="I173">
        <v>0</v>
      </c>
      <c r="J173">
        <v>0</v>
      </c>
      <c r="K173">
        <v>0</v>
      </c>
      <c r="L173">
        <v>0.27410000000000001</v>
      </c>
    </row>
    <row r="174" spans="1:12" x14ac:dyDescent="0.35">
      <c r="A174">
        <v>3.6</v>
      </c>
      <c r="B174">
        <v>0.871</v>
      </c>
      <c r="C174">
        <v>2.9409999999999999E-2</v>
      </c>
      <c r="D174">
        <v>2.4840000000000001E-2</v>
      </c>
      <c r="E174">
        <v>-2.23E-2</v>
      </c>
      <c r="F174">
        <v>1.52E-2</v>
      </c>
      <c r="G174">
        <v>0.05</v>
      </c>
      <c r="H174">
        <v>-2.8797999999999999</v>
      </c>
      <c r="I174">
        <v>0</v>
      </c>
      <c r="J174">
        <v>0</v>
      </c>
      <c r="K174">
        <v>0</v>
      </c>
      <c r="L174">
        <v>0.27339999999999998</v>
      </c>
    </row>
    <row r="175" spans="1:12" x14ac:dyDescent="0.35">
      <c r="A175">
        <v>3.65</v>
      </c>
      <c r="B175">
        <v>0.86970000000000003</v>
      </c>
      <c r="C175">
        <v>3.0159999999999999E-2</v>
      </c>
      <c r="D175">
        <v>2.563E-2</v>
      </c>
      <c r="E175">
        <v>-2.1600000000000001E-2</v>
      </c>
      <c r="F175">
        <v>1.5100000000000001E-2</v>
      </c>
      <c r="G175">
        <v>0.05</v>
      </c>
      <c r="H175">
        <v>-2.8751000000000002</v>
      </c>
      <c r="I175">
        <v>0</v>
      </c>
      <c r="J175">
        <v>0</v>
      </c>
      <c r="K175">
        <v>0</v>
      </c>
      <c r="L175">
        <v>0.2727</v>
      </c>
    </row>
    <row r="176" spans="1:12" x14ac:dyDescent="0.35">
      <c r="A176">
        <v>3.7</v>
      </c>
      <c r="B176">
        <v>0.86760000000000004</v>
      </c>
      <c r="C176">
        <v>3.0870000000000002E-2</v>
      </c>
      <c r="D176">
        <v>2.639E-2</v>
      </c>
      <c r="E176">
        <v>-2.0899999999999998E-2</v>
      </c>
      <c r="F176">
        <v>1.49E-2</v>
      </c>
      <c r="G176">
        <v>0.05</v>
      </c>
      <c r="H176">
        <v>-2.8700999999999999</v>
      </c>
      <c r="I176">
        <v>0</v>
      </c>
      <c r="J176">
        <v>0</v>
      </c>
      <c r="K176">
        <v>0</v>
      </c>
      <c r="L176">
        <v>0.27189999999999998</v>
      </c>
    </row>
    <row r="177" spans="1:12" x14ac:dyDescent="0.35">
      <c r="A177">
        <v>3.75</v>
      </c>
      <c r="B177">
        <v>0.86529999999999996</v>
      </c>
      <c r="C177">
        <v>3.1609999999999999E-2</v>
      </c>
      <c r="D177">
        <v>2.7179999999999999E-2</v>
      </c>
      <c r="E177">
        <v>-2.0299999999999999E-2</v>
      </c>
      <c r="F177">
        <v>1.4800000000000001E-2</v>
      </c>
      <c r="G177">
        <v>0.05</v>
      </c>
      <c r="H177">
        <v>-2.8647</v>
      </c>
      <c r="I177">
        <v>0</v>
      </c>
      <c r="J177">
        <v>0</v>
      </c>
      <c r="K177">
        <v>0</v>
      </c>
      <c r="L177">
        <v>0.2712</v>
      </c>
    </row>
    <row r="178" spans="1:12" x14ac:dyDescent="0.35">
      <c r="A178">
        <v>3.8</v>
      </c>
      <c r="B178">
        <v>0.86319999999999997</v>
      </c>
      <c r="C178">
        <v>3.2410000000000001E-2</v>
      </c>
      <c r="D178">
        <v>2.802E-2</v>
      </c>
      <c r="E178">
        <v>-1.9900000000000001E-2</v>
      </c>
      <c r="F178">
        <v>1.47E-2</v>
      </c>
      <c r="G178">
        <v>0.05</v>
      </c>
      <c r="H178">
        <v>-2.859</v>
      </c>
      <c r="I178">
        <v>0</v>
      </c>
      <c r="J178">
        <v>0</v>
      </c>
      <c r="K178">
        <v>0</v>
      </c>
      <c r="L178">
        <v>0.27079999999999999</v>
      </c>
    </row>
    <row r="179" spans="1:12" x14ac:dyDescent="0.35">
      <c r="A179">
        <v>3.85</v>
      </c>
      <c r="B179">
        <v>0.86109999999999998</v>
      </c>
      <c r="C179">
        <v>3.3250000000000002E-2</v>
      </c>
      <c r="D179">
        <v>2.8899999999999999E-2</v>
      </c>
      <c r="E179">
        <v>-1.9599999999999999E-2</v>
      </c>
      <c r="F179">
        <v>1.4500000000000001E-2</v>
      </c>
      <c r="G179">
        <v>0.05</v>
      </c>
      <c r="H179">
        <v>-2.8530000000000002</v>
      </c>
      <c r="I179">
        <v>0</v>
      </c>
      <c r="J179">
        <v>0</v>
      </c>
      <c r="K179">
        <v>0</v>
      </c>
      <c r="L179">
        <v>0.27050000000000002</v>
      </c>
    </row>
    <row r="180" spans="1:12" x14ac:dyDescent="0.35">
      <c r="A180">
        <v>3.9</v>
      </c>
      <c r="B180">
        <v>0.8589</v>
      </c>
      <c r="C180">
        <v>3.4119999999999998E-2</v>
      </c>
      <c r="D180">
        <v>2.98E-2</v>
      </c>
      <c r="E180">
        <v>-1.95E-2</v>
      </c>
      <c r="F180">
        <v>1.44E-2</v>
      </c>
      <c r="G180">
        <v>0.05</v>
      </c>
      <c r="H180">
        <v>-2.8464999999999998</v>
      </c>
      <c r="I180">
        <v>0</v>
      </c>
      <c r="J180">
        <v>0</v>
      </c>
      <c r="K180">
        <v>0</v>
      </c>
      <c r="L180">
        <v>0.27039999999999997</v>
      </c>
    </row>
    <row r="181" spans="1:12" x14ac:dyDescent="0.35">
      <c r="A181">
        <v>3.95</v>
      </c>
      <c r="B181">
        <v>0.85660000000000003</v>
      </c>
      <c r="C181">
        <v>3.5020000000000003E-2</v>
      </c>
      <c r="D181">
        <v>3.074E-2</v>
      </c>
      <c r="E181">
        <v>-1.95E-2</v>
      </c>
      <c r="F181">
        <v>1.44E-2</v>
      </c>
      <c r="G181">
        <v>0.05</v>
      </c>
      <c r="H181">
        <v>-2.8395000000000001</v>
      </c>
      <c r="I181">
        <v>0</v>
      </c>
      <c r="J181">
        <v>0</v>
      </c>
      <c r="K181">
        <v>0</v>
      </c>
      <c r="L181">
        <v>0.27039999999999997</v>
      </c>
    </row>
    <row r="182" spans="1:12" x14ac:dyDescent="0.35">
      <c r="A182">
        <v>4</v>
      </c>
      <c r="B182">
        <v>0.85429999999999995</v>
      </c>
      <c r="C182">
        <v>3.594E-2</v>
      </c>
      <c r="D182">
        <v>3.1690000000000003E-2</v>
      </c>
      <c r="E182">
        <v>-1.9599999999999999E-2</v>
      </c>
      <c r="F182">
        <v>1.43E-2</v>
      </c>
      <c r="G182">
        <v>0.05</v>
      </c>
      <c r="H182">
        <v>-2.8321000000000001</v>
      </c>
      <c r="I182">
        <v>0</v>
      </c>
      <c r="J182">
        <v>0</v>
      </c>
      <c r="K182">
        <v>0</v>
      </c>
      <c r="L182">
        <v>0.27050000000000002</v>
      </c>
    </row>
    <row r="183" spans="1:12" x14ac:dyDescent="0.35">
      <c r="A183">
        <v>4.05</v>
      </c>
      <c r="B183">
        <v>0.85189999999999999</v>
      </c>
      <c r="C183">
        <v>3.6900000000000002E-2</v>
      </c>
      <c r="D183">
        <v>3.2680000000000001E-2</v>
      </c>
      <c r="E183">
        <v>-1.9800000000000002E-2</v>
      </c>
      <c r="F183">
        <v>1.4200000000000001E-2</v>
      </c>
      <c r="G183">
        <v>0.05</v>
      </c>
      <c r="H183">
        <v>-2.8243</v>
      </c>
      <c r="I183">
        <v>0</v>
      </c>
      <c r="J183">
        <v>0</v>
      </c>
      <c r="K183">
        <v>0</v>
      </c>
      <c r="L183">
        <v>0.27079999999999999</v>
      </c>
    </row>
    <row r="184" spans="1:12" x14ac:dyDescent="0.35">
      <c r="A184">
        <v>4.0999999999999996</v>
      </c>
      <c r="B184">
        <v>0.84950000000000003</v>
      </c>
      <c r="C184">
        <v>3.7879999999999997E-2</v>
      </c>
      <c r="D184">
        <v>3.3689999999999998E-2</v>
      </c>
      <c r="E184">
        <v>-2.01E-2</v>
      </c>
      <c r="F184">
        <v>1.41E-2</v>
      </c>
      <c r="G184">
        <v>0.05</v>
      </c>
      <c r="H184">
        <v>-2.8159999999999998</v>
      </c>
      <c r="I184">
        <v>0</v>
      </c>
      <c r="J184">
        <v>0</v>
      </c>
      <c r="K184">
        <v>0</v>
      </c>
      <c r="L184">
        <v>0.2712</v>
      </c>
    </row>
    <row r="185" spans="1:12" x14ac:dyDescent="0.35">
      <c r="A185">
        <v>4.1500000000000004</v>
      </c>
      <c r="B185">
        <v>0.84709999999999996</v>
      </c>
      <c r="C185">
        <v>3.8879999999999998E-2</v>
      </c>
      <c r="D185">
        <v>3.4720000000000001E-2</v>
      </c>
      <c r="E185">
        <v>-2.0500000000000001E-2</v>
      </c>
      <c r="F185">
        <v>1.4E-2</v>
      </c>
      <c r="G185">
        <v>0.05</v>
      </c>
      <c r="H185">
        <v>-2.8073000000000001</v>
      </c>
      <c r="I185">
        <v>0</v>
      </c>
      <c r="J185">
        <v>0</v>
      </c>
      <c r="K185">
        <v>0</v>
      </c>
      <c r="L185">
        <v>0.27179999999999999</v>
      </c>
    </row>
    <row r="186" spans="1:12" x14ac:dyDescent="0.35">
      <c r="A186">
        <v>4.2</v>
      </c>
      <c r="B186">
        <v>0.84470000000000001</v>
      </c>
      <c r="C186">
        <v>3.9919999999999997E-2</v>
      </c>
      <c r="D186">
        <v>3.5779999999999999E-2</v>
      </c>
      <c r="E186">
        <v>-2.1100000000000001E-2</v>
      </c>
      <c r="F186">
        <v>1.4E-2</v>
      </c>
      <c r="G186">
        <v>0.05</v>
      </c>
      <c r="H186">
        <v>-2.7982999999999998</v>
      </c>
      <c r="I186">
        <v>0</v>
      </c>
      <c r="J186">
        <v>0</v>
      </c>
      <c r="K186">
        <v>0</v>
      </c>
      <c r="L186">
        <v>0.27250000000000002</v>
      </c>
    </row>
    <row r="187" spans="1:12" x14ac:dyDescent="0.35">
      <c r="A187">
        <v>4.25</v>
      </c>
      <c r="B187">
        <v>0.84240000000000004</v>
      </c>
      <c r="C187">
        <v>4.0980000000000003E-2</v>
      </c>
      <c r="D187">
        <v>3.687E-2</v>
      </c>
      <c r="E187">
        <v>-2.1700000000000001E-2</v>
      </c>
      <c r="F187">
        <v>1.3899999999999999E-2</v>
      </c>
      <c r="G187">
        <v>0.05</v>
      </c>
      <c r="H187">
        <v>-2.7888999999999999</v>
      </c>
      <c r="I187">
        <v>0</v>
      </c>
      <c r="J187">
        <v>0</v>
      </c>
      <c r="K187">
        <v>0</v>
      </c>
      <c r="L187">
        <v>0.27329999999999999</v>
      </c>
    </row>
    <row r="188" spans="1:12" x14ac:dyDescent="0.35">
      <c r="A188">
        <v>4.3</v>
      </c>
      <c r="B188">
        <v>0.84009999999999996</v>
      </c>
      <c r="C188">
        <v>4.2070000000000003E-2</v>
      </c>
      <c r="D188">
        <v>3.798E-2</v>
      </c>
      <c r="E188">
        <v>-2.24E-2</v>
      </c>
      <c r="F188">
        <v>1.3899999999999999E-2</v>
      </c>
      <c r="G188">
        <v>0.05</v>
      </c>
      <c r="H188">
        <v>-2.7783000000000002</v>
      </c>
      <c r="I188">
        <v>0</v>
      </c>
      <c r="J188">
        <v>0</v>
      </c>
      <c r="K188">
        <v>0</v>
      </c>
      <c r="L188">
        <v>0.2742</v>
      </c>
    </row>
    <row r="189" spans="1:12" x14ac:dyDescent="0.35">
      <c r="A189">
        <v>4.3499999999999996</v>
      </c>
      <c r="B189">
        <v>0.83799999999999997</v>
      </c>
      <c r="C189">
        <v>4.3189999999999999E-2</v>
      </c>
      <c r="D189">
        <v>3.9109999999999999E-2</v>
      </c>
      <c r="E189">
        <v>-2.3300000000000001E-2</v>
      </c>
      <c r="F189">
        <v>1.38E-2</v>
      </c>
      <c r="G189">
        <v>0.05</v>
      </c>
      <c r="H189">
        <v>-2.7627000000000002</v>
      </c>
      <c r="I189">
        <v>0</v>
      </c>
      <c r="J189">
        <v>0</v>
      </c>
      <c r="K189">
        <v>0</v>
      </c>
      <c r="L189">
        <v>0.2752</v>
      </c>
    </row>
    <row r="190" spans="1:12" x14ac:dyDescent="0.35">
      <c r="A190">
        <v>4.4000000000000004</v>
      </c>
      <c r="B190">
        <v>0.83609999999999995</v>
      </c>
      <c r="C190">
        <v>4.4330000000000001E-2</v>
      </c>
      <c r="D190">
        <v>4.027E-2</v>
      </c>
      <c r="E190">
        <v>-2.41E-2</v>
      </c>
      <c r="F190">
        <v>1.37E-2</v>
      </c>
      <c r="G190">
        <v>0.05</v>
      </c>
      <c r="H190">
        <v>-2.7469999999999999</v>
      </c>
      <c r="I190">
        <v>0</v>
      </c>
      <c r="J190">
        <v>0</v>
      </c>
      <c r="K190">
        <v>0</v>
      </c>
      <c r="L190">
        <v>0.27629999999999999</v>
      </c>
    </row>
    <row r="191" spans="1:12" x14ac:dyDescent="0.35">
      <c r="A191">
        <v>4.45</v>
      </c>
      <c r="B191">
        <v>0.83430000000000004</v>
      </c>
      <c r="C191">
        <v>4.5490000000000003E-2</v>
      </c>
      <c r="D191">
        <v>4.1450000000000001E-2</v>
      </c>
      <c r="E191">
        <v>-2.5100000000000001E-2</v>
      </c>
      <c r="F191">
        <v>1.37E-2</v>
      </c>
      <c r="G191">
        <v>0.05</v>
      </c>
      <c r="H191">
        <v>-2.7425999999999999</v>
      </c>
      <c r="I191">
        <v>0</v>
      </c>
      <c r="J191">
        <v>0</v>
      </c>
      <c r="K191">
        <v>0</v>
      </c>
      <c r="L191">
        <v>0.27750000000000002</v>
      </c>
    </row>
    <row r="192" spans="1:12" x14ac:dyDescent="0.35">
      <c r="A192">
        <v>4.5</v>
      </c>
      <c r="B192">
        <v>0.83260000000000001</v>
      </c>
      <c r="C192">
        <v>4.6670000000000003E-2</v>
      </c>
      <c r="D192">
        <v>4.265E-2</v>
      </c>
      <c r="E192">
        <v>-2.6100000000000002E-2</v>
      </c>
      <c r="F192">
        <v>1.3599999999999999E-2</v>
      </c>
      <c r="G192">
        <v>0.05</v>
      </c>
      <c r="H192">
        <v>-2.7469999999999999</v>
      </c>
      <c r="I192">
        <v>0</v>
      </c>
      <c r="J192">
        <v>0</v>
      </c>
      <c r="K192">
        <v>0</v>
      </c>
      <c r="L192">
        <v>0.27879999999999999</v>
      </c>
    </row>
    <row r="193" spans="1:12" x14ac:dyDescent="0.35">
      <c r="A193">
        <v>4.55</v>
      </c>
      <c r="B193">
        <v>0.83109999999999995</v>
      </c>
      <c r="C193">
        <v>4.7870000000000003E-2</v>
      </c>
      <c r="D193">
        <v>4.3869999999999999E-2</v>
      </c>
      <c r="E193">
        <v>-2.7199999999999998E-2</v>
      </c>
      <c r="F193">
        <v>1.3599999999999999E-2</v>
      </c>
      <c r="G193">
        <v>0.05</v>
      </c>
      <c r="H193">
        <v>-2.7502</v>
      </c>
      <c r="I193">
        <v>0</v>
      </c>
      <c r="J193">
        <v>0</v>
      </c>
      <c r="K193">
        <v>0</v>
      </c>
      <c r="L193">
        <v>0.28010000000000002</v>
      </c>
    </row>
    <row r="194" spans="1:12" x14ac:dyDescent="0.35">
      <c r="A194">
        <v>4.5999999999999996</v>
      </c>
      <c r="B194">
        <v>0.82969999999999999</v>
      </c>
      <c r="C194">
        <v>4.9090000000000002E-2</v>
      </c>
      <c r="D194">
        <v>4.5100000000000001E-2</v>
      </c>
      <c r="E194">
        <v>-2.8299999999999999E-2</v>
      </c>
      <c r="F194">
        <v>1.35E-2</v>
      </c>
      <c r="G194">
        <v>0.05</v>
      </c>
      <c r="H194">
        <v>-2.7519999999999998</v>
      </c>
      <c r="I194">
        <v>0</v>
      </c>
      <c r="J194">
        <v>0</v>
      </c>
      <c r="K194">
        <v>0</v>
      </c>
      <c r="L194">
        <v>0.28149999999999997</v>
      </c>
    </row>
    <row r="195" spans="1:12" x14ac:dyDescent="0.35">
      <c r="A195">
        <v>4.6500000000000004</v>
      </c>
      <c r="B195">
        <v>0.82850000000000001</v>
      </c>
      <c r="C195">
        <v>5.033E-2</v>
      </c>
      <c r="D195">
        <v>4.6350000000000002E-2</v>
      </c>
      <c r="E195">
        <v>-2.9499999999999998E-2</v>
      </c>
      <c r="F195">
        <v>1.35E-2</v>
      </c>
      <c r="G195">
        <v>0.05</v>
      </c>
      <c r="H195">
        <v>-2.7524000000000002</v>
      </c>
      <c r="I195">
        <v>0</v>
      </c>
      <c r="J195">
        <v>0</v>
      </c>
      <c r="K195">
        <v>0</v>
      </c>
      <c r="L195">
        <v>0.28289999999999998</v>
      </c>
    </row>
    <row r="196" spans="1:12" x14ac:dyDescent="0.35">
      <c r="A196">
        <v>4.7</v>
      </c>
      <c r="B196">
        <v>0.82750000000000001</v>
      </c>
      <c r="C196">
        <v>5.1580000000000001E-2</v>
      </c>
      <c r="D196">
        <v>4.761E-2</v>
      </c>
      <c r="E196">
        <v>-3.0700000000000002E-2</v>
      </c>
      <c r="F196">
        <v>1.34E-2</v>
      </c>
      <c r="G196">
        <v>0.05</v>
      </c>
      <c r="H196">
        <v>-2.7513000000000001</v>
      </c>
      <c r="I196">
        <v>0</v>
      </c>
      <c r="J196">
        <v>0</v>
      </c>
      <c r="K196">
        <v>0</v>
      </c>
      <c r="L196">
        <v>0.28439999999999999</v>
      </c>
    </row>
    <row r="197" spans="1:12" x14ac:dyDescent="0.35">
      <c r="A197">
        <v>4.75</v>
      </c>
      <c r="B197">
        <v>0.82669999999999999</v>
      </c>
      <c r="C197">
        <v>5.2850000000000001E-2</v>
      </c>
      <c r="D197">
        <v>4.888E-2</v>
      </c>
      <c r="E197">
        <v>-3.1899999999999998E-2</v>
      </c>
      <c r="F197">
        <v>1.3299999999999999E-2</v>
      </c>
      <c r="G197">
        <v>0.05</v>
      </c>
      <c r="H197">
        <v>-2.7486000000000002</v>
      </c>
      <c r="I197">
        <v>0</v>
      </c>
      <c r="J197">
        <v>0</v>
      </c>
      <c r="K197">
        <v>0</v>
      </c>
      <c r="L197">
        <v>0.28589999999999999</v>
      </c>
    </row>
    <row r="198" spans="1:12" x14ac:dyDescent="0.35">
      <c r="A198">
        <v>4.8</v>
      </c>
      <c r="B198">
        <v>0.82599999999999996</v>
      </c>
      <c r="C198">
        <v>5.4129999999999998E-2</v>
      </c>
      <c r="D198">
        <v>5.0169999999999999E-2</v>
      </c>
      <c r="E198">
        <v>-3.32E-2</v>
      </c>
      <c r="F198">
        <v>1.32E-2</v>
      </c>
      <c r="G198">
        <v>0.05</v>
      </c>
      <c r="H198">
        <v>-2.7443</v>
      </c>
      <c r="I198">
        <v>0</v>
      </c>
      <c r="J198">
        <v>0</v>
      </c>
      <c r="K198">
        <v>0</v>
      </c>
      <c r="L198">
        <v>0.28739999999999999</v>
      </c>
    </row>
    <row r="199" spans="1:12" x14ac:dyDescent="0.35">
      <c r="A199">
        <v>4.8499999999999996</v>
      </c>
      <c r="B199">
        <v>0.82569999999999999</v>
      </c>
      <c r="C199">
        <v>5.543E-2</v>
      </c>
      <c r="D199">
        <v>5.1490000000000001E-2</v>
      </c>
      <c r="E199">
        <v>-3.4500000000000003E-2</v>
      </c>
      <c r="F199">
        <v>1.3100000000000001E-2</v>
      </c>
      <c r="G199">
        <v>0.05</v>
      </c>
      <c r="H199">
        <v>-2.7374000000000001</v>
      </c>
      <c r="I199">
        <v>0</v>
      </c>
      <c r="J199">
        <v>0</v>
      </c>
      <c r="K199">
        <v>0</v>
      </c>
      <c r="L199">
        <v>0.28899999999999998</v>
      </c>
    </row>
    <row r="200" spans="1:12" x14ac:dyDescent="0.35">
      <c r="A200">
        <v>4.9000000000000004</v>
      </c>
      <c r="B200">
        <v>0.8256</v>
      </c>
      <c r="C200">
        <v>5.6759999999999998E-2</v>
      </c>
      <c r="D200">
        <v>5.2819999999999999E-2</v>
      </c>
      <c r="E200">
        <v>-3.5799999999999998E-2</v>
      </c>
      <c r="F200">
        <v>1.2699999999999999E-2</v>
      </c>
      <c r="G200">
        <v>0.05</v>
      </c>
      <c r="H200">
        <v>-2.7277999999999998</v>
      </c>
      <c r="I200">
        <v>0</v>
      </c>
      <c r="J200">
        <v>0</v>
      </c>
      <c r="K200">
        <v>0</v>
      </c>
      <c r="L200">
        <v>0.29060000000000002</v>
      </c>
    </row>
    <row r="201" spans="1:12" x14ac:dyDescent="0.35">
      <c r="A201">
        <v>4.95</v>
      </c>
      <c r="B201">
        <v>0.82550000000000001</v>
      </c>
      <c r="C201">
        <v>5.808E-2</v>
      </c>
      <c r="D201">
        <v>5.4140000000000001E-2</v>
      </c>
      <c r="E201">
        <v>-3.7100000000000001E-2</v>
      </c>
      <c r="F201">
        <v>1.21E-2</v>
      </c>
      <c r="G201">
        <v>0.05</v>
      </c>
      <c r="H201">
        <v>-2.7183000000000002</v>
      </c>
      <c r="I201">
        <v>0</v>
      </c>
      <c r="J201">
        <v>0</v>
      </c>
      <c r="K201">
        <v>0</v>
      </c>
      <c r="L201">
        <v>0.29220000000000002</v>
      </c>
    </row>
    <row r="202" spans="1:12" x14ac:dyDescent="0.35">
      <c r="A202">
        <v>5</v>
      </c>
      <c r="B202">
        <v>0.82550000000000001</v>
      </c>
      <c r="C202">
        <v>5.9380000000000002E-2</v>
      </c>
      <c r="D202">
        <v>5.5449999999999999E-2</v>
      </c>
      <c r="E202">
        <v>-3.8399999999999997E-2</v>
      </c>
      <c r="F202">
        <v>1.1599999999999999E-2</v>
      </c>
      <c r="G202">
        <v>0.05</v>
      </c>
      <c r="H202">
        <v>-2.7099000000000002</v>
      </c>
      <c r="I202">
        <v>0</v>
      </c>
      <c r="J202">
        <v>0</v>
      </c>
      <c r="K202">
        <v>0</v>
      </c>
      <c r="L202">
        <v>0.29370000000000002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C13E7-83B4-46A2-986A-F51DF0D9D853}">
  <dimension ref="A1:D22"/>
  <sheetViews>
    <sheetView workbookViewId="0"/>
  </sheetViews>
  <sheetFormatPr defaultRowHeight="14.5" x14ac:dyDescent="0.35"/>
  <cols>
    <col min="1" max="1" width="7.81640625" bestFit="1" customWidth="1"/>
    <col min="2" max="2" width="12.453125" bestFit="1" customWidth="1"/>
    <col min="3" max="3" width="11.81640625" bestFit="1" customWidth="1"/>
    <col min="4" max="4" width="12.453125" bestFit="1" customWidth="1"/>
  </cols>
  <sheetData>
    <row r="1" spans="1:4" x14ac:dyDescent="0.35">
      <c r="A1" t="s">
        <v>0</v>
      </c>
      <c r="B1" t="s">
        <v>1</v>
      </c>
      <c r="C1" t="s">
        <v>2</v>
      </c>
      <c r="D1" t="s">
        <v>275</v>
      </c>
    </row>
    <row r="2" spans="1:4" x14ac:dyDescent="0.35">
      <c r="A2">
        <v>-3</v>
      </c>
      <c r="B2">
        <v>-0.55542290477127865</v>
      </c>
      <c r="C2">
        <v>3.9883612446014585E-2</v>
      </c>
      <c r="D2">
        <v>3.2888918883289681E-3</v>
      </c>
    </row>
    <row r="3" spans="1:4" x14ac:dyDescent="0.35">
      <c r="A3">
        <v>-2.7</v>
      </c>
      <c r="B3">
        <v>-0.51264838212800723</v>
      </c>
      <c r="C3">
        <v>3.4284138797376684E-2</v>
      </c>
      <c r="D3">
        <v>-7.5419589594325764E-3</v>
      </c>
    </row>
    <row r="4" spans="1:4" x14ac:dyDescent="0.35">
      <c r="A4">
        <v>-2.4</v>
      </c>
      <c r="B4">
        <v>-0.34681395536472492</v>
      </c>
      <c r="C4">
        <v>2.1600247991042917E-2</v>
      </c>
      <c r="D4">
        <v>-5.2818337732920044E-2</v>
      </c>
    </row>
    <row r="5" spans="1:4" x14ac:dyDescent="0.35">
      <c r="A5">
        <v>-2.1</v>
      </c>
      <c r="B5">
        <v>-0.21106430400212384</v>
      </c>
      <c r="C5">
        <v>1.3966757239169819E-2</v>
      </c>
      <c r="D5">
        <v>-7.5670127788131189E-2</v>
      </c>
    </row>
    <row r="6" spans="1:4" x14ac:dyDescent="0.35">
      <c r="A6">
        <v>-1.8</v>
      </c>
      <c r="B6">
        <v>-9.2818435723501513E-2</v>
      </c>
      <c r="C6">
        <v>1.0303553145636869E-2</v>
      </c>
      <c r="D6">
        <v>-8.4635549612680855E-2</v>
      </c>
    </row>
    <row r="7" spans="1:4" x14ac:dyDescent="0.35">
      <c r="A7">
        <v>-1.5</v>
      </c>
      <c r="B7">
        <v>7.9969469301212175E-3</v>
      </c>
      <c r="C7">
        <v>9.1960625648235799E-3</v>
      </c>
      <c r="D7">
        <v>-8.624883230432473E-2</v>
      </c>
    </row>
    <row r="8" spans="1:4" x14ac:dyDescent="0.35">
      <c r="A8">
        <v>-1.2000000000000002</v>
      </c>
      <c r="B8">
        <v>9.8759167220899446E-2</v>
      </c>
      <c r="C8">
        <v>9.5041336822574204E-3</v>
      </c>
      <c r="D8">
        <v>-8.9043323765107041E-2</v>
      </c>
    </row>
    <row r="9" spans="1:4" x14ac:dyDescent="0.35">
      <c r="A9">
        <v>-0.89999999999999991</v>
      </c>
      <c r="B9">
        <v>0.18859080294526193</v>
      </c>
      <c r="C9">
        <v>1.0763164531062333E-2</v>
      </c>
      <c r="D9">
        <v>-9.7269337419888899E-2</v>
      </c>
    </row>
    <row r="10" spans="1:4" x14ac:dyDescent="0.35">
      <c r="A10">
        <v>-0.60000000000000009</v>
      </c>
      <c r="B10">
        <v>0.28358972743129074</v>
      </c>
      <c r="C10">
        <v>1.3071353104124037E-2</v>
      </c>
      <c r="D10">
        <v>-0.11129599163237065</v>
      </c>
    </row>
    <row r="11" spans="1:4" x14ac:dyDescent="0.35">
      <c r="A11">
        <v>-0.30000000000000027</v>
      </c>
      <c r="B11">
        <v>0.38518931361102277</v>
      </c>
      <c r="C11">
        <v>1.6655522485346845E-2</v>
      </c>
      <c r="D11">
        <v>-0.1311405095686082</v>
      </c>
    </row>
    <row r="12" spans="1:4" x14ac:dyDescent="0.35">
      <c r="A12">
        <v>0</v>
      </c>
      <c r="B12">
        <v>0.48371822549150983</v>
      </c>
      <c r="C12">
        <v>2.1277513537367523E-2</v>
      </c>
      <c r="D12">
        <v>-0.15358223166616305</v>
      </c>
    </row>
    <row r="13" spans="1:4" x14ac:dyDescent="0.35">
      <c r="A13">
        <v>0.29999999999999982</v>
      </c>
      <c r="B13">
        <v>0.56204648325320428</v>
      </c>
      <c r="C13">
        <v>2.5853676362586866E-2</v>
      </c>
      <c r="D13">
        <v>-0.17057865991294022</v>
      </c>
    </row>
    <row r="14" spans="1:4" x14ac:dyDescent="0.35">
      <c r="A14">
        <v>0.59999999999999964</v>
      </c>
      <c r="B14">
        <v>0.62224553780343284</v>
      </c>
      <c r="C14">
        <v>3.0046128639536325E-2</v>
      </c>
      <c r="D14">
        <v>-0.18117728640236294</v>
      </c>
    </row>
    <row r="15" spans="1:4" x14ac:dyDescent="0.35">
      <c r="A15">
        <v>0.89999999999999991</v>
      </c>
      <c r="B15">
        <v>0.67182997836916891</v>
      </c>
      <c r="C15">
        <v>3.4099675139780523E-2</v>
      </c>
      <c r="D15">
        <v>-0.18797086232021568</v>
      </c>
    </row>
    <row r="16" spans="1:4" x14ac:dyDescent="0.35">
      <c r="A16">
        <v>1.2000000000000002</v>
      </c>
      <c r="B16">
        <v>0.71476347621899616</v>
      </c>
      <c r="C16">
        <v>3.8158677770095732E-2</v>
      </c>
      <c r="D16">
        <v>-0.19246523874201521</v>
      </c>
    </row>
    <row r="17" spans="1:4" x14ac:dyDescent="0.35">
      <c r="A17">
        <v>1.5</v>
      </c>
      <c r="B17">
        <v>0.75325843059796949</v>
      </c>
      <c r="C17">
        <v>4.2343647013570025E-2</v>
      </c>
      <c r="D17">
        <v>-0.1956203308427921</v>
      </c>
    </row>
    <row r="18" spans="1:4" x14ac:dyDescent="0.35">
      <c r="A18">
        <v>1.7999999999999998</v>
      </c>
      <c r="B18">
        <v>0.78817117588788299</v>
      </c>
      <c r="C18">
        <v>4.6676458935273314E-2</v>
      </c>
      <c r="D18">
        <v>-0.19801513189381204</v>
      </c>
    </row>
    <row r="19" spans="1:4" x14ac:dyDescent="0.35">
      <c r="A19">
        <v>2.0999999999999996</v>
      </c>
      <c r="B19">
        <v>0.8243902841177243</v>
      </c>
      <c r="C19">
        <v>5.0932388886311714E-2</v>
      </c>
      <c r="D19">
        <v>-0.19927858732276615</v>
      </c>
    </row>
    <row r="20" spans="1:4" x14ac:dyDescent="0.35">
      <c r="A20">
        <v>2.3999999999999995</v>
      </c>
      <c r="B20">
        <v>0.85972831786954385</v>
      </c>
      <c r="C20">
        <v>5.5706536958121014E-2</v>
      </c>
      <c r="D20">
        <v>-0.20060817976624376</v>
      </c>
    </row>
    <row r="21" spans="1:4" x14ac:dyDescent="0.35">
      <c r="A21">
        <v>2.7</v>
      </c>
      <c r="B21">
        <v>0.89292304372634845</v>
      </c>
      <c r="C21">
        <v>6.1017990039367385E-2</v>
      </c>
      <c r="D21">
        <v>-0.20236238117327252</v>
      </c>
    </row>
    <row r="22" spans="1:4" x14ac:dyDescent="0.35">
      <c r="A22">
        <v>3</v>
      </c>
      <c r="B22">
        <v>0.92447549507865734</v>
      </c>
      <c r="C22">
        <v>6.6790498126699377E-2</v>
      </c>
      <c r="D22">
        <v>-0.20453930682634616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FBD96-424C-4A7E-AD57-35386FCFA42E}">
  <dimension ref="A1:D22"/>
  <sheetViews>
    <sheetView workbookViewId="0"/>
  </sheetViews>
  <sheetFormatPr defaultRowHeight="14.5" x14ac:dyDescent="0.35"/>
  <cols>
    <col min="1" max="1" width="7.81640625" bestFit="1" customWidth="1"/>
    <col min="2" max="2" width="12.453125" bestFit="1" customWidth="1"/>
    <col min="3" max="3" width="11.81640625" bestFit="1" customWidth="1"/>
    <col min="4" max="4" width="12.453125" bestFit="1" customWidth="1"/>
  </cols>
  <sheetData>
    <row r="1" spans="1:4" x14ac:dyDescent="0.35">
      <c r="A1" t="s">
        <v>0</v>
      </c>
      <c r="B1" t="s">
        <v>1</v>
      </c>
      <c r="C1" t="s">
        <v>2</v>
      </c>
      <c r="D1" t="s">
        <v>275</v>
      </c>
    </row>
    <row r="2" spans="1:4" x14ac:dyDescent="0.35">
      <c r="A2">
        <v>-3</v>
      </c>
      <c r="B2">
        <v>-0.57685786640513259</v>
      </c>
      <c r="C2">
        <v>4.095120591582526E-2</v>
      </c>
      <c r="D2">
        <v>1.0681067627520167E-2</v>
      </c>
    </row>
    <row r="3" spans="1:4" x14ac:dyDescent="0.35">
      <c r="A3">
        <v>-2.7</v>
      </c>
      <c r="B3">
        <v>-0.50307774479432443</v>
      </c>
      <c r="C3">
        <v>3.3014929609052772E-2</v>
      </c>
      <c r="D3">
        <v>-1.2311694689818541E-2</v>
      </c>
    </row>
    <row r="4" spans="1:4" x14ac:dyDescent="0.35">
      <c r="A4">
        <v>-2.4</v>
      </c>
      <c r="B4">
        <v>-0.34199926223453736</v>
      </c>
      <c r="C4">
        <v>2.0655405604074025E-2</v>
      </c>
      <c r="D4">
        <v>-5.4791166383429082E-2</v>
      </c>
    </row>
    <row r="5" spans="1:4" x14ac:dyDescent="0.35">
      <c r="A5">
        <v>-2.1</v>
      </c>
      <c r="B5">
        <v>-0.20770058821707299</v>
      </c>
      <c r="C5">
        <v>1.313271082409637E-2</v>
      </c>
      <c r="D5">
        <v>-7.6790624231270421E-2</v>
      </c>
    </row>
    <row r="6" spans="1:4" x14ac:dyDescent="0.35">
      <c r="A6">
        <v>-1.8</v>
      </c>
      <c r="B6">
        <v>-8.9528863915978057E-2</v>
      </c>
      <c r="C6">
        <v>9.5174743898087995E-3</v>
      </c>
      <c r="D6">
        <v>-8.5536821504145849E-2</v>
      </c>
    </row>
    <row r="7" spans="1:4" x14ac:dyDescent="0.35">
      <c r="A7">
        <v>-1.5</v>
      </c>
      <c r="B7">
        <v>1.152530806092353E-2</v>
      </c>
      <c r="C7">
        <v>8.4405247829155913E-3</v>
      </c>
      <c r="D7">
        <v>-8.7149611048075601E-2</v>
      </c>
    </row>
    <row r="8" spans="1:4" x14ac:dyDescent="0.35">
      <c r="A8">
        <v>-1.2000000000000002</v>
      </c>
      <c r="B8">
        <v>0.10268070499273098</v>
      </c>
      <c r="C8">
        <v>8.7843920642407137E-3</v>
      </c>
      <c r="D8">
        <v>-9.0064170484475833E-2</v>
      </c>
    </row>
    <row r="9" spans="1:4" x14ac:dyDescent="0.35">
      <c r="A9">
        <v>-0.89999999999999991</v>
      </c>
      <c r="B9">
        <v>0.1930536047032361</v>
      </c>
      <c r="C9">
        <v>1.0089705191935356E-2</v>
      </c>
      <c r="D9">
        <v>-9.8478579232509286E-2</v>
      </c>
    </row>
    <row r="10" spans="1:4" x14ac:dyDescent="0.35">
      <c r="A10">
        <v>-0.60000000000000009</v>
      </c>
      <c r="B10">
        <v>0.28889335509761893</v>
      </c>
      <c r="C10">
        <v>1.2464975282746109E-2</v>
      </c>
      <c r="D10">
        <v>-0.11280926479570068</v>
      </c>
    </row>
    <row r="11" spans="1:4" x14ac:dyDescent="0.35">
      <c r="A11">
        <v>-0.30000000000000027</v>
      </c>
      <c r="B11">
        <v>0.3924583115914308</v>
      </c>
      <c r="C11">
        <v>1.6177886203898179E-2</v>
      </c>
      <c r="D11">
        <v>-0.13343279886263515</v>
      </c>
    </row>
    <row r="12" spans="1:4" x14ac:dyDescent="0.35">
      <c r="A12">
        <v>0</v>
      </c>
      <c r="B12">
        <v>0.49540323562985911</v>
      </c>
      <c r="C12">
        <v>2.1079376774374829E-2</v>
      </c>
      <c r="D12">
        <v>-0.15778406884549034</v>
      </c>
    </row>
    <row r="13" spans="1:4" x14ac:dyDescent="0.35">
      <c r="A13">
        <v>0.29999999999999982</v>
      </c>
      <c r="B13">
        <v>0.57744160010594436</v>
      </c>
      <c r="C13">
        <v>2.5944338881175918E-2</v>
      </c>
      <c r="D13">
        <v>-0.17656049312771804</v>
      </c>
    </row>
    <row r="14" spans="1:4" x14ac:dyDescent="0.35">
      <c r="A14">
        <v>0.59999999999999964</v>
      </c>
      <c r="B14">
        <v>0.63950649705967633</v>
      </c>
      <c r="C14">
        <v>3.0339750507347097E-2</v>
      </c>
      <c r="D14">
        <v>-0.18813432982778525</v>
      </c>
    </row>
    <row r="15" spans="1:4" x14ac:dyDescent="0.35">
      <c r="A15">
        <v>0.89999999999999991</v>
      </c>
      <c r="B15">
        <v>0.69017234736928557</v>
      </c>
      <c r="C15">
        <v>3.4568712722103295E-2</v>
      </c>
      <c r="D15">
        <v>-0.19556179633895776</v>
      </c>
    </row>
    <row r="16" spans="1:4" x14ac:dyDescent="0.35">
      <c r="A16">
        <v>1.2000000000000002</v>
      </c>
      <c r="B16">
        <v>0.73398168460710156</v>
      </c>
      <c r="C16">
        <v>3.8790657565117133E-2</v>
      </c>
      <c r="D16">
        <v>-0.20053793557808136</v>
      </c>
    </row>
    <row r="17" spans="1:4" x14ac:dyDescent="0.35">
      <c r="A17">
        <v>1.5</v>
      </c>
      <c r="B17">
        <v>0.77312177633884593</v>
      </c>
      <c r="C17">
        <v>4.314919508850229E-2</v>
      </c>
      <c r="D17">
        <v>-0.20412763467659489</v>
      </c>
    </row>
    <row r="18" spans="1:4" x14ac:dyDescent="0.35">
      <c r="A18">
        <v>1.7999999999999998</v>
      </c>
      <c r="B18">
        <v>0.80883317143640465</v>
      </c>
      <c r="C18">
        <v>4.7608202864026707E-2</v>
      </c>
      <c r="D18">
        <v>-0.20684693410961638</v>
      </c>
    </row>
    <row r="19" spans="1:4" x14ac:dyDescent="0.35">
      <c r="A19">
        <v>2.0999999999999996</v>
      </c>
      <c r="B19">
        <v>0.84629996218715708</v>
      </c>
      <c r="C19">
        <v>5.2052649074458682E-2</v>
      </c>
      <c r="D19">
        <v>-0.20846707661751518</v>
      </c>
    </row>
    <row r="20" spans="1:4" x14ac:dyDescent="0.35">
      <c r="A20">
        <v>2.3999999999999995</v>
      </c>
      <c r="B20">
        <v>0.88232916885624468</v>
      </c>
      <c r="C20">
        <v>5.7076734557862482E-2</v>
      </c>
      <c r="D20">
        <v>-0.21030942278406226</v>
      </c>
    </row>
    <row r="21" spans="1:4" x14ac:dyDescent="0.35">
      <c r="A21">
        <v>2.7</v>
      </c>
      <c r="B21">
        <v>0.91638192874623148</v>
      </c>
      <c r="C21">
        <v>6.2653584183710212E-2</v>
      </c>
      <c r="D21">
        <v>-0.21264566785333652</v>
      </c>
    </row>
    <row r="22" spans="1:4" x14ac:dyDescent="0.35">
      <c r="A22">
        <v>3</v>
      </c>
      <c r="B22">
        <v>0.9489615348643845</v>
      </c>
      <c r="C22">
        <v>6.8711031000956366E-2</v>
      </c>
      <c r="D22">
        <v>-0.21546557121508567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30488-4DFB-45A9-A718-D9D5EC8978E1}">
  <dimension ref="A1:D22"/>
  <sheetViews>
    <sheetView workbookViewId="0"/>
  </sheetViews>
  <sheetFormatPr defaultRowHeight="14.5" x14ac:dyDescent="0.35"/>
  <cols>
    <col min="1" max="1" width="7.81640625" bestFit="1" customWidth="1"/>
    <col min="2" max="2" width="12.453125" bestFit="1" customWidth="1"/>
    <col min="3" max="3" width="11.81640625" bestFit="1" customWidth="1"/>
    <col min="4" max="4" width="12.453125" bestFit="1" customWidth="1"/>
  </cols>
  <sheetData>
    <row r="1" spans="1:4" x14ac:dyDescent="0.35">
      <c r="A1" t="s">
        <v>0</v>
      </c>
      <c r="B1" t="s">
        <v>1</v>
      </c>
      <c r="C1" t="s">
        <v>2</v>
      </c>
      <c r="D1" t="s">
        <v>275</v>
      </c>
    </row>
    <row r="2" spans="1:4" x14ac:dyDescent="0.35">
      <c r="A2">
        <v>-3</v>
      </c>
      <c r="B2">
        <v>-0.64365640334006036</v>
      </c>
      <c r="C2">
        <v>4.5720947431992835E-2</v>
      </c>
      <c r="D2">
        <v>3.3091745275694529E-2</v>
      </c>
    </row>
    <row r="3" spans="1:4" x14ac:dyDescent="0.35">
      <c r="A3">
        <v>-2.7</v>
      </c>
      <c r="B3">
        <v>-0.5603143825389858</v>
      </c>
      <c r="C3">
        <v>3.6750010270783416E-2</v>
      </c>
      <c r="D3">
        <v>6.0552694372525747E-3</v>
      </c>
    </row>
    <row r="4" spans="1:4" x14ac:dyDescent="0.35">
      <c r="A4">
        <v>-2.4</v>
      </c>
      <c r="B4">
        <v>-0.33789287657079453</v>
      </c>
      <c r="C4">
        <v>1.984268377416944E-2</v>
      </c>
      <c r="D4">
        <v>-5.6433695889785217E-2</v>
      </c>
    </row>
    <row r="5" spans="1:4" x14ac:dyDescent="0.35">
      <c r="A5">
        <v>-2.1</v>
      </c>
      <c r="B5">
        <v>-0.20473615641792367</v>
      </c>
      <c r="C5">
        <v>1.2411757992262429E-2</v>
      </c>
      <c r="D5">
        <v>-7.7764989137958554E-2</v>
      </c>
    </row>
    <row r="6" spans="1:4" x14ac:dyDescent="0.35">
      <c r="A6">
        <v>-1.8</v>
      </c>
      <c r="B6">
        <v>-8.6611478974804368E-2</v>
      </c>
      <c r="C6">
        <v>8.8370801404949895E-3</v>
      </c>
      <c r="D6">
        <v>-8.6337142382615042E-2</v>
      </c>
    </row>
    <row r="7" spans="1:4" x14ac:dyDescent="0.35">
      <c r="A7">
        <v>-1.5</v>
      </c>
      <c r="B7">
        <v>1.4662338217748101E-2</v>
      </c>
      <c r="C7">
        <v>7.7866809736125047E-3</v>
      </c>
      <c r="D7">
        <v>-8.7958704178250982E-2</v>
      </c>
    </row>
    <row r="8" spans="1:4" x14ac:dyDescent="0.35">
      <c r="A8">
        <v>-1.2000000000000002</v>
      </c>
      <c r="B8">
        <v>0.10616099817361087</v>
      </c>
      <c r="C8">
        <v>8.1616900326428408E-3</v>
      </c>
      <c r="D8">
        <v>-9.0979529767509434E-2</v>
      </c>
    </row>
    <row r="9" spans="1:4" x14ac:dyDescent="0.35">
      <c r="A9">
        <v>-0.89999999999999991</v>
      </c>
      <c r="B9">
        <v>0.19698759460064524</v>
      </c>
      <c r="C9">
        <v>9.5059555058565493E-3</v>
      </c>
      <c r="D9">
        <v>-9.9555812685768713E-2</v>
      </c>
    </row>
    <row r="10" spans="1:4" x14ac:dyDescent="0.35">
      <c r="A10">
        <v>-0.60000000000000009</v>
      </c>
      <c r="B10">
        <v>0.29349229431309293</v>
      </c>
      <c r="C10">
        <v>1.1936436054764623E-2</v>
      </c>
      <c r="D10">
        <v>-0.11413714668706458</v>
      </c>
    </row>
    <row r="11" spans="1:4" x14ac:dyDescent="0.35">
      <c r="A11">
        <v>-0.30000000000000027</v>
      </c>
      <c r="B11">
        <v>0.39853108759826145</v>
      </c>
      <c r="C11">
        <v>1.5751483778877685E-2</v>
      </c>
      <c r="D11">
        <v>-0.13536102999543262</v>
      </c>
    </row>
    <row r="12" spans="1:4" x14ac:dyDescent="0.35">
      <c r="A12">
        <v>0</v>
      </c>
      <c r="B12">
        <v>0.50539182471934141</v>
      </c>
      <c r="C12">
        <v>2.0898872809638168E-2</v>
      </c>
      <c r="D12">
        <v>-0.16141593465242318</v>
      </c>
    </row>
    <row r="13" spans="1:4" x14ac:dyDescent="0.35">
      <c r="A13">
        <v>0.29999999999999982</v>
      </c>
      <c r="B13">
        <v>0.59137576279161108</v>
      </c>
      <c r="C13">
        <v>2.6055860807080309E-2</v>
      </c>
      <c r="D13">
        <v>-0.18207543287929495</v>
      </c>
    </row>
    <row r="14" spans="1:4" x14ac:dyDescent="0.35">
      <c r="A14">
        <v>0.59999999999999964</v>
      </c>
      <c r="B14">
        <v>0.65550687306516897</v>
      </c>
      <c r="C14">
        <v>3.0660420347251707E-2</v>
      </c>
      <c r="D14">
        <v>-0.19472585541070267</v>
      </c>
    </row>
    <row r="15" spans="1:4" x14ac:dyDescent="0.35">
      <c r="A15">
        <v>0.89999999999999991</v>
      </c>
      <c r="B15">
        <v>0.70741513488890884</v>
      </c>
      <c r="C15">
        <v>3.5068329210275598E-2</v>
      </c>
      <c r="D15">
        <v>-0.20286605835255903</v>
      </c>
    </row>
    <row r="16" spans="1:4" x14ac:dyDescent="0.35">
      <c r="A16">
        <v>1.2000000000000002</v>
      </c>
      <c r="B16">
        <v>0.75230624748124442</v>
      </c>
      <c r="C16">
        <v>3.9463511821117521E-2</v>
      </c>
      <c r="D16">
        <v>-0.20842837033128303</v>
      </c>
    </row>
    <row r="17" spans="1:4" x14ac:dyDescent="0.35">
      <c r="A17">
        <v>1.5</v>
      </c>
      <c r="B17">
        <v>0.79235628947599535</v>
      </c>
      <c r="C17">
        <v>4.4014099447171995E-2</v>
      </c>
      <c r="D17">
        <v>-0.21259895822660752</v>
      </c>
    </row>
    <row r="18" spans="1:4" x14ac:dyDescent="0.35">
      <c r="A18">
        <v>1.7999999999999998</v>
      </c>
      <c r="B18">
        <v>0.82926937017255931</v>
      </c>
      <c r="C18">
        <v>4.8597090831942288E-2</v>
      </c>
      <c r="D18">
        <v>-0.21570905251182296</v>
      </c>
    </row>
    <row r="19" spans="1:4" x14ac:dyDescent="0.35">
      <c r="A19">
        <v>2.0999999999999996</v>
      </c>
      <c r="B19">
        <v>0.86814742907437026</v>
      </c>
      <c r="C19">
        <v>5.3279025309408194E-2</v>
      </c>
      <c r="D19">
        <v>-0.21789482796210066</v>
      </c>
    </row>
    <row r="20" spans="1:4" x14ac:dyDescent="0.35">
      <c r="A20">
        <v>2.3999999999999995</v>
      </c>
      <c r="B20">
        <v>0.90537914606453918</v>
      </c>
      <c r="C20">
        <v>5.8602650800435668E-2</v>
      </c>
      <c r="D20">
        <v>-0.22051291660995703</v>
      </c>
    </row>
    <row r="21" spans="1:4" x14ac:dyDescent="0.35">
      <c r="A21">
        <v>2.7</v>
      </c>
      <c r="B21">
        <v>0.94081692206242984</v>
      </c>
      <c r="C21">
        <v>6.4502208576667872E-2</v>
      </c>
      <c r="D21">
        <v>-0.22370925762757493</v>
      </c>
    </row>
    <row r="22" spans="1:4" x14ac:dyDescent="0.35">
      <c r="A22">
        <v>3</v>
      </c>
      <c r="B22">
        <v>0.97530584344402205</v>
      </c>
      <c r="C22">
        <v>7.0948862591867973E-2</v>
      </c>
      <c r="D22">
        <v>-0.22763766882674052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7095B-294B-41A2-92AB-AA313040D89B}">
  <dimension ref="A1:D22"/>
  <sheetViews>
    <sheetView workbookViewId="0"/>
  </sheetViews>
  <sheetFormatPr defaultRowHeight="14.5" x14ac:dyDescent="0.35"/>
  <cols>
    <col min="1" max="1" width="7.81640625" bestFit="1" customWidth="1"/>
    <col min="2" max="2" width="12.453125" bestFit="1" customWidth="1"/>
    <col min="3" max="3" width="11.81640625" bestFit="1" customWidth="1"/>
    <col min="4" max="4" width="12.453125" bestFit="1" customWidth="1"/>
  </cols>
  <sheetData>
    <row r="1" spans="1:4" x14ac:dyDescent="0.35">
      <c r="A1" t="s">
        <v>0</v>
      </c>
      <c r="B1" t="s">
        <v>1</v>
      </c>
      <c r="C1" t="s">
        <v>2</v>
      </c>
      <c r="D1" t="s">
        <v>275</v>
      </c>
    </row>
    <row r="2" spans="1:4" x14ac:dyDescent="0.35">
      <c r="A2">
        <v>-3</v>
      </c>
      <c r="B2">
        <v>-0.61515143659682869</v>
      </c>
      <c r="C2">
        <v>4.3190195456654382E-2</v>
      </c>
      <c r="D2">
        <v>1.9970627484498293E-2</v>
      </c>
    </row>
    <row r="3" spans="1:4" x14ac:dyDescent="0.35">
      <c r="A3">
        <v>-2.7</v>
      </c>
      <c r="B3">
        <v>-0.54912653299205594</v>
      </c>
      <c r="C3">
        <v>3.5554644290606577E-2</v>
      </c>
      <c r="D3">
        <v>8.5992054236620817E-4</v>
      </c>
    </row>
    <row r="4" spans="1:4" x14ac:dyDescent="0.35">
      <c r="A4">
        <v>-2.4</v>
      </c>
      <c r="B4">
        <v>-0.33434268742018264</v>
      </c>
      <c r="C4">
        <v>1.9138409845302063E-2</v>
      </c>
      <c r="D4">
        <v>-5.7823921268533265E-2</v>
      </c>
    </row>
    <row r="5" spans="1:4" x14ac:dyDescent="0.35">
      <c r="A5">
        <v>-2.1</v>
      </c>
      <c r="B5">
        <v>-0.20213026633774617</v>
      </c>
      <c r="C5">
        <v>1.1785420586652435E-2</v>
      </c>
      <c r="D5">
        <v>-7.8614486801660555E-2</v>
      </c>
    </row>
    <row r="6" spans="1:4" x14ac:dyDescent="0.35">
      <c r="A6">
        <v>-1.8</v>
      </c>
      <c r="B6">
        <v>-8.4055123244073687E-2</v>
      </c>
      <c r="C6">
        <v>8.2455191001896532E-3</v>
      </c>
      <c r="D6">
        <v>-8.7041125141866876E-2</v>
      </c>
    </row>
    <row r="7" spans="1:4" x14ac:dyDescent="0.35">
      <c r="A7">
        <v>-1.5</v>
      </c>
      <c r="B7">
        <v>1.739892501101991E-2</v>
      </c>
      <c r="C7">
        <v>7.2182240680638199E-3</v>
      </c>
      <c r="D7">
        <v>-8.8671497578301756E-2</v>
      </c>
    </row>
    <row r="8" spans="1:4" x14ac:dyDescent="0.35">
      <c r="A8">
        <v>-1.2000000000000002</v>
      </c>
      <c r="B8">
        <v>0.1091760866930164</v>
      </c>
      <c r="C8">
        <v>7.6200759452090504E-3</v>
      </c>
      <c r="D8">
        <v>-9.1780971724062715E-2</v>
      </c>
    </row>
    <row r="9" spans="1:4" x14ac:dyDescent="0.35">
      <c r="A9">
        <v>-0.89999999999999991</v>
      </c>
      <c r="B9">
        <v>0.20035010755904623</v>
      </c>
      <c r="C9">
        <v>8.9967821945829245E-3</v>
      </c>
      <c r="D9">
        <v>-0.10048553938401263</v>
      </c>
    </row>
    <row r="10" spans="1:4" x14ac:dyDescent="0.35">
      <c r="A10">
        <v>-0.60000000000000009</v>
      </c>
      <c r="B10">
        <v>0.29731929723682954</v>
      </c>
      <c r="C10">
        <v>1.1470827009322176E-2</v>
      </c>
      <c r="D10">
        <v>-0.1152513422027157</v>
      </c>
    </row>
    <row r="11" spans="1:4" x14ac:dyDescent="0.35">
      <c r="A11">
        <v>-0.30000000000000027</v>
      </c>
      <c r="B11">
        <v>0.40330313875096513</v>
      </c>
      <c r="C11">
        <v>1.5359555802028328E-2</v>
      </c>
      <c r="D11">
        <v>-0.13687548875019856</v>
      </c>
    </row>
    <row r="12" spans="1:4" x14ac:dyDescent="0.35">
      <c r="A12">
        <v>0</v>
      </c>
      <c r="B12">
        <v>0.51326688932859799</v>
      </c>
      <c r="C12">
        <v>2.0702413116195677E-2</v>
      </c>
      <c r="D12">
        <v>-0.16428691735878284</v>
      </c>
    </row>
    <row r="13" spans="1:4" x14ac:dyDescent="0.35">
      <c r="A13">
        <v>0.29999999999999982</v>
      </c>
      <c r="B13">
        <v>0.6032766589152686</v>
      </c>
      <c r="C13">
        <v>2.6143265183919254E-2</v>
      </c>
      <c r="D13">
        <v>-0.18685155275696411</v>
      </c>
    </row>
    <row r="14" spans="1:4" x14ac:dyDescent="0.35">
      <c r="A14">
        <v>0.59999999999999964</v>
      </c>
      <c r="B14">
        <v>0.66968592004923744</v>
      </c>
      <c r="C14">
        <v>3.0960901950587098E-2</v>
      </c>
      <c r="D14">
        <v>-0.20067941698496181</v>
      </c>
    </row>
    <row r="15" spans="1:4" x14ac:dyDescent="0.35">
      <c r="A15">
        <v>0.89999999999999991</v>
      </c>
      <c r="B15">
        <v>0.72302253315135301</v>
      </c>
      <c r="C15">
        <v>3.5549364645016623E-2</v>
      </c>
      <c r="D15">
        <v>-0.20961783167131348</v>
      </c>
    </row>
    <row r="16" spans="1:4" x14ac:dyDescent="0.35">
      <c r="A16">
        <v>1.2000000000000002</v>
      </c>
      <c r="B16">
        <v>0.76919703481296997</v>
      </c>
      <c r="C16">
        <v>4.0125973062419426E-2</v>
      </c>
      <c r="D16">
        <v>-0.21587504156959197</v>
      </c>
    </row>
    <row r="17" spans="1:4" x14ac:dyDescent="0.35">
      <c r="A17">
        <v>1.5</v>
      </c>
      <c r="B17">
        <v>0.81039647990513808</v>
      </c>
      <c r="C17">
        <v>4.4879754135912386E-2</v>
      </c>
      <c r="D17">
        <v>-0.22075842093813117</v>
      </c>
    </row>
    <row r="18" spans="1:4" x14ac:dyDescent="0.35">
      <c r="A18">
        <v>1.7999999999999998</v>
      </c>
      <c r="B18">
        <v>0.84886805086738626</v>
      </c>
      <c r="C18">
        <v>4.9595358602603098E-2</v>
      </c>
      <c r="D18">
        <v>-0.22435833299383601</v>
      </c>
    </row>
    <row r="19" spans="1:4" x14ac:dyDescent="0.35">
      <c r="A19">
        <v>2.0999999999999996</v>
      </c>
      <c r="B19">
        <v>0.88934268987867038</v>
      </c>
      <c r="C19">
        <v>5.455355178226292E-2</v>
      </c>
      <c r="D19">
        <v>-0.22733002509184325</v>
      </c>
    </row>
    <row r="20" spans="1:4" x14ac:dyDescent="0.35">
      <c r="A20">
        <v>2.3999999999999995</v>
      </c>
      <c r="B20">
        <v>0.92813432604656521</v>
      </c>
      <c r="C20">
        <v>6.0202518576720584E-2</v>
      </c>
      <c r="D20">
        <v>-0.23091731010757729</v>
      </c>
    </row>
    <row r="21" spans="1:4" x14ac:dyDescent="0.35">
      <c r="A21">
        <v>2.7</v>
      </c>
      <c r="B21">
        <v>0.96574597915855454</v>
      </c>
      <c r="C21">
        <v>6.650177308177159E-2</v>
      </c>
      <c r="D21">
        <v>-0.23539213639219833</v>
      </c>
    </row>
    <row r="22" spans="1:4" x14ac:dyDescent="0.35">
      <c r="A22">
        <v>3</v>
      </c>
      <c r="B22">
        <v>1.0030694528238138</v>
      </c>
      <c r="C22">
        <v>7.3439174054494821E-2</v>
      </c>
      <c r="D22">
        <v>-0.24094661449903604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14126-0CFC-46E2-AC95-9CF4E82E4079}">
  <sheetPr codeName="Sheet15"/>
  <dimension ref="A1:AC1000"/>
  <sheetViews>
    <sheetView workbookViewId="0"/>
  </sheetViews>
  <sheetFormatPr defaultRowHeight="14.5" x14ac:dyDescent="0.35"/>
  <sheetData>
    <row r="1" spans="1:19" x14ac:dyDescent="0.35">
      <c r="A1" t="s">
        <v>12</v>
      </c>
      <c r="B1" s="1" t="s">
        <v>277</v>
      </c>
    </row>
    <row r="2" spans="1:19" x14ac:dyDescent="0.35">
      <c r="I2" s="2" t="s">
        <v>24</v>
      </c>
      <c r="L2" s="2" t="s">
        <v>25</v>
      </c>
      <c r="M2" s="2"/>
      <c r="O2" s="2" t="s">
        <v>31</v>
      </c>
      <c r="R2" s="2" t="s">
        <v>32</v>
      </c>
    </row>
    <row r="3" spans="1:19" x14ac:dyDescent="0.35">
      <c r="A3" t="s">
        <v>0</v>
      </c>
      <c r="B3" t="s">
        <v>41</v>
      </c>
      <c r="C3" t="s">
        <v>40</v>
      </c>
      <c r="D3" t="s">
        <v>42</v>
      </c>
      <c r="F3" t="s">
        <v>23</v>
      </c>
      <c r="G3">
        <v>0.08</v>
      </c>
      <c r="I3" t="s">
        <v>2</v>
      </c>
      <c r="J3" t="s">
        <v>1</v>
      </c>
      <c r="L3" t="s">
        <v>2</v>
      </c>
      <c r="M3" t="s">
        <v>1</v>
      </c>
      <c r="O3" t="s">
        <v>2</v>
      </c>
      <c r="P3" t="s">
        <v>1</v>
      </c>
      <c r="R3" t="s">
        <v>2</v>
      </c>
      <c r="S3" t="s">
        <v>1</v>
      </c>
    </row>
    <row r="4" spans="1:19" x14ac:dyDescent="0.35">
      <c r="A4" cm="1">
        <f t="array" aca="1" ref="A4:A69" ca="1">_xlfn._xlws.FILTER(INDIRECT("'" &amp; B1 &amp; "'!A2:A1000"),(INDIRECT("'" &amp; B1 &amp; "'!C2:C1000")&lt;G3) * (INDIRECT("'" &amp; B1 &amp; "'!C2:C1000")&lt;&gt;""))</f>
        <v>-1.65</v>
      </c>
      <c r="B4" cm="1">
        <f t="array" aca="1" ref="B4:B69" ca="1">_xlfn._xlws.FILTER(INDIRECT("'" &amp; B1 &amp; "'!C2:C1000"),(INDIRECT("'" &amp; B1 &amp; "'!C2:C1000")&lt;G3) * (INDIRECT("'" &amp; B1 &amp; "'!C2:C1000")&lt;&gt;""))</f>
        <v>6.28E-3</v>
      </c>
      <c r="C4">
        <f ca="1">IF(ISBLANK(D4), "",
IF(D4 &lt; $G$9,
    $G$10 + $G$19 * ($G$23 * (D4 - $G$9))^2 + $G$21 * (1 - (D4 - $G$6)/($G$9 - $G$6)),
IF(D4 &gt; $G$13,
    $G$14 + $G$19 * ($G$23 * (D4 - $G$13))^2 - $G$22 * (1 - (D4 - $G$6)/($G$13 - $G$6)),
IF(D4 &lt; $G$6,
    $G$16 * (D4 - $G$6)^2 + $G$5,
    $G$17 * (D4 - $G$6)^2 + $G$5))))</f>
        <v>8.868052384102959E-3</v>
      </c>
      <c r="D4" cm="1">
        <f t="array" aca="1" ref="D4:D69" ca="1">_xlfn._xlws.FILTER(INDIRECT("'" &amp; B1 &amp; "'!B2:B1000"),(INDIRECT("'" &amp; B1 &amp; "'!C2:C1000")&lt;G3) * (INDIRECT("'" &amp; B1 &amp; "'!C2:C1000")&lt;&gt;""))</f>
        <v>-5.5500000000000001E-2</v>
      </c>
      <c r="I4">
        <f ca="1">$G$16 * (J4 - $G$6)^2 + $G$5</f>
        <v>5.3600000000000002E-3</v>
      </c>
      <c r="J4">
        <f ca="1">$G$9 + ($G$6 - $G$9) * (ROW(A1)-1)/99</f>
        <v>-0.01</v>
      </c>
      <c r="L4">
        <f ca="1">$G$17 * (M4 - $G$6)^2 + $G$5</f>
        <v>5.4299999999999999E-3</v>
      </c>
      <c r="M4">
        <f ca="1">$G$13 + ($G$6 - $G$13) * (ROW(F1)-1)/99</f>
        <v>0.60029999999999994</v>
      </c>
      <c r="O4">
        <f ca="1">$G$10 + $G$19 * ($G$23 * (P4 - $G$9))^2 + $G$21 * (1 - (P4 - $G$6)/($G$9 - $G$6))</f>
        <v>8.868052384102959E-3</v>
      </c>
      <c r="P4">
        <f ca="1">$G$26 + ($G$9 - $G$26) * (ROW(A1)-1)/99</f>
        <v>-5.5500000000000001E-2</v>
      </c>
      <c r="R4">
        <f ca="1">$G$14 + $G$19 * ($G$23 * (S4 - $G$13))^2 - $G$22 * (1 - (S4 - $G$6)/($G$13 - $G$6))</f>
        <v>5.4299999999999999E-3</v>
      </c>
      <c r="S4">
        <f ca="1">$G$13 + ($G$25 - $G$13) * (ROW(A1)-1)/99</f>
        <v>0.60029999999999994</v>
      </c>
    </row>
    <row r="5" spans="1:19" x14ac:dyDescent="0.35">
      <c r="A5">
        <f ca="1"/>
        <v>-1.6</v>
      </c>
      <c r="B5">
        <f ca="1"/>
        <v>5.94E-3</v>
      </c>
      <c r="C5">
        <f t="shared" ref="C5:C20" ca="1" si="0">IF(ISBLANK(D5), "",
IF(D5 &lt; $G$9,
    $G$10 + $G$19 * ($G$23 * (D5 - $G$9))^2 + $G$21 * (1 - (D5 - $G$6)/($G$9 - $G$6)),
IF(D5 &gt; $G$13,
    $G$14 + $G$19 * ($G$23 * (D5 - $G$13))^2 - $G$22 * (1 - (D5 - $G$6)/($G$13 - $G$6)),
IF(D5 &lt; $G$6,
    $G$16 * (D5 - $G$6)^2 + $G$5,
    $G$17 * (D5 - $G$6)^2 + $G$5))))</f>
        <v>7.5883668286855664E-3</v>
      </c>
      <c r="D5">
        <f ca="1"/>
        <v>-4.4900000000000002E-2</v>
      </c>
      <c r="F5" t="s">
        <v>13</v>
      </c>
      <c r="G5">
        <f ca="1">MIN(B4:B1000)</f>
        <v>5.0899999999999999E-3</v>
      </c>
      <c r="I5">
        <f t="shared" ref="I5:I68" ca="1" si="1">$G$16 * (J5 - $G$6)^2 + $G$5</f>
        <v>5.3545730027548212E-3</v>
      </c>
      <c r="J5">
        <f t="shared" ref="J5:J36" ca="1" si="2">$G$9 + ($G$6 - $G$9) * (ROW(B2)-1)/99</f>
        <v>-8.3494949494949504E-3</v>
      </c>
      <c r="L5">
        <f t="shared" ref="L5:L68" ca="1" si="3">$G$17 * (M5 - $G$6)^2 + $G$5</f>
        <v>5.4231660034690333E-3</v>
      </c>
      <c r="M5">
        <f t="shared" ref="M5:M68" ca="1" si="4">$G$13 + ($G$6 - $G$13) * (ROW(F2)-1)/99</f>
        <v>0.59578585858585853</v>
      </c>
      <c r="O5">
        <f t="shared" ref="O5:O68" ca="1" si="5">$G$10 + $G$19 * ($G$23 * (P5 - $G$9))^2 + $G$21 * (1 - (P5 - $G$6)/($G$9 - $G$6))</f>
        <v>8.8067420268918405E-3</v>
      </c>
      <c r="P5">
        <f t="shared" ref="P5:P36" ca="1" si="6">$G$26 + ($G$9 - $G$26) * (ROW(B2)-1)/99</f>
        <v>-5.5040404040404042E-2</v>
      </c>
      <c r="R5">
        <f t="shared" ref="R5:R68" ca="1" si="7">$G$14 + $G$19 * ($G$23 * (S5 - $G$13))^2 - $G$22 * (1 - (S5 - $G$6)/($G$13 - $G$6))</f>
        <v>5.4338167476507349E-3</v>
      </c>
      <c r="S5">
        <f t="shared" ref="S5:S36" ca="1" si="8">$G$13 + ($G$25 - $G$13) * (ROW(B2)-1)/99</f>
        <v>0.60115353535353533</v>
      </c>
    </row>
    <row r="6" spans="1:19" x14ac:dyDescent="0.35">
      <c r="A6">
        <f ca="1"/>
        <v>-1.55</v>
      </c>
      <c r="B6">
        <f ca="1"/>
        <v>5.6800000000000002E-3</v>
      </c>
      <c r="C6">
        <f t="shared" ca="1" si="0"/>
        <v>6.5414462418294543E-3</v>
      </c>
      <c r="D6">
        <f ca="1"/>
        <v>-3.3700000000000001E-2</v>
      </c>
      <c r="F6" t="s">
        <v>14</v>
      </c>
      <c r="G6">
        <f ca="1">INDEX(D4:D1000, MATCH(G5, B4:B1000, 0))</f>
        <v>0.15340000000000001</v>
      </c>
      <c r="I6">
        <f t="shared" ca="1" si="1"/>
        <v>5.3492011019283751E-3</v>
      </c>
      <c r="J6">
        <f t="shared" ca="1" si="2"/>
        <v>-6.6989898989898988E-3</v>
      </c>
      <c r="L6">
        <f t="shared" ca="1" si="3"/>
        <v>5.4164013876135085E-3</v>
      </c>
      <c r="M6">
        <f t="shared" ca="1" si="4"/>
        <v>0.59127171717171711</v>
      </c>
      <c r="O6">
        <f t="shared" ca="1" si="5"/>
        <v>8.7459597407959118E-3</v>
      </c>
      <c r="P6">
        <f t="shared" ca="1" si="6"/>
        <v>-5.4580808080808084E-2</v>
      </c>
      <c r="R6">
        <f t="shared" ca="1" si="7"/>
        <v>5.4394548018008044E-3</v>
      </c>
      <c r="S6">
        <f t="shared" ca="1" si="8"/>
        <v>0.6020070707070706</v>
      </c>
    </row>
    <row r="7" spans="1:19" x14ac:dyDescent="0.35">
      <c r="A7">
        <f ca="1"/>
        <v>-1.5</v>
      </c>
      <c r="B7">
        <f ca="1"/>
        <v>5.4799999999999996E-3</v>
      </c>
      <c r="C7">
        <f t="shared" ca="1" si="0"/>
        <v>5.7827006287744067E-3</v>
      </c>
      <c r="D7">
        <f ca="1"/>
        <v>-2.1999999999999999E-2</v>
      </c>
      <c r="I7">
        <f t="shared" ca="1" si="1"/>
        <v>5.343884297520661E-3</v>
      </c>
      <c r="J7">
        <f t="shared" ca="1" si="2"/>
        <v>-5.0484848484848481E-3</v>
      </c>
      <c r="L7">
        <f t="shared" ca="1" si="3"/>
        <v>5.4097061524334255E-3</v>
      </c>
      <c r="M7">
        <f t="shared" ca="1" si="4"/>
        <v>0.5867575757575757</v>
      </c>
      <c r="O7">
        <f t="shared" ca="1" si="5"/>
        <v>8.6857055258151745E-3</v>
      </c>
      <c r="P7">
        <f t="shared" ca="1" si="6"/>
        <v>-5.4121212121212119E-2</v>
      </c>
      <c r="R7">
        <f t="shared" ca="1" si="7"/>
        <v>5.4469141624502128E-3</v>
      </c>
      <c r="S7">
        <f t="shared" ca="1" si="8"/>
        <v>0.60286060606060599</v>
      </c>
    </row>
    <row r="8" spans="1:19" x14ac:dyDescent="0.35">
      <c r="A8">
        <f ca="1"/>
        <v>-1.45</v>
      </c>
      <c r="B8">
        <f ca="1"/>
        <v>5.3600000000000002E-3</v>
      </c>
      <c r="C8">
        <f t="shared" ca="1" si="0"/>
        <v>5.3600000000000002E-3</v>
      </c>
      <c r="D8">
        <f ca="1"/>
        <v>-0.01</v>
      </c>
      <c r="F8" t="s">
        <v>15</v>
      </c>
      <c r="G8" s="5">
        <v>5</v>
      </c>
      <c r="I8">
        <f t="shared" ca="1" si="1"/>
        <v>5.3386225895316807E-3</v>
      </c>
      <c r="J8">
        <f t="shared" ca="1" si="2"/>
        <v>-3.3979797979797974E-3</v>
      </c>
      <c r="L8">
        <f t="shared" ca="1" si="3"/>
        <v>5.4030802979287825E-3</v>
      </c>
      <c r="M8">
        <f t="shared" ca="1" si="4"/>
        <v>0.58224343434343429</v>
      </c>
      <c r="O8">
        <f t="shared" ca="1" si="5"/>
        <v>8.6259793819496323E-3</v>
      </c>
      <c r="P8">
        <f t="shared" ca="1" si="6"/>
        <v>-5.366161616161616E-2</v>
      </c>
      <c r="R8">
        <f t="shared" ca="1" si="7"/>
        <v>5.4561948295989574E-3</v>
      </c>
      <c r="S8">
        <f t="shared" ca="1" si="8"/>
        <v>0.60371414141414137</v>
      </c>
    </row>
    <row r="9" spans="1:19" x14ac:dyDescent="0.35">
      <c r="A9">
        <f ca="1"/>
        <v>-1.4</v>
      </c>
      <c r="B9">
        <f ca="1"/>
        <v>5.28E-3</v>
      </c>
      <c r="C9">
        <f t="shared" ca="1" si="0"/>
        <v>5.321492814862867E-3</v>
      </c>
      <c r="D9">
        <f ca="1"/>
        <v>2.0999999999999999E-3</v>
      </c>
      <c r="F9" t="s">
        <v>17</v>
      </c>
      <c r="G9" cm="1">
        <f t="array" aca="1" ref="G9" ca="1">INDEX(D4:D1000, G8)</f>
        <v>-0.01</v>
      </c>
      <c r="I9">
        <f t="shared" ca="1" si="1"/>
        <v>5.3334159779614325E-3</v>
      </c>
      <c r="J9">
        <f t="shared" ca="1" si="2"/>
        <v>-1.7474747474747476E-3</v>
      </c>
      <c r="L9">
        <f t="shared" ca="1" si="3"/>
        <v>5.3965238240995814E-3</v>
      </c>
      <c r="M9">
        <f t="shared" ca="1" si="4"/>
        <v>0.57772929292929287</v>
      </c>
      <c r="O9">
        <f t="shared" ca="1" si="5"/>
        <v>8.566781309199278E-3</v>
      </c>
      <c r="P9">
        <f t="shared" ca="1" si="6"/>
        <v>-5.3202020202020202E-2</v>
      </c>
      <c r="R9">
        <f t="shared" ca="1" si="7"/>
        <v>5.46729680324704E-3</v>
      </c>
      <c r="S9">
        <f t="shared" ca="1" si="8"/>
        <v>0.60456767676767675</v>
      </c>
    </row>
    <row r="10" spans="1:19" x14ac:dyDescent="0.35">
      <c r="A10">
        <f ca="1"/>
        <v>-1.35</v>
      </c>
      <c r="B10">
        <f ca="1"/>
        <v>5.2300000000000003E-3</v>
      </c>
      <c r="C10">
        <f t="shared" ca="1" si="0"/>
        <v>5.2859467796473047E-3</v>
      </c>
      <c r="D10">
        <f ca="1"/>
        <v>1.4200000000000001E-2</v>
      </c>
      <c r="F10" t="s">
        <v>18</v>
      </c>
      <c r="G10" cm="1">
        <f t="array" aca="1" ref="G10" ca="1">INDEX(B4:B1000, G8)</f>
        <v>5.3600000000000002E-3</v>
      </c>
      <c r="I10">
        <f t="shared" ca="1" si="1"/>
        <v>5.3282644628099172E-3</v>
      </c>
      <c r="J10">
        <f t="shared" ca="1" si="2"/>
        <v>-9.6969696969696068E-5</v>
      </c>
      <c r="L10">
        <f t="shared" ca="1" si="3"/>
        <v>5.3900367309458221E-3</v>
      </c>
      <c r="M10">
        <f t="shared" ca="1" si="4"/>
        <v>0.57321515151515146</v>
      </c>
      <c r="O10">
        <f t="shared" ca="1" si="5"/>
        <v>8.5081113075641205E-3</v>
      </c>
      <c r="P10">
        <f t="shared" ca="1" si="6"/>
        <v>-5.2742424242424243E-2</v>
      </c>
      <c r="R10">
        <f t="shared" ca="1" si="7"/>
        <v>5.4802200833944572E-3</v>
      </c>
      <c r="S10">
        <f t="shared" ca="1" si="8"/>
        <v>0.60542121212121203</v>
      </c>
    </row>
    <row r="11" spans="1:19" x14ac:dyDescent="0.35">
      <c r="A11">
        <f ca="1"/>
        <v>-1.3</v>
      </c>
      <c r="B11">
        <f ca="1"/>
        <v>5.1900000000000002E-3</v>
      </c>
      <c r="C11">
        <f t="shared" ca="1" si="0"/>
        <v>5.2538764196863172E-3</v>
      </c>
      <c r="D11">
        <f ca="1"/>
        <v>2.6100000000000002E-2</v>
      </c>
      <c r="I11">
        <f t="shared" ca="1" si="1"/>
        <v>5.3231680440771348E-3</v>
      </c>
      <c r="J11">
        <f t="shared" ca="1" si="2"/>
        <v>1.5535353535353555E-3</v>
      </c>
      <c r="L11">
        <f t="shared" ca="1" si="3"/>
        <v>5.3836190184675028E-3</v>
      </c>
      <c r="M11">
        <f t="shared" ca="1" si="4"/>
        <v>0.56870101010101004</v>
      </c>
      <c r="O11">
        <f t="shared" ca="1" si="5"/>
        <v>8.4499693770441545E-3</v>
      </c>
      <c r="P11">
        <f t="shared" ca="1" si="6"/>
        <v>-5.2282828282828285E-2</v>
      </c>
      <c r="R11">
        <f t="shared" ca="1" si="7"/>
        <v>5.4949646700412115E-3</v>
      </c>
      <c r="S11">
        <f t="shared" ca="1" si="8"/>
        <v>0.60627474747474741</v>
      </c>
    </row>
    <row r="12" spans="1:19" x14ac:dyDescent="0.35">
      <c r="A12">
        <f ca="1"/>
        <v>-1.25</v>
      </c>
      <c r="B12">
        <f ca="1"/>
        <v>5.1599999999999997E-3</v>
      </c>
      <c r="C12">
        <f t="shared" ca="1" si="0"/>
        <v>5.2246701293953909E-3</v>
      </c>
      <c r="D12">
        <f ca="1"/>
        <v>3.7999999999999999E-2</v>
      </c>
      <c r="F12" t="s">
        <v>16</v>
      </c>
      <c r="G12" s="5">
        <v>59</v>
      </c>
      <c r="I12">
        <f t="shared" ca="1" si="1"/>
        <v>5.3181267217630853E-3</v>
      </c>
      <c r="J12">
        <f t="shared" ca="1" si="2"/>
        <v>3.2040404040404053E-3</v>
      </c>
      <c r="L12">
        <f t="shared" ca="1" si="3"/>
        <v>5.3772706866646262E-3</v>
      </c>
      <c r="M12">
        <f t="shared" ca="1" si="4"/>
        <v>0.56418686868686863</v>
      </c>
      <c r="O12">
        <f t="shared" ca="1" si="5"/>
        <v>8.3923555176393799E-3</v>
      </c>
      <c r="P12">
        <f t="shared" ca="1" si="6"/>
        <v>-5.1823232323232327E-2</v>
      </c>
      <c r="R12">
        <f t="shared" ca="1" si="7"/>
        <v>5.5115305631873047E-3</v>
      </c>
      <c r="S12">
        <f t="shared" ca="1" si="8"/>
        <v>0.60712828282828279</v>
      </c>
    </row>
    <row r="13" spans="1:19" x14ac:dyDescent="0.35">
      <c r="A13">
        <f ca="1"/>
        <v>-1.2</v>
      </c>
      <c r="B13">
        <f ca="1"/>
        <v>5.1500000000000001E-3</v>
      </c>
      <c r="C13">
        <f t="shared" ca="1" si="0"/>
        <v>5.1985373391921063E-3</v>
      </c>
      <c r="D13">
        <f ca="1"/>
        <v>4.9799999999999997E-2</v>
      </c>
      <c r="F13" t="s">
        <v>19</v>
      </c>
      <c r="G13" cm="1">
        <f t="array" aca="1" ref="G13" ca="1">INDEX(D4:D1000, G12)</f>
        <v>0.60029999999999994</v>
      </c>
      <c r="I13">
        <f t="shared" ca="1" si="1"/>
        <v>5.3131404958677688E-3</v>
      </c>
      <c r="J13">
        <f t="shared" ca="1" si="2"/>
        <v>4.8545454545454551E-3</v>
      </c>
      <c r="L13">
        <f t="shared" ca="1" si="3"/>
        <v>5.3709917355371896E-3</v>
      </c>
      <c r="M13">
        <f t="shared" ca="1" si="4"/>
        <v>0.55967272727272721</v>
      </c>
      <c r="O13">
        <f t="shared" ca="1" si="5"/>
        <v>8.3352697293497986E-3</v>
      </c>
      <c r="P13">
        <f t="shared" ca="1" si="6"/>
        <v>-5.1363636363636361E-2</v>
      </c>
      <c r="R13">
        <f t="shared" ca="1" si="7"/>
        <v>5.5299177628327341E-3</v>
      </c>
      <c r="S13">
        <f t="shared" ca="1" si="8"/>
        <v>0.60798181818181818</v>
      </c>
    </row>
    <row r="14" spans="1:19" x14ac:dyDescent="0.35">
      <c r="A14">
        <f ca="1"/>
        <v>-1.1499999999999999</v>
      </c>
      <c r="B14">
        <f ca="1"/>
        <v>5.13E-3</v>
      </c>
      <c r="C14">
        <f t="shared" ca="1" si="0"/>
        <v>5.1752206852847017E-3</v>
      </c>
      <c r="D14">
        <f ca="1"/>
        <v>6.1600000000000002E-2</v>
      </c>
      <c r="F14" t="s">
        <v>20</v>
      </c>
      <c r="G14" cm="1">
        <f t="array" aca="1" ref="G14" ca="1">INDEX(B4:B1000, G12)</f>
        <v>5.4299999999999999E-3</v>
      </c>
      <c r="I14">
        <f t="shared" ca="1" si="1"/>
        <v>5.3082093663911843E-3</v>
      </c>
      <c r="J14">
        <f t="shared" ca="1" si="2"/>
        <v>6.505050505050505E-3</v>
      </c>
      <c r="L14">
        <f t="shared" ca="1" si="3"/>
        <v>5.3647821650851957E-3</v>
      </c>
      <c r="M14">
        <f t="shared" ca="1" si="4"/>
        <v>0.5551585858585858</v>
      </c>
      <c r="O14">
        <f t="shared" ca="1" si="5"/>
        <v>8.2787120121754088E-3</v>
      </c>
      <c r="P14">
        <f t="shared" ca="1" si="6"/>
        <v>-5.0904040404040403E-2</v>
      </c>
      <c r="R14">
        <f t="shared" ca="1" si="7"/>
        <v>5.5501262689774972E-3</v>
      </c>
      <c r="S14">
        <f t="shared" ca="1" si="8"/>
        <v>0.60883535353535345</v>
      </c>
    </row>
    <row r="15" spans="1:19" x14ac:dyDescent="0.35">
      <c r="A15">
        <f ca="1"/>
        <v>-1.1000000000000001</v>
      </c>
      <c r="B15">
        <f ca="1"/>
        <v>5.1200000000000004E-3</v>
      </c>
      <c r="C15">
        <f t="shared" ca="1" si="0"/>
        <v>5.1548820692176199E-3</v>
      </c>
      <c r="D15">
        <f ca="1"/>
        <v>7.3300000000000004E-2</v>
      </c>
      <c r="I15">
        <f t="shared" ca="1" si="1"/>
        <v>5.3033333333333335E-3</v>
      </c>
      <c r="J15">
        <f t="shared" ca="1" si="2"/>
        <v>8.1555555555555565E-3</v>
      </c>
      <c r="L15">
        <f t="shared" ca="1" si="3"/>
        <v>5.3586419753086419E-3</v>
      </c>
      <c r="M15">
        <f t="shared" ca="1" si="4"/>
        <v>0.55064444444444438</v>
      </c>
      <c r="O15">
        <f t="shared" ca="1" si="5"/>
        <v>8.2226823661162105E-3</v>
      </c>
      <c r="P15">
        <f t="shared" ca="1" si="6"/>
        <v>-5.0444444444444445E-2</v>
      </c>
      <c r="R15">
        <f t="shared" ca="1" si="7"/>
        <v>5.5721560816216001E-3</v>
      </c>
      <c r="S15">
        <f t="shared" ca="1" si="8"/>
        <v>0.60968888888888884</v>
      </c>
    </row>
    <row r="16" spans="1:19" x14ac:dyDescent="0.35">
      <c r="A16">
        <f ca="1"/>
        <v>-1.05</v>
      </c>
      <c r="B16">
        <f ca="1"/>
        <v>5.1200000000000004E-3</v>
      </c>
      <c r="C16">
        <f t="shared" ca="1" si="0"/>
        <v>5.1374505010569459E-3</v>
      </c>
      <c r="D16">
        <f ca="1"/>
        <v>8.4900000000000003E-2</v>
      </c>
      <c r="F16" t="s">
        <v>21</v>
      </c>
      <c r="G16">
        <f ca="1">(G10 - G5) / (G9 - G6)^2</f>
        <v>1.0112526198933625E-2</v>
      </c>
      <c r="I16">
        <f t="shared" ca="1" si="1"/>
        <v>5.2985123966942148E-3</v>
      </c>
      <c r="J16">
        <f t="shared" ca="1" si="2"/>
        <v>9.8060606060606081E-3</v>
      </c>
      <c r="L16">
        <f t="shared" ca="1" si="3"/>
        <v>5.3525711662075299E-3</v>
      </c>
      <c r="M16">
        <f t="shared" ca="1" si="4"/>
        <v>0.54613030303030297</v>
      </c>
      <c r="O16">
        <f t="shared" ca="1" si="5"/>
        <v>8.1671807911722072E-3</v>
      </c>
      <c r="P16">
        <f t="shared" ca="1" si="6"/>
        <v>-4.9984848484848486E-2</v>
      </c>
      <c r="R16">
        <f t="shared" ca="1" si="7"/>
        <v>5.5960072007650392E-3</v>
      </c>
      <c r="S16">
        <f t="shared" ca="1" si="8"/>
        <v>0.61054242424242422</v>
      </c>
    </row>
    <row r="17" spans="1:19" x14ac:dyDescent="0.35">
      <c r="A17">
        <f ca="1"/>
        <v>-1</v>
      </c>
      <c r="B17">
        <f ca="1"/>
        <v>5.11E-3</v>
      </c>
      <c r="C17">
        <f t="shared" ca="1" si="0"/>
        <v>5.1228555976203351E-3</v>
      </c>
      <c r="D17">
        <f ca="1"/>
        <v>9.64E-2</v>
      </c>
      <c r="F17" t="s">
        <v>22</v>
      </c>
      <c r="G17">
        <f ca="1">(G14 - G5) / (G13 - G6)^2</f>
        <v>1.7023866609793604E-3</v>
      </c>
      <c r="I17">
        <f t="shared" ca="1" si="1"/>
        <v>5.293746556473829E-3</v>
      </c>
      <c r="J17">
        <f t="shared" ca="1" si="2"/>
        <v>1.1456565656565656E-2</v>
      </c>
      <c r="L17">
        <f t="shared" ca="1" si="3"/>
        <v>5.3465697377818588E-3</v>
      </c>
      <c r="M17">
        <f t="shared" ca="1" si="4"/>
        <v>0.54161616161616155</v>
      </c>
      <c r="O17">
        <f t="shared" ca="1" si="5"/>
        <v>8.1122072873433936E-3</v>
      </c>
      <c r="P17">
        <f t="shared" ca="1" si="6"/>
        <v>-4.9525252525252528E-2</v>
      </c>
      <c r="R17">
        <f t="shared" ca="1" si="7"/>
        <v>5.6216796264078137E-3</v>
      </c>
      <c r="S17">
        <f t="shared" ca="1" si="8"/>
        <v>0.61139595959595949</v>
      </c>
    </row>
    <row r="18" spans="1:19" x14ac:dyDescent="0.35">
      <c r="A18">
        <f ca="1"/>
        <v>-0.95</v>
      </c>
      <c r="B18">
        <f ca="1"/>
        <v>5.11E-3</v>
      </c>
      <c r="C18">
        <f t="shared" ca="1" si="0"/>
        <v>5.1109354573633421E-3</v>
      </c>
      <c r="D18">
        <f ca="1"/>
        <v>0.1079</v>
      </c>
      <c r="I18">
        <f t="shared" ca="1" si="1"/>
        <v>5.2890358126721762E-3</v>
      </c>
      <c r="J18">
        <f t="shared" ca="1" si="2"/>
        <v>1.3107070707070711E-2</v>
      </c>
      <c r="L18">
        <f t="shared" ca="1" si="3"/>
        <v>5.3406376900316296E-3</v>
      </c>
      <c r="M18">
        <f t="shared" ca="1" si="4"/>
        <v>0.53710202020202014</v>
      </c>
      <c r="O18">
        <f t="shared" ca="1" si="5"/>
        <v>8.0577618546297716E-3</v>
      </c>
      <c r="P18">
        <f t="shared" ca="1" si="6"/>
        <v>-4.9065656565656562E-2</v>
      </c>
      <c r="R18">
        <f t="shared" ca="1" si="7"/>
        <v>5.6491733585499271E-3</v>
      </c>
      <c r="S18">
        <f t="shared" ca="1" si="8"/>
        <v>0.61224949494949488</v>
      </c>
    </row>
    <row r="19" spans="1:19" x14ac:dyDescent="0.35">
      <c r="A19">
        <f ca="1"/>
        <v>-0.9</v>
      </c>
      <c r="B19">
        <f ca="1"/>
        <v>5.1000000000000004E-3</v>
      </c>
      <c r="C19">
        <f t="shared" ca="1" si="0"/>
        <v>5.101758946589382E-3</v>
      </c>
      <c r="D19">
        <f ca="1"/>
        <v>0.1193</v>
      </c>
      <c r="F19" t="s">
        <v>26</v>
      </c>
      <c r="G19" s="3">
        <v>0.05</v>
      </c>
      <c r="I19">
        <f t="shared" ca="1" si="1"/>
        <v>5.2843801652892562E-3</v>
      </c>
      <c r="J19">
        <f t="shared" ca="1" si="2"/>
        <v>1.4757575757575759E-2</v>
      </c>
      <c r="L19">
        <f t="shared" ca="1" si="3"/>
        <v>5.3347750229568412E-3</v>
      </c>
      <c r="M19">
        <f t="shared" ca="1" si="4"/>
        <v>0.53258787878787872</v>
      </c>
      <c r="O19">
        <f t="shared" ca="1" si="5"/>
        <v>8.0038444930313445E-3</v>
      </c>
      <c r="P19">
        <f t="shared" ca="1" si="6"/>
        <v>-4.8606060606060604E-2</v>
      </c>
      <c r="R19">
        <f t="shared" ca="1" si="7"/>
        <v>5.6784883971913768E-3</v>
      </c>
      <c r="S19">
        <f t="shared" ca="1" si="8"/>
        <v>0.61310303030303026</v>
      </c>
    </row>
    <row r="20" spans="1:19" x14ac:dyDescent="0.35">
      <c r="A20">
        <f ca="1"/>
        <v>-0.85</v>
      </c>
      <c r="B20">
        <f ca="1"/>
        <v>5.1000000000000004E-3</v>
      </c>
      <c r="C20">
        <f t="shared" ca="1" si="0"/>
        <v>5.0952108836250483E-3</v>
      </c>
      <c r="D20">
        <f ca="1"/>
        <v>0.13070000000000001</v>
      </c>
      <c r="F20" t="s">
        <v>27</v>
      </c>
      <c r="G20" s="3">
        <v>0.2</v>
      </c>
      <c r="I20">
        <f t="shared" ca="1" si="1"/>
        <v>5.2797796143250692E-3</v>
      </c>
      <c r="J20">
        <f t="shared" ca="1" si="2"/>
        <v>1.6408080808080809E-2</v>
      </c>
      <c r="L20">
        <f t="shared" ca="1" si="3"/>
        <v>5.3289817365574938E-3</v>
      </c>
      <c r="M20">
        <f t="shared" ca="1" si="4"/>
        <v>0.52807373737373731</v>
      </c>
      <c r="O20">
        <f t="shared" ca="1" si="5"/>
        <v>7.9504552025481089E-3</v>
      </c>
      <c r="P20">
        <f t="shared" ca="1" si="6"/>
        <v>-4.8146464646464646E-2</v>
      </c>
      <c r="R20">
        <f t="shared" ca="1" si="7"/>
        <v>5.7096247423321653E-3</v>
      </c>
      <c r="S20">
        <f t="shared" ca="1" si="8"/>
        <v>0.61395656565656564</v>
      </c>
    </row>
    <row r="21" spans="1:19" x14ac:dyDescent="0.35">
      <c r="A21">
        <f ca="1"/>
        <v>-0.8</v>
      </c>
      <c r="B21">
        <f ca="1"/>
        <v>5.1000000000000004E-3</v>
      </c>
      <c r="C21">
        <f t="shared" ref="C21:C68" ca="1" si="9">IF(ISBLANK(D21), "",
IF(D21 &lt; $G$9,
    $G$10 + $G$19 * ($G$23 * (D21 - $G$9))^2 + $G$21 * (1 - (D21 - $G$6)/($G$9 - $G$6)),
IF(D21 &gt; $G$13,
    $G$14 + $G$19 * ($G$23 * (D21 - $G$13))^2 - $G$22 * (1 - (D21 - $G$6)/($G$13 - $G$6)),
IF(D21 &lt; $G$6,
    $G$16 * (D21 - $G$6)^2 + $G$5,
    $G$17 * (D21 - $G$6)^2 + $G$5))))</f>
        <v>5.0912912684703418E-3</v>
      </c>
      <c r="D21">
        <f ca="1"/>
        <v>0.1421</v>
      </c>
      <c r="F21" t="s">
        <v>28</v>
      </c>
      <c r="G21">
        <f ca="1">2 * (G10 - G5) * (G9 - G6) / (G9 - G6)^2</f>
        <v>-3.3047735618115088E-3</v>
      </c>
      <c r="I21">
        <f t="shared" ca="1" si="1"/>
        <v>5.2752341597796142E-3</v>
      </c>
      <c r="J21">
        <f t="shared" ca="1" si="2"/>
        <v>1.8058585858585864E-2</v>
      </c>
      <c r="L21">
        <f t="shared" ca="1" si="3"/>
        <v>5.3232578308335882E-3</v>
      </c>
      <c r="M21">
        <f t="shared" ca="1" si="4"/>
        <v>0.52355959595959589</v>
      </c>
      <c r="O21">
        <f t="shared" ca="1" si="5"/>
        <v>7.8975939831800665E-3</v>
      </c>
      <c r="P21">
        <f t="shared" ca="1" si="6"/>
        <v>-4.7686868686868687E-2</v>
      </c>
      <c r="R21">
        <f t="shared" ca="1" si="7"/>
        <v>5.7425823939722849E-3</v>
      </c>
      <c r="S21">
        <f t="shared" ca="1" si="8"/>
        <v>0.61481010101010092</v>
      </c>
    </row>
    <row r="22" spans="1:19" x14ac:dyDescent="0.35">
      <c r="A22">
        <f ca="1"/>
        <v>-0.75</v>
      </c>
      <c r="B22">
        <f ca="1"/>
        <v>5.0899999999999999E-3</v>
      </c>
      <c r="C22">
        <f t="shared" ca="1" si="9"/>
        <v>5.0899999999999999E-3</v>
      </c>
      <c r="D22">
        <f ca="1"/>
        <v>0.15340000000000001</v>
      </c>
      <c r="F22" t="s">
        <v>29</v>
      </c>
      <c r="G22">
        <f ca="1">2 * (G14 - G5) * (G13 - G6) / (G13 - G6)^2</f>
        <v>1.5215931975833521E-3</v>
      </c>
      <c r="I22">
        <f t="shared" ca="1" si="1"/>
        <v>5.270743801652893E-3</v>
      </c>
      <c r="J22">
        <f t="shared" ca="1" si="2"/>
        <v>1.9709090909090912E-2</v>
      </c>
      <c r="L22">
        <f t="shared" ca="1" si="3"/>
        <v>5.3176033057851235E-3</v>
      </c>
      <c r="M22">
        <f t="shared" ca="1" si="4"/>
        <v>0.51904545454545448</v>
      </c>
      <c r="O22">
        <f t="shared" ca="1" si="5"/>
        <v>7.8452608349272139E-3</v>
      </c>
      <c r="P22">
        <f t="shared" ca="1" si="6"/>
        <v>-4.7227272727272729E-2</v>
      </c>
      <c r="R22">
        <f t="shared" ca="1" si="7"/>
        <v>5.7773613521117451E-3</v>
      </c>
      <c r="S22">
        <f t="shared" ca="1" si="8"/>
        <v>0.6156636363636363</v>
      </c>
    </row>
    <row r="23" spans="1:19" x14ac:dyDescent="0.35">
      <c r="A23">
        <f ca="1"/>
        <v>-0.7</v>
      </c>
      <c r="B23">
        <f ca="1"/>
        <v>5.0899999999999999E-3</v>
      </c>
      <c r="C23">
        <f t="shared" ca="1" si="9"/>
        <v>5.0902135473827534E-3</v>
      </c>
      <c r="D23">
        <f ca="1"/>
        <v>0.1646</v>
      </c>
      <c r="F23" t="s">
        <v>30</v>
      </c>
      <c r="G23">
        <f>1/G20</f>
        <v>5</v>
      </c>
      <c r="I23">
        <f t="shared" ca="1" si="1"/>
        <v>5.2663085399449038E-3</v>
      </c>
      <c r="J23">
        <f t="shared" ca="1" si="2"/>
        <v>2.135959595959596E-2</v>
      </c>
      <c r="L23">
        <f t="shared" ca="1" si="3"/>
        <v>5.3120181614121006E-3</v>
      </c>
      <c r="M23">
        <f t="shared" ca="1" si="4"/>
        <v>0.51453131313131306</v>
      </c>
      <c r="O23">
        <f t="shared" ca="1" si="5"/>
        <v>7.7934557577895563E-3</v>
      </c>
      <c r="P23">
        <f t="shared" ca="1" si="6"/>
        <v>-4.676767676767677E-2</v>
      </c>
      <c r="R23">
        <f t="shared" ca="1" si="7"/>
        <v>5.8139616167505433E-3</v>
      </c>
      <c r="S23">
        <f t="shared" ca="1" si="8"/>
        <v>0.61651717171717169</v>
      </c>
    </row>
    <row r="24" spans="1:19" x14ac:dyDescent="0.35">
      <c r="A24">
        <f ca="1"/>
        <v>-0.65</v>
      </c>
      <c r="B24">
        <f ca="1"/>
        <v>5.0899999999999999E-3</v>
      </c>
      <c r="C24">
        <f t="shared" ca="1" si="9"/>
        <v>5.090861833247121E-3</v>
      </c>
      <c r="D24">
        <f ca="1"/>
        <v>0.1759</v>
      </c>
      <c r="I24">
        <f t="shared" ca="1" si="1"/>
        <v>5.2619283746556476E-3</v>
      </c>
      <c r="J24">
        <f t="shared" ca="1" si="2"/>
        <v>2.3010101010101008E-2</v>
      </c>
      <c r="L24">
        <f t="shared" ca="1" si="3"/>
        <v>5.3065023977145187E-3</v>
      </c>
      <c r="M24">
        <f t="shared" ca="1" si="4"/>
        <v>0.51001717171717165</v>
      </c>
      <c r="O24">
        <f t="shared" ca="1" si="5"/>
        <v>7.7421787517670902E-3</v>
      </c>
      <c r="P24">
        <f t="shared" ca="1" si="6"/>
        <v>-4.6308080808080812E-2</v>
      </c>
      <c r="R24">
        <f t="shared" ca="1" si="7"/>
        <v>5.8523831878886786E-3</v>
      </c>
      <c r="S24">
        <f t="shared" ca="1" si="8"/>
        <v>0.61737070707070707</v>
      </c>
    </row>
    <row r="25" spans="1:19" x14ac:dyDescent="0.35">
      <c r="A25">
        <f ca="1"/>
        <v>-0.6</v>
      </c>
      <c r="B25">
        <f ca="1"/>
        <v>5.0899999999999999E-3</v>
      </c>
      <c r="C25">
        <f t="shared" ca="1" si="9"/>
        <v>5.0919333835070073E-3</v>
      </c>
      <c r="D25">
        <f ca="1"/>
        <v>0.18709999999999999</v>
      </c>
      <c r="F25" t="s">
        <v>33</v>
      </c>
      <c r="G25">
        <f ca="1">MAX(D4:D1000)</f>
        <v>0.68479999999999996</v>
      </c>
      <c r="I25">
        <f t="shared" ca="1" si="1"/>
        <v>5.2576033057851242E-3</v>
      </c>
      <c r="J25">
        <f t="shared" ca="1" si="2"/>
        <v>2.4660606060606063E-2</v>
      </c>
      <c r="L25">
        <f t="shared" ca="1" si="3"/>
        <v>5.3010560146923786E-3</v>
      </c>
      <c r="M25">
        <f t="shared" ca="1" si="4"/>
        <v>0.50550303030303023</v>
      </c>
      <c r="O25">
        <f t="shared" ca="1" si="5"/>
        <v>7.6914298168598155E-3</v>
      </c>
      <c r="P25">
        <f t="shared" ca="1" si="6"/>
        <v>-4.5848484848484847E-2</v>
      </c>
      <c r="R25">
        <f t="shared" ca="1" si="7"/>
        <v>5.892626065526145E-3</v>
      </c>
      <c r="S25">
        <f t="shared" ca="1" si="8"/>
        <v>0.61822424242424234</v>
      </c>
    </row>
    <row r="26" spans="1:19" x14ac:dyDescent="0.35">
      <c r="A26">
        <f ca="1"/>
        <v>-0.55000000000000004</v>
      </c>
      <c r="B26">
        <f ca="1"/>
        <v>5.0899999999999999E-3</v>
      </c>
      <c r="C26">
        <f t="shared" ca="1" si="9"/>
        <v>5.0934320285324006E-3</v>
      </c>
      <c r="D26">
        <f ca="1"/>
        <v>0.1983</v>
      </c>
      <c r="F26" t="s">
        <v>14</v>
      </c>
      <c r="G26">
        <f ca="1">MIN(D4:D1000)</f>
        <v>-5.5500000000000001E-2</v>
      </c>
      <c r="I26">
        <f t="shared" ca="1" si="1"/>
        <v>5.2533333333333338E-3</v>
      </c>
      <c r="J26">
        <f t="shared" ca="1" si="2"/>
        <v>2.6311111111111112E-2</v>
      </c>
      <c r="L26">
        <f t="shared" ca="1" si="3"/>
        <v>5.2956790123456785E-3</v>
      </c>
      <c r="M26">
        <f t="shared" ca="1" si="4"/>
        <v>0.50098888888888882</v>
      </c>
      <c r="O26">
        <f t="shared" ca="1" si="5"/>
        <v>7.6412089530677341E-3</v>
      </c>
      <c r="P26">
        <f t="shared" ca="1" si="6"/>
        <v>-4.5388888888888888E-2</v>
      </c>
      <c r="R26">
        <f t="shared" ca="1" si="7"/>
        <v>5.9346902496629529E-3</v>
      </c>
      <c r="S26">
        <f t="shared" ca="1" si="8"/>
        <v>0.61907777777777773</v>
      </c>
    </row>
    <row r="27" spans="1:19" x14ac:dyDescent="0.35">
      <c r="A27">
        <f ca="1"/>
        <v>-0.5</v>
      </c>
      <c r="B27">
        <f ca="1"/>
        <v>5.0899999999999999E-3</v>
      </c>
      <c r="C27">
        <f t="shared" ca="1" si="9"/>
        <v>5.0953386845688309E-3</v>
      </c>
      <c r="D27">
        <f ca="1"/>
        <v>0.2094</v>
      </c>
      <c r="I27">
        <f t="shared" ca="1" si="1"/>
        <v>5.2491184573002754E-3</v>
      </c>
      <c r="J27">
        <f t="shared" ca="1" si="2"/>
        <v>2.7961616161616167E-2</v>
      </c>
      <c r="L27">
        <f t="shared" ca="1" si="3"/>
        <v>5.2903713906744211E-3</v>
      </c>
      <c r="M27">
        <f t="shared" ca="1" si="4"/>
        <v>0.4964747474747474</v>
      </c>
      <c r="O27">
        <f t="shared" ca="1" si="5"/>
        <v>7.5915161603908451E-3</v>
      </c>
      <c r="P27">
        <f t="shared" ca="1" si="6"/>
        <v>-4.492929292929293E-2</v>
      </c>
      <c r="R27">
        <f t="shared" ca="1" si="7"/>
        <v>5.9785757402990988E-3</v>
      </c>
      <c r="S27">
        <f t="shared" ca="1" si="8"/>
        <v>0.61993131313131311</v>
      </c>
    </row>
    <row r="28" spans="1:19" x14ac:dyDescent="0.35">
      <c r="A28">
        <f ca="1"/>
        <v>-0.45</v>
      </c>
      <c r="B28">
        <f ca="1"/>
        <v>5.0899999999999999E-3</v>
      </c>
      <c r="C28">
        <f t="shared" ca="1" si="9"/>
        <v>5.0976648427262603E-3</v>
      </c>
      <c r="D28">
        <f ca="1"/>
        <v>0.2205</v>
      </c>
      <c r="F28" t="s">
        <v>44</v>
      </c>
      <c r="G28">
        <f ca="1">COUNTIF(B4:B1000, "&lt;&gt;")</f>
        <v>66</v>
      </c>
      <c r="I28">
        <f t="shared" ca="1" si="1"/>
        <v>5.2449586776859508E-3</v>
      </c>
      <c r="J28">
        <f t="shared" ca="1" si="2"/>
        <v>2.9612121212121215E-2</v>
      </c>
      <c r="L28">
        <f t="shared" ca="1" si="3"/>
        <v>5.2851331496786037E-3</v>
      </c>
      <c r="M28">
        <f t="shared" ca="1" si="4"/>
        <v>0.49196060606060599</v>
      </c>
      <c r="O28">
        <f t="shared" ca="1" si="5"/>
        <v>7.5423514388291485E-3</v>
      </c>
      <c r="P28">
        <f t="shared" ca="1" si="6"/>
        <v>-4.4469696969696972E-2</v>
      </c>
      <c r="R28">
        <f t="shared" ca="1" si="7"/>
        <v>6.0242825374345757E-3</v>
      </c>
      <c r="S28">
        <f t="shared" ca="1" si="8"/>
        <v>0.62078484848484838</v>
      </c>
    </row>
    <row r="29" spans="1:19" x14ac:dyDescent="0.35">
      <c r="A29">
        <f ca="1"/>
        <v>-0.4</v>
      </c>
      <c r="B29">
        <f ca="1"/>
        <v>5.0899999999999999E-3</v>
      </c>
      <c r="C29">
        <f t="shared" ca="1" si="9"/>
        <v>5.1004371453559315E-3</v>
      </c>
      <c r="D29">
        <f ca="1"/>
        <v>0.23169999999999999</v>
      </c>
      <c r="I29">
        <f t="shared" ca="1" si="1"/>
        <v>5.2408539944903583E-3</v>
      </c>
      <c r="J29">
        <f t="shared" ca="1" si="2"/>
        <v>3.126262626262627E-2</v>
      </c>
      <c r="L29">
        <f t="shared" ca="1" si="3"/>
        <v>5.2799642893582291E-3</v>
      </c>
      <c r="M29">
        <f t="shared" ca="1" si="4"/>
        <v>0.48744646464646457</v>
      </c>
      <c r="O29">
        <f t="shared" ca="1" si="5"/>
        <v>7.4937147883826433E-3</v>
      </c>
      <c r="P29">
        <f t="shared" ca="1" si="6"/>
        <v>-4.4010101010101013E-2</v>
      </c>
      <c r="R29">
        <f t="shared" ca="1" si="7"/>
        <v>6.0718106410693942E-3</v>
      </c>
      <c r="S29">
        <f t="shared" ca="1" si="8"/>
        <v>0.62163838383838377</v>
      </c>
    </row>
    <row r="30" spans="1:19" x14ac:dyDescent="0.35">
      <c r="A30">
        <f ca="1"/>
        <v>-0.35</v>
      </c>
      <c r="B30">
        <f ca="1"/>
        <v>5.0899999999999999E-3</v>
      </c>
      <c r="C30">
        <f t="shared" ca="1" si="9"/>
        <v>5.1036060870537445E-3</v>
      </c>
      <c r="D30">
        <f ca="1"/>
        <v>0.24279999999999999</v>
      </c>
      <c r="F30" t="s">
        <v>239</v>
      </c>
      <c r="G30">
        <v>0.1019</v>
      </c>
      <c r="I30">
        <f t="shared" ca="1" si="1"/>
        <v>5.2368044077134987E-3</v>
      </c>
      <c r="J30">
        <f t="shared" ca="1" si="2"/>
        <v>3.2913131313131311E-2</v>
      </c>
      <c r="L30">
        <f t="shared" ca="1" si="3"/>
        <v>5.2748648097132944E-3</v>
      </c>
      <c r="M30">
        <f t="shared" ca="1" si="4"/>
        <v>0.48293232323232316</v>
      </c>
      <c r="O30">
        <f t="shared" ca="1" si="5"/>
        <v>7.4456062090513305E-3</v>
      </c>
      <c r="P30">
        <f t="shared" ca="1" si="6"/>
        <v>-4.3550505050505048E-2</v>
      </c>
      <c r="R30">
        <f t="shared" ca="1" si="7"/>
        <v>6.1211600512035506E-3</v>
      </c>
      <c r="S30">
        <f t="shared" ca="1" si="8"/>
        <v>0.62249191919191915</v>
      </c>
    </row>
    <row r="31" spans="1:19" x14ac:dyDescent="0.35">
      <c r="A31">
        <f ca="1"/>
        <v>-0.3</v>
      </c>
      <c r="B31">
        <f ca="1"/>
        <v>5.0899999999999999E-3</v>
      </c>
      <c r="C31">
        <f t="shared" ca="1" si="9"/>
        <v>5.1071945308725566E-3</v>
      </c>
      <c r="D31">
        <f ca="1"/>
        <v>0.25390000000000001</v>
      </c>
      <c r="F31" t="s">
        <v>240</v>
      </c>
      <c r="G31">
        <f>G30*180/PI()</f>
        <v>5.8384399323830891</v>
      </c>
      <c r="I31">
        <f t="shared" ca="1" si="1"/>
        <v>5.2328099173553719E-3</v>
      </c>
      <c r="J31">
        <f t="shared" ca="1" si="2"/>
        <v>3.4563636363636366E-2</v>
      </c>
      <c r="L31">
        <f t="shared" ca="1" si="3"/>
        <v>5.2698347107438016E-3</v>
      </c>
      <c r="M31">
        <f t="shared" ca="1" si="4"/>
        <v>0.4784181818181818</v>
      </c>
      <c r="O31">
        <f t="shared" ca="1" si="5"/>
        <v>7.3980257008352101E-3</v>
      </c>
      <c r="P31">
        <f t="shared" ca="1" si="6"/>
        <v>-4.3090909090909096E-2</v>
      </c>
      <c r="R31">
        <f t="shared" ca="1" si="7"/>
        <v>6.1723307678370433E-3</v>
      </c>
      <c r="S31">
        <f t="shared" ca="1" si="8"/>
        <v>0.62334545454545454</v>
      </c>
    </row>
    <row r="32" spans="1:19" x14ac:dyDescent="0.35">
      <c r="A32">
        <f ca="1"/>
        <v>-0.25</v>
      </c>
      <c r="B32">
        <f ca="1"/>
        <v>5.1000000000000004E-3</v>
      </c>
      <c r="C32">
        <f t="shared" ca="1" si="9"/>
        <v>5.1111644965659607E-3</v>
      </c>
      <c r="D32">
        <f ca="1"/>
        <v>0.26490000000000002</v>
      </c>
      <c r="F32" t="s">
        <v>46</v>
      </c>
      <c r="G32">
        <f>G31/(2*PI())</f>
        <v>0.92921657518387979</v>
      </c>
      <c r="I32">
        <f t="shared" ca="1" si="1"/>
        <v>5.2288705234159781E-3</v>
      </c>
      <c r="J32">
        <f t="shared" ca="1" si="2"/>
        <v>3.6214141414141421E-2</v>
      </c>
      <c r="L32">
        <f t="shared" ca="1" si="3"/>
        <v>5.2648739924497498E-3</v>
      </c>
      <c r="M32">
        <f t="shared" ca="1" si="4"/>
        <v>0.47390404040404033</v>
      </c>
      <c r="O32">
        <f t="shared" ca="1" si="5"/>
        <v>7.350973263734282E-3</v>
      </c>
      <c r="P32">
        <f t="shared" ca="1" si="6"/>
        <v>-4.2631313131313131E-2</v>
      </c>
      <c r="R32">
        <f t="shared" ca="1" si="7"/>
        <v>6.2253227909698661E-3</v>
      </c>
      <c r="S32">
        <f t="shared" ca="1" si="8"/>
        <v>0.62419898989898981</v>
      </c>
    </row>
    <row r="33" spans="1:29" x14ac:dyDescent="0.35">
      <c r="A33">
        <f ca="1"/>
        <v>-0.2</v>
      </c>
      <c r="B33">
        <f ca="1"/>
        <v>5.1000000000000004E-3</v>
      </c>
      <c r="C33">
        <f t="shared" ca="1" si="9"/>
        <v>5.115588165328382E-3</v>
      </c>
      <c r="D33">
        <f ca="1"/>
        <v>0.27600000000000002</v>
      </c>
      <c r="I33">
        <f t="shared" ca="1" si="1"/>
        <v>5.2249862258953172E-3</v>
      </c>
      <c r="J33">
        <f t="shared" ca="1" si="2"/>
        <v>3.7864646464646469E-2</v>
      </c>
      <c r="L33">
        <f t="shared" ca="1" si="3"/>
        <v>5.2599826548311397E-3</v>
      </c>
      <c r="M33">
        <f t="shared" ca="1" si="4"/>
        <v>0.46938989898989891</v>
      </c>
      <c r="O33">
        <f t="shared" ca="1" si="5"/>
        <v>7.3044488977485481E-3</v>
      </c>
      <c r="P33">
        <f t="shared" ca="1" si="6"/>
        <v>-4.2171717171717173E-2</v>
      </c>
      <c r="R33">
        <f t="shared" ca="1" si="7"/>
        <v>6.2801361206020322E-3</v>
      </c>
      <c r="S33">
        <f t="shared" ca="1" si="8"/>
        <v>0.62505252525252519</v>
      </c>
      <c r="U33" t="s">
        <v>43</v>
      </c>
      <c r="W33" t="s">
        <v>34</v>
      </c>
      <c r="X33" t="s">
        <v>35</v>
      </c>
      <c r="Y33" t="s">
        <v>36</v>
      </c>
      <c r="Z33" t="s">
        <v>38</v>
      </c>
      <c r="AA33" t="s">
        <v>37</v>
      </c>
      <c r="AB33" t="s">
        <v>39</v>
      </c>
      <c r="AC33" t="s">
        <v>46</v>
      </c>
    </row>
    <row r="34" spans="1:29" x14ac:dyDescent="0.35">
      <c r="A34">
        <f ca="1"/>
        <v>-0.15</v>
      </c>
      <c r="B34">
        <f ca="1"/>
        <v>5.1000000000000004E-3</v>
      </c>
      <c r="C34">
        <f t="shared" ca="1" si="9"/>
        <v>5.1204313362118023E-3</v>
      </c>
      <c r="D34">
        <f ca="1"/>
        <v>0.28710000000000002</v>
      </c>
      <c r="I34">
        <f t="shared" ca="1" si="1"/>
        <v>5.2211570247933884E-3</v>
      </c>
      <c r="J34">
        <f t="shared" ca="1" si="2"/>
        <v>3.9515151515151517E-2</v>
      </c>
      <c r="L34">
        <f t="shared" ca="1" si="3"/>
        <v>5.2551606978879705E-3</v>
      </c>
      <c r="M34">
        <f t="shared" ca="1" si="4"/>
        <v>0.4648757575757575</v>
      </c>
      <c r="O34">
        <f t="shared" ca="1" si="5"/>
        <v>7.2584526028780039E-3</v>
      </c>
      <c r="P34">
        <f t="shared" ca="1" si="6"/>
        <v>-4.1712121212121214E-2</v>
      </c>
      <c r="R34">
        <f t="shared" ca="1" si="7"/>
        <v>6.3367707567335363E-3</v>
      </c>
      <c r="S34">
        <f t="shared" ca="1" si="8"/>
        <v>0.62590606060606058</v>
      </c>
      <c r="U34" s="4">
        <f ca="1">1 - SUMXMY2(B4:B1000, C4:C1000) / DEVSQ(_xlfn.ANCHORARRAY(B4))</f>
        <v>-56.204818929122951</v>
      </c>
      <c r="W34">
        <f ca="1">G9</f>
        <v>-0.01</v>
      </c>
      <c r="X34">
        <f ca="1">G10</f>
        <v>5.3600000000000002E-3</v>
      </c>
      <c r="Y34">
        <f ca="1">G6</f>
        <v>0.15340000000000001</v>
      </c>
      <c r="Z34">
        <f ca="1">G5</f>
        <v>5.0899999999999999E-3</v>
      </c>
      <c r="AA34">
        <f ca="1">G13</f>
        <v>0.60029999999999994</v>
      </c>
      <c r="AB34">
        <f ca="1">G14</f>
        <v>5.4299999999999999E-3</v>
      </c>
      <c r="AC34">
        <f>G32</f>
        <v>0.92921657518387979</v>
      </c>
    </row>
    <row r="35" spans="1:29" x14ac:dyDescent="0.35">
      <c r="A35">
        <f ca="1"/>
        <v>-0.1</v>
      </c>
      <c r="B35">
        <f ca="1"/>
        <v>5.13E-3</v>
      </c>
      <c r="C35">
        <f t="shared" ca="1" si="9"/>
        <v>5.1254479292243763E-3</v>
      </c>
      <c r="D35">
        <f ca="1"/>
        <v>0.29770000000000002</v>
      </c>
      <c r="I35">
        <f t="shared" ca="1" si="1"/>
        <v>5.2173829201101925E-3</v>
      </c>
      <c r="J35">
        <f t="shared" ca="1" si="2"/>
        <v>4.1165656565656565E-2</v>
      </c>
      <c r="L35">
        <f t="shared" ca="1" si="3"/>
        <v>5.2504081216202423E-3</v>
      </c>
      <c r="M35">
        <f t="shared" ca="1" si="4"/>
        <v>0.46036161616161608</v>
      </c>
      <c r="O35">
        <f t="shared" ca="1" si="5"/>
        <v>7.2129843791226538E-3</v>
      </c>
      <c r="P35">
        <f t="shared" ca="1" si="6"/>
        <v>-4.1252525252525256E-2</v>
      </c>
      <c r="R35">
        <f t="shared" ca="1" si="7"/>
        <v>6.3952266993643767E-3</v>
      </c>
      <c r="S35">
        <f t="shared" ca="1" si="8"/>
        <v>0.62675959595959596</v>
      </c>
    </row>
    <row r="36" spans="1:29" x14ac:dyDescent="0.35">
      <c r="A36">
        <f ca="1"/>
        <v>-0.05</v>
      </c>
      <c r="B36">
        <f ca="1"/>
        <v>5.1399999999999996E-3</v>
      </c>
      <c r="C36">
        <f t="shared" ca="1" si="9"/>
        <v>5.1310583147042999E-3</v>
      </c>
      <c r="D36">
        <f ca="1"/>
        <v>0.30869999999999997</v>
      </c>
      <c r="I36">
        <f t="shared" ca="1" si="1"/>
        <v>5.2136639118457303E-3</v>
      </c>
      <c r="J36">
        <f t="shared" ca="1" si="2"/>
        <v>4.281616161616162E-2</v>
      </c>
      <c r="L36">
        <f t="shared" ca="1" si="3"/>
        <v>5.2457249260279559E-3</v>
      </c>
      <c r="M36">
        <f t="shared" ca="1" si="4"/>
        <v>0.45584747474747467</v>
      </c>
      <c r="O36">
        <f t="shared" ca="1" si="5"/>
        <v>7.1680442264824961E-3</v>
      </c>
      <c r="P36">
        <f t="shared" ca="1" si="6"/>
        <v>-4.0792929292929297E-2</v>
      </c>
      <c r="R36">
        <f t="shared" ca="1" si="7"/>
        <v>6.4555039484945455E-3</v>
      </c>
      <c r="S36">
        <f t="shared" ca="1" si="8"/>
        <v>0.62761313131313123</v>
      </c>
    </row>
    <row r="37" spans="1:29" x14ac:dyDescent="0.35">
      <c r="A37">
        <f ca="1"/>
        <v>0</v>
      </c>
      <c r="B37">
        <f ca="1"/>
        <v>5.1500000000000001E-3</v>
      </c>
      <c r="C37">
        <f t="shared" ca="1" si="9"/>
        <v>5.1370240733997026E-3</v>
      </c>
      <c r="D37">
        <f ca="1"/>
        <v>0.3196</v>
      </c>
      <c r="I37">
        <f t="shared" ca="1" si="1"/>
        <v>5.2100000000000002E-3</v>
      </c>
      <c r="J37">
        <f t="shared" ref="J37:J68" ca="1" si="10">$G$9 + ($G$6 - $G$9) * (ROW(B34)-1)/99</f>
        <v>4.4466666666666675E-2</v>
      </c>
      <c r="L37">
        <f t="shared" ca="1" si="3"/>
        <v>5.2411111111111113E-3</v>
      </c>
      <c r="M37">
        <f t="shared" ca="1" si="4"/>
        <v>0.45133333333333331</v>
      </c>
      <c r="O37">
        <f t="shared" ca="1" si="5"/>
        <v>7.123632144957529E-3</v>
      </c>
      <c r="P37">
        <f t="shared" ref="P37:P68" ca="1" si="11">$G$26 + ($G$9 - $G$26) * (ROW(B34)-1)/99</f>
        <v>-4.0333333333333332E-2</v>
      </c>
      <c r="R37">
        <f t="shared" ca="1" si="7"/>
        <v>6.5176025041240601E-3</v>
      </c>
      <c r="S37">
        <f t="shared" ref="S37:S68" ca="1" si="12">$G$13 + ($G$25 - $G$13) * (ROW(B34)-1)/99</f>
        <v>0.62846666666666662</v>
      </c>
    </row>
    <row r="38" spans="1:29" x14ac:dyDescent="0.35">
      <c r="A38">
        <f ca="1"/>
        <v>0.05</v>
      </c>
      <c r="B38">
        <f ca="1"/>
        <v>5.1599999999999997E-3</v>
      </c>
      <c r="C38">
        <f t="shared" ca="1" si="9"/>
        <v>5.1434546687728865E-3</v>
      </c>
      <c r="D38">
        <f ca="1"/>
        <v>0.3306</v>
      </c>
      <c r="I38">
        <f t="shared" ca="1" si="1"/>
        <v>5.206391184573003E-3</v>
      </c>
      <c r="J38">
        <f t="shared" ca="1" si="10"/>
        <v>4.6117171717171723E-2</v>
      </c>
      <c r="L38">
        <f t="shared" ca="1" si="3"/>
        <v>5.2365666768697068E-3</v>
      </c>
      <c r="M38">
        <f t="shared" ca="1" si="4"/>
        <v>0.44681919191919184</v>
      </c>
      <c r="O38">
        <f t="shared" ca="1" si="5"/>
        <v>7.0797481345477552E-3</v>
      </c>
      <c r="P38">
        <f t="shared" ca="1" si="11"/>
        <v>-3.9873737373737374E-2</v>
      </c>
      <c r="R38">
        <f t="shared" ca="1" si="7"/>
        <v>6.5815223662529111E-3</v>
      </c>
      <c r="S38">
        <f t="shared" ca="1" si="12"/>
        <v>0.629320202020202</v>
      </c>
    </row>
    <row r="39" spans="1:29" x14ac:dyDescent="0.35">
      <c r="A39">
        <f ca="1"/>
        <v>0.1</v>
      </c>
      <c r="B39">
        <f ca="1"/>
        <v>5.1700000000000001E-3</v>
      </c>
      <c r="C39">
        <f t="shared" ca="1" si="9"/>
        <v>5.1502331809079741E-3</v>
      </c>
      <c r="D39">
        <f ca="1"/>
        <v>0.34150000000000003</v>
      </c>
      <c r="I39">
        <f t="shared" ca="1" si="1"/>
        <v>5.2028374655647388E-3</v>
      </c>
      <c r="J39">
        <f t="shared" ca="1" si="10"/>
        <v>4.7767676767676771E-2</v>
      </c>
      <c r="L39">
        <f t="shared" ca="1" si="3"/>
        <v>5.232091623303744E-3</v>
      </c>
      <c r="M39">
        <f t="shared" ca="1" si="4"/>
        <v>0.44230505050505042</v>
      </c>
      <c r="O39">
        <f t="shared" ca="1" si="5"/>
        <v>7.0363921952531737E-3</v>
      </c>
      <c r="P39">
        <f t="shared" ca="1" si="11"/>
        <v>-3.9414141414141415E-2</v>
      </c>
      <c r="R39">
        <f t="shared" ca="1" si="7"/>
        <v>6.6472635348810904E-3</v>
      </c>
      <c r="S39">
        <f t="shared" ca="1" si="12"/>
        <v>0.63017373737373727</v>
      </c>
    </row>
    <row r="40" spans="1:29" x14ac:dyDescent="0.35">
      <c r="A40">
        <f ca="1"/>
        <v>0.15</v>
      </c>
      <c r="B40">
        <f ca="1"/>
        <v>5.1700000000000001E-3</v>
      </c>
      <c r="C40">
        <f t="shared" ca="1" si="9"/>
        <v>5.1575517922351237E-3</v>
      </c>
      <c r="D40">
        <f ca="1"/>
        <v>0.35260000000000002</v>
      </c>
      <c r="I40">
        <f t="shared" ca="1" si="1"/>
        <v>5.1993388429752065E-3</v>
      </c>
      <c r="J40">
        <f t="shared" ca="1" si="10"/>
        <v>4.9418181818181819E-2</v>
      </c>
      <c r="L40">
        <f t="shared" ca="1" si="3"/>
        <v>5.2276859504132231E-3</v>
      </c>
      <c r="M40">
        <f t="shared" ca="1" si="4"/>
        <v>0.43779090909090901</v>
      </c>
      <c r="O40">
        <f t="shared" ca="1" si="5"/>
        <v>6.9935643270737854E-3</v>
      </c>
      <c r="P40">
        <f t="shared" ca="1" si="11"/>
        <v>-3.8954545454545457E-2</v>
      </c>
      <c r="R40">
        <f t="shared" ca="1" si="7"/>
        <v>6.7148260100086147E-3</v>
      </c>
      <c r="S40">
        <f t="shared" ca="1" si="12"/>
        <v>0.63102727272727266</v>
      </c>
    </row>
    <row r="41" spans="1:29" x14ac:dyDescent="0.35">
      <c r="A41">
        <f ca="1"/>
        <v>0.2</v>
      </c>
      <c r="B41">
        <f ca="1"/>
        <v>5.1799999999999997E-3</v>
      </c>
      <c r="C41">
        <f t="shared" ca="1" si="9"/>
        <v>5.1652183203241787E-3</v>
      </c>
      <c r="D41">
        <f ca="1"/>
        <v>0.36359999999999998</v>
      </c>
      <c r="I41">
        <f t="shared" ca="1" si="1"/>
        <v>5.1958953168044081E-3</v>
      </c>
      <c r="J41">
        <f t="shared" ca="1" si="10"/>
        <v>5.1068686868686874E-2</v>
      </c>
      <c r="L41">
        <f t="shared" ca="1" si="3"/>
        <v>5.2233496581981431E-3</v>
      </c>
      <c r="M41">
        <f t="shared" ca="1" si="4"/>
        <v>0.43327676767676759</v>
      </c>
      <c r="O41">
        <f t="shared" ca="1" si="5"/>
        <v>6.9512645300095878E-3</v>
      </c>
      <c r="P41">
        <f t="shared" ca="1" si="11"/>
        <v>-3.8494949494949499E-2</v>
      </c>
      <c r="R41">
        <f t="shared" ca="1" si="7"/>
        <v>6.7842097916354762E-3</v>
      </c>
      <c r="S41">
        <f t="shared" ca="1" si="12"/>
        <v>0.63188080808080804</v>
      </c>
    </row>
    <row r="42" spans="1:29" x14ac:dyDescent="0.35">
      <c r="A42">
        <f ca="1"/>
        <v>0.25</v>
      </c>
      <c r="B42">
        <f ca="1"/>
        <v>5.1799999999999997E-3</v>
      </c>
      <c r="C42">
        <f t="shared" ca="1" si="9"/>
        <v>5.1733721565949383E-3</v>
      </c>
      <c r="D42">
        <f ca="1"/>
        <v>0.37469999999999998</v>
      </c>
      <c r="I42">
        <f t="shared" ca="1" si="1"/>
        <v>5.1925068870523417E-3</v>
      </c>
      <c r="J42">
        <f t="shared" ca="1" si="10"/>
        <v>5.2719191919191923E-2</v>
      </c>
      <c r="L42">
        <f t="shared" ca="1" si="3"/>
        <v>5.219082746658504E-3</v>
      </c>
      <c r="M42">
        <f t="shared" ca="1" si="4"/>
        <v>0.42876262626262618</v>
      </c>
      <c r="O42">
        <f t="shared" ca="1" si="5"/>
        <v>6.9094928040605826E-3</v>
      </c>
      <c r="P42">
        <f t="shared" ca="1" si="11"/>
        <v>-3.8035353535353533E-2</v>
      </c>
      <c r="R42">
        <f t="shared" ca="1" si="7"/>
        <v>6.8554148797616747E-3</v>
      </c>
      <c r="S42">
        <f t="shared" ca="1" si="12"/>
        <v>0.63273434343434343</v>
      </c>
    </row>
    <row r="43" spans="1:29" x14ac:dyDescent="0.35">
      <c r="A43">
        <f ca="1"/>
        <v>0.3</v>
      </c>
      <c r="B43">
        <f ca="1"/>
        <v>5.1900000000000002E-3</v>
      </c>
      <c r="C43">
        <f t="shared" ca="1" si="9"/>
        <v>5.1819454949866969E-3</v>
      </c>
      <c r="D43">
        <f ca="1"/>
        <v>0.38579999999999998</v>
      </c>
      <c r="I43">
        <f t="shared" ca="1" si="1"/>
        <v>5.1891735537190082E-3</v>
      </c>
      <c r="J43">
        <f t="shared" ca="1" si="10"/>
        <v>5.4369696969696964E-2</v>
      </c>
      <c r="L43">
        <f t="shared" ca="1" si="3"/>
        <v>5.2148852157943067E-3</v>
      </c>
      <c r="M43">
        <f t="shared" ca="1" si="4"/>
        <v>0.42424848484848482</v>
      </c>
      <c r="O43">
        <f t="shared" ca="1" si="5"/>
        <v>6.8682491492267714E-3</v>
      </c>
      <c r="P43">
        <f t="shared" ca="1" si="11"/>
        <v>-3.7575757575757582E-2</v>
      </c>
      <c r="R43">
        <f t="shared" ca="1" si="7"/>
        <v>6.9284412743872001E-3</v>
      </c>
      <c r="S43">
        <f t="shared" ca="1" si="12"/>
        <v>0.6335878787878787</v>
      </c>
    </row>
    <row r="44" spans="1:29" x14ac:dyDescent="0.35">
      <c r="A44">
        <f ca="1"/>
        <v>0.35</v>
      </c>
      <c r="B44">
        <f ca="1"/>
        <v>5.1900000000000002E-3</v>
      </c>
      <c r="C44">
        <f t="shared" ca="1" si="9"/>
        <v>5.1909383354994537E-3</v>
      </c>
      <c r="D44">
        <f ca="1"/>
        <v>0.39689999999999998</v>
      </c>
      <c r="I44">
        <f t="shared" ca="1" si="1"/>
        <v>5.1858953168044076E-3</v>
      </c>
      <c r="J44">
        <f t="shared" ca="1" si="10"/>
        <v>5.6020202020202019E-2</v>
      </c>
      <c r="L44">
        <f t="shared" ca="1" si="3"/>
        <v>5.2107570656055504E-3</v>
      </c>
      <c r="M44">
        <f t="shared" ca="1" si="4"/>
        <v>0.4197343434343434</v>
      </c>
      <c r="O44">
        <f t="shared" ca="1" si="5"/>
        <v>6.8275335655081509E-3</v>
      </c>
      <c r="P44">
        <f t="shared" ca="1" si="11"/>
        <v>-3.7116161616161616E-2</v>
      </c>
      <c r="R44">
        <f t="shared" ca="1" si="7"/>
        <v>7.0032889755120729E-3</v>
      </c>
      <c r="S44">
        <f t="shared" ca="1" si="12"/>
        <v>0.63444141414141408</v>
      </c>
    </row>
    <row r="45" spans="1:29" x14ac:dyDescent="0.35">
      <c r="A45">
        <f ca="1"/>
        <v>0.4</v>
      </c>
      <c r="B45">
        <f ca="1"/>
        <v>5.1999999999999998E-3</v>
      </c>
      <c r="C45">
        <f t="shared" ca="1" si="9"/>
        <v>5.2003506781332087E-3</v>
      </c>
      <c r="D45">
        <f ca="1"/>
        <v>0.40799999999999997</v>
      </c>
      <c r="I45">
        <f t="shared" ca="1" si="1"/>
        <v>5.18267217630854E-3</v>
      </c>
      <c r="J45">
        <f t="shared" ca="1" si="10"/>
        <v>5.7670707070707074E-2</v>
      </c>
      <c r="L45">
        <f t="shared" ca="1" si="3"/>
        <v>5.206698296092235E-3</v>
      </c>
      <c r="M45">
        <f t="shared" ca="1" si="4"/>
        <v>0.41522020202020199</v>
      </c>
      <c r="O45">
        <f t="shared" ca="1" si="5"/>
        <v>6.7873460529047237E-3</v>
      </c>
      <c r="P45">
        <f t="shared" ca="1" si="11"/>
        <v>-3.6656565656565658E-2</v>
      </c>
      <c r="R45">
        <f t="shared" ca="1" si="7"/>
        <v>7.079957983136282E-3</v>
      </c>
      <c r="S45">
        <f t="shared" ca="1" si="12"/>
        <v>0.63529494949494947</v>
      </c>
    </row>
    <row r="46" spans="1:29" x14ac:dyDescent="0.35">
      <c r="A46">
        <f ca="1"/>
        <v>0.45</v>
      </c>
      <c r="B46">
        <f ca="1"/>
        <v>5.1999999999999998E-3</v>
      </c>
      <c r="C46">
        <f t="shared" ca="1" si="9"/>
        <v>5.2101825228879628E-3</v>
      </c>
      <c r="D46">
        <f ca="1"/>
        <v>0.41909999999999997</v>
      </c>
      <c r="I46">
        <f t="shared" ca="1" si="1"/>
        <v>5.1795041322314052E-3</v>
      </c>
      <c r="J46">
        <f t="shared" ca="1" si="10"/>
        <v>5.9321212121212129E-2</v>
      </c>
      <c r="L46">
        <f t="shared" ca="1" si="3"/>
        <v>5.2027089072543614E-3</v>
      </c>
      <c r="M46">
        <f t="shared" ca="1" si="4"/>
        <v>0.41070606060606052</v>
      </c>
      <c r="O46">
        <f t="shared" ca="1" si="5"/>
        <v>6.7476866114164888E-3</v>
      </c>
      <c r="P46">
        <f t="shared" ca="1" si="11"/>
        <v>-3.61969696969697E-2</v>
      </c>
      <c r="R46">
        <f t="shared" ca="1" si="7"/>
        <v>7.1584482972598274E-3</v>
      </c>
      <c r="S46">
        <f t="shared" ca="1" si="12"/>
        <v>0.63614848484848485</v>
      </c>
    </row>
    <row r="47" spans="1:29" x14ac:dyDescent="0.35">
      <c r="A47">
        <f ca="1"/>
        <v>0.5</v>
      </c>
      <c r="B47">
        <f ca="1"/>
        <v>5.2100000000000002E-3</v>
      </c>
      <c r="C47">
        <f t="shared" ca="1" si="9"/>
        <v>5.220528130913134E-3</v>
      </c>
      <c r="D47">
        <f ca="1"/>
        <v>0.43030000000000002</v>
      </c>
      <c r="I47">
        <f t="shared" ca="1" si="1"/>
        <v>5.1763911845730025E-3</v>
      </c>
      <c r="J47">
        <f t="shared" ca="1" si="10"/>
        <v>6.0971717171717184E-2</v>
      </c>
      <c r="L47">
        <f t="shared" ca="1" si="3"/>
        <v>5.1987888990919296E-3</v>
      </c>
      <c r="M47">
        <f t="shared" ca="1" si="4"/>
        <v>0.4061919191919191</v>
      </c>
      <c r="O47">
        <f t="shared" ca="1" si="5"/>
        <v>6.7085552410434445E-3</v>
      </c>
      <c r="P47">
        <f t="shared" ca="1" si="11"/>
        <v>-3.5737373737373734E-2</v>
      </c>
      <c r="R47">
        <f t="shared" ca="1" si="7"/>
        <v>7.2387599178826995E-3</v>
      </c>
      <c r="S47">
        <f t="shared" ca="1" si="12"/>
        <v>0.63700202020202012</v>
      </c>
    </row>
    <row r="48" spans="1:29" x14ac:dyDescent="0.35">
      <c r="A48">
        <f ca="1"/>
        <v>0.55000000000000004</v>
      </c>
      <c r="B48">
        <f ca="1"/>
        <v>5.2300000000000003E-3</v>
      </c>
      <c r="C48">
        <f t="shared" ca="1" si="9"/>
        <v>5.2311047187604664E-3</v>
      </c>
      <c r="D48">
        <f ca="1"/>
        <v>0.44130000000000003</v>
      </c>
      <c r="I48">
        <f t="shared" ca="1" si="1"/>
        <v>5.1733333333333336E-3</v>
      </c>
      <c r="J48">
        <f t="shared" ca="1" si="10"/>
        <v>6.2622222222222232E-2</v>
      </c>
      <c r="L48">
        <f t="shared" ca="1" si="3"/>
        <v>5.1949382716049378E-3</v>
      </c>
      <c r="M48">
        <f t="shared" ca="1" si="4"/>
        <v>0.40167777777777774</v>
      </c>
      <c r="O48">
        <f t="shared" ca="1" si="5"/>
        <v>6.6699519417855952E-3</v>
      </c>
      <c r="P48">
        <f t="shared" ca="1" si="11"/>
        <v>-3.5277777777777783E-2</v>
      </c>
      <c r="R48">
        <f t="shared" ca="1" si="7"/>
        <v>7.3208928450049201E-3</v>
      </c>
      <c r="S48">
        <f t="shared" ca="1" si="12"/>
        <v>0.63785555555555551</v>
      </c>
    </row>
    <row r="49" spans="1:19" x14ac:dyDescent="0.35">
      <c r="A49">
        <f ca="1"/>
        <v>0.6</v>
      </c>
      <c r="B49">
        <f ca="1"/>
        <v>5.2500000000000003E-3</v>
      </c>
      <c r="C49">
        <f t="shared" ca="1" si="9"/>
        <v>5.2419915325290292E-3</v>
      </c>
      <c r="D49">
        <f ca="1"/>
        <v>0.45219999999999999</v>
      </c>
      <c r="I49">
        <f t="shared" ca="1" si="1"/>
        <v>5.1703305785123967E-3</v>
      </c>
      <c r="J49">
        <f t="shared" ca="1" si="10"/>
        <v>6.4272727272727287E-2</v>
      </c>
      <c r="L49">
        <f t="shared" ca="1" si="3"/>
        <v>5.1911570247933879E-3</v>
      </c>
      <c r="M49">
        <f t="shared" ca="1" si="4"/>
        <v>0.39716363636363633</v>
      </c>
      <c r="O49">
        <f t="shared" ca="1" si="5"/>
        <v>6.6318767136429365E-3</v>
      </c>
      <c r="P49">
        <f t="shared" ca="1" si="11"/>
        <v>-3.4818181818181818E-2</v>
      </c>
      <c r="R49">
        <f t="shared" ca="1" si="7"/>
        <v>7.404847078626476E-3</v>
      </c>
      <c r="S49">
        <f t="shared" ca="1" si="12"/>
        <v>0.63870909090909089</v>
      </c>
    </row>
    <row r="50" spans="1:19" x14ac:dyDescent="0.35">
      <c r="A50">
        <f ca="1"/>
        <v>0.65</v>
      </c>
      <c r="B50">
        <f ca="1"/>
        <v>5.2599999999999999E-3</v>
      </c>
      <c r="C50">
        <f t="shared" ca="1" si="9"/>
        <v>5.2535993581201163E-3</v>
      </c>
      <c r="D50">
        <f ca="1"/>
        <v>0.46339999999999998</v>
      </c>
      <c r="I50">
        <f t="shared" ca="1" si="1"/>
        <v>5.1673829201101928E-3</v>
      </c>
      <c r="J50">
        <f t="shared" ca="1" si="10"/>
        <v>6.5923232323232342E-2</v>
      </c>
      <c r="L50">
        <f t="shared" ca="1" si="3"/>
        <v>5.1874451586572798E-3</v>
      </c>
      <c r="M50">
        <f t="shared" ca="1" si="4"/>
        <v>0.39264949494949491</v>
      </c>
      <c r="O50">
        <f t="shared" ca="1" si="5"/>
        <v>6.5943295566154702E-3</v>
      </c>
      <c r="P50">
        <f t="shared" ca="1" si="11"/>
        <v>-3.4358585858585859E-2</v>
      </c>
      <c r="R50">
        <f t="shared" ca="1" si="7"/>
        <v>7.4906226187473586E-3</v>
      </c>
      <c r="S50">
        <f t="shared" ca="1" si="12"/>
        <v>0.63956262626262617</v>
      </c>
    </row>
    <row r="51" spans="1:19" x14ac:dyDescent="0.35">
      <c r="A51">
        <f ca="1"/>
        <v>0.7</v>
      </c>
      <c r="B51">
        <f ca="1"/>
        <v>5.2500000000000003E-3</v>
      </c>
      <c r="C51">
        <f t="shared" ca="1" si="9"/>
        <v>5.2657436568196783E-3</v>
      </c>
      <c r="D51">
        <f ca="1"/>
        <v>0.47470000000000001</v>
      </c>
      <c r="I51">
        <f t="shared" ca="1" si="1"/>
        <v>5.1644903581267217E-3</v>
      </c>
      <c r="J51">
        <f t="shared" ca="1" si="10"/>
        <v>6.7573737373737383E-2</v>
      </c>
      <c r="L51">
        <f t="shared" ca="1" si="3"/>
        <v>5.1838026731966125E-3</v>
      </c>
      <c r="M51">
        <f t="shared" ca="1" si="4"/>
        <v>0.3881353535353535</v>
      </c>
      <c r="O51">
        <f t="shared" ca="1" si="5"/>
        <v>6.5573104707031971E-3</v>
      </c>
      <c r="P51">
        <f t="shared" ca="1" si="11"/>
        <v>-3.3898989898989901E-2</v>
      </c>
      <c r="R51">
        <f t="shared" ca="1" si="7"/>
        <v>7.5782194653675888E-3</v>
      </c>
      <c r="S51">
        <f t="shared" ca="1" si="12"/>
        <v>0.64041616161616155</v>
      </c>
    </row>
    <row r="52" spans="1:19" x14ac:dyDescent="0.35">
      <c r="A52">
        <f ca="1"/>
        <v>0.75</v>
      </c>
      <c r="B52">
        <f ca="1"/>
        <v>5.2599999999999999E-3</v>
      </c>
      <c r="C52">
        <f t="shared" ca="1" si="9"/>
        <v>5.2783227110247211E-3</v>
      </c>
      <c r="D52">
        <f ca="1"/>
        <v>0.48599999999999999</v>
      </c>
      <c r="I52">
        <f t="shared" ca="1" si="1"/>
        <v>5.1616528925619836E-3</v>
      </c>
      <c r="J52">
        <f t="shared" ca="1" si="10"/>
        <v>6.9224242424242438E-2</v>
      </c>
      <c r="L52">
        <f t="shared" ca="1" si="3"/>
        <v>5.1802295684113863E-3</v>
      </c>
      <c r="M52">
        <f t="shared" ca="1" si="4"/>
        <v>0.38362121212121203</v>
      </c>
      <c r="O52">
        <f t="shared" ca="1" si="5"/>
        <v>6.5208194559061156E-3</v>
      </c>
      <c r="P52">
        <f t="shared" ca="1" si="11"/>
        <v>-3.3439393939393935E-2</v>
      </c>
      <c r="R52">
        <f t="shared" ca="1" si="7"/>
        <v>7.6676376184871553E-3</v>
      </c>
      <c r="S52">
        <f t="shared" ca="1" si="12"/>
        <v>0.64126969696969693</v>
      </c>
    </row>
    <row r="53" spans="1:19" x14ac:dyDescent="0.35">
      <c r="A53">
        <f ca="1"/>
        <v>0.8</v>
      </c>
      <c r="B53">
        <f ca="1"/>
        <v>5.2700000000000004E-3</v>
      </c>
      <c r="C53">
        <f t="shared" ca="1" si="9"/>
        <v>5.2912194476045695E-3</v>
      </c>
      <c r="D53">
        <f ca="1"/>
        <v>0.49719999999999998</v>
      </c>
      <c r="I53">
        <f t="shared" ca="1" si="1"/>
        <v>5.1588705234159775E-3</v>
      </c>
      <c r="J53">
        <f t="shared" ca="1" si="10"/>
        <v>7.0874747474747479E-2</v>
      </c>
      <c r="L53">
        <f t="shared" ca="1" si="3"/>
        <v>5.1767258443016018E-3</v>
      </c>
      <c r="M53">
        <f t="shared" ca="1" si="4"/>
        <v>0.37910707070707067</v>
      </c>
      <c r="O53">
        <f t="shared" ca="1" si="5"/>
        <v>6.4848565122242272E-3</v>
      </c>
      <c r="P53">
        <f t="shared" ca="1" si="11"/>
        <v>-3.2979797979797984E-2</v>
      </c>
      <c r="R53">
        <f t="shared" ca="1" si="7"/>
        <v>7.7588770781060589E-3</v>
      </c>
      <c r="S53">
        <f t="shared" ca="1" si="12"/>
        <v>0.64212323232323232</v>
      </c>
    </row>
    <row r="54" spans="1:19" x14ac:dyDescent="0.35">
      <c r="A54">
        <f ca="1"/>
        <v>0.85</v>
      </c>
      <c r="B54">
        <f ca="1"/>
        <v>5.2900000000000004E-3</v>
      </c>
      <c r="C54">
        <f t="shared" ca="1" si="9"/>
        <v>5.3047850859512498E-3</v>
      </c>
      <c r="D54">
        <f ca="1"/>
        <v>0.50860000000000005</v>
      </c>
      <c r="I54">
        <f t="shared" ca="1" si="1"/>
        <v>5.1561432506887052E-3</v>
      </c>
      <c r="J54">
        <f t="shared" ca="1" si="10"/>
        <v>7.2525252525252548E-2</v>
      </c>
      <c r="L54">
        <f t="shared" ca="1" si="3"/>
        <v>5.1732915008672583E-3</v>
      </c>
      <c r="M54">
        <f t="shared" ca="1" si="4"/>
        <v>0.37459292929292926</v>
      </c>
      <c r="O54">
        <f t="shared" ca="1" si="5"/>
        <v>6.4494216396575313E-3</v>
      </c>
      <c r="P54">
        <f t="shared" ca="1" si="11"/>
        <v>-3.2520202020202019E-2</v>
      </c>
      <c r="R54">
        <f t="shared" ca="1" si="7"/>
        <v>7.8519378442242875E-3</v>
      </c>
      <c r="S54">
        <f t="shared" ca="1" si="12"/>
        <v>0.64297676767676759</v>
      </c>
    </row>
    <row r="55" spans="1:19" x14ac:dyDescent="0.35">
      <c r="A55">
        <f ca="1"/>
        <v>0.9</v>
      </c>
      <c r="B55">
        <f ca="1"/>
        <v>5.3E-3</v>
      </c>
      <c r="C55">
        <f t="shared" ca="1" si="9"/>
        <v>5.3186684066727349E-3</v>
      </c>
      <c r="D55">
        <f ca="1"/>
        <v>0.51990000000000003</v>
      </c>
      <c r="I55">
        <f t="shared" ca="1" si="1"/>
        <v>5.153471074380165E-3</v>
      </c>
      <c r="J55">
        <f t="shared" ca="1" si="10"/>
        <v>7.4175757575757589E-2</v>
      </c>
      <c r="L55">
        <f t="shared" ca="1" si="3"/>
        <v>5.1699265381083565E-3</v>
      </c>
      <c r="M55">
        <f t="shared" ca="1" si="4"/>
        <v>0.37007878787878784</v>
      </c>
      <c r="O55">
        <f t="shared" ca="1" si="5"/>
        <v>6.4145148382060259E-3</v>
      </c>
      <c r="P55">
        <f t="shared" ca="1" si="11"/>
        <v>-3.206060606060606E-2</v>
      </c>
      <c r="R55">
        <f t="shared" ca="1" si="7"/>
        <v>7.9468199168418654E-3</v>
      </c>
      <c r="S55">
        <f t="shared" ca="1" si="12"/>
        <v>0.64383030303030298</v>
      </c>
    </row>
    <row r="56" spans="1:19" x14ac:dyDescent="0.35">
      <c r="A56">
        <f ca="1"/>
        <v>0.95</v>
      </c>
      <c r="B56">
        <f ca="1"/>
        <v>5.3200000000000001E-3</v>
      </c>
      <c r="C56">
        <f t="shared" ca="1" si="9"/>
        <v>5.3331151322596713E-3</v>
      </c>
      <c r="D56">
        <f ca="1"/>
        <v>0.53129999999999999</v>
      </c>
      <c r="I56">
        <f t="shared" ca="1" si="1"/>
        <v>5.1508539944903585E-3</v>
      </c>
      <c r="J56">
        <f t="shared" ca="1" si="10"/>
        <v>7.582626262626263E-2</v>
      </c>
      <c r="L56">
        <f t="shared" ca="1" si="3"/>
        <v>5.1666309560248957E-3</v>
      </c>
      <c r="M56">
        <f t="shared" ca="1" si="4"/>
        <v>0.36556464646464643</v>
      </c>
      <c r="O56">
        <f t="shared" ca="1" si="5"/>
        <v>6.3801361078697147E-3</v>
      </c>
      <c r="P56">
        <f t="shared" ca="1" si="11"/>
        <v>-3.1601010101010102E-2</v>
      </c>
      <c r="R56">
        <f t="shared" ca="1" si="7"/>
        <v>8.0435232959587821E-3</v>
      </c>
      <c r="S56">
        <f t="shared" ca="1" si="12"/>
        <v>0.64468383838383836</v>
      </c>
    </row>
    <row r="57" spans="1:19" x14ac:dyDescent="0.35">
      <c r="A57">
        <f ca="1"/>
        <v>1</v>
      </c>
      <c r="B57">
        <f ca="1"/>
        <v>5.3400000000000001E-3</v>
      </c>
      <c r="C57">
        <f t="shared" ca="1" si="9"/>
        <v>5.34800434218753E-3</v>
      </c>
      <c r="D57">
        <f ca="1"/>
        <v>0.54269999999999996</v>
      </c>
      <c r="I57">
        <f t="shared" ca="1" si="1"/>
        <v>5.1482920110192841E-3</v>
      </c>
      <c r="J57">
        <f t="shared" ca="1" si="10"/>
        <v>7.7476767676767699E-2</v>
      </c>
      <c r="L57">
        <f t="shared" ca="1" si="3"/>
        <v>5.1634047546168758E-3</v>
      </c>
      <c r="M57">
        <f t="shared" ca="1" si="4"/>
        <v>0.36105050505050507</v>
      </c>
      <c r="O57">
        <f t="shared" ca="1" si="5"/>
        <v>6.346285448648595E-3</v>
      </c>
      <c r="P57">
        <f t="shared" ca="1" si="11"/>
        <v>-3.1141414141414143E-2</v>
      </c>
      <c r="R57">
        <f t="shared" ca="1" si="7"/>
        <v>8.1420479815750325E-3</v>
      </c>
      <c r="S57">
        <f t="shared" ca="1" si="12"/>
        <v>0.64553737373737374</v>
      </c>
    </row>
    <row r="58" spans="1:19" x14ac:dyDescent="0.35">
      <c r="A58">
        <f ca="1"/>
        <v>1.05</v>
      </c>
      <c r="B58">
        <f ca="1"/>
        <v>5.3600000000000002E-3</v>
      </c>
      <c r="C58">
        <f t="shared" ca="1" si="9"/>
        <v>5.36333603645631E-3</v>
      </c>
      <c r="D58">
        <f ca="1"/>
        <v>0.55410000000000004</v>
      </c>
      <c r="I58">
        <f t="shared" ca="1" si="1"/>
        <v>5.1457851239669417E-3</v>
      </c>
      <c r="J58">
        <f t="shared" ca="1" si="10"/>
        <v>7.9127272727272741E-2</v>
      </c>
      <c r="L58">
        <f t="shared" ca="1" si="3"/>
        <v>5.1602479338842978E-3</v>
      </c>
      <c r="M58">
        <f t="shared" ca="1" si="4"/>
        <v>0.35653636363636365</v>
      </c>
      <c r="O58">
        <f t="shared" ca="1" si="5"/>
        <v>6.3129628605426676E-3</v>
      </c>
      <c r="P58">
        <f t="shared" ca="1" si="11"/>
        <v>-3.0681818181818185E-2</v>
      </c>
      <c r="R58">
        <f t="shared" ca="1" si="7"/>
        <v>8.2423939736906079E-3</v>
      </c>
      <c r="S58">
        <f t="shared" ca="1" si="12"/>
        <v>0.64639090909090902</v>
      </c>
    </row>
    <row r="59" spans="1:19" x14ac:dyDescent="0.35">
      <c r="A59">
        <f ca="1"/>
        <v>1.1000000000000001</v>
      </c>
      <c r="B59">
        <f ca="1"/>
        <v>5.3800000000000002E-3</v>
      </c>
      <c r="C59">
        <f t="shared" ca="1" si="9"/>
        <v>5.3791102150660122E-3</v>
      </c>
      <c r="D59">
        <f ca="1"/>
        <v>0.5655</v>
      </c>
      <c r="I59">
        <f t="shared" ca="1" si="1"/>
        <v>5.1433333333333331E-3</v>
      </c>
      <c r="J59">
        <f t="shared" ca="1" si="10"/>
        <v>8.0777777777777782E-2</v>
      </c>
      <c r="L59">
        <f t="shared" ca="1" si="3"/>
        <v>5.1571604938271606E-3</v>
      </c>
      <c r="M59">
        <f t="shared" ca="1" si="4"/>
        <v>0.35202222222222218</v>
      </c>
      <c r="O59">
        <f t="shared" ca="1" si="5"/>
        <v>6.2801683435519335E-3</v>
      </c>
      <c r="P59">
        <f t="shared" ca="1" si="11"/>
        <v>-3.0222222222222223E-2</v>
      </c>
      <c r="R59">
        <f t="shared" ca="1" si="7"/>
        <v>8.3445612723055326E-3</v>
      </c>
      <c r="S59">
        <f t="shared" ca="1" si="12"/>
        <v>0.6472444444444444</v>
      </c>
    </row>
    <row r="60" spans="1:19" x14ac:dyDescent="0.35">
      <c r="A60">
        <f ca="1"/>
        <v>1.1499999999999999</v>
      </c>
      <c r="B60">
        <f ca="1"/>
        <v>5.4000000000000003E-3</v>
      </c>
      <c r="C60">
        <f t="shared" ca="1" si="9"/>
        <v>5.3954710871906867E-3</v>
      </c>
      <c r="D60">
        <f ca="1"/>
        <v>0.57699999999999996</v>
      </c>
      <c r="I60">
        <f t="shared" ca="1" si="1"/>
        <v>5.1409366391184574E-3</v>
      </c>
      <c r="J60">
        <f t="shared" ca="1" si="10"/>
        <v>8.2428282828282851E-2</v>
      </c>
      <c r="L60">
        <f t="shared" ca="1" si="3"/>
        <v>5.1541424344454644E-3</v>
      </c>
      <c r="M60">
        <f t="shared" ca="1" si="4"/>
        <v>0.34750808080808077</v>
      </c>
      <c r="O60">
        <f t="shared" ca="1" si="5"/>
        <v>6.2479018976763891E-3</v>
      </c>
      <c r="P60">
        <f t="shared" ca="1" si="11"/>
        <v>-2.9762626262626261E-2</v>
      </c>
      <c r="R60">
        <f t="shared" ca="1" si="7"/>
        <v>8.4485498774197944E-3</v>
      </c>
      <c r="S60">
        <f t="shared" ca="1" si="12"/>
        <v>0.64809797979797978</v>
      </c>
    </row>
    <row r="61" spans="1:19" x14ac:dyDescent="0.35">
      <c r="A61">
        <f ca="1"/>
        <v>1.2</v>
      </c>
      <c r="B61">
        <f ca="1"/>
        <v>5.4200000000000003E-3</v>
      </c>
      <c r="C61">
        <f t="shared" ca="1" si="9"/>
        <v>5.412430399298296E-3</v>
      </c>
      <c r="D61">
        <f ca="1"/>
        <v>0.58860000000000001</v>
      </c>
      <c r="I61">
        <f t="shared" ca="1" si="1"/>
        <v>5.1385950413223138E-3</v>
      </c>
      <c r="J61">
        <f t="shared" ca="1" si="10"/>
        <v>8.4078787878787892E-2</v>
      </c>
      <c r="L61">
        <f t="shared" ca="1" si="3"/>
        <v>5.15119375573921E-3</v>
      </c>
      <c r="M61">
        <f t="shared" ca="1" si="4"/>
        <v>0.34299393939393935</v>
      </c>
      <c r="O61">
        <f t="shared" ca="1" si="5"/>
        <v>6.2161635229160397E-3</v>
      </c>
      <c r="P61">
        <f t="shared" ca="1" si="11"/>
        <v>-2.9303030303030303E-2</v>
      </c>
      <c r="R61">
        <f t="shared" ca="1" si="7"/>
        <v>8.5543597890333795E-3</v>
      </c>
      <c r="S61">
        <f t="shared" ca="1" si="12"/>
        <v>0.64895151515151506</v>
      </c>
    </row>
    <row r="62" spans="1:19" x14ac:dyDescent="0.35">
      <c r="A62">
        <f ca="1"/>
        <v>1.25</v>
      </c>
      <c r="B62">
        <f ca="1"/>
        <v>5.4299999999999999E-3</v>
      </c>
      <c r="C62">
        <f t="shared" ca="1" si="9"/>
        <v>5.4299999999999999E-3</v>
      </c>
      <c r="D62">
        <f ca="1"/>
        <v>0.60029999999999994</v>
      </c>
      <c r="I62">
        <f t="shared" ca="1" si="1"/>
        <v>5.1363085399449039E-3</v>
      </c>
      <c r="J62">
        <f t="shared" ca="1" si="10"/>
        <v>8.5729292929292947E-2</v>
      </c>
      <c r="L62">
        <f t="shared" ca="1" si="3"/>
        <v>5.1483144577083974E-3</v>
      </c>
      <c r="M62">
        <f t="shared" ca="1" si="4"/>
        <v>0.33847979797979794</v>
      </c>
      <c r="O62">
        <f t="shared" ca="1" si="5"/>
        <v>6.1849532192708818E-3</v>
      </c>
      <c r="P62">
        <f t="shared" ca="1" si="11"/>
        <v>-2.8843434343434345E-2</v>
      </c>
      <c r="R62">
        <f t="shared" ca="1" si="7"/>
        <v>8.6619910071463156E-3</v>
      </c>
      <c r="S62">
        <f t="shared" ca="1" si="12"/>
        <v>0.64980505050505044</v>
      </c>
    </row>
    <row r="63" spans="1:19" x14ac:dyDescent="0.35">
      <c r="A63">
        <f ca="1"/>
        <v>1.3</v>
      </c>
      <c r="B63">
        <f ca="1"/>
        <v>5.45E-3</v>
      </c>
      <c r="C63">
        <f t="shared" ca="1" si="9"/>
        <v>5.6442263251991137E-3</v>
      </c>
      <c r="D63">
        <f ca="1"/>
        <v>0.61209999999999998</v>
      </c>
      <c r="I63">
        <f t="shared" ca="1" si="1"/>
        <v>5.1340771349862261E-3</v>
      </c>
      <c r="J63">
        <f t="shared" ca="1" si="10"/>
        <v>8.7379797979797988E-2</v>
      </c>
      <c r="L63">
        <f t="shared" ca="1" si="3"/>
        <v>5.1455045403530249E-3</v>
      </c>
      <c r="M63">
        <f t="shared" ca="1" si="4"/>
        <v>0.33396565656565652</v>
      </c>
      <c r="O63">
        <f t="shared" ca="1" si="5"/>
        <v>6.1542709867409163E-3</v>
      </c>
      <c r="P63">
        <f t="shared" ca="1" si="11"/>
        <v>-2.8383838383838386E-2</v>
      </c>
      <c r="R63">
        <f t="shared" ca="1" si="7"/>
        <v>8.7714435317585888E-3</v>
      </c>
      <c r="S63">
        <f t="shared" ca="1" si="12"/>
        <v>0.65065858585858583</v>
      </c>
    </row>
    <row r="64" spans="1:19" x14ac:dyDescent="0.35">
      <c r="A64">
        <f ca="1"/>
        <v>1.35</v>
      </c>
      <c r="B64">
        <f ca="1"/>
        <v>5.47E-3</v>
      </c>
      <c r="C64">
        <f t="shared" ca="1" si="9"/>
        <v>6.2128056277304259E-3</v>
      </c>
      <c r="D64">
        <f ca="1"/>
        <v>0.624</v>
      </c>
      <c r="I64">
        <f t="shared" ca="1" si="1"/>
        <v>5.1319008264462812E-3</v>
      </c>
      <c r="J64">
        <f t="shared" ca="1" si="10"/>
        <v>8.9030303030303043E-2</v>
      </c>
      <c r="L64">
        <f t="shared" ca="1" si="3"/>
        <v>5.1427640036730941E-3</v>
      </c>
      <c r="M64">
        <f t="shared" ca="1" si="4"/>
        <v>0.32945151515151511</v>
      </c>
      <c r="O64">
        <f t="shared" ca="1" si="5"/>
        <v>6.1241168253261431E-3</v>
      </c>
      <c r="P64">
        <f t="shared" ca="1" si="11"/>
        <v>-2.7924242424242424E-2</v>
      </c>
      <c r="R64">
        <f t="shared" ca="1" si="7"/>
        <v>8.8827173628701992E-3</v>
      </c>
      <c r="S64">
        <f t="shared" ca="1" si="12"/>
        <v>0.65151212121212121</v>
      </c>
    </row>
    <row r="65" spans="1:19" x14ac:dyDescent="0.35">
      <c r="A65">
        <f ca="1"/>
        <v>1.4</v>
      </c>
      <c r="B65">
        <f ca="1"/>
        <v>5.4900000000000001E-3</v>
      </c>
      <c r="C65">
        <f t="shared" ca="1" si="9"/>
        <v>7.1354099302617371E-3</v>
      </c>
      <c r="D65">
        <f ca="1"/>
        <v>0.63590000000000002</v>
      </c>
      <c r="I65">
        <f t="shared" ca="1" si="1"/>
        <v>5.1297796143250692E-3</v>
      </c>
      <c r="J65">
        <f t="shared" ca="1" si="10"/>
        <v>9.0680808080808098E-2</v>
      </c>
      <c r="L65">
        <f t="shared" ca="1" si="3"/>
        <v>5.1400928476686052E-3</v>
      </c>
      <c r="M65">
        <f t="shared" ca="1" si="4"/>
        <v>0.32493737373737369</v>
      </c>
      <c r="O65">
        <f t="shared" ca="1" si="5"/>
        <v>6.0944907350265623E-3</v>
      </c>
      <c r="P65">
        <f t="shared" ca="1" si="11"/>
        <v>-2.7464646464646466E-2</v>
      </c>
      <c r="R65">
        <f t="shared" ca="1" si="7"/>
        <v>8.9958125004811294E-3</v>
      </c>
      <c r="S65">
        <f t="shared" ca="1" si="12"/>
        <v>0.65236565656565648</v>
      </c>
    </row>
    <row r="66" spans="1:19" x14ac:dyDescent="0.35">
      <c r="A66">
        <f ca="1"/>
        <v>1.45</v>
      </c>
      <c r="B66">
        <f ca="1"/>
        <v>5.4999999999999997E-3</v>
      </c>
      <c r="C66">
        <f t="shared" ca="1" si="9"/>
        <v>8.4365201874574414E-3</v>
      </c>
      <c r="D66">
        <f ca="1"/>
        <v>0.64800000000000002</v>
      </c>
      <c r="I66">
        <f t="shared" ca="1" si="1"/>
        <v>5.1277134986225893E-3</v>
      </c>
      <c r="J66">
        <f t="shared" ca="1" si="10"/>
        <v>9.2331313131313139E-2</v>
      </c>
      <c r="L66">
        <f t="shared" ca="1" si="3"/>
        <v>5.1374910723395572E-3</v>
      </c>
      <c r="M66">
        <f t="shared" ca="1" si="4"/>
        <v>0.32042323232323228</v>
      </c>
      <c r="O66">
        <f t="shared" ca="1" si="5"/>
        <v>6.0653927158421739E-3</v>
      </c>
      <c r="P66">
        <f t="shared" ca="1" si="11"/>
        <v>-2.7005050505050508E-2</v>
      </c>
      <c r="R66">
        <f t="shared" ca="1" si="7"/>
        <v>9.1107289445914123E-3</v>
      </c>
      <c r="S66">
        <f t="shared" ca="1" si="12"/>
        <v>0.65321919191919187</v>
      </c>
    </row>
    <row r="67" spans="1:19" x14ac:dyDescent="0.35">
      <c r="A67">
        <f ca="1"/>
        <v>1.5</v>
      </c>
      <c r="B67">
        <f ca="1"/>
        <v>5.5199999999999997E-3</v>
      </c>
      <c r="C67">
        <f t="shared" ca="1" si="9"/>
        <v>1.0103655444653142E-2</v>
      </c>
      <c r="D67">
        <f ca="1"/>
        <v>0.66010000000000002</v>
      </c>
      <c r="I67">
        <f t="shared" ca="1" si="1"/>
        <v>5.1257024793388431E-3</v>
      </c>
      <c r="J67">
        <f t="shared" ca="1" si="10"/>
        <v>9.3981818181818208E-2</v>
      </c>
      <c r="L67">
        <f t="shared" ca="1" si="3"/>
        <v>5.1349586776859501E-3</v>
      </c>
      <c r="M67">
        <f t="shared" ca="1" si="4"/>
        <v>0.31590909090909086</v>
      </c>
      <c r="O67">
        <f t="shared" ca="1" si="5"/>
        <v>6.036822767772977E-3</v>
      </c>
      <c r="P67">
        <f t="shared" ca="1" si="11"/>
        <v>-2.6545454545454549E-2</v>
      </c>
      <c r="R67">
        <f t="shared" ca="1" si="7"/>
        <v>9.2274666952010323E-3</v>
      </c>
      <c r="S67">
        <f t="shared" ca="1" si="12"/>
        <v>0.65407272727272725</v>
      </c>
    </row>
    <row r="68" spans="1:19" x14ac:dyDescent="0.35">
      <c r="A68">
        <f ca="1"/>
        <v>1.55</v>
      </c>
      <c r="B68">
        <f ca="1"/>
        <v>5.5500000000000002E-3</v>
      </c>
      <c r="C68">
        <f t="shared" ca="1" si="9"/>
        <v>1.2173496656513233E-2</v>
      </c>
      <c r="D68">
        <f ca="1"/>
        <v>0.6724</v>
      </c>
      <c r="I68">
        <f t="shared" ca="1" si="1"/>
        <v>5.123746556473829E-3</v>
      </c>
      <c r="J68">
        <f t="shared" ca="1" si="10"/>
        <v>9.5632323232323249E-2</v>
      </c>
      <c r="L68">
        <f t="shared" ca="1" si="3"/>
        <v>5.1324956637077849E-3</v>
      </c>
      <c r="M68">
        <f t="shared" ca="1" si="4"/>
        <v>0.31139494949494945</v>
      </c>
      <c r="O68">
        <f t="shared" ca="1" si="5"/>
        <v>6.0087808908189724E-3</v>
      </c>
      <c r="P68">
        <f t="shared" ca="1" si="11"/>
        <v>-2.6085858585858587E-2</v>
      </c>
      <c r="R68">
        <f t="shared" ca="1" si="7"/>
        <v>9.3460257523099895E-3</v>
      </c>
      <c r="S68">
        <f t="shared" ca="1" si="12"/>
        <v>0.65492626262626263</v>
      </c>
    </row>
    <row r="69" spans="1:19" x14ac:dyDescent="0.35">
      <c r="A69">
        <f ca="1"/>
        <v>1.6</v>
      </c>
      <c r="B69">
        <f ca="1"/>
        <v>5.5700000000000003E-3</v>
      </c>
      <c r="C69">
        <f t="shared" ref="C69:C132" ca="1" si="13">IF(ISBLANK(D69), "",
IF(D69 &lt; $G$9,
    $G$10 + $G$19 * ($G$23 * (D69 - $G$9))^2 + $G$21 * (1 - (D69 - $G$6)/($G$9 - $G$6)),
IF(D69 &gt; $G$13,
    $G$14 + $G$19 * ($G$23 * (D69 - $G$13))^2 - $G$22 * (1 - (D69 - $G$6)/($G$13 - $G$6)),
IF(D69 &lt; $G$6,
    $G$16 * (D69 - $G$6)^2 + $G$5,
    $G$17 * (D69 - $G$6)^2 + $G$5))))</f>
        <v>1.4643015845705517E-2</v>
      </c>
      <c r="D69">
        <f ca="1"/>
        <v>0.68479999999999996</v>
      </c>
      <c r="I69">
        <f t="shared" ref="I69:I103" ca="1" si="14">$G$16 * (J69 - $G$6)^2 + $G$5</f>
        <v>5.1218457300275478E-3</v>
      </c>
      <c r="J69">
        <f t="shared" ref="J69:J100" ca="1" si="15">$G$9 + ($G$6 - $G$9) * (ROW(B66)-1)/99</f>
        <v>9.728282828282829E-2</v>
      </c>
      <c r="L69">
        <f t="shared" ref="L69:L103" ca="1" si="16">$G$17 * (M69 - $G$6)^2 + $G$5</f>
        <v>5.1301020304050605E-3</v>
      </c>
      <c r="M69">
        <f t="shared" ref="M69:M103" ca="1" si="17">$G$13 + ($G$6 - $G$13) * (ROW(F66)-1)/99</f>
        <v>0.30688080808080803</v>
      </c>
      <c r="O69">
        <f t="shared" ref="O69:O103" ca="1" si="18">$G$10 + $G$19 * ($G$23 * (P69 - $G$9))^2 + $G$21 * (1 - (P69 - $G$6)/($G$9 - $G$6))</f>
        <v>5.981267084980162E-3</v>
      </c>
      <c r="P69">
        <f t="shared" ref="P69:P100" ca="1" si="19">$G$26 + ($G$9 - $G$26) * (ROW(B66)-1)/99</f>
        <v>-2.5626262626262625E-2</v>
      </c>
      <c r="R69">
        <f t="shared" ref="R69:R103" ca="1" si="20">$G$14 + $G$19 * ($G$23 * (S69 - $G$13))^2 - $G$22 * (1 - (S69 - $G$6)/($G$13 - $G$6))</f>
        <v>9.4664061159182682E-3</v>
      </c>
      <c r="S69">
        <f t="shared" ref="S69:S100" ca="1" si="21">$G$13 + ($G$25 - $G$13) * (ROW(B66)-1)/99</f>
        <v>0.65577979797979791</v>
      </c>
    </row>
    <row r="70" spans="1:19" x14ac:dyDescent="0.35">
      <c r="C70" t="str">
        <f t="shared" si="13"/>
        <v/>
      </c>
      <c r="I70">
        <f t="shared" ca="1" si="14"/>
        <v>5.1199999999999996E-3</v>
      </c>
      <c r="J70">
        <f t="shared" ca="1" si="15"/>
        <v>9.8933333333333359E-2</v>
      </c>
      <c r="L70">
        <f t="shared" ca="1" si="16"/>
        <v>5.127777777777778E-3</v>
      </c>
      <c r="M70">
        <f t="shared" ca="1" si="17"/>
        <v>0.30236666666666667</v>
      </c>
      <c r="O70">
        <f t="shared" ca="1" si="18"/>
        <v>5.9542813502565422E-3</v>
      </c>
      <c r="P70">
        <f t="shared" ca="1" si="19"/>
        <v>-2.5166666666666667E-2</v>
      </c>
      <c r="R70">
        <f t="shared" ca="1" si="20"/>
        <v>9.5886077860258996E-3</v>
      </c>
      <c r="S70">
        <f t="shared" ca="1" si="21"/>
        <v>0.65663333333333329</v>
      </c>
    </row>
    <row r="71" spans="1:19" x14ac:dyDescent="0.35">
      <c r="C71" t="str">
        <f t="shared" si="13"/>
        <v/>
      </c>
      <c r="I71">
        <f t="shared" ca="1" si="14"/>
        <v>5.1182093663911842E-3</v>
      </c>
      <c r="J71">
        <f t="shared" ca="1" si="15"/>
        <v>0.1005838383838384</v>
      </c>
      <c r="L71">
        <f t="shared" ca="1" si="16"/>
        <v>5.1255229058259364E-3</v>
      </c>
      <c r="M71">
        <f t="shared" ca="1" si="17"/>
        <v>0.29785252525252526</v>
      </c>
      <c r="O71">
        <f t="shared" ca="1" si="18"/>
        <v>5.9278236866481147E-3</v>
      </c>
      <c r="P71">
        <f t="shared" ca="1" si="19"/>
        <v>-2.4707070707070709E-2</v>
      </c>
      <c r="R71">
        <f t="shared" ca="1" si="20"/>
        <v>9.7126307626328665E-3</v>
      </c>
      <c r="S71">
        <f t="shared" ca="1" si="21"/>
        <v>0.65748686868686868</v>
      </c>
    </row>
    <row r="72" spans="1:19" x14ac:dyDescent="0.35">
      <c r="C72" t="str">
        <f t="shared" si="13"/>
        <v/>
      </c>
      <c r="I72">
        <f t="shared" ca="1" si="14"/>
        <v>5.1164738292011017E-3</v>
      </c>
      <c r="J72">
        <f t="shared" ca="1" si="15"/>
        <v>0.10223434343434346</v>
      </c>
      <c r="L72">
        <f t="shared" ca="1" si="16"/>
        <v>5.1233374145495357E-3</v>
      </c>
      <c r="M72">
        <f t="shared" ca="1" si="17"/>
        <v>0.29333838383838379</v>
      </c>
      <c r="O72">
        <f t="shared" ca="1" si="18"/>
        <v>5.9018940941548805E-3</v>
      </c>
      <c r="P72">
        <f t="shared" ca="1" si="19"/>
        <v>-2.4247474747474747E-2</v>
      </c>
      <c r="R72">
        <f t="shared" ca="1" si="20"/>
        <v>9.8384750457391548E-3</v>
      </c>
      <c r="S72">
        <f t="shared" ca="1" si="21"/>
        <v>0.65834040404040395</v>
      </c>
    </row>
    <row r="73" spans="1:19" x14ac:dyDescent="0.35">
      <c r="C73" t="str">
        <f t="shared" si="13"/>
        <v/>
      </c>
      <c r="I73">
        <f t="shared" ca="1" si="14"/>
        <v>5.1147933884297522E-3</v>
      </c>
      <c r="J73">
        <f t="shared" ca="1" si="15"/>
        <v>0.1038848484848485</v>
      </c>
      <c r="L73">
        <f t="shared" ca="1" si="16"/>
        <v>5.1212213039485768E-3</v>
      </c>
      <c r="M73">
        <f t="shared" ca="1" si="17"/>
        <v>0.28882424242424237</v>
      </c>
      <c r="O73">
        <f t="shared" ca="1" si="18"/>
        <v>5.8764925727768378E-3</v>
      </c>
      <c r="P73">
        <f t="shared" ca="1" si="19"/>
        <v>-2.3787878787878788E-2</v>
      </c>
      <c r="R73">
        <f t="shared" ca="1" si="20"/>
        <v>9.9661406353447959E-3</v>
      </c>
      <c r="S73">
        <f t="shared" ca="1" si="21"/>
        <v>0.65919393939393933</v>
      </c>
    </row>
    <row r="74" spans="1:19" x14ac:dyDescent="0.35">
      <c r="C74" t="str">
        <f t="shared" si="13"/>
        <v/>
      </c>
      <c r="I74">
        <f t="shared" ca="1" si="14"/>
        <v>5.1131680440771347E-3</v>
      </c>
      <c r="J74">
        <f t="shared" ca="1" si="15"/>
        <v>0.10553535353535355</v>
      </c>
      <c r="L74">
        <f t="shared" ca="1" si="16"/>
        <v>5.1191745740230589E-3</v>
      </c>
      <c r="M74">
        <f t="shared" ca="1" si="17"/>
        <v>0.28431010101010096</v>
      </c>
      <c r="O74">
        <f t="shared" ca="1" si="18"/>
        <v>5.8516191225139883E-3</v>
      </c>
      <c r="P74">
        <f t="shared" ca="1" si="19"/>
        <v>-2.332828282828283E-2</v>
      </c>
      <c r="R74">
        <f t="shared" ca="1" si="20"/>
        <v>1.0095627531449774E-2</v>
      </c>
      <c r="S74">
        <f t="shared" ca="1" si="21"/>
        <v>0.66004747474747472</v>
      </c>
    </row>
    <row r="75" spans="1:19" x14ac:dyDescent="0.35">
      <c r="C75" t="str">
        <f t="shared" si="13"/>
        <v/>
      </c>
      <c r="I75">
        <f t="shared" ca="1" si="14"/>
        <v>5.111597796143251E-3</v>
      </c>
      <c r="J75">
        <f t="shared" ca="1" si="15"/>
        <v>0.10718585858585861</v>
      </c>
      <c r="L75">
        <f t="shared" ca="1" si="16"/>
        <v>5.1171972247729819E-3</v>
      </c>
      <c r="M75">
        <f t="shared" ca="1" si="17"/>
        <v>0.27979595959595954</v>
      </c>
      <c r="O75">
        <f t="shared" ca="1" si="18"/>
        <v>5.8272737433663312E-3</v>
      </c>
      <c r="P75">
        <f t="shared" ca="1" si="19"/>
        <v>-2.2868686868686872E-2</v>
      </c>
      <c r="R75">
        <f t="shared" ca="1" si="20"/>
        <v>1.0226935734054088E-2</v>
      </c>
      <c r="S75">
        <f t="shared" ca="1" si="21"/>
        <v>0.6609010101010101</v>
      </c>
    </row>
    <row r="76" spans="1:19" x14ac:dyDescent="0.35">
      <c r="C76" t="str">
        <f t="shared" si="13"/>
        <v/>
      </c>
      <c r="I76">
        <f t="shared" ca="1" si="14"/>
        <v>5.1100826446280993E-3</v>
      </c>
      <c r="J76">
        <f t="shared" ca="1" si="15"/>
        <v>0.10883636363636365</v>
      </c>
      <c r="L76">
        <f t="shared" ca="1" si="16"/>
        <v>5.1152892561983467E-3</v>
      </c>
      <c r="M76">
        <f t="shared" ca="1" si="17"/>
        <v>0.27528181818181813</v>
      </c>
      <c r="O76">
        <f t="shared" ca="1" si="18"/>
        <v>5.8034564353338647E-3</v>
      </c>
      <c r="P76">
        <f t="shared" ca="1" si="19"/>
        <v>-2.2409090909090913E-2</v>
      </c>
      <c r="R76">
        <f t="shared" ca="1" si="20"/>
        <v>1.0360065243157725E-2</v>
      </c>
      <c r="S76">
        <f t="shared" ca="1" si="21"/>
        <v>0.66175454545454537</v>
      </c>
    </row>
    <row r="77" spans="1:19" x14ac:dyDescent="0.35">
      <c r="C77" t="str">
        <f t="shared" si="13"/>
        <v/>
      </c>
      <c r="I77">
        <f t="shared" ca="1" si="14"/>
        <v>5.1086225895316806E-3</v>
      </c>
      <c r="J77">
        <f t="shared" ca="1" si="15"/>
        <v>0.11048686868686872</v>
      </c>
      <c r="L77">
        <f t="shared" ca="1" si="16"/>
        <v>5.1134506682991533E-3</v>
      </c>
      <c r="M77">
        <f t="shared" ca="1" si="17"/>
        <v>0.27076767676767671</v>
      </c>
      <c r="O77">
        <f t="shared" ca="1" si="18"/>
        <v>5.7801671984165914E-3</v>
      </c>
      <c r="P77">
        <f t="shared" ca="1" si="19"/>
        <v>-2.1949494949494948E-2</v>
      </c>
      <c r="R77">
        <f t="shared" ca="1" si="20"/>
        <v>1.0495016058760714E-2</v>
      </c>
      <c r="S77">
        <f t="shared" ca="1" si="21"/>
        <v>0.66260808080808076</v>
      </c>
    </row>
    <row r="78" spans="1:19" x14ac:dyDescent="0.35">
      <c r="C78" t="str">
        <f t="shared" si="13"/>
        <v/>
      </c>
      <c r="I78">
        <f t="shared" ca="1" si="14"/>
        <v>5.1072176308539947E-3</v>
      </c>
      <c r="J78">
        <f t="shared" ca="1" si="15"/>
        <v>0.11213737373737376</v>
      </c>
      <c r="L78">
        <f t="shared" ca="1" si="16"/>
        <v>5.1116814610753999E-3</v>
      </c>
      <c r="M78">
        <f t="shared" ca="1" si="17"/>
        <v>0.2662535353535353</v>
      </c>
      <c r="O78">
        <f t="shared" ca="1" si="18"/>
        <v>5.7574060326145114E-3</v>
      </c>
      <c r="P78">
        <f t="shared" ca="1" si="19"/>
        <v>-2.148989898989899E-2</v>
      </c>
      <c r="R78">
        <f t="shared" ca="1" si="20"/>
        <v>1.0631788180863038E-2</v>
      </c>
      <c r="S78">
        <f t="shared" ca="1" si="21"/>
        <v>0.66346161616161614</v>
      </c>
    </row>
    <row r="79" spans="1:19" x14ac:dyDescent="0.35">
      <c r="C79" t="str">
        <f t="shared" si="13"/>
        <v/>
      </c>
      <c r="I79">
        <f t="shared" ca="1" si="14"/>
        <v>5.105867768595041E-3</v>
      </c>
      <c r="J79">
        <f t="shared" ca="1" si="15"/>
        <v>0.1137878787878788</v>
      </c>
      <c r="L79">
        <f t="shared" ca="1" si="16"/>
        <v>5.1099816345270893E-3</v>
      </c>
      <c r="M79">
        <f t="shared" ca="1" si="17"/>
        <v>0.26173939393939388</v>
      </c>
      <c r="O79">
        <f t="shared" ca="1" si="18"/>
        <v>5.7351729379276229E-3</v>
      </c>
      <c r="P79">
        <f t="shared" ca="1" si="19"/>
        <v>-2.1030303030303031E-2</v>
      </c>
      <c r="R79">
        <f t="shared" ca="1" si="20"/>
        <v>1.07703816094647E-2</v>
      </c>
      <c r="S79">
        <f t="shared" ca="1" si="21"/>
        <v>0.66431515151515153</v>
      </c>
    </row>
    <row r="80" spans="1:19" x14ac:dyDescent="0.35">
      <c r="C80" t="str">
        <f t="shared" si="13"/>
        <v/>
      </c>
      <c r="I80">
        <f t="shared" ca="1" si="14"/>
        <v>5.1045730027548209E-3</v>
      </c>
      <c r="J80">
        <f t="shared" ca="1" si="15"/>
        <v>0.11543838383838385</v>
      </c>
      <c r="L80">
        <f t="shared" ca="1" si="16"/>
        <v>5.1083511886542187E-3</v>
      </c>
      <c r="M80">
        <f t="shared" ca="1" si="17"/>
        <v>0.25722525252525247</v>
      </c>
      <c r="O80">
        <f t="shared" ca="1" si="18"/>
        <v>5.7134679143559268E-3</v>
      </c>
      <c r="P80">
        <f t="shared" ca="1" si="19"/>
        <v>-2.0570707070707073E-2</v>
      </c>
      <c r="R80">
        <f t="shared" ca="1" si="20"/>
        <v>1.0910796344565682E-2</v>
      </c>
      <c r="S80">
        <f t="shared" ca="1" si="21"/>
        <v>0.6651686868686868</v>
      </c>
    </row>
    <row r="81" spans="3:19" x14ac:dyDescent="0.35">
      <c r="C81" t="str">
        <f t="shared" si="13"/>
        <v/>
      </c>
      <c r="I81">
        <f t="shared" ca="1" si="14"/>
        <v>5.103333333333333E-3</v>
      </c>
      <c r="J81">
        <f t="shared" ca="1" si="15"/>
        <v>0.1170888888888889</v>
      </c>
      <c r="L81">
        <f t="shared" ca="1" si="16"/>
        <v>5.1067901234567899E-3</v>
      </c>
      <c r="M81">
        <f t="shared" ca="1" si="17"/>
        <v>0.25271111111111111</v>
      </c>
      <c r="O81">
        <f t="shared" ca="1" si="18"/>
        <v>5.692290961899423E-3</v>
      </c>
      <c r="P81">
        <f t="shared" ca="1" si="19"/>
        <v>-2.0111111111111114E-2</v>
      </c>
      <c r="R81">
        <f t="shared" ca="1" si="20"/>
        <v>1.1053032386166018E-2</v>
      </c>
      <c r="S81">
        <f t="shared" ca="1" si="21"/>
        <v>0.66602222222222218</v>
      </c>
    </row>
    <row r="82" spans="3:19" x14ac:dyDescent="0.35">
      <c r="C82" t="str">
        <f t="shared" si="13"/>
        <v/>
      </c>
      <c r="I82">
        <f t="shared" ca="1" si="14"/>
        <v>5.1021487603305788E-3</v>
      </c>
      <c r="J82">
        <f t="shared" ca="1" si="15"/>
        <v>0.11873939393939394</v>
      </c>
      <c r="L82">
        <f t="shared" ca="1" si="16"/>
        <v>5.1052984389348029E-3</v>
      </c>
      <c r="M82">
        <f t="shared" ca="1" si="17"/>
        <v>0.24819696969696969</v>
      </c>
      <c r="O82">
        <f t="shared" ca="1" si="18"/>
        <v>5.6716420805581116E-3</v>
      </c>
      <c r="P82">
        <f t="shared" ca="1" si="19"/>
        <v>-1.9651515151515156E-2</v>
      </c>
      <c r="R82">
        <f t="shared" ca="1" si="20"/>
        <v>1.1197089734265692E-2</v>
      </c>
      <c r="S82">
        <f t="shared" ca="1" si="21"/>
        <v>0.66687575757575757</v>
      </c>
    </row>
    <row r="83" spans="3:19" x14ac:dyDescent="0.35">
      <c r="C83" t="str">
        <f t="shared" si="13"/>
        <v/>
      </c>
      <c r="I83">
        <f t="shared" ca="1" si="14"/>
        <v>5.1010192837465567E-3</v>
      </c>
      <c r="J83">
        <f t="shared" ca="1" si="15"/>
        <v>0.12038989898989901</v>
      </c>
      <c r="L83">
        <f t="shared" ca="1" si="16"/>
        <v>5.1038761350882559E-3</v>
      </c>
      <c r="M83">
        <f t="shared" ca="1" si="17"/>
        <v>0.24368282828282828</v>
      </c>
      <c r="O83">
        <f t="shared" ca="1" si="18"/>
        <v>5.6515212703319925E-3</v>
      </c>
      <c r="P83">
        <f t="shared" ca="1" si="19"/>
        <v>-1.9191919191919191E-2</v>
      </c>
      <c r="R83">
        <f t="shared" ca="1" si="20"/>
        <v>1.1342968388864682E-2</v>
      </c>
      <c r="S83">
        <f t="shared" ca="1" si="21"/>
        <v>0.66772929292929284</v>
      </c>
    </row>
    <row r="84" spans="3:19" x14ac:dyDescent="0.35">
      <c r="C84" t="str">
        <f t="shared" si="13"/>
        <v/>
      </c>
      <c r="I84">
        <f t="shared" ca="1" si="14"/>
        <v>5.0999449035812675E-3</v>
      </c>
      <c r="J84">
        <f t="shared" ca="1" si="15"/>
        <v>0.12204040404040405</v>
      </c>
      <c r="L84">
        <f t="shared" ca="1" si="16"/>
        <v>5.1025232119171508E-3</v>
      </c>
      <c r="M84">
        <f t="shared" ca="1" si="17"/>
        <v>0.23916868686868686</v>
      </c>
      <c r="O84">
        <f t="shared" ca="1" si="18"/>
        <v>5.6319285312210659E-3</v>
      </c>
      <c r="P84">
        <f t="shared" ca="1" si="19"/>
        <v>-1.8732323232323239E-2</v>
      </c>
      <c r="R84">
        <f t="shared" ca="1" si="20"/>
        <v>1.149066834996303E-2</v>
      </c>
      <c r="S84">
        <f t="shared" ca="1" si="21"/>
        <v>0.66858282828282822</v>
      </c>
    </row>
    <row r="85" spans="3:19" x14ac:dyDescent="0.35">
      <c r="C85" t="str">
        <f t="shared" si="13"/>
        <v/>
      </c>
      <c r="I85">
        <f t="shared" ca="1" si="14"/>
        <v>5.0989256198347103E-3</v>
      </c>
      <c r="J85">
        <f t="shared" ca="1" si="15"/>
        <v>0.12369090909090912</v>
      </c>
      <c r="L85">
        <f t="shared" ca="1" si="16"/>
        <v>5.1012396694214875E-3</v>
      </c>
      <c r="M85">
        <f t="shared" ca="1" si="17"/>
        <v>0.23465454545454545</v>
      </c>
      <c r="O85">
        <f t="shared" ca="1" si="18"/>
        <v>5.6128638632253315E-3</v>
      </c>
      <c r="P85">
        <f t="shared" ca="1" si="19"/>
        <v>-1.8272727272727274E-2</v>
      </c>
      <c r="R85">
        <f t="shared" ca="1" si="20"/>
        <v>1.1640189617560715E-2</v>
      </c>
      <c r="S85">
        <f t="shared" ca="1" si="21"/>
        <v>0.66943636363636361</v>
      </c>
    </row>
    <row r="86" spans="3:19" x14ac:dyDescent="0.35">
      <c r="C86" t="str">
        <f t="shared" si="13"/>
        <v/>
      </c>
      <c r="I86">
        <f t="shared" ca="1" si="14"/>
        <v>5.0979614325068869E-3</v>
      </c>
      <c r="J86">
        <f t="shared" ca="1" si="15"/>
        <v>0.12534141414141414</v>
      </c>
      <c r="L86">
        <f t="shared" ca="1" si="16"/>
        <v>5.1000255076012651E-3</v>
      </c>
      <c r="M86">
        <f t="shared" ca="1" si="17"/>
        <v>0.23014040404040403</v>
      </c>
      <c r="O86">
        <f t="shared" ca="1" si="18"/>
        <v>5.5943272663447896E-3</v>
      </c>
      <c r="P86">
        <f t="shared" ca="1" si="19"/>
        <v>-1.7813131313131315E-2</v>
      </c>
      <c r="R86">
        <f t="shared" ca="1" si="20"/>
        <v>1.1791532191657735E-2</v>
      </c>
      <c r="S86">
        <f t="shared" ca="1" si="21"/>
        <v>0.67028989898989899</v>
      </c>
    </row>
    <row r="87" spans="3:19" x14ac:dyDescent="0.35">
      <c r="C87" t="str">
        <f t="shared" si="13"/>
        <v/>
      </c>
      <c r="I87">
        <f t="shared" ca="1" si="14"/>
        <v>5.0970523415977964E-3</v>
      </c>
      <c r="J87">
        <f t="shared" ca="1" si="15"/>
        <v>0.12699191919191918</v>
      </c>
      <c r="L87">
        <f t="shared" ca="1" si="16"/>
        <v>5.0988807264564836E-3</v>
      </c>
      <c r="M87">
        <f t="shared" ca="1" si="17"/>
        <v>0.22562626262626262</v>
      </c>
      <c r="O87">
        <f t="shared" ca="1" si="18"/>
        <v>5.57631874057944E-3</v>
      </c>
      <c r="P87">
        <f t="shared" ca="1" si="19"/>
        <v>-1.7353535353535357E-2</v>
      </c>
      <c r="R87">
        <f t="shared" ca="1" si="20"/>
        <v>1.1944696072254072E-2</v>
      </c>
      <c r="S87">
        <f t="shared" ca="1" si="21"/>
        <v>0.67114343434343426</v>
      </c>
    </row>
    <row r="88" spans="3:19" x14ac:dyDescent="0.35">
      <c r="C88" t="str">
        <f t="shared" si="13"/>
        <v/>
      </c>
      <c r="I88">
        <f t="shared" ca="1" si="14"/>
        <v>5.096198347107438E-3</v>
      </c>
      <c r="J88">
        <f t="shared" ca="1" si="15"/>
        <v>0.12864242424242425</v>
      </c>
      <c r="L88">
        <f t="shared" ca="1" si="16"/>
        <v>5.0978053259871439E-3</v>
      </c>
      <c r="M88">
        <f t="shared" ca="1" si="17"/>
        <v>0.22111212121212115</v>
      </c>
      <c r="O88">
        <f t="shared" ca="1" si="18"/>
        <v>5.558838285929282E-3</v>
      </c>
      <c r="P88">
        <f t="shared" ca="1" si="19"/>
        <v>-1.6893939393939392E-2</v>
      </c>
      <c r="R88">
        <f t="shared" ca="1" si="20"/>
        <v>1.2099681259349765E-2</v>
      </c>
      <c r="S88">
        <f t="shared" ca="1" si="21"/>
        <v>0.67199696969696965</v>
      </c>
    </row>
    <row r="89" spans="3:19" x14ac:dyDescent="0.35">
      <c r="C89" t="str">
        <f t="shared" si="13"/>
        <v/>
      </c>
      <c r="I89">
        <f t="shared" ca="1" si="14"/>
        <v>5.0953994490358125E-3</v>
      </c>
      <c r="J89">
        <f t="shared" ca="1" si="15"/>
        <v>0.13029292929292929</v>
      </c>
      <c r="L89">
        <f t="shared" ca="1" si="16"/>
        <v>5.0967993061932452E-3</v>
      </c>
      <c r="M89">
        <f t="shared" ca="1" si="17"/>
        <v>0.21659797979797973</v>
      </c>
      <c r="O89">
        <f t="shared" ca="1" si="18"/>
        <v>5.5418859023943171E-3</v>
      </c>
      <c r="P89">
        <f t="shared" ca="1" si="19"/>
        <v>-1.643434343434344E-2</v>
      </c>
      <c r="R89">
        <f t="shared" ca="1" si="20"/>
        <v>1.2256487752944795E-2</v>
      </c>
      <c r="S89">
        <f t="shared" ca="1" si="21"/>
        <v>0.67285050505050503</v>
      </c>
    </row>
    <row r="90" spans="3:19" x14ac:dyDescent="0.35">
      <c r="C90" t="str">
        <f t="shared" si="13"/>
        <v/>
      </c>
      <c r="I90">
        <f t="shared" ca="1" si="14"/>
        <v>5.0946556473829199E-3</v>
      </c>
      <c r="J90">
        <f t="shared" ca="1" si="15"/>
        <v>0.13194343434343436</v>
      </c>
      <c r="L90">
        <f t="shared" ca="1" si="16"/>
        <v>5.0958626670747883E-3</v>
      </c>
      <c r="M90">
        <f t="shared" ca="1" si="17"/>
        <v>0.21208383838383832</v>
      </c>
      <c r="O90">
        <f t="shared" ca="1" si="18"/>
        <v>5.5254615899745447E-3</v>
      </c>
      <c r="P90">
        <f t="shared" ca="1" si="19"/>
        <v>-1.5974747474747475E-2</v>
      </c>
      <c r="R90">
        <f t="shared" ca="1" si="20"/>
        <v>1.2415115553039166E-2</v>
      </c>
      <c r="S90">
        <f t="shared" ca="1" si="21"/>
        <v>0.67370404040404042</v>
      </c>
    </row>
    <row r="91" spans="3:19" x14ac:dyDescent="0.35">
      <c r="C91" t="str">
        <f t="shared" si="13"/>
        <v/>
      </c>
      <c r="I91">
        <f t="shared" ca="1" si="14"/>
        <v>5.0939669421487602E-3</v>
      </c>
      <c r="J91">
        <f t="shared" ca="1" si="15"/>
        <v>0.1335939393939394</v>
      </c>
      <c r="L91">
        <f t="shared" ca="1" si="16"/>
        <v>5.0949954086317722E-3</v>
      </c>
      <c r="M91">
        <f t="shared" ca="1" si="17"/>
        <v>0.2075696969696969</v>
      </c>
      <c r="O91">
        <f t="shared" ca="1" si="18"/>
        <v>5.5095653486699646E-3</v>
      </c>
      <c r="P91">
        <f t="shared" ca="1" si="19"/>
        <v>-1.5515151515151517E-2</v>
      </c>
      <c r="R91">
        <f t="shared" ca="1" si="20"/>
        <v>1.2575564659632849E-2</v>
      </c>
      <c r="S91">
        <f t="shared" ca="1" si="21"/>
        <v>0.67455757575757569</v>
      </c>
    </row>
    <row r="92" spans="3:19" x14ac:dyDescent="0.35">
      <c r="C92" t="str">
        <f t="shared" si="13"/>
        <v/>
      </c>
      <c r="I92">
        <f t="shared" ca="1" si="14"/>
        <v>5.0933333333333334E-3</v>
      </c>
      <c r="J92">
        <f t="shared" ca="1" si="15"/>
        <v>0.13524444444444444</v>
      </c>
      <c r="L92">
        <f t="shared" ca="1" si="16"/>
        <v>5.0941975308641972E-3</v>
      </c>
      <c r="M92">
        <f t="shared" ca="1" si="17"/>
        <v>0.20305555555555554</v>
      </c>
      <c r="O92">
        <f t="shared" ca="1" si="18"/>
        <v>5.4941971784805759E-3</v>
      </c>
      <c r="P92">
        <f t="shared" ca="1" si="19"/>
        <v>-1.5055555555555558E-2</v>
      </c>
      <c r="R92">
        <f t="shared" ca="1" si="20"/>
        <v>1.2737835072725892E-2</v>
      </c>
      <c r="S92">
        <f t="shared" ca="1" si="21"/>
        <v>0.67541111111111107</v>
      </c>
    </row>
    <row r="93" spans="3:19" x14ac:dyDescent="0.35">
      <c r="C93" t="str">
        <f t="shared" si="13"/>
        <v/>
      </c>
      <c r="I93">
        <f t="shared" ca="1" si="14"/>
        <v>5.0927548209366387E-3</v>
      </c>
      <c r="J93">
        <f t="shared" ca="1" si="15"/>
        <v>0.13689494949494951</v>
      </c>
      <c r="L93">
        <f t="shared" ca="1" si="16"/>
        <v>5.0934690337720639E-3</v>
      </c>
      <c r="M93">
        <f t="shared" ca="1" si="17"/>
        <v>0.19854141414141413</v>
      </c>
      <c r="O93">
        <f t="shared" ca="1" si="18"/>
        <v>5.4793570794063797E-3</v>
      </c>
      <c r="P93">
        <f t="shared" ca="1" si="19"/>
        <v>-1.4595959595959593E-2</v>
      </c>
      <c r="R93">
        <f t="shared" ca="1" si="20"/>
        <v>1.2901926792318269E-2</v>
      </c>
      <c r="S93">
        <f t="shared" ca="1" si="21"/>
        <v>0.67626464646464646</v>
      </c>
    </row>
    <row r="94" spans="3:19" x14ac:dyDescent="0.35">
      <c r="C94" t="str">
        <f t="shared" si="13"/>
        <v/>
      </c>
      <c r="I94">
        <f t="shared" ca="1" si="14"/>
        <v>5.0922314049586777E-3</v>
      </c>
      <c r="J94">
        <f t="shared" ca="1" si="15"/>
        <v>0.13854545454545455</v>
      </c>
      <c r="L94">
        <f t="shared" ca="1" si="16"/>
        <v>5.0928099173553716E-3</v>
      </c>
      <c r="M94">
        <f t="shared" ca="1" si="17"/>
        <v>0.19402727272727271</v>
      </c>
      <c r="O94">
        <f t="shared" ca="1" si="18"/>
        <v>5.4650450514473767E-3</v>
      </c>
      <c r="P94">
        <f t="shared" ca="1" si="19"/>
        <v>-1.4136363636363641E-2</v>
      </c>
      <c r="R94">
        <f t="shared" ca="1" si="20"/>
        <v>1.3067839818409964E-2</v>
      </c>
      <c r="S94">
        <f t="shared" ca="1" si="21"/>
        <v>0.67711818181818173</v>
      </c>
    </row>
    <row r="95" spans="3:19" x14ac:dyDescent="0.35">
      <c r="C95" t="str">
        <f t="shared" si="13"/>
        <v/>
      </c>
      <c r="I95">
        <f t="shared" ca="1" si="14"/>
        <v>5.0917630853994488E-3</v>
      </c>
      <c r="J95">
        <f t="shared" ca="1" si="15"/>
        <v>0.14019595959595962</v>
      </c>
      <c r="L95">
        <f t="shared" ca="1" si="16"/>
        <v>5.092220181614121E-3</v>
      </c>
      <c r="M95">
        <f t="shared" ca="1" si="17"/>
        <v>0.1895131313131313</v>
      </c>
      <c r="O95">
        <f t="shared" ca="1" si="18"/>
        <v>5.4512610946035661E-3</v>
      </c>
      <c r="P95">
        <f t="shared" ca="1" si="19"/>
        <v>-1.3676767676767676E-2</v>
      </c>
      <c r="R95">
        <f t="shared" ca="1" si="20"/>
        <v>1.3235574151001015E-2</v>
      </c>
      <c r="S95">
        <f t="shared" ca="1" si="21"/>
        <v>0.67797171717171711</v>
      </c>
    </row>
    <row r="96" spans="3:19" x14ac:dyDescent="0.35">
      <c r="C96" t="str">
        <f t="shared" si="13"/>
        <v/>
      </c>
      <c r="I96">
        <f t="shared" ca="1" si="14"/>
        <v>5.0913498622589528E-3</v>
      </c>
      <c r="J96">
        <f t="shared" ca="1" si="15"/>
        <v>0.14184646464646467</v>
      </c>
      <c r="L96">
        <f t="shared" ca="1" si="16"/>
        <v>5.0916998265483114E-3</v>
      </c>
      <c r="M96">
        <f t="shared" ca="1" si="17"/>
        <v>0.18499898989898989</v>
      </c>
      <c r="O96">
        <f t="shared" ca="1" si="18"/>
        <v>5.4380052088749461E-3</v>
      </c>
      <c r="P96">
        <f t="shared" ca="1" si="19"/>
        <v>-1.3217171717171718E-2</v>
      </c>
      <c r="R96">
        <f t="shared" ca="1" si="20"/>
        <v>1.3405129790091405E-2</v>
      </c>
      <c r="S96">
        <f t="shared" ca="1" si="21"/>
        <v>0.6788252525252525</v>
      </c>
    </row>
    <row r="97" spans="3:19" x14ac:dyDescent="0.35">
      <c r="C97" t="str">
        <f t="shared" si="13"/>
        <v/>
      </c>
      <c r="I97">
        <f t="shared" ca="1" si="14"/>
        <v>5.0909917355371898E-3</v>
      </c>
      <c r="J97">
        <f t="shared" ca="1" si="15"/>
        <v>0.14349696969696971</v>
      </c>
      <c r="L97">
        <f t="shared" ca="1" si="16"/>
        <v>5.0912488521579428E-3</v>
      </c>
      <c r="M97">
        <f t="shared" ca="1" si="17"/>
        <v>0.18048484848484847</v>
      </c>
      <c r="O97">
        <f t="shared" ca="1" si="18"/>
        <v>5.4252773942615202E-3</v>
      </c>
      <c r="P97">
        <f t="shared" ca="1" si="19"/>
        <v>-1.2757575757575759E-2</v>
      </c>
      <c r="R97">
        <f t="shared" ca="1" si="20"/>
        <v>1.3576506735681131E-2</v>
      </c>
      <c r="S97">
        <f t="shared" ca="1" si="21"/>
        <v>0.67967878787878788</v>
      </c>
    </row>
    <row r="98" spans="3:19" x14ac:dyDescent="0.35">
      <c r="C98" t="str">
        <f t="shared" si="13"/>
        <v/>
      </c>
      <c r="I98">
        <f t="shared" ca="1" si="14"/>
        <v>5.0906887052341596E-3</v>
      </c>
      <c r="J98">
        <f t="shared" ca="1" si="15"/>
        <v>0.14514747474747475</v>
      </c>
      <c r="L98">
        <f t="shared" ca="1" si="16"/>
        <v>5.0908672584430159E-3</v>
      </c>
      <c r="M98">
        <f t="shared" ca="1" si="17"/>
        <v>0.17597070707070706</v>
      </c>
      <c r="O98">
        <f t="shared" ca="1" si="18"/>
        <v>5.4130776507632858E-3</v>
      </c>
      <c r="P98">
        <f t="shared" ca="1" si="19"/>
        <v>-1.2297979797979794E-2</v>
      </c>
      <c r="R98">
        <f t="shared" ca="1" si="20"/>
        <v>1.3749704987770173E-2</v>
      </c>
      <c r="S98">
        <f t="shared" ca="1" si="21"/>
        <v>0.68053232323232316</v>
      </c>
    </row>
    <row r="99" spans="3:19" x14ac:dyDescent="0.35">
      <c r="C99" t="str">
        <f t="shared" si="13"/>
        <v/>
      </c>
      <c r="I99">
        <f t="shared" ca="1" si="14"/>
        <v>5.0904407713498624E-3</v>
      </c>
      <c r="J99">
        <f t="shared" ca="1" si="15"/>
        <v>0.14679797979797982</v>
      </c>
      <c r="L99">
        <f t="shared" ca="1" si="16"/>
        <v>5.09055504540353E-3</v>
      </c>
      <c r="M99">
        <f t="shared" ca="1" si="17"/>
        <v>0.17145656565656564</v>
      </c>
      <c r="O99">
        <f t="shared" ca="1" si="18"/>
        <v>5.4014059783802446E-3</v>
      </c>
      <c r="P99">
        <f t="shared" ca="1" si="19"/>
        <v>-1.1838383838383842E-2</v>
      </c>
      <c r="R99">
        <f t="shared" ca="1" si="20"/>
        <v>1.3924724546358571E-2</v>
      </c>
      <c r="S99">
        <f t="shared" ca="1" si="21"/>
        <v>0.68138585858585854</v>
      </c>
    </row>
    <row r="100" spans="3:19" x14ac:dyDescent="0.35">
      <c r="C100" t="str">
        <f t="shared" si="13"/>
        <v/>
      </c>
      <c r="I100">
        <f t="shared" ca="1" si="14"/>
        <v>5.0902479338842972E-3</v>
      </c>
      <c r="J100">
        <f t="shared" ca="1" si="15"/>
        <v>0.14844848484848486</v>
      </c>
      <c r="L100">
        <f t="shared" ca="1" si="16"/>
        <v>5.0903122130394858E-3</v>
      </c>
      <c r="M100">
        <f t="shared" ca="1" si="17"/>
        <v>0.16694242424242417</v>
      </c>
      <c r="O100">
        <f t="shared" ca="1" si="18"/>
        <v>5.3902623771123941E-3</v>
      </c>
      <c r="P100">
        <f t="shared" ca="1" si="19"/>
        <v>-1.1378787878787877E-2</v>
      </c>
      <c r="R100">
        <f t="shared" ca="1" si="20"/>
        <v>1.4101565411446308E-2</v>
      </c>
      <c r="S100">
        <f t="shared" ca="1" si="21"/>
        <v>0.68223939393939392</v>
      </c>
    </row>
    <row r="101" spans="3:19" x14ac:dyDescent="0.35">
      <c r="C101" t="str">
        <f t="shared" si="13"/>
        <v/>
      </c>
      <c r="I101">
        <f t="shared" ca="1" si="14"/>
        <v>5.0901101928374657E-3</v>
      </c>
      <c r="J101">
        <f t="shared" ref="J101:J103" ca="1" si="22">$G$9 + ($G$6 - $G$9) * (ROW(B98)-1)/99</f>
        <v>0.1500989898989899</v>
      </c>
      <c r="L101">
        <f t="shared" ca="1" si="16"/>
        <v>5.0901387613508826E-3</v>
      </c>
      <c r="M101">
        <f t="shared" ca="1" si="17"/>
        <v>0.16242828282828276</v>
      </c>
      <c r="O101">
        <f t="shared" ca="1" si="18"/>
        <v>5.3796468469597377E-3</v>
      </c>
      <c r="P101">
        <f t="shared" ref="P101:P103" ca="1" si="23">$G$26 + ($G$9 - $G$26) * (ROW(B98)-1)/99</f>
        <v>-1.0919191919191919E-2</v>
      </c>
      <c r="R101">
        <f t="shared" ca="1" si="20"/>
        <v>1.428022758303338E-2</v>
      </c>
      <c r="S101">
        <f t="shared" ref="S101:S103" ca="1" si="24">$G$13 + ($G$25 - $G$13) * (ROW(B98)-1)/99</f>
        <v>0.68309292929292931</v>
      </c>
    </row>
    <row r="102" spans="3:19" x14ac:dyDescent="0.35">
      <c r="C102" t="str">
        <f t="shared" si="13"/>
        <v/>
      </c>
      <c r="I102">
        <f t="shared" ca="1" si="14"/>
        <v>5.0900275482093664E-3</v>
      </c>
      <c r="J102">
        <f t="shared" ca="1" si="22"/>
        <v>0.15174949494949494</v>
      </c>
      <c r="L102">
        <f t="shared" ca="1" si="16"/>
        <v>5.0900346903377204E-3</v>
      </c>
      <c r="M102">
        <f t="shared" ca="1" si="17"/>
        <v>0.1579141414141414</v>
      </c>
      <c r="O102">
        <f t="shared" ca="1" si="18"/>
        <v>5.3695593879222719E-3</v>
      </c>
      <c r="P102">
        <f t="shared" ca="1" si="23"/>
        <v>-1.0459595959595967E-2</v>
      </c>
      <c r="R102">
        <f t="shared" ca="1" si="20"/>
        <v>1.446071106111977E-2</v>
      </c>
      <c r="S102">
        <f t="shared" ca="1" si="24"/>
        <v>0.68394646464646458</v>
      </c>
    </row>
    <row r="103" spans="3:19" x14ac:dyDescent="0.35">
      <c r="C103" t="str">
        <f t="shared" si="13"/>
        <v/>
      </c>
      <c r="I103">
        <f t="shared" ca="1" si="14"/>
        <v>5.0899999999999999E-3</v>
      </c>
      <c r="J103">
        <f t="shared" ca="1" si="22"/>
        <v>0.15340000000000001</v>
      </c>
      <c r="L103">
        <f t="shared" ca="1" si="16"/>
        <v>5.0899999999999999E-3</v>
      </c>
      <c r="M103">
        <f t="shared" ca="1" si="17"/>
        <v>0.15339999999999998</v>
      </c>
      <c r="O103">
        <f t="shared" ca="1" si="18"/>
        <v>5.3600000000000002E-3</v>
      </c>
      <c r="P103">
        <f t="shared" ca="1" si="23"/>
        <v>-1.0000000000000002E-2</v>
      </c>
      <c r="R103">
        <f t="shared" ca="1" si="20"/>
        <v>1.4643015845705517E-2</v>
      </c>
      <c r="S103">
        <f t="shared" ca="1" si="24"/>
        <v>0.68479999999999996</v>
      </c>
    </row>
    <row r="104" spans="3:19" x14ac:dyDescent="0.35">
      <c r="C104" t="str">
        <f t="shared" si="13"/>
        <v/>
      </c>
    </row>
    <row r="105" spans="3:19" x14ac:dyDescent="0.35">
      <c r="C105" t="str">
        <f t="shared" si="13"/>
        <v/>
      </c>
    </row>
    <row r="106" spans="3:19" x14ac:dyDescent="0.35">
      <c r="C106" t="str">
        <f t="shared" si="13"/>
        <v/>
      </c>
    </row>
    <row r="107" spans="3:19" x14ac:dyDescent="0.35">
      <c r="C107" t="str">
        <f t="shared" si="13"/>
        <v/>
      </c>
    </row>
    <row r="108" spans="3:19" x14ac:dyDescent="0.35">
      <c r="C108" t="str">
        <f t="shared" si="13"/>
        <v/>
      </c>
    </row>
    <row r="109" spans="3:19" x14ac:dyDescent="0.35">
      <c r="C109" t="str">
        <f t="shared" si="13"/>
        <v/>
      </c>
    </row>
    <row r="110" spans="3:19" x14ac:dyDescent="0.35">
      <c r="C110" t="str">
        <f t="shared" si="13"/>
        <v/>
      </c>
    </row>
    <row r="111" spans="3:19" x14ac:dyDescent="0.35">
      <c r="C111" t="str">
        <f t="shared" si="13"/>
        <v/>
      </c>
    </row>
    <row r="112" spans="3:19" x14ac:dyDescent="0.35">
      <c r="C112" t="str">
        <f t="shared" si="13"/>
        <v/>
      </c>
    </row>
    <row r="113" spans="3:3" x14ac:dyDescent="0.35">
      <c r="C113" t="str">
        <f t="shared" si="13"/>
        <v/>
      </c>
    </row>
    <row r="114" spans="3:3" x14ac:dyDescent="0.35">
      <c r="C114" t="str">
        <f t="shared" si="13"/>
        <v/>
      </c>
    </row>
    <row r="115" spans="3:3" x14ac:dyDescent="0.35">
      <c r="C115" t="str">
        <f t="shared" si="13"/>
        <v/>
      </c>
    </row>
    <row r="116" spans="3:3" x14ac:dyDescent="0.35">
      <c r="C116" t="str">
        <f t="shared" si="13"/>
        <v/>
      </c>
    </row>
    <row r="117" spans="3:3" x14ac:dyDescent="0.35">
      <c r="C117" t="str">
        <f t="shared" si="13"/>
        <v/>
      </c>
    </row>
    <row r="118" spans="3:3" x14ac:dyDescent="0.35">
      <c r="C118" t="str">
        <f t="shared" si="13"/>
        <v/>
      </c>
    </row>
    <row r="119" spans="3:3" x14ac:dyDescent="0.35">
      <c r="C119" t="str">
        <f t="shared" si="13"/>
        <v/>
      </c>
    </row>
    <row r="120" spans="3:3" x14ac:dyDescent="0.35">
      <c r="C120" t="str">
        <f t="shared" si="13"/>
        <v/>
      </c>
    </row>
    <row r="121" spans="3:3" x14ac:dyDescent="0.35">
      <c r="C121" t="str">
        <f t="shared" si="13"/>
        <v/>
      </c>
    </row>
    <row r="122" spans="3:3" x14ac:dyDescent="0.35">
      <c r="C122" t="str">
        <f t="shared" si="13"/>
        <v/>
      </c>
    </row>
    <row r="123" spans="3:3" x14ac:dyDescent="0.35">
      <c r="C123" t="str">
        <f t="shared" si="13"/>
        <v/>
      </c>
    </row>
    <row r="124" spans="3:3" x14ac:dyDescent="0.35">
      <c r="C124" t="str">
        <f t="shared" si="13"/>
        <v/>
      </c>
    </row>
    <row r="125" spans="3:3" x14ac:dyDescent="0.35">
      <c r="C125" t="str">
        <f t="shared" si="13"/>
        <v/>
      </c>
    </row>
    <row r="126" spans="3:3" x14ac:dyDescent="0.35">
      <c r="C126" t="str">
        <f t="shared" si="13"/>
        <v/>
      </c>
    </row>
    <row r="127" spans="3:3" x14ac:dyDescent="0.35">
      <c r="C127" t="str">
        <f t="shared" si="13"/>
        <v/>
      </c>
    </row>
    <row r="128" spans="3:3" x14ac:dyDescent="0.35">
      <c r="C128" t="str">
        <f t="shared" si="13"/>
        <v/>
      </c>
    </row>
    <row r="129" spans="3:3" x14ac:dyDescent="0.35">
      <c r="C129" t="str">
        <f t="shared" si="13"/>
        <v/>
      </c>
    </row>
    <row r="130" spans="3:3" x14ac:dyDescent="0.35">
      <c r="C130" t="str">
        <f t="shared" si="13"/>
        <v/>
      </c>
    </row>
    <row r="131" spans="3:3" x14ac:dyDescent="0.35">
      <c r="C131" t="str">
        <f t="shared" si="13"/>
        <v/>
      </c>
    </row>
    <row r="132" spans="3:3" x14ac:dyDescent="0.35">
      <c r="C132" t="str">
        <f t="shared" si="13"/>
        <v/>
      </c>
    </row>
    <row r="133" spans="3:3" x14ac:dyDescent="0.35">
      <c r="C133" t="str">
        <f t="shared" ref="C133:C196" si="25">IF(ISBLANK(D133), "",
IF(D133 &lt; $G$9,
    $G$10 + $G$19 * ($G$23 * (D133 - $G$9))^2 + $G$21 * (1 - (D133 - $G$6)/($G$9 - $G$6)),
IF(D133 &gt; $G$13,
    $G$14 + $G$19 * ($G$23 * (D133 - $G$13))^2 - $G$22 * (1 - (D133 - $G$6)/($G$13 - $G$6)),
IF(D133 &lt; $G$6,
    $G$16 * (D133 - $G$6)^2 + $G$5,
    $G$17 * (D133 - $G$6)^2 + $G$5))))</f>
        <v/>
      </c>
    </row>
    <row r="134" spans="3:3" x14ac:dyDescent="0.35">
      <c r="C134" t="str">
        <f t="shared" si="25"/>
        <v/>
      </c>
    </row>
    <row r="135" spans="3:3" x14ac:dyDescent="0.35">
      <c r="C135" t="str">
        <f t="shared" si="25"/>
        <v/>
      </c>
    </row>
    <row r="136" spans="3:3" x14ac:dyDescent="0.35">
      <c r="C136" t="str">
        <f t="shared" si="25"/>
        <v/>
      </c>
    </row>
    <row r="137" spans="3:3" x14ac:dyDescent="0.35">
      <c r="C137" t="str">
        <f t="shared" si="25"/>
        <v/>
      </c>
    </row>
    <row r="138" spans="3:3" x14ac:dyDescent="0.35">
      <c r="C138" t="str">
        <f t="shared" si="25"/>
        <v/>
      </c>
    </row>
    <row r="139" spans="3:3" x14ac:dyDescent="0.35">
      <c r="C139" t="str">
        <f t="shared" si="25"/>
        <v/>
      </c>
    </row>
    <row r="140" spans="3:3" x14ac:dyDescent="0.35">
      <c r="C140" t="str">
        <f t="shared" si="25"/>
        <v/>
      </c>
    </row>
    <row r="141" spans="3:3" x14ac:dyDescent="0.35">
      <c r="C141" t="str">
        <f t="shared" si="25"/>
        <v/>
      </c>
    </row>
    <row r="142" spans="3:3" x14ac:dyDescent="0.35">
      <c r="C142" t="str">
        <f t="shared" si="25"/>
        <v/>
      </c>
    </row>
    <row r="143" spans="3:3" x14ac:dyDescent="0.35">
      <c r="C143" t="str">
        <f t="shared" si="25"/>
        <v/>
      </c>
    </row>
    <row r="144" spans="3:3" x14ac:dyDescent="0.35">
      <c r="C144" t="str">
        <f t="shared" si="25"/>
        <v/>
      </c>
    </row>
    <row r="145" spans="3:3" x14ac:dyDescent="0.35">
      <c r="C145" t="str">
        <f t="shared" si="25"/>
        <v/>
      </c>
    </row>
    <row r="146" spans="3:3" x14ac:dyDescent="0.35">
      <c r="C146" t="str">
        <f t="shared" si="25"/>
        <v/>
      </c>
    </row>
    <row r="147" spans="3:3" x14ac:dyDescent="0.35">
      <c r="C147" t="str">
        <f t="shared" si="25"/>
        <v/>
      </c>
    </row>
    <row r="148" spans="3:3" x14ac:dyDescent="0.35">
      <c r="C148" t="str">
        <f t="shared" si="25"/>
        <v/>
      </c>
    </row>
    <row r="149" spans="3:3" x14ac:dyDescent="0.35">
      <c r="C149" t="str">
        <f t="shared" si="25"/>
        <v/>
      </c>
    </row>
    <row r="150" spans="3:3" x14ac:dyDescent="0.35">
      <c r="C150" t="str">
        <f t="shared" si="25"/>
        <v/>
      </c>
    </row>
    <row r="151" spans="3:3" x14ac:dyDescent="0.35">
      <c r="C151" t="str">
        <f t="shared" si="25"/>
        <v/>
      </c>
    </row>
    <row r="152" spans="3:3" x14ac:dyDescent="0.35">
      <c r="C152" t="str">
        <f t="shared" si="25"/>
        <v/>
      </c>
    </row>
    <row r="153" spans="3:3" x14ac:dyDescent="0.35">
      <c r="C153" t="str">
        <f t="shared" si="25"/>
        <v/>
      </c>
    </row>
    <row r="154" spans="3:3" x14ac:dyDescent="0.35">
      <c r="C154" t="str">
        <f t="shared" si="25"/>
        <v/>
      </c>
    </row>
    <row r="155" spans="3:3" x14ac:dyDescent="0.35">
      <c r="C155" t="str">
        <f t="shared" si="25"/>
        <v/>
      </c>
    </row>
    <row r="156" spans="3:3" x14ac:dyDescent="0.35">
      <c r="C156" t="str">
        <f t="shared" si="25"/>
        <v/>
      </c>
    </row>
    <row r="157" spans="3:3" x14ac:dyDescent="0.35">
      <c r="C157" t="str">
        <f t="shared" si="25"/>
        <v/>
      </c>
    </row>
    <row r="158" spans="3:3" x14ac:dyDescent="0.35">
      <c r="C158" t="str">
        <f t="shared" si="25"/>
        <v/>
      </c>
    </row>
    <row r="159" spans="3:3" x14ac:dyDescent="0.35">
      <c r="C159" t="str">
        <f t="shared" si="25"/>
        <v/>
      </c>
    </row>
    <row r="160" spans="3:3" x14ac:dyDescent="0.35">
      <c r="C160" t="str">
        <f t="shared" si="25"/>
        <v/>
      </c>
    </row>
    <row r="161" spans="3:3" x14ac:dyDescent="0.35">
      <c r="C161" t="str">
        <f t="shared" si="25"/>
        <v/>
      </c>
    </row>
    <row r="162" spans="3:3" x14ac:dyDescent="0.35">
      <c r="C162" t="str">
        <f t="shared" si="25"/>
        <v/>
      </c>
    </row>
    <row r="163" spans="3:3" x14ac:dyDescent="0.35">
      <c r="C163" t="str">
        <f t="shared" si="25"/>
        <v/>
      </c>
    </row>
    <row r="164" spans="3:3" x14ac:dyDescent="0.35">
      <c r="C164" t="str">
        <f t="shared" si="25"/>
        <v/>
      </c>
    </row>
    <row r="165" spans="3:3" x14ac:dyDescent="0.35">
      <c r="C165" t="str">
        <f t="shared" si="25"/>
        <v/>
      </c>
    </row>
    <row r="166" spans="3:3" x14ac:dyDescent="0.35">
      <c r="C166" t="str">
        <f t="shared" si="25"/>
        <v/>
      </c>
    </row>
    <row r="167" spans="3:3" x14ac:dyDescent="0.35">
      <c r="C167" t="str">
        <f t="shared" si="25"/>
        <v/>
      </c>
    </row>
    <row r="168" spans="3:3" x14ac:dyDescent="0.35">
      <c r="C168" t="str">
        <f t="shared" si="25"/>
        <v/>
      </c>
    </row>
    <row r="169" spans="3:3" x14ac:dyDescent="0.35">
      <c r="C169" t="str">
        <f t="shared" si="25"/>
        <v/>
      </c>
    </row>
    <row r="170" spans="3:3" x14ac:dyDescent="0.35">
      <c r="C170" t="str">
        <f t="shared" si="25"/>
        <v/>
      </c>
    </row>
    <row r="171" spans="3:3" x14ac:dyDescent="0.35">
      <c r="C171" t="str">
        <f t="shared" si="25"/>
        <v/>
      </c>
    </row>
    <row r="172" spans="3:3" x14ac:dyDescent="0.35">
      <c r="C172" t="str">
        <f t="shared" si="25"/>
        <v/>
      </c>
    </row>
    <row r="173" spans="3:3" x14ac:dyDescent="0.35">
      <c r="C173" t="str">
        <f t="shared" si="25"/>
        <v/>
      </c>
    </row>
    <row r="174" spans="3:3" x14ac:dyDescent="0.35">
      <c r="C174" t="str">
        <f t="shared" si="25"/>
        <v/>
      </c>
    </row>
    <row r="175" spans="3:3" x14ac:dyDescent="0.35">
      <c r="C175" t="str">
        <f t="shared" si="25"/>
        <v/>
      </c>
    </row>
    <row r="176" spans="3:3" x14ac:dyDescent="0.35">
      <c r="C176" t="str">
        <f t="shared" si="25"/>
        <v/>
      </c>
    </row>
    <row r="177" spans="3:3" x14ac:dyDescent="0.35">
      <c r="C177" t="str">
        <f t="shared" si="25"/>
        <v/>
      </c>
    </row>
    <row r="178" spans="3:3" x14ac:dyDescent="0.35">
      <c r="C178" t="str">
        <f t="shared" si="25"/>
        <v/>
      </c>
    </row>
    <row r="179" spans="3:3" x14ac:dyDescent="0.35">
      <c r="C179" t="str">
        <f t="shared" si="25"/>
        <v/>
      </c>
    </row>
    <row r="180" spans="3:3" x14ac:dyDescent="0.35">
      <c r="C180" t="str">
        <f t="shared" si="25"/>
        <v/>
      </c>
    </row>
    <row r="181" spans="3:3" x14ac:dyDescent="0.35">
      <c r="C181" t="str">
        <f t="shared" si="25"/>
        <v/>
      </c>
    </row>
    <row r="182" spans="3:3" x14ac:dyDescent="0.35">
      <c r="C182" t="str">
        <f t="shared" si="25"/>
        <v/>
      </c>
    </row>
    <row r="183" spans="3:3" x14ac:dyDescent="0.35">
      <c r="C183" t="str">
        <f t="shared" si="25"/>
        <v/>
      </c>
    </row>
    <row r="184" spans="3:3" x14ac:dyDescent="0.35">
      <c r="C184" t="str">
        <f t="shared" si="25"/>
        <v/>
      </c>
    </row>
    <row r="185" spans="3:3" x14ac:dyDescent="0.35">
      <c r="C185" t="str">
        <f t="shared" si="25"/>
        <v/>
      </c>
    </row>
    <row r="186" spans="3:3" x14ac:dyDescent="0.35">
      <c r="C186" t="str">
        <f t="shared" si="25"/>
        <v/>
      </c>
    </row>
    <row r="187" spans="3:3" x14ac:dyDescent="0.35">
      <c r="C187" t="str">
        <f t="shared" si="25"/>
        <v/>
      </c>
    </row>
    <row r="188" spans="3:3" x14ac:dyDescent="0.35">
      <c r="C188" t="str">
        <f t="shared" si="25"/>
        <v/>
      </c>
    </row>
    <row r="189" spans="3:3" x14ac:dyDescent="0.35">
      <c r="C189" t="str">
        <f t="shared" si="25"/>
        <v/>
      </c>
    </row>
    <row r="190" spans="3:3" x14ac:dyDescent="0.35">
      <c r="C190" t="str">
        <f t="shared" si="25"/>
        <v/>
      </c>
    </row>
    <row r="191" spans="3:3" x14ac:dyDescent="0.35">
      <c r="C191" t="str">
        <f t="shared" si="25"/>
        <v/>
      </c>
    </row>
    <row r="192" spans="3:3" x14ac:dyDescent="0.35">
      <c r="C192" t="str">
        <f t="shared" si="25"/>
        <v/>
      </c>
    </row>
    <row r="193" spans="3:3" x14ac:dyDescent="0.35">
      <c r="C193" t="str">
        <f t="shared" si="25"/>
        <v/>
      </c>
    </row>
    <row r="194" spans="3:3" x14ac:dyDescent="0.35">
      <c r="C194" t="str">
        <f t="shared" si="25"/>
        <v/>
      </c>
    </row>
    <row r="195" spans="3:3" x14ac:dyDescent="0.35">
      <c r="C195" t="str">
        <f t="shared" si="25"/>
        <v/>
      </c>
    </row>
    <row r="196" spans="3:3" x14ac:dyDescent="0.35">
      <c r="C196" t="str">
        <f t="shared" si="25"/>
        <v/>
      </c>
    </row>
    <row r="197" spans="3:3" x14ac:dyDescent="0.35">
      <c r="C197" t="str">
        <f t="shared" ref="C197:C260" si="26">IF(ISBLANK(D197), "",
IF(D197 &lt; $G$9,
    $G$10 + $G$19 * ($G$23 * (D197 - $G$9))^2 + $G$21 * (1 - (D197 - $G$6)/($G$9 - $G$6)),
IF(D197 &gt; $G$13,
    $G$14 + $G$19 * ($G$23 * (D197 - $G$13))^2 - $G$22 * (1 - (D197 - $G$6)/($G$13 - $G$6)),
IF(D197 &lt; $G$6,
    $G$16 * (D197 - $G$6)^2 + $G$5,
    $G$17 * (D197 - $G$6)^2 + $G$5))))</f>
        <v/>
      </c>
    </row>
    <row r="198" spans="3:3" x14ac:dyDescent="0.35">
      <c r="C198" t="str">
        <f t="shared" si="26"/>
        <v/>
      </c>
    </row>
    <row r="199" spans="3:3" x14ac:dyDescent="0.35">
      <c r="C199" t="str">
        <f t="shared" si="26"/>
        <v/>
      </c>
    </row>
    <row r="200" spans="3:3" x14ac:dyDescent="0.35">
      <c r="C200" t="str">
        <f t="shared" si="26"/>
        <v/>
      </c>
    </row>
    <row r="201" spans="3:3" x14ac:dyDescent="0.35">
      <c r="C201" t="str">
        <f t="shared" si="26"/>
        <v/>
      </c>
    </row>
    <row r="202" spans="3:3" x14ac:dyDescent="0.35">
      <c r="C202" t="str">
        <f t="shared" si="26"/>
        <v/>
      </c>
    </row>
    <row r="203" spans="3:3" x14ac:dyDescent="0.35">
      <c r="C203" t="str">
        <f t="shared" si="26"/>
        <v/>
      </c>
    </row>
    <row r="204" spans="3:3" x14ac:dyDescent="0.35">
      <c r="C204" t="str">
        <f t="shared" si="26"/>
        <v/>
      </c>
    </row>
    <row r="205" spans="3:3" x14ac:dyDescent="0.35">
      <c r="C205" t="str">
        <f t="shared" si="26"/>
        <v/>
      </c>
    </row>
    <row r="206" spans="3:3" x14ac:dyDescent="0.35">
      <c r="C206" t="str">
        <f t="shared" si="26"/>
        <v/>
      </c>
    </row>
    <row r="207" spans="3:3" x14ac:dyDescent="0.35">
      <c r="C207" t="str">
        <f t="shared" si="26"/>
        <v/>
      </c>
    </row>
    <row r="208" spans="3:3" x14ac:dyDescent="0.35">
      <c r="C208" t="str">
        <f t="shared" si="26"/>
        <v/>
      </c>
    </row>
    <row r="209" spans="3:3" x14ac:dyDescent="0.35">
      <c r="C209" t="str">
        <f t="shared" si="26"/>
        <v/>
      </c>
    </row>
    <row r="210" spans="3:3" x14ac:dyDescent="0.35">
      <c r="C210" t="str">
        <f t="shared" si="26"/>
        <v/>
      </c>
    </row>
    <row r="211" spans="3:3" x14ac:dyDescent="0.35">
      <c r="C211" t="str">
        <f t="shared" si="26"/>
        <v/>
      </c>
    </row>
    <row r="212" spans="3:3" x14ac:dyDescent="0.35">
      <c r="C212" t="str">
        <f t="shared" si="26"/>
        <v/>
      </c>
    </row>
    <row r="213" spans="3:3" x14ac:dyDescent="0.35">
      <c r="C213" t="str">
        <f t="shared" si="26"/>
        <v/>
      </c>
    </row>
    <row r="214" spans="3:3" x14ac:dyDescent="0.35">
      <c r="C214" t="str">
        <f t="shared" si="26"/>
        <v/>
      </c>
    </row>
    <row r="215" spans="3:3" x14ac:dyDescent="0.35">
      <c r="C215" t="str">
        <f t="shared" si="26"/>
        <v/>
      </c>
    </row>
    <row r="216" spans="3:3" x14ac:dyDescent="0.35">
      <c r="C216" t="str">
        <f t="shared" si="26"/>
        <v/>
      </c>
    </row>
    <row r="217" spans="3:3" x14ac:dyDescent="0.35">
      <c r="C217" t="str">
        <f t="shared" si="26"/>
        <v/>
      </c>
    </row>
    <row r="218" spans="3:3" x14ac:dyDescent="0.35">
      <c r="C218" t="str">
        <f t="shared" si="26"/>
        <v/>
      </c>
    </row>
    <row r="219" spans="3:3" x14ac:dyDescent="0.35">
      <c r="C219" t="str">
        <f t="shared" si="26"/>
        <v/>
      </c>
    </row>
    <row r="220" spans="3:3" x14ac:dyDescent="0.35">
      <c r="C220" t="str">
        <f t="shared" si="26"/>
        <v/>
      </c>
    </row>
    <row r="221" spans="3:3" x14ac:dyDescent="0.35">
      <c r="C221" t="str">
        <f t="shared" si="26"/>
        <v/>
      </c>
    </row>
    <row r="222" spans="3:3" x14ac:dyDescent="0.35">
      <c r="C222" t="str">
        <f t="shared" si="26"/>
        <v/>
      </c>
    </row>
    <row r="223" spans="3:3" x14ac:dyDescent="0.35">
      <c r="C223" t="str">
        <f t="shared" si="26"/>
        <v/>
      </c>
    </row>
    <row r="224" spans="3:3" x14ac:dyDescent="0.35">
      <c r="C224" t="str">
        <f t="shared" si="26"/>
        <v/>
      </c>
    </row>
    <row r="225" spans="3:3" x14ac:dyDescent="0.35">
      <c r="C225" t="str">
        <f t="shared" si="26"/>
        <v/>
      </c>
    </row>
    <row r="226" spans="3:3" x14ac:dyDescent="0.35">
      <c r="C226" t="str">
        <f t="shared" si="26"/>
        <v/>
      </c>
    </row>
    <row r="227" spans="3:3" x14ac:dyDescent="0.35">
      <c r="C227" t="str">
        <f t="shared" si="26"/>
        <v/>
      </c>
    </row>
    <row r="228" spans="3:3" x14ac:dyDescent="0.35">
      <c r="C228" t="str">
        <f t="shared" si="26"/>
        <v/>
      </c>
    </row>
    <row r="229" spans="3:3" x14ac:dyDescent="0.35">
      <c r="C229" t="str">
        <f t="shared" si="26"/>
        <v/>
      </c>
    </row>
    <row r="230" spans="3:3" x14ac:dyDescent="0.35">
      <c r="C230" t="str">
        <f t="shared" si="26"/>
        <v/>
      </c>
    </row>
    <row r="231" spans="3:3" x14ac:dyDescent="0.35">
      <c r="C231" t="str">
        <f t="shared" si="26"/>
        <v/>
      </c>
    </row>
    <row r="232" spans="3:3" x14ac:dyDescent="0.35">
      <c r="C232" t="str">
        <f t="shared" si="26"/>
        <v/>
      </c>
    </row>
    <row r="233" spans="3:3" x14ac:dyDescent="0.35">
      <c r="C233" t="str">
        <f t="shared" si="26"/>
        <v/>
      </c>
    </row>
    <row r="234" spans="3:3" x14ac:dyDescent="0.35">
      <c r="C234" t="str">
        <f t="shared" si="26"/>
        <v/>
      </c>
    </row>
    <row r="235" spans="3:3" x14ac:dyDescent="0.35">
      <c r="C235" t="str">
        <f t="shared" si="26"/>
        <v/>
      </c>
    </row>
    <row r="236" spans="3:3" x14ac:dyDescent="0.35">
      <c r="C236" t="str">
        <f t="shared" si="26"/>
        <v/>
      </c>
    </row>
    <row r="237" spans="3:3" x14ac:dyDescent="0.35">
      <c r="C237" t="str">
        <f t="shared" si="26"/>
        <v/>
      </c>
    </row>
    <row r="238" spans="3:3" x14ac:dyDescent="0.35">
      <c r="C238" t="str">
        <f t="shared" si="26"/>
        <v/>
      </c>
    </row>
    <row r="239" spans="3:3" x14ac:dyDescent="0.35">
      <c r="C239" t="str">
        <f t="shared" si="26"/>
        <v/>
      </c>
    </row>
    <row r="240" spans="3:3" x14ac:dyDescent="0.35">
      <c r="C240" t="str">
        <f t="shared" si="26"/>
        <v/>
      </c>
    </row>
    <row r="241" spans="3:3" x14ac:dyDescent="0.35">
      <c r="C241" t="str">
        <f t="shared" si="26"/>
        <v/>
      </c>
    </row>
    <row r="242" spans="3:3" x14ac:dyDescent="0.35">
      <c r="C242" t="str">
        <f t="shared" si="26"/>
        <v/>
      </c>
    </row>
    <row r="243" spans="3:3" x14ac:dyDescent="0.35">
      <c r="C243" t="str">
        <f t="shared" si="26"/>
        <v/>
      </c>
    </row>
    <row r="244" spans="3:3" x14ac:dyDescent="0.35">
      <c r="C244" t="str">
        <f t="shared" si="26"/>
        <v/>
      </c>
    </row>
    <row r="245" spans="3:3" x14ac:dyDescent="0.35">
      <c r="C245" t="str">
        <f t="shared" si="26"/>
        <v/>
      </c>
    </row>
    <row r="246" spans="3:3" x14ac:dyDescent="0.35">
      <c r="C246" t="str">
        <f t="shared" si="26"/>
        <v/>
      </c>
    </row>
    <row r="247" spans="3:3" x14ac:dyDescent="0.35">
      <c r="C247" t="str">
        <f t="shared" si="26"/>
        <v/>
      </c>
    </row>
    <row r="248" spans="3:3" x14ac:dyDescent="0.35">
      <c r="C248" t="str">
        <f t="shared" si="26"/>
        <v/>
      </c>
    </row>
    <row r="249" spans="3:3" x14ac:dyDescent="0.35">
      <c r="C249" t="str">
        <f t="shared" si="26"/>
        <v/>
      </c>
    </row>
    <row r="250" spans="3:3" x14ac:dyDescent="0.35">
      <c r="C250" t="str">
        <f t="shared" si="26"/>
        <v/>
      </c>
    </row>
    <row r="251" spans="3:3" x14ac:dyDescent="0.35">
      <c r="C251" t="str">
        <f t="shared" si="26"/>
        <v/>
      </c>
    </row>
    <row r="252" spans="3:3" x14ac:dyDescent="0.35">
      <c r="C252" t="str">
        <f t="shared" si="26"/>
        <v/>
      </c>
    </row>
    <row r="253" spans="3:3" x14ac:dyDescent="0.35">
      <c r="C253" t="str">
        <f t="shared" si="26"/>
        <v/>
      </c>
    </row>
    <row r="254" spans="3:3" x14ac:dyDescent="0.35">
      <c r="C254" t="str">
        <f t="shared" si="26"/>
        <v/>
      </c>
    </row>
    <row r="255" spans="3:3" x14ac:dyDescent="0.35">
      <c r="C255" t="str">
        <f t="shared" si="26"/>
        <v/>
      </c>
    </row>
    <row r="256" spans="3:3" x14ac:dyDescent="0.35">
      <c r="C256" t="str">
        <f t="shared" si="26"/>
        <v/>
      </c>
    </row>
    <row r="257" spans="3:3" x14ac:dyDescent="0.35">
      <c r="C257" t="str">
        <f t="shared" si="26"/>
        <v/>
      </c>
    </row>
    <row r="258" spans="3:3" x14ac:dyDescent="0.35">
      <c r="C258" t="str">
        <f t="shared" si="26"/>
        <v/>
      </c>
    </row>
    <row r="259" spans="3:3" x14ac:dyDescent="0.35">
      <c r="C259" t="str">
        <f t="shared" si="26"/>
        <v/>
      </c>
    </row>
    <row r="260" spans="3:3" x14ac:dyDescent="0.35">
      <c r="C260" t="str">
        <f t="shared" si="26"/>
        <v/>
      </c>
    </row>
    <row r="261" spans="3:3" x14ac:dyDescent="0.35">
      <c r="C261" t="str">
        <f t="shared" ref="C261:C324" si="27">IF(ISBLANK(D261), "",
IF(D261 &lt; $G$9,
    $G$10 + $G$19 * ($G$23 * (D261 - $G$9))^2 + $G$21 * (1 - (D261 - $G$6)/($G$9 - $G$6)),
IF(D261 &gt; $G$13,
    $G$14 + $G$19 * ($G$23 * (D261 - $G$13))^2 - $G$22 * (1 - (D261 - $G$6)/($G$13 - $G$6)),
IF(D261 &lt; $G$6,
    $G$16 * (D261 - $G$6)^2 + $G$5,
    $G$17 * (D261 - $G$6)^2 + $G$5))))</f>
        <v/>
      </c>
    </row>
    <row r="262" spans="3:3" x14ac:dyDescent="0.35">
      <c r="C262" t="str">
        <f t="shared" si="27"/>
        <v/>
      </c>
    </row>
    <row r="263" spans="3:3" x14ac:dyDescent="0.35">
      <c r="C263" t="str">
        <f t="shared" si="27"/>
        <v/>
      </c>
    </row>
    <row r="264" spans="3:3" x14ac:dyDescent="0.35">
      <c r="C264" t="str">
        <f t="shared" si="27"/>
        <v/>
      </c>
    </row>
    <row r="265" spans="3:3" x14ac:dyDescent="0.35">
      <c r="C265" t="str">
        <f t="shared" si="27"/>
        <v/>
      </c>
    </row>
    <row r="266" spans="3:3" x14ac:dyDescent="0.35">
      <c r="C266" t="str">
        <f t="shared" si="27"/>
        <v/>
      </c>
    </row>
    <row r="267" spans="3:3" x14ac:dyDescent="0.35">
      <c r="C267" t="str">
        <f t="shared" si="27"/>
        <v/>
      </c>
    </row>
    <row r="268" spans="3:3" x14ac:dyDescent="0.35">
      <c r="C268" t="str">
        <f t="shared" si="27"/>
        <v/>
      </c>
    </row>
    <row r="269" spans="3:3" x14ac:dyDescent="0.35">
      <c r="C269" t="str">
        <f t="shared" si="27"/>
        <v/>
      </c>
    </row>
    <row r="270" spans="3:3" x14ac:dyDescent="0.35">
      <c r="C270" t="str">
        <f t="shared" si="27"/>
        <v/>
      </c>
    </row>
    <row r="271" spans="3:3" x14ac:dyDescent="0.35">
      <c r="C271" t="str">
        <f t="shared" si="27"/>
        <v/>
      </c>
    </row>
    <row r="272" spans="3:3" x14ac:dyDescent="0.35">
      <c r="C272" t="str">
        <f t="shared" si="27"/>
        <v/>
      </c>
    </row>
    <row r="273" spans="3:3" x14ac:dyDescent="0.35">
      <c r="C273" t="str">
        <f t="shared" si="27"/>
        <v/>
      </c>
    </row>
    <row r="274" spans="3:3" x14ac:dyDescent="0.35">
      <c r="C274" t="str">
        <f t="shared" si="27"/>
        <v/>
      </c>
    </row>
    <row r="275" spans="3:3" x14ac:dyDescent="0.35">
      <c r="C275" t="str">
        <f t="shared" si="27"/>
        <v/>
      </c>
    </row>
    <row r="276" spans="3:3" x14ac:dyDescent="0.35">
      <c r="C276" t="str">
        <f t="shared" si="27"/>
        <v/>
      </c>
    </row>
    <row r="277" spans="3:3" x14ac:dyDescent="0.35">
      <c r="C277" t="str">
        <f t="shared" si="27"/>
        <v/>
      </c>
    </row>
    <row r="278" spans="3:3" x14ac:dyDescent="0.35">
      <c r="C278" t="str">
        <f t="shared" si="27"/>
        <v/>
      </c>
    </row>
    <row r="279" spans="3:3" x14ac:dyDescent="0.35">
      <c r="C279" t="str">
        <f t="shared" si="27"/>
        <v/>
      </c>
    </row>
    <row r="280" spans="3:3" x14ac:dyDescent="0.35">
      <c r="C280" t="str">
        <f t="shared" si="27"/>
        <v/>
      </c>
    </row>
    <row r="281" spans="3:3" x14ac:dyDescent="0.35">
      <c r="C281" t="str">
        <f t="shared" si="27"/>
        <v/>
      </c>
    </row>
    <row r="282" spans="3:3" x14ac:dyDescent="0.35">
      <c r="C282" t="str">
        <f t="shared" si="27"/>
        <v/>
      </c>
    </row>
    <row r="283" spans="3:3" x14ac:dyDescent="0.35">
      <c r="C283" t="str">
        <f t="shared" si="27"/>
        <v/>
      </c>
    </row>
    <row r="284" spans="3:3" x14ac:dyDescent="0.35">
      <c r="C284" t="str">
        <f t="shared" si="27"/>
        <v/>
      </c>
    </row>
    <row r="285" spans="3:3" x14ac:dyDescent="0.35">
      <c r="C285" t="str">
        <f t="shared" si="27"/>
        <v/>
      </c>
    </row>
    <row r="286" spans="3:3" x14ac:dyDescent="0.35">
      <c r="C286" t="str">
        <f t="shared" si="27"/>
        <v/>
      </c>
    </row>
    <row r="287" spans="3:3" x14ac:dyDescent="0.35">
      <c r="C287" t="str">
        <f t="shared" si="27"/>
        <v/>
      </c>
    </row>
    <row r="288" spans="3:3" x14ac:dyDescent="0.35">
      <c r="C288" t="str">
        <f t="shared" si="27"/>
        <v/>
      </c>
    </row>
    <row r="289" spans="3:3" x14ac:dyDescent="0.35">
      <c r="C289" t="str">
        <f t="shared" si="27"/>
        <v/>
      </c>
    </row>
    <row r="290" spans="3:3" x14ac:dyDescent="0.35">
      <c r="C290" t="str">
        <f t="shared" si="27"/>
        <v/>
      </c>
    </row>
    <row r="291" spans="3:3" x14ac:dyDescent="0.35">
      <c r="C291" t="str">
        <f t="shared" si="27"/>
        <v/>
      </c>
    </row>
    <row r="292" spans="3:3" x14ac:dyDescent="0.35">
      <c r="C292" t="str">
        <f t="shared" si="27"/>
        <v/>
      </c>
    </row>
    <row r="293" spans="3:3" x14ac:dyDescent="0.35">
      <c r="C293" t="str">
        <f t="shared" si="27"/>
        <v/>
      </c>
    </row>
    <row r="294" spans="3:3" x14ac:dyDescent="0.35">
      <c r="C294" t="str">
        <f t="shared" si="27"/>
        <v/>
      </c>
    </row>
    <row r="295" spans="3:3" x14ac:dyDescent="0.35">
      <c r="C295" t="str">
        <f t="shared" si="27"/>
        <v/>
      </c>
    </row>
    <row r="296" spans="3:3" x14ac:dyDescent="0.35">
      <c r="C296" t="str">
        <f t="shared" si="27"/>
        <v/>
      </c>
    </row>
    <row r="297" spans="3:3" x14ac:dyDescent="0.35">
      <c r="C297" t="str">
        <f t="shared" si="27"/>
        <v/>
      </c>
    </row>
    <row r="298" spans="3:3" x14ac:dyDescent="0.35">
      <c r="C298" t="str">
        <f t="shared" si="27"/>
        <v/>
      </c>
    </row>
    <row r="299" spans="3:3" x14ac:dyDescent="0.35">
      <c r="C299" t="str">
        <f t="shared" si="27"/>
        <v/>
      </c>
    </row>
    <row r="300" spans="3:3" x14ac:dyDescent="0.35">
      <c r="C300" t="str">
        <f t="shared" si="27"/>
        <v/>
      </c>
    </row>
    <row r="301" spans="3:3" x14ac:dyDescent="0.35">
      <c r="C301" t="str">
        <f t="shared" si="27"/>
        <v/>
      </c>
    </row>
    <row r="302" spans="3:3" x14ac:dyDescent="0.35">
      <c r="C302" t="str">
        <f t="shared" si="27"/>
        <v/>
      </c>
    </row>
    <row r="303" spans="3:3" x14ac:dyDescent="0.35">
      <c r="C303" t="str">
        <f t="shared" si="27"/>
        <v/>
      </c>
    </row>
    <row r="304" spans="3:3" x14ac:dyDescent="0.35">
      <c r="C304" t="str">
        <f t="shared" si="27"/>
        <v/>
      </c>
    </row>
    <row r="305" spans="3:3" x14ac:dyDescent="0.35">
      <c r="C305" t="str">
        <f t="shared" si="27"/>
        <v/>
      </c>
    </row>
    <row r="306" spans="3:3" x14ac:dyDescent="0.35">
      <c r="C306" t="str">
        <f t="shared" si="27"/>
        <v/>
      </c>
    </row>
    <row r="307" spans="3:3" x14ac:dyDescent="0.35">
      <c r="C307" t="str">
        <f t="shared" si="27"/>
        <v/>
      </c>
    </row>
    <row r="308" spans="3:3" x14ac:dyDescent="0.35">
      <c r="C308" t="str">
        <f t="shared" si="27"/>
        <v/>
      </c>
    </row>
    <row r="309" spans="3:3" x14ac:dyDescent="0.35">
      <c r="C309" t="str">
        <f t="shared" si="27"/>
        <v/>
      </c>
    </row>
    <row r="310" spans="3:3" x14ac:dyDescent="0.35">
      <c r="C310" t="str">
        <f t="shared" si="27"/>
        <v/>
      </c>
    </row>
    <row r="311" spans="3:3" x14ac:dyDescent="0.35">
      <c r="C311" t="str">
        <f t="shared" si="27"/>
        <v/>
      </c>
    </row>
    <row r="312" spans="3:3" x14ac:dyDescent="0.35">
      <c r="C312" t="str">
        <f t="shared" si="27"/>
        <v/>
      </c>
    </row>
    <row r="313" spans="3:3" x14ac:dyDescent="0.35">
      <c r="C313" t="str">
        <f t="shared" si="27"/>
        <v/>
      </c>
    </row>
    <row r="314" spans="3:3" x14ac:dyDescent="0.35">
      <c r="C314" t="str">
        <f t="shared" si="27"/>
        <v/>
      </c>
    </row>
    <row r="315" spans="3:3" x14ac:dyDescent="0.35">
      <c r="C315" t="str">
        <f t="shared" si="27"/>
        <v/>
      </c>
    </row>
    <row r="316" spans="3:3" x14ac:dyDescent="0.35">
      <c r="C316" t="str">
        <f t="shared" si="27"/>
        <v/>
      </c>
    </row>
    <row r="317" spans="3:3" x14ac:dyDescent="0.35">
      <c r="C317" t="str">
        <f t="shared" si="27"/>
        <v/>
      </c>
    </row>
    <row r="318" spans="3:3" x14ac:dyDescent="0.35">
      <c r="C318" t="str">
        <f t="shared" si="27"/>
        <v/>
      </c>
    </row>
    <row r="319" spans="3:3" x14ac:dyDescent="0.35">
      <c r="C319" t="str">
        <f t="shared" si="27"/>
        <v/>
      </c>
    </row>
    <row r="320" spans="3:3" x14ac:dyDescent="0.35">
      <c r="C320" t="str">
        <f t="shared" si="27"/>
        <v/>
      </c>
    </row>
    <row r="321" spans="3:3" x14ac:dyDescent="0.35">
      <c r="C321" t="str">
        <f t="shared" si="27"/>
        <v/>
      </c>
    </row>
    <row r="322" spans="3:3" x14ac:dyDescent="0.35">
      <c r="C322" t="str">
        <f t="shared" si="27"/>
        <v/>
      </c>
    </row>
    <row r="323" spans="3:3" x14ac:dyDescent="0.35">
      <c r="C323" t="str">
        <f t="shared" si="27"/>
        <v/>
      </c>
    </row>
    <row r="324" spans="3:3" x14ac:dyDescent="0.35">
      <c r="C324" t="str">
        <f t="shared" si="27"/>
        <v/>
      </c>
    </row>
    <row r="325" spans="3:3" x14ac:dyDescent="0.35">
      <c r="C325" t="str">
        <f t="shared" ref="C325:C388" si="28">IF(ISBLANK(D325), "",
IF(D325 &lt; $G$9,
    $G$10 + $G$19 * ($G$23 * (D325 - $G$9))^2 + $G$21 * (1 - (D325 - $G$6)/($G$9 - $G$6)),
IF(D325 &gt; $G$13,
    $G$14 + $G$19 * ($G$23 * (D325 - $G$13))^2 - $G$22 * (1 - (D325 - $G$6)/($G$13 - $G$6)),
IF(D325 &lt; $G$6,
    $G$16 * (D325 - $G$6)^2 + $G$5,
    $G$17 * (D325 - $G$6)^2 + $G$5))))</f>
        <v/>
      </c>
    </row>
    <row r="326" spans="3:3" x14ac:dyDescent="0.35">
      <c r="C326" t="str">
        <f t="shared" si="28"/>
        <v/>
      </c>
    </row>
    <row r="327" spans="3:3" x14ac:dyDescent="0.35">
      <c r="C327" t="str">
        <f t="shared" si="28"/>
        <v/>
      </c>
    </row>
    <row r="328" spans="3:3" x14ac:dyDescent="0.35">
      <c r="C328" t="str">
        <f t="shared" si="28"/>
        <v/>
      </c>
    </row>
    <row r="329" spans="3:3" x14ac:dyDescent="0.35">
      <c r="C329" t="str">
        <f t="shared" si="28"/>
        <v/>
      </c>
    </row>
    <row r="330" spans="3:3" x14ac:dyDescent="0.35">
      <c r="C330" t="str">
        <f t="shared" si="28"/>
        <v/>
      </c>
    </row>
    <row r="331" spans="3:3" x14ac:dyDescent="0.35">
      <c r="C331" t="str">
        <f t="shared" si="28"/>
        <v/>
      </c>
    </row>
    <row r="332" spans="3:3" x14ac:dyDescent="0.35">
      <c r="C332" t="str">
        <f t="shared" si="28"/>
        <v/>
      </c>
    </row>
    <row r="333" spans="3:3" x14ac:dyDescent="0.35">
      <c r="C333" t="str">
        <f t="shared" si="28"/>
        <v/>
      </c>
    </row>
    <row r="334" spans="3:3" x14ac:dyDescent="0.35">
      <c r="C334" t="str">
        <f t="shared" si="28"/>
        <v/>
      </c>
    </row>
    <row r="335" spans="3:3" x14ac:dyDescent="0.35">
      <c r="C335" t="str">
        <f t="shared" si="28"/>
        <v/>
      </c>
    </row>
    <row r="336" spans="3:3" x14ac:dyDescent="0.35">
      <c r="C336" t="str">
        <f t="shared" si="28"/>
        <v/>
      </c>
    </row>
    <row r="337" spans="3:3" x14ac:dyDescent="0.35">
      <c r="C337" t="str">
        <f t="shared" si="28"/>
        <v/>
      </c>
    </row>
    <row r="338" spans="3:3" x14ac:dyDescent="0.35">
      <c r="C338" t="str">
        <f t="shared" si="28"/>
        <v/>
      </c>
    </row>
    <row r="339" spans="3:3" x14ac:dyDescent="0.35">
      <c r="C339" t="str">
        <f t="shared" si="28"/>
        <v/>
      </c>
    </row>
    <row r="340" spans="3:3" x14ac:dyDescent="0.35">
      <c r="C340" t="str">
        <f t="shared" si="28"/>
        <v/>
      </c>
    </row>
    <row r="341" spans="3:3" x14ac:dyDescent="0.35">
      <c r="C341" t="str">
        <f t="shared" si="28"/>
        <v/>
      </c>
    </row>
    <row r="342" spans="3:3" x14ac:dyDescent="0.35">
      <c r="C342" t="str">
        <f t="shared" si="28"/>
        <v/>
      </c>
    </row>
    <row r="343" spans="3:3" x14ac:dyDescent="0.35">
      <c r="C343" t="str">
        <f t="shared" si="28"/>
        <v/>
      </c>
    </row>
    <row r="344" spans="3:3" x14ac:dyDescent="0.35">
      <c r="C344" t="str">
        <f t="shared" si="28"/>
        <v/>
      </c>
    </row>
    <row r="345" spans="3:3" x14ac:dyDescent="0.35">
      <c r="C345" t="str">
        <f t="shared" si="28"/>
        <v/>
      </c>
    </row>
    <row r="346" spans="3:3" x14ac:dyDescent="0.35">
      <c r="C346" t="str">
        <f t="shared" si="28"/>
        <v/>
      </c>
    </row>
    <row r="347" spans="3:3" x14ac:dyDescent="0.35">
      <c r="C347" t="str">
        <f t="shared" si="28"/>
        <v/>
      </c>
    </row>
    <row r="348" spans="3:3" x14ac:dyDescent="0.35">
      <c r="C348" t="str">
        <f t="shared" si="28"/>
        <v/>
      </c>
    </row>
    <row r="349" spans="3:3" x14ac:dyDescent="0.35">
      <c r="C349" t="str">
        <f t="shared" si="28"/>
        <v/>
      </c>
    </row>
    <row r="350" spans="3:3" x14ac:dyDescent="0.35">
      <c r="C350" t="str">
        <f t="shared" si="28"/>
        <v/>
      </c>
    </row>
    <row r="351" spans="3:3" x14ac:dyDescent="0.35">
      <c r="C351" t="str">
        <f t="shared" si="28"/>
        <v/>
      </c>
    </row>
    <row r="352" spans="3:3" x14ac:dyDescent="0.35">
      <c r="C352" t="str">
        <f t="shared" si="28"/>
        <v/>
      </c>
    </row>
    <row r="353" spans="3:3" x14ac:dyDescent="0.35">
      <c r="C353" t="str">
        <f t="shared" si="28"/>
        <v/>
      </c>
    </row>
    <row r="354" spans="3:3" x14ac:dyDescent="0.35">
      <c r="C354" t="str">
        <f t="shared" si="28"/>
        <v/>
      </c>
    </row>
    <row r="355" spans="3:3" x14ac:dyDescent="0.35">
      <c r="C355" t="str">
        <f t="shared" si="28"/>
        <v/>
      </c>
    </row>
    <row r="356" spans="3:3" x14ac:dyDescent="0.35">
      <c r="C356" t="str">
        <f t="shared" si="28"/>
        <v/>
      </c>
    </row>
    <row r="357" spans="3:3" x14ac:dyDescent="0.35">
      <c r="C357" t="str">
        <f t="shared" si="28"/>
        <v/>
      </c>
    </row>
    <row r="358" spans="3:3" x14ac:dyDescent="0.35">
      <c r="C358" t="str">
        <f t="shared" si="28"/>
        <v/>
      </c>
    </row>
    <row r="359" spans="3:3" x14ac:dyDescent="0.35">
      <c r="C359" t="str">
        <f t="shared" si="28"/>
        <v/>
      </c>
    </row>
    <row r="360" spans="3:3" x14ac:dyDescent="0.35">
      <c r="C360" t="str">
        <f t="shared" si="28"/>
        <v/>
      </c>
    </row>
    <row r="361" spans="3:3" x14ac:dyDescent="0.35">
      <c r="C361" t="str">
        <f t="shared" si="28"/>
        <v/>
      </c>
    </row>
    <row r="362" spans="3:3" x14ac:dyDescent="0.35">
      <c r="C362" t="str">
        <f t="shared" si="28"/>
        <v/>
      </c>
    </row>
    <row r="363" spans="3:3" x14ac:dyDescent="0.35">
      <c r="C363" t="str">
        <f t="shared" si="28"/>
        <v/>
      </c>
    </row>
    <row r="364" spans="3:3" x14ac:dyDescent="0.35">
      <c r="C364" t="str">
        <f t="shared" si="28"/>
        <v/>
      </c>
    </row>
    <row r="365" spans="3:3" x14ac:dyDescent="0.35">
      <c r="C365" t="str">
        <f t="shared" si="28"/>
        <v/>
      </c>
    </row>
    <row r="366" spans="3:3" x14ac:dyDescent="0.35">
      <c r="C366" t="str">
        <f t="shared" si="28"/>
        <v/>
      </c>
    </row>
    <row r="367" spans="3:3" x14ac:dyDescent="0.35">
      <c r="C367" t="str">
        <f t="shared" si="28"/>
        <v/>
      </c>
    </row>
    <row r="368" spans="3:3" x14ac:dyDescent="0.35">
      <c r="C368" t="str">
        <f t="shared" si="28"/>
        <v/>
      </c>
    </row>
    <row r="369" spans="3:3" x14ac:dyDescent="0.35">
      <c r="C369" t="str">
        <f t="shared" si="28"/>
        <v/>
      </c>
    </row>
    <row r="370" spans="3:3" x14ac:dyDescent="0.35">
      <c r="C370" t="str">
        <f t="shared" si="28"/>
        <v/>
      </c>
    </row>
    <row r="371" spans="3:3" x14ac:dyDescent="0.35">
      <c r="C371" t="str">
        <f t="shared" si="28"/>
        <v/>
      </c>
    </row>
    <row r="372" spans="3:3" x14ac:dyDescent="0.35">
      <c r="C372" t="str">
        <f t="shared" si="28"/>
        <v/>
      </c>
    </row>
    <row r="373" spans="3:3" x14ac:dyDescent="0.35">
      <c r="C373" t="str">
        <f t="shared" si="28"/>
        <v/>
      </c>
    </row>
    <row r="374" spans="3:3" x14ac:dyDescent="0.35">
      <c r="C374" t="str">
        <f t="shared" si="28"/>
        <v/>
      </c>
    </row>
    <row r="375" spans="3:3" x14ac:dyDescent="0.35">
      <c r="C375" t="str">
        <f t="shared" si="28"/>
        <v/>
      </c>
    </row>
    <row r="376" spans="3:3" x14ac:dyDescent="0.35">
      <c r="C376" t="str">
        <f t="shared" si="28"/>
        <v/>
      </c>
    </row>
    <row r="377" spans="3:3" x14ac:dyDescent="0.35">
      <c r="C377" t="str">
        <f t="shared" si="28"/>
        <v/>
      </c>
    </row>
    <row r="378" spans="3:3" x14ac:dyDescent="0.35">
      <c r="C378" t="str">
        <f t="shared" si="28"/>
        <v/>
      </c>
    </row>
    <row r="379" spans="3:3" x14ac:dyDescent="0.35">
      <c r="C379" t="str">
        <f t="shared" si="28"/>
        <v/>
      </c>
    </row>
    <row r="380" spans="3:3" x14ac:dyDescent="0.35">
      <c r="C380" t="str">
        <f t="shared" si="28"/>
        <v/>
      </c>
    </row>
    <row r="381" spans="3:3" x14ac:dyDescent="0.35">
      <c r="C381" t="str">
        <f t="shared" si="28"/>
        <v/>
      </c>
    </row>
    <row r="382" spans="3:3" x14ac:dyDescent="0.35">
      <c r="C382" t="str">
        <f t="shared" si="28"/>
        <v/>
      </c>
    </row>
    <row r="383" spans="3:3" x14ac:dyDescent="0.35">
      <c r="C383" t="str">
        <f t="shared" si="28"/>
        <v/>
      </c>
    </row>
    <row r="384" spans="3:3" x14ac:dyDescent="0.35">
      <c r="C384" t="str">
        <f t="shared" si="28"/>
        <v/>
      </c>
    </row>
    <row r="385" spans="3:3" x14ac:dyDescent="0.35">
      <c r="C385" t="str">
        <f t="shared" si="28"/>
        <v/>
      </c>
    </row>
    <row r="386" spans="3:3" x14ac:dyDescent="0.35">
      <c r="C386" t="str">
        <f t="shared" si="28"/>
        <v/>
      </c>
    </row>
    <row r="387" spans="3:3" x14ac:dyDescent="0.35">
      <c r="C387" t="str">
        <f t="shared" si="28"/>
        <v/>
      </c>
    </row>
    <row r="388" spans="3:3" x14ac:dyDescent="0.35">
      <c r="C388" t="str">
        <f t="shared" si="28"/>
        <v/>
      </c>
    </row>
    <row r="389" spans="3:3" x14ac:dyDescent="0.35">
      <c r="C389" t="str">
        <f t="shared" ref="C389:C452" si="29">IF(ISBLANK(D389), "",
IF(D389 &lt; $G$9,
    $G$10 + $G$19 * ($G$23 * (D389 - $G$9))^2 + $G$21 * (1 - (D389 - $G$6)/($G$9 - $G$6)),
IF(D389 &gt; $G$13,
    $G$14 + $G$19 * ($G$23 * (D389 - $G$13))^2 - $G$22 * (1 - (D389 - $G$6)/($G$13 - $G$6)),
IF(D389 &lt; $G$6,
    $G$16 * (D389 - $G$6)^2 + $G$5,
    $G$17 * (D389 - $G$6)^2 + $G$5))))</f>
        <v/>
      </c>
    </row>
    <row r="390" spans="3:3" x14ac:dyDescent="0.35">
      <c r="C390" t="str">
        <f t="shared" si="29"/>
        <v/>
      </c>
    </row>
    <row r="391" spans="3:3" x14ac:dyDescent="0.35">
      <c r="C391" t="str">
        <f t="shared" si="29"/>
        <v/>
      </c>
    </row>
    <row r="392" spans="3:3" x14ac:dyDescent="0.35">
      <c r="C392" t="str">
        <f t="shared" si="29"/>
        <v/>
      </c>
    </row>
    <row r="393" spans="3:3" x14ac:dyDescent="0.35">
      <c r="C393" t="str">
        <f t="shared" si="29"/>
        <v/>
      </c>
    </row>
    <row r="394" spans="3:3" x14ac:dyDescent="0.35">
      <c r="C394" t="str">
        <f t="shared" si="29"/>
        <v/>
      </c>
    </row>
    <row r="395" spans="3:3" x14ac:dyDescent="0.35">
      <c r="C395" t="str">
        <f t="shared" si="29"/>
        <v/>
      </c>
    </row>
    <row r="396" spans="3:3" x14ac:dyDescent="0.35">
      <c r="C396" t="str">
        <f t="shared" si="29"/>
        <v/>
      </c>
    </row>
    <row r="397" spans="3:3" x14ac:dyDescent="0.35">
      <c r="C397" t="str">
        <f t="shared" si="29"/>
        <v/>
      </c>
    </row>
    <row r="398" spans="3:3" x14ac:dyDescent="0.35">
      <c r="C398" t="str">
        <f t="shared" si="29"/>
        <v/>
      </c>
    </row>
    <row r="399" spans="3:3" x14ac:dyDescent="0.35">
      <c r="C399" t="str">
        <f t="shared" si="29"/>
        <v/>
      </c>
    </row>
    <row r="400" spans="3:3" x14ac:dyDescent="0.35">
      <c r="C400" t="str">
        <f t="shared" si="29"/>
        <v/>
      </c>
    </row>
    <row r="401" spans="3:3" x14ac:dyDescent="0.35">
      <c r="C401" t="str">
        <f t="shared" si="29"/>
        <v/>
      </c>
    </row>
    <row r="402" spans="3:3" x14ac:dyDescent="0.35">
      <c r="C402" t="str">
        <f t="shared" si="29"/>
        <v/>
      </c>
    </row>
    <row r="403" spans="3:3" x14ac:dyDescent="0.35">
      <c r="C403" t="str">
        <f t="shared" si="29"/>
        <v/>
      </c>
    </row>
    <row r="404" spans="3:3" x14ac:dyDescent="0.35">
      <c r="C404" t="str">
        <f t="shared" si="29"/>
        <v/>
      </c>
    </row>
    <row r="405" spans="3:3" x14ac:dyDescent="0.35">
      <c r="C405" t="str">
        <f t="shared" si="29"/>
        <v/>
      </c>
    </row>
    <row r="406" spans="3:3" x14ac:dyDescent="0.35">
      <c r="C406" t="str">
        <f t="shared" si="29"/>
        <v/>
      </c>
    </row>
    <row r="407" spans="3:3" x14ac:dyDescent="0.35">
      <c r="C407" t="str">
        <f t="shared" si="29"/>
        <v/>
      </c>
    </row>
    <row r="408" spans="3:3" x14ac:dyDescent="0.35">
      <c r="C408" t="str">
        <f t="shared" si="29"/>
        <v/>
      </c>
    </row>
    <row r="409" spans="3:3" x14ac:dyDescent="0.35">
      <c r="C409" t="str">
        <f t="shared" si="29"/>
        <v/>
      </c>
    </row>
    <row r="410" spans="3:3" x14ac:dyDescent="0.35">
      <c r="C410" t="str">
        <f t="shared" si="29"/>
        <v/>
      </c>
    </row>
    <row r="411" spans="3:3" x14ac:dyDescent="0.35">
      <c r="C411" t="str">
        <f t="shared" si="29"/>
        <v/>
      </c>
    </row>
    <row r="412" spans="3:3" x14ac:dyDescent="0.35">
      <c r="C412" t="str">
        <f t="shared" si="29"/>
        <v/>
      </c>
    </row>
    <row r="413" spans="3:3" x14ac:dyDescent="0.35">
      <c r="C413" t="str">
        <f t="shared" si="29"/>
        <v/>
      </c>
    </row>
    <row r="414" spans="3:3" x14ac:dyDescent="0.35">
      <c r="C414" t="str">
        <f t="shared" si="29"/>
        <v/>
      </c>
    </row>
    <row r="415" spans="3:3" x14ac:dyDescent="0.35">
      <c r="C415" t="str">
        <f t="shared" si="29"/>
        <v/>
      </c>
    </row>
    <row r="416" spans="3:3" x14ac:dyDescent="0.35">
      <c r="C416" t="str">
        <f t="shared" si="29"/>
        <v/>
      </c>
    </row>
    <row r="417" spans="3:3" x14ac:dyDescent="0.35">
      <c r="C417" t="str">
        <f t="shared" si="29"/>
        <v/>
      </c>
    </row>
    <row r="418" spans="3:3" x14ac:dyDescent="0.35">
      <c r="C418" t="str">
        <f t="shared" si="29"/>
        <v/>
      </c>
    </row>
    <row r="419" spans="3:3" x14ac:dyDescent="0.35">
      <c r="C419" t="str">
        <f t="shared" si="29"/>
        <v/>
      </c>
    </row>
    <row r="420" spans="3:3" x14ac:dyDescent="0.35">
      <c r="C420" t="str">
        <f t="shared" si="29"/>
        <v/>
      </c>
    </row>
    <row r="421" spans="3:3" x14ac:dyDescent="0.35">
      <c r="C421" t="str">
        <f t="shared" si="29"/>
        <v/>
      </c>
    </row>
    <row r="422" spans="3:3" x14ac:dyDescent="0.35">
      <c r="C422" t="str">
        <f t="shared" si="29"/>
        <v/>
      </c>
    </row>
    <row r="423" spans="3:3" x14ac:dyDescent="0.35">
      <c r="C423" t="str">
        <f t="shared" si="29"/>
        <v/>
      </c>
    </row>
    <row r="424" spans="3:3" x14ac:dyDescent="0.35">
      <c r="C424" t="str">
        <f t="shared" si="29"/>
        <v/>
      </c>
    </row>
    <row r="425" spans="3:3" x14ac:dyDescent="0.35">
      <c r="C425" t="str">
        <f t="shared" si="29"/>
        <v/>
      </c>
    </row>
    <row r="426" spans="3:3" x14ac:dyDescent="0.35">
      <c r="C426" t="str">
        <f t="shared" si="29"/>
        <v/>
      </c>
    </row>
    <row r="427" spans="3:3" x14ac:dyDescent="0.35">
      <c r="C427" t="str">
        <f t="shared" si="29"/>
        <v/>
      </c>
    </row>
    <row r="428" spans="3:3" x14ac:dyDescent="0.35">
      <c r="C428" t="str">
        <f t="shared" si="29"/>
        <v/>
      </c>
    </row>
    <row r="429" spans="3:3" x14ac:dyDescent="0.35">
      <c r="C429" t="str">
        <f t="shared" si="29"/>
        <v/>
      </c>
    </row>
    <row r="430" spans="3:3" x14ac:dyDescent="0.35">
      <c r="C430" t="str">
        <f t="shared" si="29"/>
        <v/>
      </c>
    </row>
    <row r="431" spans="3:3" x14ac:dyDescent="0.35">
      <c r="C431" t="str">
        <f t="shared" si="29"/>
        <v/>
      </c>
    </row>
    <row r="432" spans="3:3" x14ac:dyDescent="0.35">
      <c r="C432" t="str">
        <f t="shared" si="29"/>
        <v/>
      </c>
    </row>
    <row r="433" spans="3:3" x14ac:dyDescent="0.35">
      <c r="C433" t="str">
        <f t="shared" si="29"/>
        <v/>
      </c>
    </row>
    <row r="434" spans="3:3" x14ac:dyDescent="0.35">
      <c r="C434" t="str">
        <f t="shared" si="29"/>
        <v/>
      </c>
    </row>
    <row r="435" spans="3:3" x14ac:dyDescent="0.35">
      <c r="C435" t="str">
        <f t="shared" si="29"/>
        <v/>
      </c>
    </row>
    <row r="436" spans="3:3" x14ac:dyDescent="0.35">
      <c r="C436" t="str">
        <f t="shared" si="29"/>
        <v/>
      </c>
    </row>
    <row r="437" spans="3:3" x14ac:dyDescent="0.35">
      <c r="C437" t="str">
        <f t="shared" si="29"/>
        <v/>
      </c>
    </row>
    <row r="438" spans="3:3" x14ac:dyDescent="0.35">
      <c r="C438" t="str">
        <f t="shared" si="29"/>
        <v/>
      </c>
    </row>
    <row r="439" spans="3:3" x14ac:dyDescent="0.35">
      <c r="C439" t="str">
        <f t="shared" si="29"/>
        <v/>
      </c>
    </row>
    <row r="440" spans="3:3" x14ac:dyDescent="0.35">
      <c r="C440" t="str">
        <f t="shared" si="29"/>
        <v/>
      </c>
    </row>
    <row r="441" spans="3:3" x14ac:dyDescent="0.35">
      <c r="C441" t="str">
        <f t="shared" si="29"/>
        <v/>
      </c>
    </row>
    <row r="442" spans="3:3" x14ac:dyDescent="0.35">
      <c r="C442" t="str">
        <f t="shared" si="29"/>
        <v/>
      </c>
    </row>
    <row r="443" spans="3:3" x14ac:dyDescent="0.35">
      <c r="C443" t="str">
        <f t="shared" si="29"/>
        <v/>
      </c>
    </row>
    <row r="444" spans="3:3" x14ac:dyDescent="0.35">
      <c r="C444" t="str">
        <f t="shared" si="29"/>
        <v/>
      </c>
    </row>
    <row r="445" spans="3:3" x14ac:dyDescent="0.35">
      <c r="C445" t="str">
        <f t="shared" si="29"/>
        <v/>
      </c>
    </row>
    <row r="446" spans="3:3" x14ac:dyDescent="0.35">
      <c r="C446" t="str">
        <f t="shared" si="29"/>
        <v/>
      </c>
    </row>
    <row r="447" spans="3:3" x14ac:dyDescent="0.35">
      <c r="C447" t="str">
        <f t="shared" si="29"/>
        <v/>
      </c>
    </row>
    <row r="448" spans="3:3" x14ac:dyDescent="0.35">
      <c r="C448" t="str">
        <f t="shared" si="29"/>
        <v/>
      </c>
    </row>
    <row r="449" spans="3:3" x14ac:dyDescent="0.35">
      <c r="C449" t="str">
        <f t="shared" si="29"/>
        <v/>
      </c>
    </row>
    <row r="450" spans="3:3" x14ac:dyDescent="0.35">
      <c r="C450" t="str">
        <f t="shared" si="29"/>
        <v/>
      </c>
    </row>
    <row r="451" spans="3:3" x14ac:dyDescent="0.35">
      <c r="C451" t="str">
        <f t="shared" si="29"/>
        <v/>
      </c>
    </row>
    <row r="452" spans="3:3" x14ac:dyDescent="0.35">
      <c r="C452" t="str">
        <f t="shared" si="29"/>
        <v/>
      </c>
    </row>
    <row r="453" spans="3:3" x14ac:dyDescent="0.35">
      <c r="C453" t="str">
        <f t="shared" ref="C453:C516" si="30">IF(ISBLANK(D453), "",
IF(D453 &lt; $G$9,
    $G$10 + $G$19 * ($G$23 * (D453 - $G$9))^2 + $G$21 * (1 - (D453 - $G$6)/($G$9 - $G$6)),
IF(D453 &gt; $G$13,
    $G$14 + $G$19 * ($G$23 * (D453 - $G$13))^2 - $G$22 * (1 - (D453 - $G$6)/($G$13 - $G$6)),
IF(D453 &lt; $G$6,
    $G$16 * (D453 - $G$6)^2 + $G$5,
    $G$17 * (D453 - $G$6)^2 + $G$5))))</f>
        <v/>
      </c>
    </row>
    <row r="454" spans="3:3" x14ac:dyDescent="0.35">
      <c r="C454" t="str">
        <f t="shared" si="30"/>
        <v/>
      </c>
    </row>
    <row r="455" spans="3:3" x14ac:dyDescent="0.35">
      <c r="C455" t="str">
        <f t="shared" si="30"/>
        <v/>
      </c>
    </row>
    <row r="456" spans="3:3" x14ac:dyDescent="0.35">
      <c r="C456" t="str">
        <f t="shared" si="30"/>
        <v/>
      </c>
    </row>
    <row r="457" spans="3:3" x14ac:dyDescent="0.35">
      <c r="C457" t="str">
        <f t="shared" si="30"/>
        <v/>
      </c>
    </row>
    <row r="458" spans="3:3" x14ac:dyDescent="0.35">
      <c r="C458" t="str">
        <f t="shared" si="30"/>
        <v/>
      </c>
    </row>
    <row r="459" spans="3:3" x14ac:dyDescent="0.35">
      <c r="C459" t="str">
        <f t="shared" si="30"/>
        <v/>
      </c>
    </row>
    <row r="460" spans="3:3" x14ac:dyDescent="0.35">
      <c r="C460" t="str">
        <f t="shared" si="30"/>
        <v/>
      </c>
    </row>
    <row r="461" spans="3:3" x14ac:dyDescent="0.35">
      <c r="C461" t="str">
        <f t="shared" si="30"/>
        <v/>
      </c>
    </row>
    <row r="462" spans="3:3" x14ac:dyDescent="0.35">
      <c r="C462" t="str">
        <f t="shared" si="30"/>
        <v/>
      </c>
    </row>
    <row r="463" spans="3:3" x14ac:dyDescent="0.35">
      <c r="C463" t="str">
        <f t="shared" si="30"/>
        <v/>
      </c>
    </row>
    <row r="464" spans="3:3" x14ac:dyDescent="0.35">
      <c r="C464" t="str">
        <f t="shared" si="30"/>
        <v/>
      </c>
    </row>
    <row r="465" spans="3:3" x14ac:dyDescent="0.35">
      <c r="C465" t="str">
        <f t="shared" si="30"/>
        <v/>
      </c>
    </row>
    <row r="466" spans="3:3" x14ac:dyDescent="0.35">
      <c r="C466" t="str">
        <f t="shared" si="30"/>
        <v/>
      </c>
    </row>
    <row r="467" spans="3:3" x14ac:dyDescent="0.35">
      <c r="C467" t="str">
        <f t="shared" si="30"/>
        <v/>
      </c>
    </row>
    <row r="468" spans="3:3" x14ac:dyDescent="0.35">
      <c r="C468" t="str">
        <f t="shared" si="30"/>
        <v/>
      </c>
    </row>
    <row r="469" spans="3:3" x14ac:dyDescent="0.35">
      <c r="C469" t="str">
        <f t="shared" si="30"/>
        <v/>
      </c>
    </row>
    <row r="470" spans="3:3" x14ac:dyDescent="0.35">
      <c r="C470" t="str">
        <f t="shared" si="30"/>
        <v/>
      </c>
    </row>
    <row r="471" spans="3:3" x14ac:dyDescent="0.35">
      <c r="C471" t="str">
        <f t="shared" si="30"/>
        <v/>
      </c>
    </row>
    <row r="472" spans="3:3" x14ac:dyDescent="0.35">
      <c r="C472" t="str">
        <f t="shared" si="30"/>
        <v/>
      </c>
    </row>
    <row r="473" spans="3:3" x14ac:dyDescent="0.35">
      <c r="C473" t="str">
        <f t="shared" si="30"/>
        <v/>
      </c>
    </row>
    <row r="474" spans="3:3" x14ac:dyDescent="0.35">
      <c r="C474" t="str">
        <f t="shared" si="30"/>
        <v/>
      </c>
    </row>
    <row r="475" spans="3:3" x14ac:dyDescent="0.35">
      <c r="C475" t="str">
        <f t="shared" si="30"/>
        <v/>
      </c>
    </row>
    <row r="476" spans="3:3" x14ac:dyDescent="0.35">
      <c r="C476" t="str">
        <f t="shared" si="30"/>
        <v/>
      </c>
    </row>
    <row r="477" spans="3:3" x14ac:dyDescent="0.35">
      <c r="C477" t="str">
        <f t="shared" si="30"/>
        <v/>
      </c>
    </row>
    <row r="478" spans="3:3" x14ac:dyDescent="0.35">
      <c r="C478" t="str">
        <f t="shared" si="30"/>
        <v/>
      </c>
    </row>
    <row r="479" spans="3:3" x14ac:dyDescent="0.35">
      <c r="C479" t="str">
        <f t="shared" si="30"/>
        <v/>
      </c>
    </row>
    <row r="480" spans="3:3" x14ac:dyDescent="0.35">
      <c r="C480" t="str">
        <f t="shared" si="30"/>
        <v/>
      </c>
    </row>
    <row r="481" spans="3:3" x14ac:dyDescent="0.35">
      <c r="C481" t="str">
        <f t="shared" si="30"/>
        <v/>
      </c>
    </row>
    <row r="482" spans="3:3" x14ac:dyDescent="0.35">
      <c r="C482" t="str">
        <f t="shared" si="30"/>
        <v/>
      </c>
    </row>
    <row r="483" spans="3:3" x14ac:dyDescent="0.35">
      <c r="C483" t="str">
        <f t="shared" si="30"/>
        <v/>
      </c>
    </row>
    <row r="484" spans="3:3" x14ac:dyDescent="0.35">
      <c r="C484" t="str">
        <f t="shared" si="30"/>
        <v/>
      </c>
    </row>
    <row r="485" spans="3:3" x14ac:dyDescent="0.35">
      <c r="C485" t="str">
        <f t="shared" si="30"/>
        <v/>
      </c>
    </row>
    <row r="486" spans="3:3" x14ac:dyDescent="0.35">
      <c r="C486" t="str">
        <f t="shared" si="30"/>
        <v/>
      </c>
    </row>
    <row r="487" spans="3:3" x14ac:dyDescent="0.35">
      <c r="C487" t="str">
        <f t="shared" si="30"/>
        <v/>
      </c>
    </row>
    <row r="488" spans="3:3" x14ac:dyDescent="0.35">
      <c r="C488" t="str">
        <f t="shared" si="30"/>
        <v/>
      </c>
    </row>
    <row r="489" spans="3:3" x14ac:dyDescent="0.35">
      <c r="C489" t="str">
        <f t="shared" si="30"/>
        <v/>
      </c>
    </row>
    <row r="490" spans="3:3" x14ac:dyDescent="0.35">
      <c r="C490" t="str">
        <f t="shared" si="30"/>
        <v/>
      </c>
    </row>
    <row r="491" spans="3:3" x14ac:dyDescent="0.35">
      <c r="C491" t="str">
        <f t="shared" si="30"/>
        <v/>
      </c>
    </row>
    <row r="492" spans="3:3" x14ac:dyDescent="0.35">
      <c r="C492" t="str">
        <f t="shared" si="30"/>
        <v/>
      </c>
    </row>
    <row r="493" spans="3:3" x14ac:dyDescent="0.35">
      <c r="C493" t="str">
        <f t="shared" si="30"/>
        <v/>
      </c>
    </row>
    <row r="494" spans="3:3" x14ac:dyDescent="0.35">
      <c r="C494" t="str">
        <f t="shared" si="30"/>
        <v/>
      </c>
    </row>
    <row r="495" spans="3:3" x14ac:dyDescent="0.35">
      <c r="C495" t="str">
        <f t="shared" si="30"/>
        <v/>
      </c>
    </row>
    <row r="496" spans="3:3" x14ac:dyDescent="0.35">
      <c r="C496" t="str">
        <f t="shared" si="30"/>
        <v/>
      </c>
    </row>
    <row r="497" spans="3:3" x14ac:dyDescent="0.35">
      <c r="C497" t="str">
        <f t="shared" si="30"/>
        <v/>
      </c>
    </row>
    <row r="498" spans="3:3" x14ac:dyDescent="0.35">
      <c r="C498" t="str">
        <f t="shared" si="30"/>
        <v/>
      </c>
    </row>
    <row r="499" spans="3:3" x14ac:dyDescent="0.35">
      <c r="C499" t="str">
        <f t="shared" si="30"/>
        <v/>
      </c>
    </row>
    <row r="500" spans="3:3" x14ac:dyDescent="0.35">
      <c r="C500" t="str">
        <f t="shared" si="30"/>
        <v/>
      </c>
    </row>
    <row r="501" spans="3:3" x14ac:dyDescent="0.35">
      <c r="C501" t="str">
        <f t="shared" si="30"/>
        <v/>
      </c>
    </row>
    <row r="502" spans="3:3" x14ac:dyDescent="0.35">
      <c r="C502" t="str">
        <f t="shared" si="30"/>
        <v/>
      </c>
    </row>
    <row r="503" spans="3:3" x14ac:dyDescent="0.35">
      <c r="C503" t="str">
        <f t="shared" si="30"/>
        <v/>
      </c>
    </row>
    <row r="504" spans="3:3" x14ac:dyDescent="0.35">
      <c r="C504" t="str">
        <f t="shared" si="30"/>
        <v/>
      </c>
    </row>
    <row r="505" spans="3:3" x14ac:dyDescent="0.35">
      <c r="C505" t="str">
        <f t="shared" si="30"/>
        <v/>
      </c>
    </row>
    <row r="506" spans="3:3" x14ac:dyDescent="0.35">
      <c r="C506" t="str">
        <f t="shared" si="30"/>
        <v/>
      </c>
    </row>
    <row r="507" spans="3:3" x14ac:dyDescent="0.35">
      <c r="C507" t="str">
        <f t="shared" si="30"/>
        <v/>
      </c>
    </row>
    <row r="508" spans="3:3" x14ac:dyDescent="0.35">
      <c r="C508" t="str">
        <f t="shared" si="30"/>
        <v/>
      </c>
    </row>
    <row r="509" spans="3:3" x14ac:dyDescent="0.35">
      <c r="C509" t="str">
        <f t="shared" si="30"/>
        <v/>
      </c>
    </row>
    <row r="510" spans="3:3" x14ac:dyDescent="0.35">
      <c r="C510" t="str">
        <f t="shared" si="30"/>
        <v/>
      </c>
    </row>
    <row r="511" spans="3:3" x14ac:dyDescent="0.35">
      <c r="C511" t="str">
        <f t="shared" si="30"/>
        <v/>
      </c>
    </row>
    <row r="512" spans="3:3" x14ac:dyDescent="0.35">
      <c r="C512" t="str">
        <f t="shared" si="30"/>
        <v/>
      </c>
    </row>
    <row r="513" spans="3:3" x14ac:dyDescent="0.35">
      <c r="C513" t="str">
        <f t="shared" si="30"/>
        <v/>
      </c>
    </row>
    <row r="514" spans="3:3" x14ac:dyDescent="0.35">
      <c r="C514" t="str">
        <f t="shared" si="30"/>
        <v/>
      </c>
    </row>
    <row r="515" spans="3:3" x14ac:dyDescent="0.35">
      <c r="C515" t="str">
        <f t="shared" si="30"/>
        <v/>
      </c>
    </row>
    <row r="516" spans="3:3" x14ac:dyDescent="0.35">
      <c r="C516" t="str">
        <f t="shared" si="30"/>
        <v/>
      </c>
    </row>
    <row r="517" spans="3:3" x14ac:dyDescent="0.35">
      <c r="C517" t="str">
        <f t="shared" ref="C517:C580" si="31">IF(ISBLANK(D517), "",
IF(D517 &lt; $G$9,
    $G$10 + $G$19 * ($G$23 * (D517 - $G$9))^2 + $G$21 * (1 - (D517 - $G$6)/($G$9 - $G$6)),
IF(D517 &gt; $G$13,
    $G$14 + $G$19 * ($G$23 * (D517 - $G$13))^2 - $G$22 * (1 - (D517 - $G$6)/($G$13 - $G$6)),
IF(D517 &lt; $G$6,
    $G$16 * (D517 - $G$6)^2 + $G$5,
    $G$17 * (D517 - $G$6)^2 + $G$5))))</f>
        <v/>
      </c>
    </row>
    <row r="518" spans="3:3" x14ac:dyDescent="0.35">
      <c r="C518" t="str">
        <f t="shared" si="31"/>
        <v/>
      </c>
    </row>
    <row r="519" spans="3:3" x14ac:dyDescent="0.35">
      <c r="C519" t="str">
        <f t="shared" si="31"/>
        <v/>
      </c>
    </row>
    <row r="520" spans="3:3" x14ac:dyDescent="0.35">
      <c r="C520" t="str">
        <f t="shared" si="31"/>
        <v/>
      </c>
    </row>
    <row r="521" spans="3:3" x14ac:dyDescent="0.35">
      <c r="C521" t="str">
        <f t="shared" si="31"/>
        <v/>
      </c>
    </row>
    <row r="522" spans="3:3" x14ac:dyDescent="0.35">
      <c r="C522" t="str">
        <f t="shared" si="31"/>
        <v/>
      </c>
    </row>
    <row r="523" spans="3:3" x14ac:dyDescent="0.35">
      <c r="C523" t="str">
        <f t="shared" si="31"/>
        <v/>
      </c>
    </row>
    <row r="524" spans="3:3" x14ac:dyDescent="0.35">
      <c r="C524" t="str">
        <f t="shared" si="31"/>
        <v/>
      </c>
    </row>
    <row r="525" spans="3:3" x14ac:dyDescent="0.35">
      <c r="C525" t="str">
        <f t="shared" si="31"/>
        <v/>
      </c>
    </row>
    <row r="526" spans="3:3" x14ac:dyDescent="0.35">
      <c r="C526" t="str">
        <f t="shared" si="31"/>
        <v/>
      </c>
    </row>
    <row r="527" spans="3:3" x14ac:dyDescent="0.35">
      <c r="C527" t="str">
        <f t="shared" si="31"/>
        <v/>
      </c>
    </row>
    <row r="528" spans="3:3" x14ac:dyDescent="0.35">
      <c r="C528" t="str">
        <f t="shared" si="31"/>
        <v/>
      </c>
    </row>
    <row r="529" spans="3:3" x14ac:dyDescent="0.35">
      <c r="C529" t="str">
        <f t="shared" si="31"/>
        <v/>
      </c>
    </row>
    <row r="530" spans="3:3" x14ac:dyDescent="0.35">
      <c r="C530" t="str">
        <f t="shared" si="31"/>
        <v/>
      </c>
    </row>
    <row r="531" spans="3:3" x14ac:dyDescent="0.35">
      <c r="C531" t="str">
        <f t="shared" si="31"/>
        <v/>
      </c>
    </row>
    <row r="532" spans="3:3" x14ac:dyDescent="0.35">
      <c r="C532" t="str">
        <f t="shared" si="31"/>
        <v/>
      </c>
    </row>
    <row r="533" spans="3:3" x14ac:dyDescent="0.35">
      <c r="C533" t="str">
        <f t="shared" si="31"/>
        <v/>
      </c>
    </row>
    <row r="534" spans="3:3" x14ac:dyDescent="0.35">
      <c r="C534" t="str">
        <f t="shared" si="31"/>
        <v/>
      </c>
    </row>
    <row r="535" spans="3:3" x14ac:dyDescent="0.35">
      <c r="C535" t="str">
        <f t="shared" si="31"/>
        <v/>
      </c>
    </row>
    <row r="536" spans="3:3" x14ac:dyDescent="0.35">
      <c r="C536" t="str">
        <f t="shared" si="31"/>
        <v/>
      </c>
    </row>
    <row r="537" spans="3:3" x14ac:dyDescent="0.35">
      <c r="C537" t="str">
        <f t="shared" si="31"/>
        <v/>
      </c>
    </row>
    <row r="538" spans="3:3" x14ac:dyDescent="0.35">
      <c r="C538" t="str">
        <f t="shared" si="31"/>
        <v/>
      </c>
    </row>
    <row r="539" spans="3:3" x14ac:dyDescent="0.35">
      <c r="C539" t="str">
        <f t="shared" si="31"/>
        <v/>
      </c>
    </row>
    <row r="540" spans="3:3" x14ac:dyDescent="0.35">
      <c r="C540" t="str">
        <f t="shared" si="31"/>
        <v/>
      </c>
    </row>
    <row r="541" spans="3:3" x14ac:dyDescent="0.35">
      <c r="C541" t="str">
        <f t="shared" si="31"/>
        <v/>
      </c>
    </row>
    <row r="542" spans="3:3" x14ac:dyDescent="0.35">
      <c r="C542" t="str">
        <f t="shared" si="31"/>
        <v/>
      </c>
    </row>
    <row r="543" spans="3:3" x14ac:dyDescent="0.35">
      <c r="C543" t="str">
        <f t="shared" si="31"/>
        <v/>
      </c>
    </row>
    <row r="544" spans="3:3" x14ac:dyDescent="0.35">
      <c r="C544" t="str">
        <f t="shared" si="31"/>
        <v/>
      </c>
    </row>
    <row r="545" spans="3:3" x14ac:dyDescent="0.35">
      <c r="C545" t="str">
        <f t="shared" si="31"/>
        <v/>
      </c>
    </row>
    <row r="546" spans="3:3" x14ac:dyDescent="0.35">
      <c r="C546" t="str">
        <f t="shared" si="31"/>
        <v/>
      </c>
    </row>
    <row r="547" spans="3:3" x14ac:dyDescent="0.35">
      <c r="C547" t="str">
        <f t="shared" si="31"/>
        <v/>
      </c>
    </row>
    <row r="548" spans="3:3" x14ac:dyDescent="0.35">
      <c r="C548" t="str">
        <f t="shared" si="31"/>
        <v/>
      </c>
    </row>
    <row r="549" spans="3:3" x14ac:dyDescent="0.35">
      <c r="C549" t="str">
        <f t="shared" si="31"/>
        <v/>
      </c>
    </row>
    <row r="550" spans="3:3" x14ac:dyDescent="0.35">
      <c r="C550" t="str">
        <f t="shared" si="31"/>
        <v/>
      </c>
    </row>
    <row r="551" spans="3:3" x14ac:dyDescent="0.35">
      <c r="C551" t="str">
        <f t="shared" si="31"/>
        <v/>
      </c>
    </row>
    <row r="552" spans="3:3" x14ac:dyDescent="0.35">
      <c r="C552" t="str">
        <f t="shared" si="31"/>
        <v/>
      </c>
    </row>
    <row r="553" spans="3:3" x14ac:dyDescent="0.35">
      <c r="C553" t="str">
        <f t="shared" si="31"/>
        <v/>
      </c>
    </row>
    <row r="554" spans="3:3" x14ac:dyDescent="0.35">
      <c r="C554" t="str">
        <f t="shared" si="31"/>
        <v/>
      </c>
    </row>
    <row r="555" spans="3:3" x14ac:dyDescent="0.35">
      <c r="C555" t="str">
        <f t="shared" si="31"/>
        <v/>
      </c>
    </row>
    <row r="556" spans="3:3" x14ac:dyDescent="0.35">
      <c r="C556" t="str">
        <f t="shared" si="31"/>
        <v/>
      </c>
    </row>
    <row r="557" spans="3:3" x14ac:dyDescent="0.35">
      <c r="C557" t="str">
        <f t="shared" si="31"/>
        <v/>
      </c>
    </row>
    <row r="558" spans="3:3" x14ac:dyDescent="0.35">
      <c r="C558" t="str">
        <f t="shared" si="31"/>
        <v/>
      </c>
    </row>
    <row r="559" spans="3:3" x14ac:dyDescent="0.35">
      <c r="C559" t="str">
        <f t="shared" si="31"/>
        <v/>
      </c>
    </row>
    <row r="560" spans="3:3" x14ac:dyDescent="0.35">
      <c r="C560" t="str">
        <f t="shared" si="31"/>
        <v/>
      </c>
    </row>
    <row r="561" spans="3:3" x14ac:dyDescent="0.35">
      <c r="C561" t="str">
        <f t="shared" si="31"/>
        <v/>
      </c>
    </row>
    <row r="562" spans="3:3" x14ac:dyDescent="0.35">
      <c r="C562" t="str">
        <f t="shared" si="31"/>
        <v/>
      </c>
    </row>
    <row r="563" spans="3:3" x14ac:dyDescent="0.35">
      <c r="C563" t="str">
        <f t="shared" si="31"/>
        <v/>
      </c>
    </row>
    <row r="564" spans="3:3" x14ac:dyDescent="0.35">
      <c r="C564" t="str">
        <f t="shared" si="31"/>
        <v/>
      </c>
    </row>
    <row r="565" spans="3:3" x14ac:dyDescent="0.35">
      <c r="C565" t="str">
        <f t="shared" si="31"/>
        <v/>
      </c>
    </row>
    <row r="566" spans="3:3" x14ac:dyDescent="0.35">
      <c r="C566" t="str">
        <f t="shared" si="31"/>
        <v/>
      </c>
    </row>
    <row r="567" spans="3:3" x14ac:dyDescent="0.35">
      <c r="C567" t="str">
        <f t="shared" si="31"/>
        <v/>
      </c>
    </row>
    <row r="568" spans="3:3" x14ac:dyDescent="0.35">
      <c r="C568" t="str">
        <f t="shared" si="31"/>
        <v/>
      </c>
    </row>
    <row r="569" spans="3:3" x14ac:dyDescent="0.35">
      <c r="C569" t="str">
        <f t="shared" si="31"/>
        <v/>
      </c>
    </row>
    <row r="570" spans="3:3" x14ac:dyDescent="0.35">
      <c r="C570" t="str">
        <f t="shared" si="31"/>
        <v/>
      </c>
    </row>
    <row r="571" spans="3:3" x14ac:dyDescent="0.35">
      <c r="C571" t="str">
        <f t="shared" si="31"/>
        <v/>
      </c>
    </row>
    <row r="572" spans="3:3" x14ac:dyDescent="0.35">
      <c r="C572" t="str">
        <f t="shared" si="31"/>
        <v/>
      </c>
    </row>
    <row r="573" spans="3:3" x14ac:dyDescent="0.35">
      <c r="C573" t="str">
        <f t="shared" si="31"/>
        <v/>
      </c>
    </row>
    <row r="574" spans="3:3" x14ac:dyDescent="0.35">
      <c r="C574" t="str">
        <f t="shared" si="31"/>
        <v/>
      </c>
    </row>
    <row r="575" spans="3:3" x14ac:dyDescent="0.35">
      <c r="C575" t="str">
        <f t="shared" si="31"/>
        <v/>
      </c>
    </row>
    <row r="576" spans="3:3" x14ac:dyDescent="0.35">
      <c r="C576" t="str">
        <f t="shared" si="31"/>
        <v/>
      </c>
    </row>
    <row r="577" spans="3:3" x14ac:dyDescent="0.35">
      <c r="C577" t="str">
        <f t="shared" si="31"/>
        <v/>
      </c>
    </row>
    <row r="578" spans="3:3" x14ac:dyDescent="0.35">
      <c r="C578" t="str">
        <f t="shared" si="31"/>
        <v/>
      </c>
    </row>
    <row r="579" spans="3:3" x14ac:dyDescent="0.35">
      <c r="C579" t="str">
        <f t="shared" si="31"/>
        <v/>
      </c>
    </row>
    <row r="580" spans="3:3" x14ac:dyDescent="0.35">
      <c r="C580" t="str">
        <f t="shared" si="31"/>
        <v/>
      </c>
    </row>
    <row r="581" spans="3:3" x14ac:dyDescent="0.35">
      <c r="C581" t="str">
        <f t="shared" ref="C581:C644" si="32">IF(ISBLANK(D581), "",
IF(D581 &lt; $G$9,
    $G$10 + $G$19 * ($G$23 * (D581 - $G$9))^2 + $G$21 * (1 - (D581 - $G$6)/($G$9 - $G$6)),
IF(D581 &gt; $G$13,
    $G$14 + $G$19 * ($G$23 * (D581 - $G$13))^2 - $G$22 * (1 - (D581 - $G$6)/($G$13 - $G$6)),
IF(D581 &lt; $G$6,
    $G$16 * (D581 - $G$6)^2 + $G$5,
    $G$17 * (D581 - $G$6)^2 + $G$5))))</f>
        <v/>
      </c>
    </row>
    <row r="582" spans="3:3" x14ac:dyDescent="0.35">
      <c r="C582" t="str">
        <f t="shared" si="32"/>
        <v/>
      </c>
    </row>
    <row r="583" spans="3:3" x14ac:dyDescent="0.35">
      <c r="C583" t="str">
        <f t="shared" si="32"/>
        <v/>
      </c>
    </row>
    <row r="584" spans="3:3" x14ac:dyDescent="0.35">
      <c r="C584" t="str">
        <f t="shared" si="32"/>
        <v/>
      </c>
    </row>
    <row r="585" spans="3:3" x14ac:dyDescent="0.35">
      <c r="C585" t="str">
        <f t="shared" si="32"/>
        <v/>
      </c>
    </row>
    <row r="586" spans="3:3" x14ac:dyDescent="0.35">
      <c r="C586" t="str">
        <f t="shared" si="32"/>
        <v/>
      </c>
    </row>
    <row r="587" spans="3:3" x14ac:dyDescent="0.35">
      <c r="C587" t="str">
        <f t="shared" si="32"/>
        <v/>
      </c>
    </row>
    <row r="588" spans="3:3" x14ac:dyDescent="0.35">
      <c r="C588" t="str">
        <f t="shared" si="32"/>
        <v/>
      </c>
    </row>
    <row r="589" spans="3:3" x14ac:dyDescent="0.35">
      <c r="C589" t="str">
        <f t="shared" si="32"/>
        <v/>
      </c>
    </row>
    <row r="590" spans="3:3" x14ac:dyDescent="0.35">
      <c r="C590" t="str">
        <f t="shared" si="32"/>
        <v/>
      </c>
    </row>
    <row r="591" spans="3:3" x14ac:dyDescent="0.35">
      <c r="C591" t="str">
        <f t="shared" si="32"/>
        <v/>
      </c>
    </row>
    <row r="592" spans="3:3" x14ac:dyDescent="0.35">
      <c r="C592" t="str">
        <f t="shared" si="32"/>
        <v/>
      </c>
    </row>
    <row r="593" spans="3:3" x14ac:dyDescent="0.35">
      <c r="C593" t="str">
        <f t="shared" si="32"/>
        <v/>
      </c>
    </row>
    <row r="594" spans="3:3" x14ac:dyDescent="0.35">
      <c r="C594" t="str">
        <f t="shared" si="32"/>
        <v/>
      </c>
    </row>
    <row r="595" spans="3:3" x14ac:dyDescent="0.35">
      <c r="C595" t="str">
        <f t="shared" si="32"/>
        <v/>
      </c>
    </row>
    <row r="596" spans="3:3" x14ac:dyDescent="0.35">
      <c r="C596" t="str">
        <f t="shared" si="32"/>
        <v/>
      </c>
    </row>
    <row r="597" spans="3:3" x14ac:dyDescent="0.35">
      <c r="C597" t="str">
        <f t="shared" si="32"/>
        <v/>
      </c>
    </row>
    <row r="598" spans="3:3" x14ac:dyDescent="0.35">
      <c r="C598" t="str">
        <f t="shared" si="32"/>
        <v/>
      </c>
    </row>
    <row r="599" spans="3:3" x14ac:dyDescent="0.35">
      <c r="C599" t="str">
        <f t="shared" si="32"/>
        <v/>
      </c>
    </row>
    <row r="600" spans="3:3" x14ac:dyDescent="0.35">
      <c r="C600" t="str">
        <f t="shared" si="32"/>
        <v/>
      </c>
    </row>
    <row r="601" spans="3:3" x14ac:dyDescent="0.35">
      <c r="C601" t="str">
        <f t="shared" si="32"/>
        <v/>
      </c>
    </row>
    <row r="602" spans="3:3" x14ac:dyDescent="0.35">
      <c r="C602" t="str">
        <f t="shared" si="32"/>
        <v/>
      </c>
    </row>
    <row r="603" spans="3:3" x14ac:dyDescent="0.35">
      <c r="C603" t="str">
        <f t="shared" si="32"/>
        <v/>
      </c>
    </row>
    <row r="604" spans="3:3" x14ac:dyDescent="0.35">
      <c r="C604" t="str">
        <f t="shared" si="32"/>
        <v/>
      </c>
    </row>
    <row r="605" spans="3:3" x14ac:dyDescent="0.35">
      <c r="C605" t="str">
        <f t="shared" si="32"/>
        <v/>
      </c>
    </row>
    <row r="606" spans="3:3" x14ac:dyDescent="0.35">
      <c r="C606" t="str">
        <f t="shared" si="32"/>
        <v/>
      </c>
    </row>
    <row r="607" spans="3:3" x14ac:dyDescent="0.35">
      <c r="C607" t="str">
        <f t="shared" si="32"/>
        <v/>
      </c>
    </row>
    <row r="608" spans="3:3" x14ac:dyDescent="0.35">
      <c r="C608" t="str">
        <f t="shared" si="32"/>
        <v/>
      </c>
    </row>
    <row r="609" spans="3:3" x14ac:dyDescent="0.35">
      <c r="C609" t="str">
        <f t="shared" si="32"/>
        <v/>
      </c>
    </row>
    <row r="610" spans="3:3" x14ac:dyDescent="0.35">
      <c r="C610" t="str">
        <f t="shared" si="32"/>
        <v/>
      </c>
    </row>
    <row r="611" spans="3:3" x14ac:dyDescent="0.35">
      <c r="C611" t="str">
        <f t="shared" si="32"/>
        <v/>
      </c>
    </row>
    <row r="612" spans="3:3" x14ac:dyDescent="0.35">
      <c r="C612" t="str">
        <f t="shared" si="32"/>
        <v/>
      </c>
    </row>
    <row r="613" spans="3:3" x14ac:dyDescent="0.35">
      <c r="C613" t="str">
        <f t="shared" si="32"/>
        <v/>
      </c>
    </row>
    <row r="614" spans="3:3" x14ac:dyDescent="0.35">
      <c r="C614" t="str">
        <f t="shared" si="32"/>
        <v/>
      </c>
    </row>
    <row r="615" spans="3:3" x14ac:dyDescent="0.35">
      <c r="C615" t="str">
        <f t="shared" si="32"/>
        <v/>
      </c>
    </row>
    <row r="616" spans="3:3" x14ac:dyDescent="0.35">
      <c r="C616" t="str">
        <f t="shared" si="32"/>
        <v/>
      </c>
    </row>
    <row r="617" spans="3:3" x14ac:dyDescent="0.35">
      <c r="C617" t="str">
        <f t="shared" si="32"/>
        <v/>
      </c>
    </row>
    <row r="618" spans="3:3" x14ac:dyDescent="0.35">
      <c r="C618" t="str">
        <f t="shared" si="32"/>
        <v/>
      </c>
    </row>
    <row r="619" spans="3:3" x14ac:dyDescent="0.35">
      <c r="C619" t="str">
        <f t="shared" si="32"/>
        <v/>
      </c>
    </row>
    <row r="620" spans="3:3" x14ac:dyDescent="0.35">
      <c r="C620" t="str">
        <f t="shared" si="32"/>
        <v/>
      </c>
    </row>
    <row r="621" spans="3:3" x14ac:dyDescent="0.35">
      <c r="C621" t="str">
        <f t="shared" si="32"/>
        <v/>
      </c>
    </row>
    <row r="622" spans="3:3" x14ac:dyDescent="0.35">
      <c r="C622" t="str">
        <f t="shared" si="32"/>
        <v/>
      </c>
    </row>
    <row r="623" spans="3:3" x14ac:dyDescent="0.35">
      <c r="C623" t="str">
        <f t="shared" si="32"/>
        <v/>
      </c>
    </row>
    <row r="624" spans="3:3" x14ac:dyDescent="0.35">
      <c r="C624" t="str">
        <f t="shared" si="32"/>
        <v/>
      </c>
    </row>
    <row r="625" spans="3:3" x14ac:dyDescent="0.35">
      <c r="C625" t="str">
        <f t="shared" si="32"/>
        <v/>
      </c>
    </row>
    <row r="626" spans="3:3" x14ac:dyDescent="0.35">
      <c r="C626" t="str">
        <f t="shared" si="32"/>
        <v/>
      </c>
    </row>
    <row r="627" spans="3:3" x14ac:dyDescent="0.35">
      <c r="C627" t="str">
        <f t="shared" si="32"/>
        <v/>
      </c>
    </row>
    <row r="628" spans="3:3" x14ac:dyDescent="0.35">
      <c r="C628" t="str">
        <f t="shared" si="32"/>
        <v/>
      </c>
    </row>
    <row r="629" spans="3:3" x14ac:dyDescent="0.35">
      <c r="C629" t="str">
        <f t="shared" si="32"/>
        <v/>
      </c>
    </row>
    <row r="630" spans="3:3" x14ac:dyDescent="0.35">
      <c r="C630" t="str">
        <f t="shared" si="32"/>
        <v/>
      </c>
    </row>
    <row r="631" spans="3:3" x14ac:dyDescent="0.35">
      <c r="C631" t="str">
        <f t="shared" si="32"/>
        <v/>
      </c>
    </row>
    <row r="632" spans="3:3" x14ac:dyDescent="0.35">
      <c r="C632" t="str">
        <f t="shared" si="32"/>
        <v/>
      </c>
    </row>
    <row r="633" spans="3:3" x14ac:dyDescent="0.35">
      <c r="C633" t="str">
        <f t="shared" si="32"/>
        <v/>
      </c>
    </row>
    <row r="634" spans="3:3" x14ac:dyDescent="0.35">
      <c r="C634" t="str">
        <f t="shared" si="32"/>
        <v/>
      </c>
    </row>
    <row r="635" spans="3:3" x14ac:dyDescent="0.35">
      <c r="C635" t="str">
        <f t="shared" si="32"/>
        <v/>
      </c>
    </row>
    <row r="636" spans="3:3" x14ac:dyDescent="0.35">
      <c r="C636" t="str">
        <f t="shared" si="32"/>
        <v/>
      </c>
    </row>
    <row r="637" spans="3:3" x14ac:dyDescent="0.35">
      <c r="C637" t="str">
        <f t="shared" si="32"/>
        <v/>
      </c>
    </row>
    <row r="638" spans="3:3" x14ac:dyDescent="0.35">
      <c r="C638" t="str">
        <f t="shared" si="32"/>
        <v/>
      </c>
    </row>
    <row r="639" spans="3:3" x14ac:dyDescent="0.35">
      <c r="C639" t="str">
        <f t="shared" si="32"/>
        <v/>
      </c>
    </row>
    <row r="640" spans="3:3" x14ac:dyDescent="0.35">
      <c r="C640" t="str">
        <f t="shared" si="32"/>
        <v/>
      </c>
    </row>
    <row r="641" spans="3:3" x14ac:dyDescent="0.35">
      <c r="C641" t="str">
        <f t="shared" si="32"/>
        <v/>
      </c>
    </row>
    <row r="642" spans="3:3" x14ac:dyDescent="0.35">
      <c r="C642" t="str">
        <f t="shared" si="32"/>
        <v/>
      </c>
    </row>
    <row r="643" spans="3:3" x14ac:dyDescent="0.35">
      <c r="C643" t="str">
        <f t="shared" si="32"/>
        <v/>
      </c>
    </row>
    <row r="644" spans="3:3" x14ac:dyDescent="0.35">
      <c r="C644" t="str">
        <f t="shared" si="32"/>
        <v/>
      </c>
    </row>
    <row r="645" spans="3:3" x14ac:dyDescent="0.35">
      <c r="C645" t="str">
        <f t="shared" ref="C645:C708" si="33">IF(ISBLANK(D645), "",
IF(D645 &lt; $G$9,
    $G$10 + $G$19 * ($G$23 * (D645 - $G$9))^2 + $G$21 * (1 - (D645 - $G$6)/($G$9 - $G$6)),
IF(D645 &gt; $G$13,
    $G$14 + $G$19 * ($G$23 * (D645 - $G$13))^2 - $G$22 * (1 - (D645 - $G$6)/($G$13 - $G$6)),
IF(D645 &lt; $G$6,
    $G$16 * (D645 - $G$6)^2 + $G$5,
    $G$17 * (D645 - $G$6)^2 + $G$5))))</f>
        <v/>
      </c>
    </row>
    <row r="646" spans="3:3" x14ac:dyDescent="0.35">
      <c r="C646" t="str">
        <f t="shared" si="33"/>
        <v/>
      </c>
    </row>
    <row r="647" spans="3:3" x14ac:dyDescent="0.35">
      <c r="C647" t="str">
        <f t="shared" si="33"/>
        <v/>
      </c>
    </row>
    <row r="648" spans="3:3" x14ac:dyDescent="0.35">
      <c r="C648" t="str">
        <f t="shared" si="33"/>
        <v/>
      </c>
    </row>
    <row r="649" spans="3:3" x14ac:dyDescent="0.35">
      <c r="C649" t="str">
        <f t="shared" si="33"/>
        <v/>
      </c>
    </row>
    <row r="650" spans="3:3" x14ac:dyDescent="0.35">
      <c r="C650" t="str">
        <f t="shared" si="33"/>
        <v/>
      </c>
    </row>
    <row r="651" spans="3:3" x14ac:dyDescent="0.35">
      <c r="C651" t="str">
        <f t="shared" si="33"/>
        <v/>
      </c>
    </row>
    <row r="652" spans="3:3" x14ac:dyDescent="0.35">
      <c r="C652" t="str">
        <f t="shared" si="33"/>
        <v/>
      </c>
    </row>
    <row r="653" spans="3:3" x14ac:dyDescent="0.35">
      <c r="C653" t="str">
        <f t="shared" si="33"/>
        <v/>
      </c>
    </row>
    <row r="654" spans="3:3" x14ac:dyDescent="0.35">
      <c r="C654" t="str">
        <f t="shared" si="33"/>
        <v/>
      </c>
    </row>
    <row r="655" spans="3:3" x14ac:dyDescent="0.35">
      <c r="C655" t="str">
        <f t="shared" si="33"/>
        <v/>
      </c>
    </row>
    <row r="656" spans="3:3" x14ac:dyDescent="0.35">
      <c r="C656" t="str">
        <f t="shared" si="33"/>
        <v/>
      </c>
    </row>
    <row r="657" spans="3:3" x14ac:dyDescent="0.35">
      <c r="C657" t="str">
        <f t="shared" si="33"/>
        <v/>
      </c>
    </row>
    <row r="658" spans="3:3" x14ac:dyDescent="0.35">
      <c r="C658" t="str">
        <f t="shared" si="33"/>
        <v/>
      </c>
    </row>
    <row r="659" spans="3:3" x14ac:dyDescent="0.35">
      <c r="C659" t="str">
        <f t="shared" si="33"/>
        <v/>
      </c>
    </row>
    <row r="660" spans="3:3" x14ac:dyDescent="0.35">
      <c r="C660" t="str">
        <f t="shared" si="33"/>
        <v/>
      </c>
    </row>
    <row r="661" spans="3:3" x14ac:dyDescent="0.35">
      <c r="C661" t="str">
        <f t="shared" si="33"/>
        <v/>
      </c>
    </row>
    <row r="662" spans="3:3" x14ac:dyDescent="0.35">
      <c r="C662" t="str">
        <f t="shared" si="33"/>
        <v/>
      </c>
    </row>
    <row r="663" spans="3:3" x14ac:dyDescent="0.35">
      <c r="C663" t="str">
        <f t="shared" si="33"/>
        <v/>
      </c>
    </row>
    <row r="664" spans="3:3" x14ac:dyDescent="0.35">
      <c r="C664" t="str">
        <f t="shared" si="33"/>
        <v/>
      </c>
    </row>
    <row r="665" spans="3:3" x14ac:dyDescent="0.35">
      <c r="C665" t="str">
        <f t="shared" si="33"/>
        <v/>
      </c>
    </row>
    <row r="666" spans="3:3" x14ac:dyDescent="0.35">
      <c r="C666" t="str">
        <f t="shared" si="33"/>
        <v/>
      </c>
    </row>
    <row r="667" spans="3:3" x14ac:dyDescent="0.35">
      <c r="C667" t="str">
        <f t="shared" si="33"/>
        <v/>
      </c>
    </row>
    <row r="668" spans="3:3" x14ac:dyDescent="0.35">
      <c r="C668" t="str">
        <f t="shared" si="33"/>
        <v/>
      </c>
    </row>
    <row r="669" spans="3:3" x14ac:dyDescent="0.35">
      <c r="C669" t="str">
        <f t="shared" si="33"/>
        <v/>
      </c>
    </row>
    <row r="670" spans="3:3" x14ac:dyDescent="0.35">
      <c r="C670" t="str">
        <f t="shared" si="33"/>
        <v/>
      </c>
    </row>
    <row r="671" spans="3:3" x14ac:dyDescent="0.35">
      <c r="C671" t="str">
        <f t="shared" si="33"/>
        <v/>
      </c>
    </row>
    <row r="672" spans="3:3" x14ac:dyDescent="0.35">
      <c r="C672" t="str">
        <f t="shared" si="33"/>
        <v/>
      </c>
    </row>
    <row r="673" spans="3:3" x14ac:dyDescent="0.35">
      <c r="C673" t="str">
        <f t="shared" si="33"/>
        <v/>
      </c>
    </row>
    <row r="674" spans="3:3" x14ac:dyDescent="0.35">
      <c r="C674" t="str">
        <f t="shared" si="33"/>
        <v/>
      </c>
    </row>
    <row r="675" spans="3:3" x14ac:dyDescent="0.35">
      <c r="C675" t="str">
        <f t="shared" si="33"/>
        <v/>
      </c>
    </row>
    <row r="676" spans="3:3" x14ac:dyDescent="0.35">
      <c r="C676" t="str">
        <f t="shared" si="33"/>
        <v/>
      </c>
    </row>
    <row r="677" spans="3:3" x14ac:dyDescent="0.35">
      <c r="C677" t="str">
        <f t="shared" si="33"/>
        <v/>
      </c>
    </row>
    <row r="678" spans="3:3" x14ac:dyDescent="0.35">
      <c r="C678" t="str">
        <f t="shared" si="33"/>
        <v/>
      </c>
    </row>
    <row r="679" spans="3:3" x14ac:dyDescent="0.35">
      <c r="C679" t="str">
        <f t="shared" si="33"/>
        <v/>
      </c>
    </row>
    <row r="680" spans="3:3" x14ac:dyDescent="0.35">
      <c r="C680" t="str">
        <f t="shared" si="33"/>
        <v/>
      </c>
    </row>
    <row r="681" spans="3:3" x14ac:dyDescent="0.35">
      <c r="C681" t="str">
        <f t="shared" si="33"/>
        <v/>
      </c>
    </row>
    <row r="682" spans="3:3" x14ac:dyDescent="0.35">
      <c r="C682" t="str">
        <f t="shared" si="33"/>
        <v/>
      </c>
    </row>
    <row r="683" spans="3:3" x14ac:dyDescent="0.35">
      <c r="C683" t="str">
        <f t="shared" si="33"/>
        <v/>
      </c>
    </row>
    <row r="684" spans="3:3" x14ac:dyDescent="0.35">
      <c r="C684" t="str">
        <f t="shared" si="33"/>
        <v/>
      </c>
    </row>
    <row r="685" spans="3:3" x14ac:dyDescent="0.35">
      <c r="C685" t="str">
        <f t="shared" si="33"/>
        <v/>
      </c>
    </row>
    <row r="686" spans="3:3" x14ac:dyDescent="0.35">
      <c r="C686" t="str">
        <f t="shared" si="33"/>
        <v/>
      </c>
    </row>
    <row r="687" spans="3:3" x14ac:dyDescent="0.35">
      <c r="C687" t="str">
        <f t="shared" si="33"/>
        <v/>
      </c>
    </row>
    <row r="688" spans="3:3" x14ac:dyDescent="0.35">
      <c r="C688" t="str">
        <f t="shared" si="33"/>
        <v/>
      </c>
    </row>
    <row r="689" spans="3:3" x14ac:dyDescent="0.35">
      <c r="C689" t="str">
        <f t="shared" si="33"/>
        <v/>
      </c>
    </row>
    <row r="690" spans="3:3" x14ac:dyDescent="0.35">
      <c r="C690" t="str">
        <f t="shared" si="33"/>
        <v/>
      </c>
    </row>
    <row r="691" spans="3:3" x14ac:dyDescent="0.35">
      <c r="C691" t="str">
        <f t="shared" si="33"/>
        <v/>
      </c>
    </row>
    <row r="692" spans="3:3" x14ac:dyDescent="0.35">
      <c r="C692" t="str">
        <f t="shared" si="33"/>
        <v/>
      </c>
    </row>
    <row r="693" spans="3:3" x14ac:dyDescent="0.35">
      <c r="C693" t="str">
        <f t="shared" si="33"/>
        <v/>
      </c>
    </row>
    <row r="694" spans="3:3" x14ac:dyDescent="0.35">
      <c r="C694" t="str">
        <f t="shared" si="33"/>
        <v/>
      </c>
    </row>
    <row r="695" spans="3:3" x14ac:dyDescent="0.35">
      <c r="C695" t="str">
        <f t="shared" si="33"/>
        <v/>
      </c>
    </row>
    <row r="696" spans="3:3" x14ac:dyDescent="0.35">
      <c r="C696" t="str">
        <f t="shared" si="33"/>
        <v/>
      </c>
    </row>
    <row r="697" spans="3:3" x14ac:dyDescent="0.35">
      <c r="C697" t="str">
        <f t="shared" si="33"/>
        <v/>
      </c>
    </row>
    <row r="698" spans="3:3" x14ac:dyDescent="0.35">
      <c r="C698" t="str">
        <f t="shared" si="33"/>
        <v/>
      </c>
    </row>
    <row r="699" spans="3:3" x14ac:dyDescent="0.35">
      <c r="C699" t="str">
        <f t="shared" si="33"/>
        <v/>
      </c>
    </row>
    <row r="700" spans="3:3" x14ac:dyDescent="0.35">
      <c r="C700" t="str">
        <f t="shared" si="33"/>
        <v/>
      </c>
    </row>
    <row r="701" spans="3:3" x14ac:dyDescent="0.35">
      <c r="C701" t="str">
        <f t="shared" si="33"/>
        <v/>
      </c>
    </row>
    <row r="702" spans="3:3" x14ac:dyDescent="0.35">
      <c r="C702" t="str">
        <f t="shared" si="33"/>
        <v/>
      </c>
    </row>
    <row r="703" spans="3:3" x14ac:dyDescent="0.35">
      <c r="C703" t="str">
        <f t="shared" si="33"/>
        <v/>
      </c>
    </row>
    <row r="704" spans="3:3" x14ac:dyDescent="0.35">
      <c r="C704" t="str">
        <f t="shared" si="33"/>
        <v/>
      </c>
    </row>
    <row r="705" spans="3:3" x14ac:dyDescent="0.35">
      <c r="C705" t="str">
        <f t="shared" si="33"/>
        <v/>
      </c>
    </row>
    <row r="706" spans="3:3" x14ac:dyDescent="0.35">
      <c r="C706" t="str">
        <f t="shared" si="33"/>
        <v/>
      </c>
    </row>
    <row r="707" spans="3:3" x14ac:dyDescent="0.35">
      <c r="C707" t="str">
        <f t="shared" si="33"/>
        <v/>
      </c>
    </row>
    <row r="708" spans="3:3" x14ac:dyDescent="0.35">
      <c r="C708" t="str">
        <f t="shared" si="33"/>
        <v/>
      </c>
    </row>
    <row r="709" spans="3:3" x14ac:dyDescent="0.35">
      <c r="C709" t="str">
        <f t="shared" ref="C709:C772" si="34">IF(ISBLANK(D709), "",
IF(D709 &lt; $G$9,
    $G$10 + $G$19 * ($G$23 * (D709 - $G$9))^2 + $G$21 * (1 - (D709 - $G$6)/($G$9 - $G$6)),
IF(D709 &gt; $G$13,
    $G$14 + $G$19 * ($G$23 * (D709 - $G$13))^2 - $G$22 * (1 - (D709 - $G$6)/($G$13 - $G$6)),
IF(D709 &lt; $G$6,
    $G$16 * (D709 - $G$6)^2 + $G$5,
    $G$17 * (D709 - $G$6)^2 + $G$5))))</f>
        <v/>
      </c>
    </row>
    <row r="710" spans="3:3" x14ac:dyDescent="0.35">
      <c r="C710" t="str">
        <f t="shared" si="34"/>
        <v/>
      </c>
    </row>
    <row r="711" spans="3:3" x14ac:dyDescent="0.35">
      <c r="C711" t="str">
        <f t="shared" si="34"/>
        <v/>
      </c>
    </row>
    <row r="712" spans="3:3" x14ac:dyDescent="0.35">
      <c r="C712" t="str">
        <f t="shared" si="34"/>
        <v/>
      </c>
    </row>
    <row r="713" spans="3:3" x14ac:dyDescent="0.35">
      <c r="C713" t="str">
        <f t="shared" si="34"/>
        <v/>
      </c>
    </row>
    <row r="714" spans="3:3" x14ac:dyDescent="0.35">
      <c r="C714" t="str">
        <f t="shared" si="34"/>
        <v/>
      </c>
    </row>
    <row r="715" spans="3:3" x14ac:dyDescent="0.35">
      <c r="C715" t="str">
        <f t="shared" si="34"/>
        <v/>
      </c>
    </row>
    <row r="716" spans="3:3" x14ac:dyDescent="0.35">
      <c r="C716" t="str">
        <f t="shared" si="34"/>
        <v/>
      </c>
    </row>
    <row r="717" spans="3:3" x14ac:dyDescent="0.35">
      <c r="C717" t="str">
        <f t="shared" si="34"/>
        <v/>
      </c>
    </row>
    <row r="718" spans="3:3" x14ac:dyDescent="0.35">
      <c r="C718" t="str">
        <f t="shared" si="34"/>
        <v/>
      </c>
    </row>
    <row r="719" spans="3:3" x14ac:dyDescent="0.35">
      <c r="C719" t="str">
        <f t="shared" si="34"/>
        <v/>
      </c>
    </row>
    <row r="720" spans="3:3" x14ac:dyDescent="0.35">
      <c r="C720" t="str">
        <f t="shared" si="34"/>
        <v/>
      </c>
    </row>
    <row r="721" spans="3:3" x14ac:dyDescent="0.35">
      <c r="C721" t="str">
        <f t="shared" si="34"/>
        <v/>
      </c>
    </row>
    <row r="722" spans="3:3" x14ac:dyDescent="0.35">
      <c r="C722" t="str">
        <f t="shared" si="34"/>
        <v/>
      </c>
    </row>
    <row r="723" spans="3:3" x14ac:dyDescent="0.35">
      <c r="C723" t="str">
        <f t="shared" si="34"/>
        <v/>
      </c>
    </row>
    <row r="724" spans="3:3" x14ac:dyDescent="0.35">
      <c r="C724" t="str">
        <f t="shared" si="34"/>
        <v/>
      </c>
    </row>
    <row r="725" spans="3:3" x14ac:dyDescent="0.35">
      <c r="C725" t="str">
        <f t="shared" si="34"/>
        <v/>
      </c>
    </row>
    <row r="726" spans="3:3" x14ac:dyDescent="0.35">
      <c r="C726" t="str">
        <f t="shared" si="34"/>
        <v/>
      </c>
    </row>
    <row r="727" spans="3:3" x14ac:dyDescent="0.35">
      <c r="C727" t="str">
        <f t="shared" si="34"/>
        <v/>
      </c>
    </row>
    <row r="728" spans="3:3" x14ac:dyDescent="0.35">
      <c r="C728" t="str">
        <f t="shared" si="34"/>
        <v/>
      </c>
    </row>
    <row r="729" spans="3:3" x14ac:dyDescent="0.35">
      <c r="C729" t="str">
        <f t="shared" si="34"/>
        <v/>
      </c>
    </row>
    <row r="730" spans="3:3" x14ac:dyDescent="0.35">
      <c r="C730" t="str">
        <f t="shared" si="34"/>
        <v/>
      </c>
    </row>
    <row r="731" spans="3:3" x14ac:dyDescent="0.35">
      <c r="C731" t="str">
        <f t="shared" si="34"/>
        <v/>
      </c>
    </row>
    <row r="732" spans="3:3" x14ac:dyDescent="0.35">
      <c r="C732" t="str">
        <f t="shared" si="34"/>
        <v/>
      </c>
    </row>
    <row r="733" spans="3:3" x14ac:dyDescent="0.35">
      <c r="C733" t="str">
        <f t="shared" si="34"/>
        <v/>
      </c>
    </row>
    <row r="734" spans="3:3" x14ac:dyDescent="0.35">
      <c r="C734" t="str">
        <f t="shared" si="34"/>
        <v/>
      </c>
    </row>
    <row r="735" spans="3:3" x14ac:dyDescent="0.35">
      <c r="C735" t="str">
        <f t="shared" si="34"/>
        <v/>
      </c>
    </row>
    <row r="736" spans="3:3" x14ac:dyDescent="0.35">
      <c r="C736" t="str">
        <f t="shared" si="34"/>
        <v/>
      </c>
    </row>
    <row r="737" spans="3:3" x14ac:dyDescent="0.35">
      <c r="C737" t="str">
        <f t="shared" si="34"/>
        <v/>
      </c>
    </row>
    <row r="738" spans="3:3" x14ac:dyDescent="0.35">
      <c r="C738" t="str">
        <f t="shared" si="34"/>
        <v/>
      </c>
    </row>
    <row r="739" spans="3:3" x14ac:dyDescent="0.35">
      <c r="C739" t="str">
        <f t="shared" si="34"/>
        <v/>
      </c>
    </row>
    <row r="740" spans="3:3" x14ac:dyDescent="0.35">
      <c r="C740" t="str">
        <f t="shared" si="34"/>
        <v/>
      </c>
    </row>
    <row r="741" spans="3:3" x14ac:dyDescent="0.35">
      <c r="C741" t="str">
        <f t="shared" si="34"/>
        <v/>
      </c>
    </row>
    <row r="742" spans="3:3" x14ac:dyDescent="0.35">
      <c r="C742" t="str">
        <f t="shared" si="34"/>
        <v/>
      </c>
    </row>
    <row r="743" spans="3:3" x14ac:dyDescent="0.35">
      <c r="C743" t="str">
        <f t="shared" si="34"/>
        <v/>
      </c>
    </row>
    <row r="744" spans="3:3" x14ac:dyDescent="0.35">
      <c r="C744" t="str">
        <f t="shared" si="34"/>
        <v/>
      </c>
    </row>
    <row r="745" spans="3:3" x14ac:dyDescent="0.35">
      <c r="C745" t="str">
        <f t="shared" si="34"/>
        <v/>
      </c>
    </row>
    <row r="746" spans="3:3" x14ac:dyDescent="0.35">
      <c r="C746" t="str">
        <f t="shared" si="34"/>
        <v/>
      </c>
    </row>
    <row r="747" spans="3:3" x14ac:dyDescent="0.35">
      <c r="C747" t="str">
        <f t="shared" si="34"/>
        <v/>
      </c>
    </row>
    <row r="748" spans="3:3" x14ac:dyDescent="0.35">
      <c r="C748" t="str">
        <f t="shared" si="34"/>
        <v/>
      </c>
    </row>
    <row r="749" spans="3:3" x14ac:dyDescent="0.35">
      <c r="C749" t="str">
        <f t="shared" si="34"/>
        <v/>
      </c>
    </row>
    <row r="750" spans="3:3" x14ac:dyDescent="0.35">
      <c r="C750" t="str">
        <f t="shared" si="34"/>
        <v/>
      </c>
    </row>
    <row r="751" spans="3:3" x14ac:dyDescent="0.35">
      <c r="C751" t="str">
        <f t="shared" si="34"/>
        <v/>
      </c>
    </row>
    <row r="752" spans="3:3" x14ac:dyDescent="0.35">
      <c r="C752" t="str">
        <f t="shared" si="34"/>
        <v/>
      </c>
    </row>
    <row r="753" spans="3:3" x14ac:dyDescent="0.35">
      <c r="C753" t="str">
        <f t="shared" si="34"/>
        <v/>
      </c>
    </row>
    <row r="754" spans="3:3" x14ac:dyDescent="0.35">
      <c r="C754" t="str">
        <f t="shared" si="34"/>
        <v/>
      </c>
    </row>
    <row r="755" spans="3:3" x14ac:dyDescent="0.35">
      <c r="C755" t="str">
        <f t="shared" si="34"/>
        <v/>
      </c>
    </row>
    <row r="756" spans="3:3" x14ac:dyDescent="0.35">
      <c r="C756" t="str">
        <f t="shared" si="34"/>
        <v/>
      </c>
    </row>
    <row r="757" spans="3:3" x14ac:dyDescent="0.35">
      <c r="C757" t="str">
        <f t="shared" si="34"/>
        <v/>
      </c>
    </row>
    <row r="758" spans="3:3" x14ac:dyDescent="0.35">
      <c r="C758" t="str">
        <f t="shared" si="34"/>
        <v/>
      </c>
    </row>
    <row r="759" spans="3:3" x14ac:dyDescent="0.35">
      <c r="C759" t="str">
        <f t="shared" si="34"/>
        <v/>
      </c>
    </row>
    <row r="760" spans="3:3" x14ac:dyDescent="0.35">
      <c r="C760" t="str">
        <f t="shared" si="34"/>
        <v/>
      </c>
    </row>
    <row r="761" spans="3:3" x14ac:dyDescent="0.35">
      <c r="C761" t="str">
        <f t="shared" si="34"/>
        <v/>
      </c>
    </row>
    <row r="762" spans="3:3" x14ac:dyDescent="0.35">
      <c r="C762" t="str">
        <f t="shared" si="34"/>
        <v/>
      </c>
    </row>
    <row r="763" spans="3:3" x14ac:dyDescent="0.35">
      <c r="C763" t="str">
        <f t="shared" si="34"/>
        <v/>
      </c>
    </row>
    <row r="764" spans="3:3" x14ac:dyDescent="0.35">
      <c r="C764" t="str">
        <f t="shared" si="34"/>
        <v/>
      </c>
    </row>
    <row r="765" spans="3:3" x14ac:dyDescent="0.35">
      <c r="C765" t="str">
        <f t="shared" si="34"/>
        <v/>
      </c>
    </row>
    <row r="766" spans="3:3" x14ac:dyDescent="0.35">
      <c r="C766" t="str">
        <f t="shared" si="34"/>
        <v/>
      </c>
    </row>
    <row r="767" spans="3:3" x14ac:dyDescent="0.35">
      <c r="C767" t="str">
        <f t="shared" si="34"/>
        <v/>
      </c>
    </row>
    <row r="768" spans="3:3" x14ac:dyDescent="0.35">
      <c r="C768" t="str">
        <f t="shared" si="34"/>
        <v/>
      </c>
    </row>
    <row r="769" spans="3:3" x14ac:dyDescent="0.35">
      <c r="C769" t="str">
        <f t="shared" si="34"/>
        <v/>
      </c>
    </row>
    <row r="770" spans="3:3" x14ac:dyDescent="0.35">
      <c r="C770" t="str">
        <f t="shared" si="34"/>
        <v/>
      </c>
    </row>
    <row r="771" spans="3:3" x14ac:dyDescent="0.35">
      <c r="C771" t="str">
        <f t="shared" si="34"/>
        <v/>
      </c>
    </row>
    <row r="772" spans="3:3" x14ac:dyDescent="0.35">
      <c r="C772" t="str">
        <f t="shared" si="34"/>
        <v/>
      </c>
    </row>
    <row r="773" spans="3:3" x14ac:dyDescent="0.35">
      <c r="C773" t="str">
        <f t="shared" ref="C773:C836" si="35">IF(ISBLANK(D773), "",
IF(D773 &lt; $G$9,
    $G$10 + $G$19 * ($G$23 * (D773 - $G$9))^2 + $G$21 * (1 - (D773 - $G$6)/($G$9 - $G$6)),
IF(D773 &gt; $G$13,
    $G$14 + $G$19 * ($G$23 * (D773 - $G$13))^2 - $G$22 * (1 - (D773 - $G$6)/($G$13 - $G$6)),
IF(D773 &lt; $G$6,
    $G$16 * (D773 - $G$6)^2 + $G$5,
    $G$17 * (D773 - $G$6)^2 + $G$5))))</f>
        <v/>
      </c>
    </row>
    <row r="774" spans="3:3" x14ac:dyDescent="0.35">
      <c r="C774" t="str">
        <f t="shared" si="35"/>
        <v/>
      </c>
    </row>
    <row r="775" spans="3:3" x14ac:dyDescent="0.35">
      <c r="C775" t="str">
        <f t="shared" si="35"/>
        <v/>
      </c>
    </row>
    <row r="776" spans="3:3" x14ac:dyDescent="0.35">
      <c r="C776" t="str">
        <f t="shared" si="35"/>
        <v/>
      </c>
    </row>
    <row r="777" spans="3:3" x14ac:dyDescent="0.35">
      <c r="C777" t="str">
        <f t="shared" si="35"/>
        <v/>
      </c>
    </row>
    <row r="778" spans="3:3" x14ac:dyDescent="0.35">
      <c r="C778" t="str">
        <f t="shared" si="35"/>
        <v/>
      </c>
    </row>
    <row r="779" spans="3:3" x14ac:dyDescent="0.35">
      <c r="C779" t="str">
        <f t="shared" si="35"/>
        <v/>
      </c>
    </row>
    <row r="780" spans="3:3" x14ac:dyDescent="0.35">
      <c r="C780" t="str">
        <f t="shared" si="35"/>
        <v/>
      </c>
    </row>
    <row r="781" spans="3:3" x14ac:dyDescent="0.35">
      <c r="C781" t="str">
        <f t="shared" si="35"/>
        <v/>
      </c>
    </row>
    <row r="782" spans="3:3" x14ac:dyDescent="0.35">
      <c r="C782" t="str">
        <f t="shared" si="35"/>
        <v/>
      </c>
    </row>
    <row r="783" spans="3:3" x14ac:dyDescent="0.35">
      <c r="C783" t="str">
        <f t="shared" si="35"/>
        <v/>
      </c>
    </row>
    <row r="784" spans="3:3" x14ac:dyDescent="0.35">
      <c r="C784" t="str">
        <f t="shared" si="35"/>
        <v/>
      </c>
    </row>
    <row r="785" spans="3:3" x14ac:dyDescent="0.35">
      <c r="C785" t="str">
        <f t="shared" si="35"/>
        <v/>
      </c>
    </row>
    <row r="786" spans="3:3" x14ac:dyDescent="0.35">
      <c r="C786" t="str">
        <f t="shared" si="35"/>
        <v/>
      </c>
    </row>
    <row r="787" spans="3:3" x14ac:dyDescent="0.35">
      <c r="C787" t="str">
        <f t="shared" si="35"/>
        <v/>
      </c>
    </row>
    <row r="788" spans="3:3" x14ac:dyDescent="0.35">
      <c r="C788" t="str">
        <f t="shared" si="35"/>
        <v/>
      </c>
    </row>
    <row r="789" spans="3:3" x14ac:dyDescent="0.35">
      <c r="C789" t="str">
        <f t="shared" si="35"/>
        <v/>
      </c>
    </row>
    <row r="790" spans="3:3" x14ac:dyDescent="0.35">
      <c r="C790" t="str">
        <f t="shared" si="35"/>
        <v/>
      </c>
    </row>
    <row r="791" spans="3:3" x14ac:dyDescent="0.35">
      <c r="C791" t="str">
        <f t="shared" si="35"/>
        <v/>
      </c>
    </row>
    <row r="792" spans="3:3" x14ac:dyDescent="0.35">
      <c r="C792" t="str">
        <f t="shared" si="35"/>
        <v/>
      </c>
    </row>
    <row r="793" spans="3:3" x14ac:dyDescent="0.35">
      <c r="C793" t="str">
        <f t="shared" si="35"/>
        <v/>
      </c>
    </row>
    <row r="794" spans="3:3" x14ac:dyDescent="0.35">
      <c r="C794" t="str">
        <f t="shared" si="35"/>
        <v/>
      </c>
    </row>
    <row r="795" spans="3:3" x14ac:dyDescent="0.35">
      <c r="C795" t="str">
        <f t="shared" si="35"/>
        <v/>
      </c>
    </row>
    <row r="796" spans="3:3" x14ac:dyDescent="0.35">
      <c r="C796" t="str">
        <f t="shared" si="35"/>
        <v/>
      </c>
    </row>
    <row r="797" spans="3:3" x14ac:dyDescent="0.35">
      <c r="C797" t="str">
        <f t="shared" si="35"/>
        <v/>
      </c>
    </row>
    <row r="798" spans="3:3" x14ac:dyDescent="0.35">
      <c r="C798" t="str">
        <f t="shared" si="35"/>
        <v/>
      </c>
    </row>
    <row r="799" spans="3:3" x14ac:dyDescent="0.35">
      <c r="C799" t="str">
        <f t="shared" si="35"/>
        <v/>
      </c>
    </row>
    <row r="800" spans="3:3" x14ac:dyDescent="0.35">
      <c r="C800" t="str">
        <f t="shared" si="35"/>
        <v/>
      </c>
    </row>
    <row r="801" spans="3:3" x14ac:dyDescent="0.35">
      <c r="C801" t="str">
        <f t="shared" si="35"/>
        <v/>
      </c>
    </row>
    <row r="802" spans="3:3" x14ac:dyDescent="0.35">
      <c r="C802" t="str">
        <f t="shared" si="35"/>
        <v/>
      </c>
    </row>
    <row r="803" spans="3:3" x14ac:dyDescent="0.35">
      <c r="C803" t="str">
        <f t="shared" si="35"/>
        <v/>
      </c>
    </row>
    <row r="804" spans="3:3" x14ac:dyDescent="0.35">
      <c r="C804" t="str">
        <f t="shared" si="35"/>
        <v/>
      </c>
    </row>
    <row r="805" spans="3:3" x14ac:dyDescent="0.35">
      <c r="C805" t="str">
        <f t="shared" si="35"/>
        <v/>
      </c>
    </row>
    <row r="806" spans="3:3" x14ac:dyDescent="0.35">
      <c r="C806" t="str">
        <f t="shared" si="35"/>
        <v/>
      </c>
    </row>
    <row r="807" spans="3:3" x14ac:dyDescent="0.35">
      <c r="C807" t="str">
        <f t="shared" si="35"/>
        <v/>
      </c>
    </row>
    <row r="808" spans="3:3" x14ac:dyDescent="0.35">
      <c r="C808" t="str">
        <f t="shared" si="35"/>
        <v/>
      </c>
    </row>
    <row r="809" spans="3:3" x14ac:dyDescent="0.35">
      <c r="C809" t="str">
        <f t="shared" si="35"/>
        <v/>
      </c>
    </row>
    <row r="810" spans="3:3" x14ac:dyDescent="0.35">
      <c r="C810" t="str">
        <f t="shared" si="35"/>
        <v/>
      </c>
    </row>
    <row r="811" spans="3:3" x14ac:dyDescent="0.35">
      <c r="C811" t="str">
        <f t="shared" si="35"/>
        <v/>
      </c>
    </row>
    <row r="812" spans="3:3" x14ac:dyDescent="0.35">
      <c r="C812" t="str">
        <f t="shared" si="35"/>
        <v/>
      </c>
    </row>
    <row r="813" spans="3:3" x14ac:dyDescent="0.35">
      <c r="C813" t="str">
        <f t="shared" si="35"/>
        <v/>
      </c>
    </row>
    <row r="814" spans="3:3" x14ac:dyDescent="0.35">
      <c r="C814" t="str">
        <f t="shared" si="35"/>
        <v/>
      </c>
    </row>
    <row r="815" spans="3:3" x14ac:dyDescent="0.35">
      <c r="C815" t="str">
        <f t="shared" si="35"/>
        <v/>
      </c>
    </row>
    <row r="816" spans="3:3" x14ac:dyDescent="0.35">
      <c r="C816" t="str">
        <f t="shared" si="35"/>
        <v/>
      </c>
    </row>
    <row r="817" spans="3:3" x14ac:dyDescent="0.35">
      <c r="C817" t="str">
        <f t="shared" si="35"/>
        <v/>
      </c>
    </row>
    <row r="818" spans="3:3" x14ac:dyDescent="0.35">
      <c r="C818" t="str">
        <f t="shared" si="35"/>
        <v/>
      </c>
    </row>
    <row r="819" spans="3:3" x14ac:dyDescent="0.35">
      <c r="C819" t="str">
        <f t="shared" si="35"/>
        <v/>
      </c>
    </row>
    <row r="820" spans="3:3" x14ac:dyDescent="0.35">
      <c r="C820" t="str">
        <f t="shared" si="35"/>
        <v/>
      </c>
    </row>
    <row r="821" spans="3:3" x14ac:dyDescent="0.35">
      <c r="C821" t="str">
        <f t="shared" si="35"/>
        <v/>
      </c>
    </row>
    <row r="822" spans="3:3" x14ac:dyDescent="0.35">
      <c r="C822" t="str">
        <f t="shared" si="35"/>
        <v/>
      </c>
    </row>
    <row r="823" spans="3:3" x14ac:dyDescent="0.35">
      <c r="C823" t="str">
        <f t="shared" si="35"/>
        <v/>
      </c>
    </row>
    <row r="824" spans="3:3" x14ac:dyDescent="0.35">
      <c r="C824" t="str">
        <f t="shared" si="35"/>
        <v/>
      </c>
    </row>
    <row r="825" spans="3:3" x14ac:dyDescent="0.35">
      <c r="C825" t="str">
        <f t="shared" si="35"/>
        <v/>
      </c>
    </row>
    <row r="826" spans="3:3" x14ac:dyDescent="0.35">
      <c r="C826" t="str">
        <f t="shared" si="35"/>
        <v/>
      </c>
    </row>
    <row r="827" spans="3:3" x14ac:dyDescent="0.35">
      <c r="C827" t="str">
        <f t="shared" si="35"/>
        <v/>
      </c>
    </row>
    <row r="828" spans="3:3" x14ac:dyDescent="0.35">
      <c r="C828" t="str">
        <f t="shared" si="35"/>
        <v/>
      </c>
    </row>
    <row r="829" spans="3:3" x14ac:dyDescent="0.35">
      <c r="C829" t="str">
        <f t="shared" si="35"/>
        <v/>
      </c>
    </row>
    <row r="830" spans="3:3" x14ac:dyDescent="0.35">
      <c r="C830" t="str">
        <f t="shared" si="35"/>
        <v/>
      </c>
    </row>
    <row r="831" spans="3:3" x14ac:dyDescent="0.35">
      <c r="C831" t="str">
        <f t="shared" si="35"/>
        <v/>
      </c>
    </row>
    <row r="832" spans="3:3" x14ac:dyDescent="0.35">
      <c r="C832" t="str">
        <f t="shared" si="35"/>
        <v/>
      </c>
    </row>
    <row r="833" spans="3:3" x14ac:dyDescent="0.35">
      <c r="C833" t="str">
        <f t="shared" si="35"/>
        <v/>
      </c>
    </row>
    <row r="834" spans="3:3" x14ac:dyDescent="0.35">
      <c r="C834" t="str">
        <f t="shared" si="35"/>
        <v/>
      </c>
    </row>
    <row r="835" spans="3:3" x14ac:dyDescent="0.35">
      <c r="C835" t="str">
        <f t="shared" si="35"/>
        <v/>
      </c>
    </row>
    <row r="836" spans="3:3" x14ac:dyDescent="0.35">
      <c r="C836" t="str">
        <f t="shared" si="35"/>
        <v/>
      </c>
    </row>
    <row r="837" spans="3:3" x14ac:dyDescent="0.35">
      <c r="C837" t="str">
        <f t="shared" ref="C837:C900" si="36">IF(ISBLANK(D837), "",
IF(D837 &lt; $G$9,
    $G$10 + $G$19 * ($G$23 * (D837 - $G$9))^2 + $G$21 * (1 - (D837 - $G$6)/($G$9 - $G$6)),
IF(D837 &gt; $G$13,
    $G$14 + $G$19 * ($G$23 * (D837 - $G$13))^2 - $G$22 * (1 - (D837 - $G$6)/($G$13 - $G$6)),
IF(D837 &lt; $G$6,
    $G$16 * (D837 - $G$6)^2 + $G$5,
    $G$17 * (D837 - $G$6)^2 + $G$5))))</f>
        <v/>
      </c>
    </row>
    <row r="838" spans="3:3" x14ac:dyDescent="0.35">
      <c r="C838" t="str">
        <f t="shared" si="36"/>
        <v/>
      </c>
    </row>
    <row r="839" spans="3:3" x14ac:dyDescent="0.35">
      <c r="C839" t="str">
        <f t="shared" si="36"/>
        <v/>
      </c>
    </row>
    <row r="840" spans="3:3" x14ac:dyDescent="0.35">
      <c r="C840" t="str">
        <f t="shared" si="36"/>
        <v/>
      </c>
    </row>
    <row r="841" spans="3:3" x14ac:dyDescent="0.35">
      <c r="C841" t="str">
        <f t="shared" si="36"/>
        <v/>
      </c>
    </row>
    <row r="842" spans="3:3" x14ac:dyDescent="0.35">
      <c r="C842" t="str">
        <f t="shared" si="36"/>
        <v/>
      </c>
    </row>
    <row r="843" spans="3:3" x14ac:dyDescent="0.35">
      <c r="C843" t="str">
        <f t="shared" si="36"/>
        <v/>
      </c>
    </row>
    <row r="844" spans="3:3" x14ac:dyDescent="0.35">
      <c r="C844" t="str">
        <f t="shared" si="36"/>
        <v/>
      </c>
    </row>
    <row r="845" spans="3:3" x14ac:dyDescent="0.35">
      <c r="C845" t="str">
        <f t="shared" si="36"/>
        <v/>
      </c>
    </row>
    <row r="846" spans="3:3" x14ac:dyDescent="0.35">
      <c r="C846" t="str">
        <f t="shared" si="36"/>
        <v/>
      </c>
    </row>
    <row r="847" spans="3:3" x14ac:dyDescent="0.35">
      <c r="C847" t="str">
        <f t="shared" si="36"/>
        <v/>
      </c>
    </row>
    <row r="848" spans="3:3" x14ac:dyDescent="0.35">
      <c r="C848" t="str">
        <f t="shared" si="36"/>
        <v/>
      </c>
    </row>
    <row r="849" spans="3:3" x14ac:dyDescent="0.35">
      <c r="C849" t="str">
        <f t="shared" si="36"/>
        <v/>
      </c>
    </row>
    <row r="850" spans="3:3" x14ac:dyDescent="0.35">
      <c r="C850" t="str">
        <f t="shared" si="36"/>
        <v/>
      </c>
    </row>
    <row r="851" spans="3:3" x14ac:dyDescent="0.35">
      <c r="C851" t="str">
        <f t="shared" si="36"/>
        <v/>
      </c>
    </row>
    <row r="852" spans="3:3" x14ac:dyDescent="0.35">
      <c r="C852" t="str">
        <f t="shared" si="36"/>
        <v/>
      </c>
    </row>
    <row r="853" spans="3:3" x14ac:dyDescent="0.35">
      <c r="C853" t="str">
        <f t="shared" si="36"/>
        <v/>
      </c>
    </row>
    <row r="854" spans="3:3" x14ac:dyDescent="0.35">
      <c r="C854" t="str">
        <f t="shared" si="36"/>
        <v/>
      </c>
    </row>
    <row r="855" spans="3:3" x14ac:dyDescent="0.35">
      <c r="C855" t="str">
        <f t="shared" si="36"/>
        <v/>
      </c>
    </row>
    <row r="856" spans="3:3" x14ac:dyDescent="0.35">
      <c r="C856" t="str">
        <f t="shared" si="36"/>
        <v/>
      </c>
    </row>
    <row r="857" spans="3:3" x14ac:dyDescent="0.35">
      <c r="C857" t="str">
        <f t="shared" si="36"/>
        <v/>
      </c>
    </row>
    <row r="858" spans="3:3" x14ac:dyDescent="0.35">
      <c r="C858" t="str">
        <f t="shared" si="36"/>
        <v/>
      </c>
    </row>
    <row r="859" spans="3:3" x14ac:dyDescent="0.35">
      <c r="C859" t="str">
        <f t="shared" si="36"/>
        <v/>
      </c>
    </row>
    <row r="860" spans="3:3" x14ac:dyDescent="0.35">
      <c r="C860" t="str">
        <f t="shared" si="36"/>
        <v/>
      </c>
    </row>
    <row r="861" spans="3:3" x14ac:dyDescent="0.35">
      <c r="C861" t="str">
        <f t="shared" si="36"/>
        <v/>
      </c>
    </row>
    <row r="862" spans="3:3" x14ac:dyDescent="0.35">
      <c r="C862" t="str">
        <f t="shared" si="36"/>
        <v/>
      </c>
    </row>
    <row r="863" spans="3:3" x14ac:dyDescent="0.35">
      <c r="C863" t="str">
        <f t="shared" si="36"/>
        <v/>
      </c>
    </row>
    <row r="864" spans="3:3" x14ac:dyDescent="0.35">
      <c r="C864" t="str">
        <f t="shared" si="36"/>
        <v/>
      </c>
    </row>
    <row r="865" spans="3:3" x14ac:dyDescent="0.35">
      <c r="C865" t="str">
        <f t="shared" si="36"/>
        <v/>
      </c>
    </row>
    <row r="866" spans="3:3" x14ac:dyDescent="0.35">
      <c r="C866" t="str">
        <f t="shared" si="36"/>
        <v/>
      </c>
    </row>
    <row r="867" spans="3:3" x14ac:dyDescent="0.35">
      <c r="C867" t="str">
        <f t="shared" si="36"/>
        <v/>
      </c>
    </row>
    <row r="868" spans="3:3" x14ac:dyDescent="0.35">
      <c r="C868" t="str">
        <f t="shared" si="36"/>
        <v/>
      </c>
    </row>
    <row r="869" spans="3:3" x14ac:dyDescent="0.35">
      <c r="C869" t="str">
        <f t="shared" si="36"/>
        <v/>
      </c>
    </row>
    <row r="870" spans="3:3" x14ac:dyDescent="0.35">
      <c r="C870" t="str">
        <f t="shared" si="36"/>
        <v/>
      </c>
    </row>
    <row r="871" spans="3:3" x14ac:dyDescent="0.35">
      <c r="C871" t="str">
        <f t="shared" si="36"/>
        <v/>
      </c>
    </row>
    <row r="872" spans="3:3" x14ac:dyDescent="0.35">
      <c r="C872" t="str">
        <f t="shared" si="36"/>
        <v/>
      </c>
    </row>
    <row r="873" spans="3:3" x14ac:dyDescent="0.35">
      <c r="C873" t="str">
        <f t="shared" si="36"/>
        <v/>
      </c>
    </row>
    <row r="874" spans="3:3" x14ac:dyDescent="0.35">
      <c r="C874" t="str">
        <f t="shared" si="36"/>
        <v/>
      </c>
    </row>
    <row r="875" spans="3:3" x14ac:dyDescent="0.35">
      <c r="C875" t="str">
        <f t="shared" si="36"/>
        <v/>
      </c>
    </row>
    <row r="876" spans="3:3" x14ac:dyDescent="0.35">
      <c r="C876" t="str">
        <f t="shared" si="36"/>
        <v/>
      </c>
    </row>
    <row r="877" spans="3:3" x14ac:dyDescent="0.35">
      <c r="C877" t="str">
        <f t="shared" si="36"/>
        <v/>
      </c>
    </row>
    <row r="878" spans="3:3" x14ac:dyDescent="0.35">
      <c r="C878" t="str">
        <f t="shared" si="36"/>
        <v/>
      </c>
    </row>
    <row r="879" spans="3:3" x14ac:dyDescent="0.35">
      <c r="C879" t="str">
        <f t="shared" si="36"/>
        <v/>
      </c>
    </row>
    <row r="880" spans="3:3" x14ac:dyDescent="0.35">
      <c r="C880" t="str">
        <f t="shared" si="36"/>
        <v/>
      </c>
    </row>
    <row r="881" spans="3:3" x14ac:dyDescent="0.35">
      <c r="C881" t="str">
        <f t="shared" si="36"/>
        <v/>
      </c>
    </row>
    <row r="882" spans="3:3" x14ac:dyDescent="0.35">
      <c r="C882" t="str">
        <f t="shared" si="36"/>
        <v/>
      </c>
    </row>
    <row r="883" spans="3:3" x14ac:dyDescent="0.35">
      <c r="C883" t="str">
        <f t="shared" si="36"/>
        <v/>
      </c>
    </row>
    <row r="884" spans="3:3" x14ac:dyDescent="0.35">
      <c r="C884" t="str">
        <f t="shared" si="36"/>
        <v/>
      </c>
    </row>
    <row r="885" spans="3:3" x14ac:dyDescent="0.35">
      <c r="C885" t="str">
        <f t="shared" si="36"/>
        <v/>
      </c>
    </row>
    <row r="886" spans="3:3" x14ac:dyDescent="0.35">
      <c r="C886" t="str">
        <f t="shared" si="36"/>
        <v/>
      </c>
    </row>
    <row r="887" spans="3:3" x14ac:dyDescent="0.35">
      <c r="C887" t="str">
        <f t="shared" si="36"/>
        <v/>
      </c>
    </row>
    <row r="888" spans="3:3" x14ac:dyDescent="0.35">
      <c r="C888" t="str">
        <f t="shared" si="36"/>
        <v/>
      </c>
    </row>
    <row r="889" spans="3:3" x14ac:dyDescent="0.35">
      <c r="C889" t="str">
        <f t="shared" si="36"/>
        <v/>
      </c>
    </row>
    <row r="890" spans="3:3" x14ac:dyDescent="0.35">
      <c r="C890" t="str">
        <f t="shared" si="36"/>
        <v/>
      </c>
    </row>
    <row r="891" spans="3:3" x14ac:dyDescent="0.35">
      <c r="C891" t="str">
        <f t="shared" si="36"/>
        <v/>
      </c>
    </row>
    <row r="892" spans="3:3" x14ac:dyDescent="0.35">
      <c r="C892" t="str">
        <f t="shared" si="36"/>
        <v/>
      </c>
    </row>
    <row r="893" spans="3:3" x14ac:dyDescent="0.35">
      <c r="C893" t="str">
        <f t="shared" si="36"/>
        <v/>
      </c>
    </row>
    <row r="894" spans="3:3" x14ac:dyDescent="0.35">
      <c r="C894" t="str">
        <f t="shared" si="36"/>
        <v/>
      </c>
    </row>
    <row r="895" spans="3:3" x14ac:dyDescent="0.35">
      <c r="C895" t="str">
        <f t="shared" si="36"/>
        <v/>
      </c>
    </row>
    <row r="896" spans="3:3" x14ac:dyDescent="0.35">
      <c r="C896" t="str">
        <f t="shared" si="36"/>
        <v/>
      </c>
    </row>
    <row r="897" spans="3:3" x14ac:dyDescent="0.35">
      <c r="C897" t="str">
        <f t="shared" si="36"/>
        <v/>
      </c>
    </row>
    <row r="898" spans="3:3" x14ac:dyDescent="0.35">
      <c r="C898" t="str">
        <f t="shared" si="36"/>
        <v/>
      </c>
    </row>
    <row r="899" spans="3:3" x14ac:dyDescent="0.35">
      <c r="C899" t="str">
        <f t="shared" si="36"/>
        <v/>
      </c>
    </row>
    <row r="900" spans="3:3" x14ac:dyDescent="0.35">
      <c r="C900" t="str">
        <f t="shared" si="36"/>
        <v/>
      </c>
    </row>
    <row r="901" spans="3:3" x14ac:dyDescent="0.35">
      <c r="C901" t="str">
        <f t="shared" ref="C901:C964" si="37">IF(ISBLANK(D901), "",
IF(D901 &lt; $G$9,
    $G$10 + $G$19 * ($G$23 * (D901 - $G$9))^2 + $G$21 * (1 - (D901 - $G$6)/($G$9 - $G$6)),
IF(D901 &gt; $G$13,
    $G$14 + $G$19 * ($G$23 * (D901 - $G$13))^2 - $G$22 * (1 - (D901 - $G$6)/($G$13 - $G$6)),
IF(D901 &lt; $G$6,
    $G$16 * (D901 - $G$6)^2 + $G$5,
    $G$17 * (D901 - $G$6)^2 + $G$5))))</f>
        <v/>
      </c>
    </row>
    <row r="902" spans="3:3" x14ac:dyDescent="0.35">
      <c r="C902" t="str">
        <f t="shared" si="37"/>
        <v/>
      </c>
    </row>
    <row r="903" spans="3:3" x14ac:dyDescent="0.35">
      <c r="C903" t="str">
        <f t="shared" si="37"/>
        <v/>
      </c>
    </row>
    <row r="904" spans="3:3" x14ac:dyDescent="0.35">
      <c r="C904" t="str">
        <f t="shared" si="37"/>
        <v/>
      </c>
    </row>
    <row r="905" spans="3:3" x14ac:dyDescent="0.35">
      <c r="C905" t="str">
        <f t="shared" si="37"/>
        <v/>
      </c>
    </row>
    <row r="906" spans="3:3" x14ac:dyDescent="0.35">
      <c r="C906" t="str">
        <f t="shared" si="37"/>
        <v/>
      </c>
    </row>
    <row r="907" spans="3:3" x14ac:dyDescent="0.35">
      <c r="C907" t="str">
        <f t="shared" si="37"/>
        <v/>
      </c>
    </row>
    <row r="908" spans="3:3" x14ac:dyDescent="0.35">
      <c r="C908" t="str">
        <f t="shared" si="37"/>
        <v/>
      </c>
    </row>
    <row r="909" spans="3:3" x14ac:dyDescent="0.35">
      <c r="C909" t="str">
        <f t="shared" si="37"/>
        <v/>
      </c>
    </row>
    <row r="910" spans="3:3" x14ac:dyDescent="0.35">
      <c r="C910" t="str">
        <f t="shared" si="37"/>
        <v/>
      </c>
    </row>
    <row r="911" spans="3:3" x14ac:dyDescent="0.35">
      <c r="C911" t="str">
        <f t="shared" si="37"/>
        <v/>
      </c>
    </row>
    <row r="912" spans="3:3" x14ac:dyDescent="0.35">
      <c r="C912" t="str">
        <f t="shared" si="37"/>
        <v/>
      </c>
    </row>
    <row r="913" spans="3:3" x14ac:dyDescent="0.35">
      <c r="C913" t="str">
        <f t="shared" si="37"/>
        <v/>
      </c>
    </row>
    <row r="914" spans="3:3" x14ac:dyDescent="0.35">
      <c r="C914" t="str">
        <f t="shared" si="37"/>
        <v/>
      </c>
    </row>
    <row r="915" spans="3:3" x14ac:dyDescent="0.35">
      <c r="C915" t="str">
        <f t="shared" si="37"/>
        <v/>
      </c>
    </row>
    <row r="916" spans="3:3" x14ac:dyDescent="0.35">
      <c r="C916" t="str">
        <f t="shared" si="37"/>
        <v/>
      </c>
    </row>
    <row r="917" spans="3:3" x14ac:dyDescent="0.35">
      <c r="C917" t="str">
        <f t="shared" si="37"/>
        <v/>
      </c>
    </row>
    <row r="918" spans="3:3" x14ac:dyDescent="0.35">
      <c r="C918" t="str">
        <f t="shared" si="37"/>
        <v/>
      </c>
    </row>
    <row r="919" spans="3:3" x14ac:dyDescent="0.35">
      <c r="C919" t="str">
        <f t="shared" si="37"/>
        <v/>
      </c>
    </row>
    <row r="920" spans="3:3" x14ac:dyDescent="0.35">
      <c r="C920" t="str">
        <f t="shared" si="37"/>
        <v/>
      </c>
    </row>
    <row r="921" spans="3:3" x14ac:dyDescent="0.35">
      <c r="C921" t="str">
        <f t="shared" si="37"/>
        <v/>
      </c>
    </row>
    <row r="922" spans="3:3" x14ac:dyDescent="0.35">
      <c r="C922" t="str">
        <f t="shared" si="37"/>
        <v/>
      </c>
    </row>
    <row r="923" spans="3:3" x14ac:dyDescent="0.35">
      <c r="C923" t="str">
        <f t="shared" si="37"/>
        <v/>
      </c>
    </row>
    <row r="924" spans="3:3" x14ac:dyDescent="0.35">
      <c r="C924" t="str">
        <f t="shared" si="37"/>
        <v/>
      </c>
    </row>
    <row r="925" spans="3:3" x14ac:dyDescent="0.35">
      <c r="C925" t="str">
        <f t="shared" si="37"/>
        <v/>
      </c>
    </row>
    <row r="926" spans="3:3" x14ac:dyDescent="0.35">
      <c r="C926" t="str">
        <f t="shared" si="37"/>
        <v/>
      </c>
    </row>
    <row r="927" spans="3:3" x14ac:dyDescent="0.35">
      <c r="C927" t="str">
        <f t="shared" si="37"/>
        <v/>
      </c>
    </row>
    <row r="928" spans="3:3" x14ac:dyDescent="0.35">
      <c r="C928" t="str">
        <f t="shared" si="37"/>
        <v/>
      </c>
    </row>
    <row r="929" spans="3:3" x14ac:dyDescent="0.35">
      <c r="C929" t="str">
        <f t="shared" si="37"/>
        <v/>
      </c>
    </row>
    <row r="930" spans="3:3" x14ac:dyDescent="0.35">
      <c r="C930" t="str">
        <f t="shared" si="37"/>
        <v/>
      </c>
    </row>
    <row r="931" spans="3:3" x14ac:dyDescent="0.35">
      <c r="C931" t="str">
        <f t="shared" si="37"/>
        <v/>
      </c>
    </row>
    <row r="932" spans="3:3" x14ac:dyDescent="0.35">
      <c r="C932" t="str">
        <f t="shared" si="37"/>
        <v/>
      </c>
    </row>
    <row r="933" spans="3:3" x14ac:dyDescent="0.35">
      <c r="C933" t="str">
        <f t="shared" si="37"/>
        <v/>
      </c>
    </row>
    <row r="934" spans="3:3" x14ac:dyDescent="0.35">
      <c r="C934" t="str">
        <f t="shared" si="37"/>
        <v/>
      </c>
    </row>
    <row r="935" spans="3:3" x14ac:dyDescent="0.35">
      <c r="C935" t="str">
        <f t="shared" si="37"/>
        <v/>
      </c>
    </row>
    <row r="936" spans="3:3" x14ac:dyDescent="0.35">
      <c r="C936" t="str">
        <f t="shared" si="37"/>
        <v/>
      </c>
    </row>
    <row r="937" spans="3:3" x14ac:dyDescent="0.35">
      <c r="C937" t="str">
        <f t="shared" si="37"/>
        <v/>
      </c>
    </row>
    <row r="938" spans="3:3" x14ac:dyDescent="0.35">
      <c r="C938" t="str">
        <f t="shared" si="37"/>
        <v/>
      </c>
    </row>
    <row r="939" spans="3:3" x14ac:dyDescent="0.35">
      <c r="C939" t="str">
        <f t="shared" si="37"/>
        <v/>
      </c>
    </row>
    <row r="940" spans="3:3" x14ac:dyDescent="0.35">
      <c r="C940" t="str">
        <f t="shared" si="37"/>
        <v/>
      </c>
    </row>
    <row r="941" spans="3:3" x14ac:dyDescent="0.35">
      <c r="C941" t="str">
        <f t="shared" si="37"/>
        <v/>
      </c>
    </row>
    <row r="942" spans="3:3" x14ac:dyDescent="0.35">
      <c r="C942" t="str">
        <f t="shared" si="37"/>
        <v/>
      </c>
    </row>
    <row r="943" spans="3:3" x14ac:dyDescent="0.35">
      <c r="C943" t="str">
        <f t="shared" si="37"/>
        <v/>
      </c>
    </row>
    <row r="944" spans="3:3" x14ac:dyDescent="0.35">
      <c r="C944" t="str">
        <f t="shared" si="37"/>
        <v/>
      </c>
    </row>
    <row r="945" spans="3:3" x14ac:dyDescent="0.35">
      <c r="C945" t="str">
        <f t="shared" si="37"/>
        <v/>
      </c>
    </row>
    <row r="946" spans="3:3" x14ac:dyDescent="0.35">
      <c r="C946" t="str">
        <f t="shared" si="37"/>
        <v/>
      </c>
    </row>
    <row r="947" spans="3:3" x14ac:dyDescent="0.35">
      <c r="C947" t="str">
        <f t="shared" si="37"/>
        <v/>
      </c>
    </row>
    <row r="948" spans="3:3" x14ac:dyDescent="0.35">
      <c r="C948" t="str">
        <f t="shared" si="37"/>
        <v/>
      </c>
    </row>
    <row r="949" spans="3:3" x14ac:dyDescent="0.35">
      <c r="C949" t="str">
        <f t="shared" si="37"/>
        <v/>
      </c>
    </row>
    <row r="950" spans="3:3" x14ac:dyDescent="0.35">
      <c r="C950" t="str">
        <f t="shared" si="37"/>
        <v/>
      </c>
    </row>
    <row r="951" spans="3:3" x14ac:dyDescent="0.35">
      <c r="C951" t="str">
        <f t="shared" si="37"/>
        <v/>
      </c>
    </row>
    <row r="952" spans="3:3" x14ac:dyDescent="0.35">
      <c r="C952" t="str">
        <f t="shared" si="37"/>
        <v/>
      </c>
    </row>
    <row r="953" spans="3:3" x14ac:dyDescent="0.35">
      <c r="C953" t="str">
        <f t="shared" si="37"/>
        <v/>
      </c>
    </row>
    <row r="954" spans="3:3" x14ac:dyDescent="0.35">
      <c r="C954" t="str">
        <f t="shared" si="37"/>
        <v/>
      </c>
    </row>
    <row r="955" spans="3:3" x14ac:dyDescent="0.35">
      <c r="C955" t="str">
        <f t="shared" si="37"/>
        <v/>
      </c>
    </row>
    <row r="956" spans="3:3" x14ac:dyDescent="0.35">
      <c r="C956" t="str">
        <f t="shared" si="37"/>
        <v/>
      </c>
    </row>
    <row r="957" spans="3:3" x14ac:dyDescent="0.35">
      <c r="C957" t="str">
        <f t="shared" si="37"/>
        <v/>
      </c>
    </row>
    <row r="958" spans="3:3" x14ac:dyDescent="0.35">
      <c r="C958" t="str">
        <f t="shared" si="37"/>
        <v/>
      </c>
    </row>
    <row r="959" spans="3:3" x14ac:dyDescent="0.35">
      <c r="C959" t="str">
        <f t="shared" si="37"/>
        <v/>
      </c>
    </row>
    <row r="960" spans="3:3" x14ac:dyDescent="0.35">
      <c r="C960" t="str">
        <f t="shared" si="37"/>
        <v/>
      </c>
    </row>
    <row r="961" spans="3:3" x14ac:dyDescent="0.35">
      <c r="C961" t="str">
        <f t="shared" si="37"/>
        <v/>
      </c>
    </row>
    <row r="962" spans="3:3" x14ac:dyDescent="0.35">
      <c r="C962" t="str">
        <f t="shared" si="37"/>
        <v/>
      </c>
    </row>
    <row r="963" spans="3:3" x14ac:dyDescent="0.35">
      <c r="C963" t="str">
        <f t="shared" si="37"/>
        <v/>
      </c>
    </row>
    <row r="964" spans="3:3" x14ac:dyDescent="0.35">
      <c r="C964" t="str">
        <f t="shared" si="37"/>
        <v/>
      </c>
    </row>
    <row r="965" spans="3:3" x14ac:dyDescent="0.35">
      <c r="C965" t="str">
        <f t="shared" ref="C965:C1000" si="38">IF(ISBLANK(D965), "",
IF(D965 &lt; $G$9,
    $G$10 + $G$19 * ($G$23 * (D965 - $G$9))^2 + $G$21 * (1 - (D965 - $G$6)/($G$9 - $G$6)),
IF(D965 &gt; $G$13,
    $G$14 + $G$19 * ($G$23 * (D965 - $G$13))^2 - $G$22 * (1 - (D965 - $G$6)/($G$13 - $G$6)),
IF(D965 &lt; $G$6,
    $G$16 * (D965 - $G$6)^2 + $G$5,
    $G$17 * (D965 - $G$6)^2 + $G$5))))</f>
        <v/>
      </c>
    </row>
    <row r="966" spans="3:3" x14ac:dyDescent="0.35">
      <c r="C966" t="str">
        <f t="shared" si="38"/>
        <v/>
      </c>
    </row>
    <row r="967" spans="3:3" x14ac:dyDescent="0.35">
      <c r="C967" t="str">
        <f t="shared" si="38"/>
        <v/>
      </c>
    </row>
    <row r="968" spans="3:3" x14ac:dyDescent="0.35">
      <c r="C968" t="str">
        <f t="shared" si="38"/>
        <v/>
      </c>
    </row>
    <row r="969" spans="3:3" x14ac:dyDescent="0.35">
      <c r="C969" t="str">
        <f t="shared" si="38"/>
        <v/>
      </c>
    </row>
    <row r="970" spans="3:3" x14ac:dyDescent="0.35">
      <c r="C970" t="str">
        <f t="shared" si="38"/>
        <v/>
      </c>
    </row>
    <row r="971" spans="3:3" x14ac:dyDescent="0.35">
      <c r="C971" t="str">
        <f t="shared" si="38"/>
        <v/>
      </c>
    </row>
    <row r="972" spans="3:3" x14ac:dyDescent="0.35">
      <c r="C972" t="str">
        <f t="shared" si="38"/>
        <v/>
      </c>
    </row>
    <row r="973" spans="3:3" x14ac:dyDescent="0.35">
      <c r="C973" t="str">
        <f t="shared" si="38"/>
        <v/>
      </c>
    </row>
    <row r="974" spans="3:3" x14ac:dyDescent="0.35">
      <c r="C974" t="str">
        <f t="shared" si="38"/>
        <v/>
      </c>
    </row>
    <row r="975" spans="3:3" x14ac:dyDescent="0.35">
      <c r="C975" t="str">
        <f t="shared" si="38"/>
        <v/>
      </c>
    </row>
    <row r="976" spans="3:3" x14ac:dyDescent="0.35">
      <c r="C976" t="str">
        <f t="shared" si="38"/>
        <v/>
      </c>
    </row>
    <row r="977" spans="3:3" x14ac:dyDescent="0.35">
      <c r="C977" t="str">
        <f t="shared" si="38"/>
        <v/>
      </c>
    </row>
    <row r="978" spans="3:3" x14ac:dyDescent="0.35">
      <c r="C978" t="str">
        <f t="shared" si="38"/>
        <v/>
      </c>
    </row>
    <row r="979" spans="3:3" x14ac:dyDescent="0.35">
      <c r="C979" t="str">
        <f t="shared" si="38"/>
        <v/>
      </c>
    </row>
    <row r="980" spans="3:3" x14ac:dyDescent="0.35">
      <c r="C980" t="str">
        <f t="shared" si="38"/>
        <v/>
      </c>
    </row>
    <row r="981" spans="3:3" x14ac:dyDescent="0.35">
      <c r="C981" t="str">
        <f t="shared" si="38"/>
        <v/>
      </c>
    </row>
    <row r="982" spans="3:3" x14ac:dyDescent="0.35">
      <c r="C982" t="str">
        <f t="shared" si="38"/>
        <v/>
      </c>
    </row>
    <row r="983" spans="3:3" x14ac:dyDescent="0.35">
      <c r="C983" t="str">
        <f t="shared" si="38"/>
        <v/>
      </c>
    </row>
    <row r="984" spans="3:3" x14ac:dyDescent="0.35">
      <c r="C984" t="str">
        <f t="shared" si="38"/>
        <v/>
      </c>
    </row>
    <row r="985" spans="3:3" x14ac:dyDescent="0.35">
      <c r="C985" t="str">
        <f t="shared" si="38"/>
        <v/>
      </c>
    </row>
    <row r="986" spans="3:3" x14ac:dyDescent="0.35">
      <c r="C986" t="str">
        <f t="shared" si="38"/>
        <v/>
      </c>
    </row>
    <row r="987" spans="3:3" x14ac:dyDescent="0.35">
      <c r="C987" t="str">
        <f t="shared" si="38"/>
        <v/>
      </c>
    </row>
    <row r="988" spans="3:3" x14ac:dyDescent="0.35">
      <c r="C988" t="str">
        <f t="shared" si="38"/>
        <v/>
      </c>
    </row>
    <row r="989" spans="3:3" x14ac:dyDescent="0.35">
      <c r="C989" t="str">
        <f t="shared" si="38"/>
        <v/>
      </c>
    </row>
    <row r="990" spans="3:3" x14ac:dyDescent="0.35">
      <c r="C990" t="str">
        <f t="shared" si="38"/>
        <v/>
      </c>
    </row>
    <row r="991" spans="3:3" x14ac:dyDescent="0.35">
      <c r="C991" t="str">
        <f t="shared" si="38"/>
        <v/>
      </c>
    </row>
    <row r="992" spans="3:3" x14ac:dyDescent="0.35">
      <c r="C992" t="str">
        <f t="shared" si="38"/>
        <v/>
      </c>
    </row>
    <row r="993" spans="3:3" x14ac:dyDescent="0.35">
      <c r="C993" t="str">
        <f t="shared" si="38"/>
        <v/>
      </c>
    </row>
    <row r="994" spans="3:3" x14ac:dyDescent="0.35">
      <c r="C994" t="str">
        <f t="shared" si="38"/>
        <v/>
      </c>
    </row>
    <row r="995" spans="3:3" x14ac:dyDescent="0.35">
      <c r="C995" t="str">
        <f t="shared" si="38"/>
        <v/>
      </c>
    </row>
    <row r="996" spans="3:3" x14ac:dyDescent="0.35">
      <c r="C996" t="str">
        <f t="shared" si="38"/>
        <v/>
      </c>
    </row>
    <row r="997" spans="3:3" x14ac:dyDescent="0.35">
      <c r="C997" t="str">
        <f t="shared" si="38"/>
        <v/>
      </c>
    </row>
    <row r="998" spans="3:3" x14ac:dyDescent="0.35">
      <c r="C998" t="str">
        <f t="shared" si="38"/>
        <v/>
      </c>
    </row>
    <row r="999" spans="3:3" x14ac:dyDescent="0.35">
      <c r="C999" t="str">
        <f t="shared" si="38"/>
        <v/>
      </c>
    </row>
    <row r="1000" spans="3:3" x14ac:dyDescent="0.35">
      <c r="C1000" t="str">
        <f t="shared" si="38"/>
        <v/>
      </c>
    </row>
  </sheetData>
  <pageMargins left="0.7" right="0.7" top="0.75" bottom="0.75" header="0.3" footer="0.3"/>
  <drawing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208EE-1921-41B0-AD5C-8AAC44576CE7}">
  <sheetPr codeName="Sheet34"/>
  <dimension ref="A1:AC1000"/>
  <sheetViews>
    <sheetView workbookViewId="0"/>
  </sheetViews>
  <sheetFormatPr defaultRowHeight="14.5" x14ac:dyDescent="0.35"/>
  <sheetData>
    <row r="1" spans="1:19" x14ac:dyDescent="0.35">
      <c r="A1" t="s">
        <v>12</v>
      </c>
      <c r="B1" s="1" t="s">
        <v>276</v>
      </c>
    </row>
    <row r="2" spans="1:19" x14ac:dyDescent="0.35">
      <c r="I2" s="2" t="s">
        <v>24</v>
      </c>
      <c r="L2" s="2" t="s">
        <v>25</v>
      </c>
      <c r="M2" s="2"/>
      <c r="O2" s="2" t="s">
        <v>31</v>
      </c>
      <c r="R2" s="2" t="s">
        <v>32</v>
      </c>
    </row>
    <row r="3" spans="1:19" x14ac:dyDescent="0.35">
      <c r="A3" t="s">
        <v>0</v>
      </c>
      <c r="B3" t="s">
        <v>41</v>
      </c>
      <c r="C3" t="s">
        <v>40</v>
      </c>
      <c r="D3" t="s">
        <v>42</v>
      </c>
      <c r="F3" t="s">
        <v>23</v>
      </c>
      <c r="G3">
        <v>0.08</v>
      </c>
      <c r="I3" t="s">
        <v>2</v>
      </c>
      <c r="J3" t="s">
        <v>1</v>
      </c>
      <c r="L3" t="s">
        <v>2</v>
      </c>
      <c r="M3" t="s">
        <v>1</v>
      </c>
      <c r="O3" t="s">
        <v>2</v>
      </c>
      <c r="P3" t="s">
        <v>1</v>
      </c>
      <c r="R3" t="s">
        <v>2</v>
      </c>
      <c r="S3" t="s">
        <v>1</v>
      </c>
    </row>
    <row r="4" spans="1:19" x14ac:dyDescent="0.35">
      <c r="A4" cm="1">
        <f t="array" aca="1" ref="A4:A24" ca="1">_xlfn._xlws.FILTER(INDIRECT("'" &amp; B1 &amp; "'!A2:A1000"),(INDIRECT("'" &amp; B1 &amp; "'!C2:C1000")&lt;G3) * (INDIRECT("'" &amp; B1 &amp; "'!C2:C1000")&lt;&gt;""))</f>
        <v>-3</v>
      </c>
      <c r="B4" cm="1">
        <f t="array" aca="1" ref="B4:B24" ca="1">_xlfn._xlws.FILTER(INDIRECT("'" &amp; B1 &amp; "'!C2:C1000"),(INDIRECT("'" &amp; B1 &amp; "'!C2:C1000")&lt;G3) * (INDIRECT("'" &amp; B1 &amp; "'!C2:C1000")&lt;&gt;""))</f>
        <v>4.3190195456654382E-2</v>
      </c>
      <c r="C4">
        <f ca="1">IF(ISBLANK(D4), "",
IF(D4 &lt; $G$9,
    $G$10 + $G$19 * ($G$23 * (D4 - $G$9))^2 + $G$21 * (1 - (D4 - $G$6)/($G$9 - $G$6)),
IF(D4 &gt; $G$13,
    $G$14 + $G$19 * ($G$23 * (D4 - $G$13))^2 - $G$22 * (1 - (D4 - $G$6)/($G$13 - $G$6)),
IF(D4 &lt; $G$6,
    $G$16 * (D4 - $G$6)^2 + $G$5,
    $G$17 * (D4 - $G$6)^2 + $G$5))))</f>
        <v>-28.862760813196854</v>
      </c>
      <c r="D4" cm="1">
        <f t="array" aca="1" ref="D4:D24" ca="1">_xlfn._xlws.FILTER(INDIRECT("'" &amp; B1 &amp; "'!B2:B1000"),(INDIRECT("'" &amp; B1 &amp; "'!C2:C1000")&lt;G3) * (INDIRECT("'" &amp; B1 &amp; "'!C2:C1000")&lt;&gt;""))</f>
        <v>-0.61515143659682869</v>
      </c>
      <c r="I4">
        <f ca="1">$G$16 * (J4 - $G$6)^2 + $G$5</f>
        <v>0</v>
      </c>
      <c r="J4">
        <f ca="1">$G$9 + ($G$6 - $G$9) * (ROW(A1)-1)/99</f>
        <v>0</v>
      </c>
      <c r="L4">
        <f ca="1">$G$17 * (M4 - $G$6)^2 + $G$5</f>
        <v>0</v>
      </c>
      <c r="M4">
        <f ca="1">$G$13 + ($G$6 - $G$13) * (ROW(F1)-1)/99</f>
        <v>0</v>
      </c>
      <c r="O4">
        <f ca="1">$G$10 + $G$19 * ($G$23 * (P4 - $G$9))^2 + $G$21 * (1 - (P4 - $G$6)/($G$9 - $G$6))</f>
        <v>-28.862760813196854</v>
      </c>
      <c r="P4">
        <f ca="1">$G$26 + ($G$9 - $G$26) * (ROW(A1)-1)/99</f>
        <v>-0.61515143659682869</v>
      </c>
      <c r="R4">
        <f ca="1">$G$14 + $G$19 * ($G$23 * (S4 - $G$13))^2 - $G$22 * (1 - (S4 - $G$6)/($G$13 - $G$6))</f>
        <v>0</v>
      </c>
      <c r="S4">
        <f ca="1">$G$13 + ($G$25 - $G$13) * (ROW(A1)-1)/99</f>
        <v>0</v>
      </c>
    </row>
    <row r="5" spans="1:19" x14ac:dyDescent="0.35">
      <c r="A5">
        <f ca="1"/>
        <v>-2.7</v>
      </c>
      <c r="B5">
        <f ca="1"/>
        <v>3.5554644290606577E-2</v>
      </c>
      <c r="C5">
        <f t="shared" ref="C5:C68" ca="1" si="0">IF(ISBLANK(D5), "",
IF(D5 &lt; $G$9,
    $G$10 + $G$19 * ($G$23 * (D5 - $G$9))^2 + $G$21 * (1 - (D5 - $G$6)/($G$9 - $G$6)),
IF(D5 &gt; $G$13,
    $G$14 + $G$19 * ($G$23 * (D5 - $G$13))^2 - $G$22 * (1 - (D5 - $G$6)/($G$13 - $G$6)),
IF(D5 &lt; $G$6,
    $G$16 * (D5 - $G$6)^2 + $G$5,
    $G$17 * (D5 - $G$6)^2 + $G$5))))</f>
        <v>-25.810207888286413</v>
      </c>
      <c r="D5">
        <f ca="1"/>
        <v>-0.54912653299205594</v>
      </c>
      <c r="F5" t="s">
        <v>13</v>
      </c>
      <c r="G5">
        <f ca="1">MIN(B4:B1000)</f>
        <v>7.2182240680638199E-3</v>
      </c>
      <c r="I5">
        <f t="shared" ref="I5:I68" ca="1" si="1">$G$16 * (J5 - $G$6)^2 + $G$5</f>
        <v>1.4508623012025011E-4</v>
      </c>
      <c r="J5">
        <f t="shared" ref="J5:J68" ca="1" si="2">$G$9 + ($G$6 - $G$9) * (ROW(B2)-1)/99</f>
        <v>1.7574671728302939E-4</v>
      </c>
      <c r="L5">
        <f t="shared" ref="L5:L68" ca="1" si="3">$G$17 * (M5 - $G$6)^2 + $G$5</f>
        <v>1.4508623012025011E-4</v>
      </c>
      <c r="M5">
        <f t="shared" ref="M5:M68" ca="1" si="4">$G$13 + ($G$6 - $G$13) * (ROW(F2)-1)/99</f>
        <v>1.7574671728302939E-4</v>
      </c>
      <c r="O5">
        <f t="shared" ref="O5:O68" ca="1" si="5">$G$10 + $G$19 * ($G$23 * (P5 - $G$9))^2 + $G$21 * (1 - (P5 - $G$6)/($G$9 - $G$6))</f>
        <v>-28.575947433185835</v>
      </c>
      <c r="P5">
        <f t="shared" ref="P5:P68" ca="1" si="6">$G$26 + ($G$9 - $G$26) * (ROW(B2)-1)/99</f>
        <v>-0.60893778572211321</v>
      </c>
      <c r="R5">
        <f t="shared" ref="R5:R68" ca="1" si="7">$G$14 + $G$19 * ($G$23 * (S5 - $G$13))^2 - $G$22 * (1 - (S5 - $G$6)/($G$13 - $G$6))</f>
        <v>-0.48305432908777207</v>
      </c>
      <c r="S5">
        <f t="shared" ref="S5:S68" ca="1" si="8">$G$13 + ($G$25 - $G$13) * (ROW(B2)-1)/99</f>
        <v>1.0132014674988019E-2</v>
      </c>
    </row>
    <row r="6" spans="1:19" x14ac:dyDescent="0.35">
      <c r="A6">
        <f ca="1"/>
        <v>-2.4</v>
      </c>
      <c r="B6">
        <f ca="1"/>
        <v>1.9138409845302063E-2</v>
      </c>
      <c r="C6">
        <f t="shared" ca="1" si="0"/>
        <v>-15.80463824600394</v>
      </c>
      <c r="D6">
        <f ca="1"/>
        <v>-0.33434268742018264</v>
      </c>
      <c r="F6" t="s">
        <v>14</v>
      </c>
      <c r="G6">
        <f ca="1">INDEX(D4:D1000, MATCH(G5, B4:B1000, 0))</f>
        <v>1.739892501101991E-2</v>
      </c>
      <c r="I6">
        <f t="shared" ca="1" si="1"/>
        <v>2.8869950358953282E-4</v>
      </c>
      <c r="J6">
        <f t="shared" ca="1" si="2"/>
        <v>3.5149343456605879E-4</v>
      </c>
      <c r="L6">
        <f t="shared" ca="1" si="3"/>
        <v>2.8869950358953282E-4</v>
      </c>
      <c r="M6">
        <f t="shared" ca="1" si="4"/>
        <v>3.5149343456605879E-4</v>
      </c>
      <c r="O6">
        <f t="shared" ca="1" si="5"/>
        <v>-28.289037529531839</v>
      </c>
      <c r="P6">
        <f t="shared" ca="1" si="6"/>
        <v>-0.60272413484739784</v>
      </c>
      <c r="R6">
        <f t="shared" ca="1" si="7"/>
        <v>-0.96585201387210873</v>
      </c>
      <c r="S6">
        <f t="shared" ca="1" si="8"/>
        <v>2.0264029349976037E-2</v>
      </c>
    </row>
    <row r="7" spans="1:19" x14ac:dyDescent="0.35">
      <c r="A7">
        <f ca="1"/>
        <v>-2.1</v>
      </c>
      <c r="B7">
        <f ca="1"/>
        <v>1.1785420586652435E-2</v>
      </c>
      <c r="C7">
        <f t="shared" ca="1" si="0"/>
        <v>-9.588259684591474</v>
      </c>
      <c r="D7">
        <f ca="1"/>
        <v>-0.20213026633774617</v>
      </c>
      <c r="I7">
        <f t="shared" ca="1" si="1"/>
        <v>4.30839820407849E-4</v>
      </c>
      <c r="J7">
        <f t="shared" ca="1" si="2"/>
        <v>5.2724015184908821E-4</v>
      </c>
      <c r="L7">
        <f t="shared" ca="1" si="3"/>
        <v>4.30839820407849E-4</v>
      </c>
      <c r="M7">
        <f t="shared" ca="1" si="4"/>
        <v>5.2724015184908821E-4</v>
      </c>
      <c r="O7">
        <f t="shared" ca="1" si="5"/>
        <v>-28.002031102234859</v>
      </c>
      <c r="P7">
        <f t="shared" ca="1" si="6"/>
        <v>-0.59651048397268236</v>
      </c>
      <c r="R7">
        <f t="shared" ca="1" si="7"/>
        <v>-1.4483930543530097</v>
      </c>
      <c r="S7">
        <f t="shared" ca="1" si="8"/>
        <v>3.0396044024964052E-2</v>
      </c>
    </row>
    <row r="8" spans="1:19" x14ac:dyDescent="0.35">
      <c r="A8">
        <f ca="1"/>
        <v>-1.8</v>
      </c>
      <c r="B8">
        <f ca="1"/>
        <v>8.2455191001896532E-3</v>
      </c>
      <c r="C8">
        <f t="shared" ca="1" si="0"/>
        <v>-3.9996483329674799</v>
      </c>
      <c r="D8">
        <f ca="1"/>
        <v>-8.4055123244073687E-2</v>
      </c>
      <c r="F8" t="s">
        <v>15</v>
      </c>
      <c r="G8" s="5">
        <v>70</v>
      </c>
      <c r="I8">
        <f t="shared" ca="1" si="1"/>
        <v>5.7150718057519777E-4</v>
      </c>
      <c r="J8">
        <f t="shared" ca="1" si="2"/>
        <v>7.0298686913211758E-4</v>
      </c>
      <c r="L8">
        <f t="shared" ca="1" si="3"/>
        <v>5.7150718057519777E-4</v>
      </c>
      <c r="M8">
        <f t="shared" ca="1" si="4"/>
        <v>7.0298686913211758E-4</v>
      </c>
      <c r="O8">
        <f t="shared" ca="1" si="5"/>
        <v>-27.714928151294899</v>
      </c>
      <c r="P8">
        <f t="shared" ca="1" si="6"/>
        <v>-0.59029683309796688</v>
      </c>
      <c r="R8">
        <f t="shared" ca="1" si="7"/>
        <v>-1.9306774505304756</v>
      </c>
      <c r="S8">
        <f t="shared" ca="1" si="8"/>
        <v>4.0528058699952074E-2</v>
      </c>
    </row>
    <row r="9" spans="1:19" x14ac:dyDescent="0.35">
      <c r="A9">
        <f ca="1"/>
        <v>-1.5</v>
      </c>
      <c r="B9">
        <f ca="1"/>
        <v>7.2182240680638199E-3</v>
      </c>
      <c r="C9">
        <f t="shared" ca="1" si="0"/>
        <v>-0.82935378578858021</v>
      </c>
      <c r="D9">
        <f ca="1"/>
        <v>1.739892501101991E-2</v>
      </c>
      <c r="F9" t="s">
        <v>17</v>
      </c>
      <c r="G9" cm="1">
        <f t="array" ref="G9">INDEX(D4:D1000, G8)</f>
        <v>0</v>
      </c>
      <c r="I9">
        <f t="shared" ca="1" si="1"/>
        <v>7.1070158409158347E-4</v>
      </c>
      <c r="J9">
        <f t="shared" ca="1" si="2"/>
        <v>8.7873358641514705E-4</v>
      </c>
      <c r="L9">
        <f t="shared" ca="1" si="3"/>
        <v>7.1070158409158347E-4</v>
      </c>
      <c r="M9">
        <f t="shared" ca="1" si="4"/>
        <v>8.7873358641514705E-4</v>
      </c>
      <c r="O9">
        <f t="shared" ca="1" si="5"/>
        <v>-27.427728676711958</v>
      </c>
      <c r="P9">
        <f t="shared" ca="1" si="6"/>
        <v>-0.58408318222325151</v>
      </c>
      <c r="R9">
        <f t="shared" ca="1" si="7"/>
        <v>-2.4127052024045059</v>
      </c>
      <c r="S9">
        <f t="shared" ca="1" si="8"/>
        <v>5.0660073374940093E-2</v>
      </c>
    </row>
    <row r="10" spans="1:19" x14ac:dyDescent="0.35">
      <c r="A10">
        <f ca="1"/>
        <v>-1.2000000000000002</v>
      </c>
      <c r="B10">
        <f ca="1"/>
        <v>7.6200759452090504E-3</v>
      </c>
      <c r="C10">
        <f t="shared" ca="1" si="0"/>
        <v>-5.1915668365260403</v>
      </c>
      <c r="D10">
        <f ca="1"/>
        <v>0.1091760866930164</v>
      </c>
      <c r="F10" t="s">
        <v>18</v>
      </c>
      <c r="G10" cm="1">
        <f t="array" ref="G10">INDEX(B4:B1000, G8)</f>
        <v>0</v>
      </c>
      <c r="I10">
        <f t="shared" ca="1" si="1"/>
        <v>8.4842303095699744E-4</v>
      </c>
      <c r="J10">
        <f t="shared" ca="1" si="2"/>
        <v>1.0544803036981764E-3</v>
      </c>
      <c r="L10">
        <f t="shared" ca="1" si="3"/>
        <v>8.4842303095699744E-4</v>
      </c>
      <c r="M10">
        <f t="shared" ca="1" si="4"/>
        <v>1.0544803036981764E-3</v>
      </c>
      <c r="O10">
        <f t="shared" ca="1" si="5"/>
        <v>-27.140432678486029</v>
      </c>
      <c r="P10">
        <f t="shared" ca="1" si="6"/>
        <v>-0.57786953134853603</v>
      </c>
      <c r="R10">
        <f t="shared" ca="1" si="7"/>
        <v>-2.8944763099751007</v>
      </c>
      <c r="S10">
        <f t="shared" ca="1" si="8"/>
        <v>6.0792088049928104E-2</v>
      </c>
    </row>
    <row r="11" spans="1:19" x14ac:dyDescent="0.35">
      <c r="A11">
        <f ca="1"/>
        <v>-0.89999999999999991</v>
      </c>
      <c r="B11">
        <f ca="1"/>
        <v>8.9967821945829245E-3</v>
      </c>
      <c r="C11">
        <f t="shared" ca="1" si="0"/>
        <v>-9.5042618177988256</v>
      </c>
      <c r="D11">
        <f ca="1"/>
        <v>0.20035010755904623</v>
      </c>
      <c r="I11">
        <f t="shared" ca="1" si="1"/>
        <v>9.8467152117144487E-4</v>
      </c>
      <c r="J11">
        <f t="shared" ca="1" si="2"/>
        <v>1.2302270209812057E-3</v>
      </c>
      <c r="L11">
        <f t="shared" ca="1" si="3"/>
        <v>9.8467152117144487E-4</v>
      </c>
      <c r="M11">
        <f t="shared" ca="1" si="4"/>
        <v>1.2302270209812057E-3</v>
      </c>
      <c r="O11">
        <f t="shared" ca="1" si="5"/>
        <v>-26.853040156617119</v>
      </c>
      <c r="P11">
        <f t="shared" ca="1" si="6"/>
        <v>-0.57165588047382065</v>
      </c>
      <c r="R11">
        <f t="shared" ca="1" si="7"/>
        <v>-3.3759907732422603</v>
      </c>
      <c r="S11">
        <f t="shared" ca="1" si="8"/>
        <v>7.0924102724916116E-2</v>
      </c>
    </row>
    <row r="12" spans="1:19" x14ac:dyDescent="0.35">
      <c r="A12">
        <f ca="1"/>
        <v>-0.60000000000000009</v>
      </c>
      <c r="B12">
        <f ca="1"/>
        <v>1.1470827009322176E-2</v>
      </c>
      <c r="C12">
        <f t="shared" ca="1" si="0"/>
        <v>-14.068273576562568</v>
      </c>
      <c r="D12">
        <f ca="1"/>
        <v>0.29731929723682954</v>
      </c>
      <c r="F12" t="s">
        <v>16</v>
      </c>
      <c r="G12" s="5">
        <v>140</v>
      </c>
      <c r="I12">
        <f t="shared" ca="1" si="1"/>
        <v>1.1194470547349258E-3</v>
      </c>
      <c r="J12">
        <f t="shared" ca="1" si="2"/>
        <v>1.4059737382642352E-3</v>
      </c>
      <c r="L12">
        <f t="shared" ca="1" si="3"/>
        <v>1.1194470547349258E-3</v>
      </c>
      <c r="M12">
        <f t="shared" ca="1" si="4"/>
        <v>1.4059737382642352E-3</v>
      </c>
      <c r="O12">
        <f t="shared" ca="1" si="5"/>
        <v>-26.565551111105229</v>
      </c>
      <c r="P12">
        <f t="shared" ca="1" si="6"/>
        <v>-0.56544222959910517</v>
      </c>
      <c r="R12">
        <f t="shared" ca="1" si="7"/>
        <v>-3.8572485922059845</v>
      </c>
      <c r="S12">
        <f t="shared" ca="1" si="8"/>
        <v>8.1056117399904148E-2</v>
      </c>
    </row>
    <row r="13" spans="1:19" x14ac:dyDescent="0.35">
      <c r="A13">
        <f ca="1"/>
        <v>-0.30000000000000027</v>
      </c>
      <c r="B13">
        <f ca="1"/>
        <v>1.5359555802028328E-2</v>
      </c>
      <c r="C13">
        <f t="shared" ca="1" si="0"/>
        <v>-19.029687327736845</v>
      </c>
      <c r="D13">
        <f ca="1"/>
        <v>0.40330313875096513</v>
      </c>
      <c r="F13" t="s">
        <v>19</v>
      </c>
      <c r="G13" cm="1">
        <f t="array" ref="G13">INDEX(D4:D1000, G12)</f>
        <v>0</v>
      </c>
      <c r="I13">
        <f t="shared" ca="1" si="1"/>
        <v>1.2527496316474401E-3</v>
      </c>
      <c r="J13">
        <f t="shared" ca="1" si="2"/>
        <v>1.5817204555472646E-3</v>
      </c>
      <c r="L13">
        <f t="shared" ca="1" si="3"/>
        <v>1.2527496316474401E-3</v>
      </c>
      <c r="M13">
        <f t="shared" ca="1" si="4"/>
        <v>1.5817204555472646E-3</v>
      </c>
      <c r="O13">
        <f t="shared" ca="1" si="5"/>
        <v>-26.277965541950351</v>
      </c>
      <c r="P13">
        <f t="shared" ca="1" si="6"/>
        <v>-0.55922857872438969</v>
      </c>
      <c r="R13">
        <f t="shared" ca="1" si="7"/>
        <v>-4.3382497668662738</v>
      </c>
      <c r="S13">
        <f t="shared" ca="1" si="8"/>
        <v>9.1188132074892167E-2</v>
      </c>
    </row>
    <row r="14" spans="1:19" x14ac:dyDescent="0.35">
      <c r="A14">
        <f ca="1"/>
        <v>0</v>
      </c>
      <c r="B14">
        <f ca="1"/>
        <v>2.0702413116195677E-2</v>
      </c>
      <c r="C14">
        <f t="shared" ca="1" si="0"/>
        <v>-24.147729259239334</v>
      </c>
      <c r="D14">
        <f ca="1"/>
        <v>0.51326688932859799</v>
      </c>
      <c r="F14" t="s">
        <v>20</v>
      </c>
      <c r="G14" cm="1">
        <f t="array" ref="G14">INDEX(B4:B1000, G12)</f>
        <v>0</v>
      </c>
      <c r="I14">
        <f t="shared" ca="1" si="1"/>
        <v>1.3845792519089871E-3</v>
      </c>
      <c r="J14">
        <f t="shared" ca="1" si="2"/>
        <v>1.7574671728302941E-3</v>
      </c>
      <c r="L14">
        <f t="shared" ca="1" si="3"/>
        <v>1.3845792519089871E-3</v>
      </c>
      <c r="M14">
        <f t="shared" ca="1" si="4"/>
        <v>1.7574671728302941E-3</v>
      </c>
      <c r="O14">
        <f t="shared" ca="1" si="5"/>
        <v>-25.990283449152503</v>
      </c>
      <c r="P14">
        <f t="shared" ca="1" si="6"/>
        <v>-0.55301492784967432</v>
      </c>
      <c r="R14">
        <f t="shared" ca="1" si="7"/>
        <v>-4.8189942972231261</v>
      </c>
      <c r="S14">
        <f t="shared" ca="1" si="8"/>
        <v>0.10132014674988019</v>
      </c>
    </row>
    <row r="15" spans="1:19" x14ac:dyDescent="0.35">
      <c r="A15">
        <f ca="1"/>
        <v>0.29999999999999982</v>
      </c>
      <c r="B15">
        <f ca="1"/>
        <v>2.6143265183919254E-2</v>
      </c>
      <c r="C15">
        <f t="shared" ca="1" si="0"/>
        <v>-28.314553755812131</v>
      </c>
      <c r="D15">
        <f ca="1"/>
        <v>0.6032766589152686</v>
      </c>
      <c r="I15">
        <f t="shared" ca="1" si="1"/>
        <v>1.5149359155195666E-3</v>
      </c>
      <c r="J15">
        <f t="shared" ca="1" si="2"/>
        <v>1.9332138901133231E-3</v>
      </c>
      <c r="L15">
        <f t="shared" ca="1" si="3"/>
        <v>1.5149359155195666E-3</v>
      </c>
      <c r="M15">
        <f t="shared" ca="1" si="4"/>
        <v>1.9332138901133231E-3</v>
      </c>
      <c r="O15">
        <f t="shared" ca="1" si="5"/>
        <v>-25.702504832711664</v>
      </c>
      <c r="P15">
        <f t="shared" ca="1" si="6"/>
        <v>-0.54680127697495884</v>
      </c>
      <c r="R15">
        <f t="shared" ca="1" si="7"/>
        <v>-5.2994821832765444</v>
      </c>
      <c r="S15">
        <f t="shared" ca="1" si="8"/>
        <v>0.1114521614248682</v>
      </c>
    </row>
    <row r="16" spans="1:19" x14ac:dyDescent="0.35">
      <c r="A16">
        <f ca="1"/>
        <v>0.59999999999999964</v>
      </c>
      <c r="B16">
        <f ca="1"/>
        <v>3.0960901950587098E-2</v>
      </c>
      <c r="C16">
        <f t="shared" ca="1" si="0"/>
        <v>-31.375854738745467</v>
      </c>
      <c r="D16">
        <f ca="1"/>
        <v>0.66968592004923744</v>
      </c>
      <c r="F16" t="s">
        <v>21</v>
      </c>
      <c r="G16">
        <f ca="1">(G10 - G5) / (G9 - G6)^2</f>
        <v>-23.844352122400633</v>
      </c>
      <c r="I16">
        <f t="shared" ca="1" si="1"/>
        <v>1.6438196224791797E-3</v>
      </c>
      <c r="J16">
        <f t="shared" ca="1" si="2"/>
        <v>2.1089606073963528E-3</v>
      </c>
      <c r="L16">
        <f t="shared" ca="1" si="3"/>
        <v>1.6438196224791797E-3</v>
      </c>
      <c r="M16">
        <f t="shared" ca="1" si="4"/>
        <v>2.1089606073963528E-3</v>
      </c>
      <c r="O16">
        <f t="shared" ca="1" si="5"/>
        <v>-25.414629692627841</v>
      </c>
      <c r="P16">
        <f t="shared" ca="1" si="6"/>
        <v>-0.54058762610024336</v>
      </c>
      <c r="R16">
        <f t="shared" ca="1" si="7"/>
        <v>-5.779713425026527</v>
      </c>
      <c r="S16">
        <f t="shared" ca="1" si="8"/>
        <v>0.12158417609985621</v>
      </c>
    </row>
    <row r="17" spans="1:19" x14ac:dyDescent="0.35">
      <c r="A17">
        <f ca="1"/>
        <v>0.89999999999999991</v>
      </c>
      <c r="B17">
        <f ca="1"/>
        <v>3.5549364645016623E-2</v>
      </c>
      <c r="C17">
        <f t="shared" ca="1" si="0"/>
        <v>-33.82655576647614</v>
      </c>
      <c r="D17">
        <f ca="1"/>
        <v>0.72302253315135301</v>
      </c>
      <c r="F17" t="s">
        <v>22</v>
      </c>
      <c r="G17">
        <f ca="1">(G14 - G5) / (G13 - G6)^2</f>
        <v>-23.844352122400633</v>
      </c>
      <c r="I17">
        <f t="shared" ca="1" si="1"/>
        <v>1.771230372787827E-3</v>
      </c>
      <c r="J17">
        <f t="shared" ca="1" si="2"/>
        <v>2.2847073246793823E-3</v>
      </c>
      <c r="L17">
        <f t="shared" ca="1" si="3"/>
        <v>1.771230372787827E-3</v>
      </c>
      <c r="M17">
        <f t="shared" ca="1" si="4"/>
        <v>2.2847073246793823E-3</v>
      </c>
      <c r="O17">
        <f t="shared" ca="1" si="5"/>
        <v>-25.126658028901048</v>
      </c>
      <c r="P17">
        <f t="shared" ca="1" si="6"/>
        <v>-0.53437397522552799</v>
      </c>
      <c r="R17">
        <f t="shared" ca="1" si="7"/>
        <v>-6.259688022473072</v>
      </c>
      <c r="S17">
        <f t="shared" ca="1" si="8"/>
        <v>0.13171619077484423</v>
      </c>
    </row>
    <row r="18" spans="1:19" x14ac:dyDescent="0.35">
      <c r="A18">
        <f ca="1"/>
        <v>1.2000000000000002</v>
      </c>
      <c r="B18">
        <f ca="1"/>
        <v>4.0125973062419426E-2</v>
      </c>
      <c r="C18">
        <f t="shared" ca="1" si="0"/>
        <v>-35.942429801217493</v>
      </c>
      <c r="D18">
        <f ca="1"/>
        <v>0.76919703481296997</v>
      </c>
      <c r="I18">
        <f t="shared" ca="1" si="1"/>
        <v>1.8971681664455061E-3</v>
      </c>
      <c r="J18">
        <f t="shared" ca="1" si="2"/>
        <v>2.4604540419624113E-3</v>
      </c>
      <c r="L18">
        <f t="shared" ca="1" si="3"/>
        <v>1.8971681664455061E-3</v>
      </c>
      <c r="M18">
        <f t="shared" ca="1" si="4"/>
        <v>2.4604540419624113E-3</v>
      </c>
      <c r="O18">
        <f t="shared" ca="1" si="5"/>
        <v>-24.838589841531263</v>
      </c>
      <c r="P18">
        <f t="shared" ca="1" si="6"/>
        <v>-0.5281603243508125</v>
      </c>
      <c r="R18">
        <f t="shared" ca="1" si="7"/>
        <v>-6.7394059756161839</v>
      </c>
      <c r="S18">
        <f t="shared" ca="1" si="8"/>
        <v>0.14184820544983223</v>
      </c>
    </row>
    <row r="19" spans="1:19" x14ac:dyDescent="0.35">
      <c r="A19">
        <f ca="1"/>
        <v>1.5</v>
      </c>
      <c r="B19">
        <f ca="1"/>
        <v>4.4879754135912386E-2</v>
      </c>
      <c r="C19">
        <f t="shared" ca="1" si="0"/>
        <v>-37.825829982920865</v>
      </c>
      <c r="D19">
        <f ca="1"/>
        <v>0.81039647990513808</v>
      </c>
      <c r="F19" t="s">
        <v>26</v>
      </c>
      <c r="G19" s="3">
        <v>0.05</v>
      </c>
      <c r="I19">
        <f t="shared" ca="1" si="1"/>
        <v>2.0216330034522178E-3</v>
      </c>
      <c r="J19">
        <f t="shared" ca="1" si="2"/>
        <v>2.6362007592454408E-3</v>
      </c>
      <c r="L19">
        <f t="shared" ca="1" si="3"/>
        <v>2.0216330034522178E-3</v>
      </c>
      <c r="M19">
        <f t="shared" ca="1" si="4"/>
        <v>2.6362007592454408E-3</v>
      </c>
      <c r="O19">
        <f t="shared" ca="1" si="5"/>
        <v>-24.550425130518498</v>
      </c>
      <c r="P19">
        <f t="shared" ca="1" si="6"/>
        <v>-0.52194667347609713</v>
      </c>
      <c r="R19">
        <f t="shared" ca="1" si="7"/>
        <v>-7.218867284455861</v>
      </c>
      <c r="S19">
        <f t="shared" ca="1" si="8"/>
        <v>0.15198022012482026</v>
      </c>
    </row>
    <row r="20" spans="1:19" x14ac:dyDescent="0.35">
      <c r="A20">
        <f ca="1"/>
        <v>1.7999999999999998</v>
      </c>
      <c r="B20">
        <f ca="1"/>
        <v>4.9595358602603098E-2</v>
      </c>
      <c r="C20">
        <f t="shared" ca="1" si="0"/>
        <v>-39.580696210946456</v>
      </c>
      <c r="D20">
        <f ca="1"/>
        <v>0.84886805086738626</v>
      </c>
      <c r="F20" t="s">
        <v>27</v>
      </c>
      <c r="G20" s="3">
        <v>0.2</v>
      </c>
      <c r="I20">
        <f t="shared" ca="1" si="1"/>
        <v>2.1446248838079621E-3</v>
      </c>
      <c r="J20">
        <f t="shared" ca="1" si="2"/>
        <v>2.8119474765284703E-3</v>
      </c>
      <c r="L20">
        <f t="shared" ca="1" si="3"/>
        <v>2.1446248838079621E-3</v>
      </c>
      <c r="M20">
        <f t="shared" ca="1" si="4"/>
        <v>2.8119474765284703E-3</v>
      </c>
      <c r="O20">
        <f t="shared" ca="1" si="5"/>
        <v>-24.262163895862749</v>
      </c>
      <c r="P20">
        <f t="shared" ca="1" si="6"/>
        <v>-0.51573302260138165</v>
      </c>
      <c r="R20">
        <f t="shared" ca="1" si="7"/>
        <v>-7.6980719489921015</v>
      </c>
      <c r="S20">
        <f t="shared" ca="1" si="8"/>
        <v>0.1621122347998083</v>
      </c>
    </row>
    <row r="21" spans="1:19" x14ac:dyDescent="0.35">
      <c r="A21">
        <f ca="1"/>
        <v>2.0999999999999996</v>
      </c>
      <c r="B21">
        <f ca="1"/>
        <v>5.455355178226292E-2</v>
      </c>
      <c r="C21">
        <f t="shared" ca="1" si="0"/>
        <v>-41.422937484849136</v>
      </c>
      <c r="D21">
        <f ca="1"/>
        <v>0.88934268987867038</v>
      </c>
      <c r="F21" t="s">
        <v>28</v>
      </c>
      <c r="G21">
        <f ca="1">2 * (G10 - G5) * (G9 - G6) / (G9 - G6)^2</f>
        <v>0.82973218902800405</v>
      </c>
      <c r="I21">
        <f t="shared" ca="1" si="1"/>
        <v>2.2661438075127415E-3</v>
      </c>
      <c r="J21">
        <f t="shared" ca="1" si="2"/>
        <v>2.9876941938114998E-3</v>
      </c>
      <c r="L21">
        <f t="shared" ca="1" si="3"/>
        <v>2.2661438075127415E-3</v>
      </c>
      <c r="M21">
        <f t="shared" ca="1" si="4"/>
        <v>2.9876941938114998E-3</v>
      </c>
      <c r="O21">
        <f t="shared" ca="1" si="5"/>
        <v>-23.973806137564019</v>
      </c>
      <c r="P21">
        <f t="shared" ca="1" si="6"/>
        <v>-0.50951937172666617</v>
      </c>
      <c r="R21">
        <f t="shared" ca="1" si="7"/>
        <v>-8.1770199692249061</v>
      </c>
      <c r="S21">
        <f t="shared" ca="1" si="8"/>
        <v>0.1722442494747963</v>
      </c>
    </row>
    <row r="22" spans="1:19" x14ac:dyDescent="0.35">
      <c r="A22">
        <f ca="1"/>
        <v>2.3999999999999995</v>
      </c>
      <c r="B22">
        <f ca="1"/>
        <v>6.0202518576720584E-2</v>
      </c>
      <c r="C22">
        <f t="shared" ca="1" si="0"/>
        <v>-43.184731715300202</v>
      </c>
      <c r="D22">
        <f ca="1"/>
        <v>0.92813432604656521</v>
      </c>
      <c r="F22" t="s">
        <v>29</v>
      </c>
      <c r="G22">
        <f ca="1">2 * (G14 - G5) * (G13 - G6) / (G13 - G6)^2</f>
        <v>0.82973218902800405</v>
      </c>
      <c r="I22">
        <f t="shared" ca="1" si="1"/>
        <v>2.3861897745665528E-3</v>
      </c>
      <c r="J22">
        <f t="shared" ca="1" si="2"/>
        <v>3.1634409110945293E-3</v>
      </c>
      <c r="L22">
        <f t="shared" ca="1" si="3"/>
        <v>2.3861897745665528E-3</v>
      </c>
      <c r="M22">
        <f t="shared" ca="1" si="4"/>
        <v>3.1634409110945293E-3</v>
      </c>
      <c r="O22">
        <f t="shared" ca="1" si="5"/>
        <v>-23.685351855622304</v>
      </c>
      <c r="P22">
        <f t="shared" ca="1" si="6"/>
        <v>-0.50330572085195069</v>
      </c>
      <c r="R22">
        <f t="shared" ca="1" si="7"/>
        <v>-8.6557113451542769</v>
      </c>
      <c r="S22">
        <f t="shared" ca="1" si="8"/>
        <v>0.18237626414978433</v>
      </c>
    </row>
    <row r="23" spans="1:19" x14ac:dyDescent="0.35">
      <c r="A23">
        <f ca="1"/>
        <v>2.7</v>
      </c>
      <c r="B23">
        <f ca="1"/>
        <v>6.650177308177159E-2</v>
      </c>
      <c r="C23">
        <f t="shared" ca="1" si="0"/>
        <v>-44.889342755372162</v>
      </c>
      <c r="D23">
        <f ca="1"/>
        <v>0.96574597915855454</v>
      </c>
      <c r="F23" t="s">
        <v>30</v>
      </c>
      <c r="G23">
        <f>1/G20</f>
        <v>5</v>
      </c>
      <c r="I23">
        <f t="shared" ca="1" si="1"/>
        <v>2.5047627849693957E-3</v>
      </c>
      <c r="J23">
        <f t="shared" ca="1" si="2"/>
        <v>3.3391876283775587E-3</v>
      </c>
      <c r="L23">
        <f t="shared" ca="1" si="3"/>
        <v>2.5047627849693957E-3</v>
      </c>
      <c r="M23">
        <f t="shared" ca="1" si="4"/>
        <v>3.3391876283775587E-3</v>
      </c>
      <c r="O23">
        <f t="shared" ca="1" si="5"/>
        <v>-23.396801050037613</v>
      </c>
      <c r="P23">
        <f t="shared" ca="1" si="6"/>
        <v>-0.49709206997723532</v>
      </c>
      <c r="R23">
        <f t="shared" ca="1" si="7"/>
        <v>-9.1341460767802101</v>
      </c>
      <c r="S23">
        <f t="shared" ca="1" si="8"/>
        <v>0.19250827882477234</v>
      </c>
    </row>
    <row r="24" spans="1:19" x14ac:dyDescent="0.35">
      <c r="A24">
        <f ca="1"/>
        <v>3</v>
      </c>
      <c r="B24">
        <f ca="1"/>
        <v>7.3439174054494821E-2</v>
      </c>
      <c r="C24">
        <f t="shared" ca="1" si="0"/>
        <v>-46.577397063724156</v>
      </c>
      <c r="D24">
        <f ca="1"/>
        <v>1.0030694528238138</v>
      </c>
      <c r="I24">
        <f t="shared" ca="1" si="1"/>
        <v>2.621862838721273E-3</v>
      </c>
      <c r="J24">
        <f t="shared" ca="1" si="2"/>
        <v>3.5149343456605882E-3</v>
      </c>
      <c r="L24">
        <f t="shared" ca="1" si="3"/>
        <v>2.621862838721273E-3</v>
      </c>
      <c r="M24">
        <f t="shared" ca="1" si="4"/>
        <v>3.5149343456605882E-3</v>
      </c>
      <c r="O24">
        <f t="shared" ca="1" si="5"/>
        <v>-23.108153720809938</v>
      </c>
      <c r="P24">
        <f t="shared" ca="1" si="6"/>
        <v>-0.49087841910251984</v>
      </c>
      <c r="R24">
        <f t="shared" ca="1" si="7"/>
        <v>-9.6123241641027093</v>
      </c>
      <c r="S24">
        <f t="shared" ca="1" si="8"/>
        <v>0.20264029349976037</v>
      </c>
    </row>
    <row r="25" spans="1:19" x14ac:dyDescent="0.35">
      <c r="C25" t="str">
        <f t="shared" si="0"/>
        <v/>
      </c>
      <c r="F25" t="s">
        <v>33</v>
      </c>
      <c r="G25">
        <f ca="1">MAX(D4:D1000)</f>
        <v>1.0030694528238138</v>
      </c>
      <c r="I25">
        <f t="shared" ca="1" si="1"/>
        <v>2.7374899358221828E-3</v>
      </c>
      <c r="J25">
        <f t="shared" ca="1" si="2"/>
        <v>3.6906810629436168E-3</v>
      </c>
      <c r="L25">
        <f t="shared" ca="1" si="3"/>
        <v>2.7374899358221828E-3</v>
      </c>
      <c r="M25">
        <f t="shared" ca="1" si="4"/>
        <v>3.6906810629436168E-3</v>
      </c>
      <c r="O25">
        <f t="shared" ca="1" si="5"/>
        <v>-22.819409867939278</v>
      </c>
      <c r="P25">
        <f t="shared" ca="1" si="6"/>
        <v>-0.48466476822780447</v>
      </c>
      <c r="R25">
        <f t="shared" ca="1" si="7"/>
        <v>-10.090245607121773</v>
      </c>
      <c r="S25">
        <f t="shared" ca="1" si="8"/>
        <v>0.21277230817474838</v>
      </c>
    </row>
    <row r="26" spans="1:19" x14ac:dyDescent="0.35">
      <c r="C26" t="str">
        <f t="shared" si="0"/>
        <v/>
      </c>
      <c r="F26" t="s">
        <v>14</v>
      </c>
      <c r="G26">
        <f ca="1">MIN(D4:D1000)</f>
        <v>-0.61515143659682869</v>
      </c>
      <c r="I26">
        <f t="shared" ca="1" si="1"/>
        <v>2.8516440762721262E-3</v>
      </c>
      <c r="J26">
        <f t="shared" ca="1" si="2"/>
        <v>3.8664277802266463E-3</v>
      </c>
      <c r="L26">
        <f t="shared" ca="1" si="3"/>
        <v>2.8516440762721262E-3</v>
      </c>
      <c r="M26">
        <f t="shared" ca="1" si="4"/>
        <v>3.8664277802266463E-3</v>
      </c>
      <c r="O26">
        <f t="shared" ca="1" si="5"/>
        <v>-22.530569491425638</v>
      </c>
      <c r="P26">
        <f t="shared" ca="1" si="6"/>
        <v>-0.47845111735308898</v>
      </c>
      <c r="R26">
        <f t="shared" ca="1" si="7"/>
        <v>-10.5679104058374</v>
      </c>
      <c r="S26">
        <f t="shared" ca="1" si="8"/>
        <v>0.22290432284973641</v>
      </c>
    </row>
    <row r="27" spans="1:19" x14ac:dyDescent="0.35">
      <c r="C27" t="str">
        <f t="shared" si="0"/>
        <v/>
      </c>
      <c r="I27">
        <f t="shared" ca="1" si="1"/>
        <v>2.9643252600711012E-3</v>
      </c>
      <c r="J27">
        <f t="shared" ca="1" si="2"/>
        <v>4.0421744975096758E-3</v>
      </c>
      <c r="L27">
        <f t="shared" ca="1" si="3"/>
        <v>2.9643252600711012E-3</v>
      </c>
      <c r="M27">
        <f t="shared" ca="1" si="4"/>
        <v>4.0421744975096758E-3</v>
      </c>
      <c r="O27">
        <f t="shared" ca="1" si="5"/>
        <v>-22.241632591269017</v>
      </c>
      <c r="P27">
        <f t="shared" ca="1" si="6"/>
        <v>-0.47223746647837356</v>
      </c>
      <c r="R27">
        <f t="shared" ca="1" si="7"/>
        <v>-11.045318560249592</v>
      </c>
      <c r="S27">
        <f t="shared" ca="1" si="8"/>
        <v>0.23303633752472441</v>
      </c>
    </row>
    <row r="28" spans="1:19" x14ac:dyDescent="0.35">
      <c r="C28" t="str">
        <f t="shared" si="0"/>
        <v/>
      </c>
      <c r="F28" t="s">
        <v>44</v>
      </c>
      <c r="G28">
        <f ca="1">COUNTIF(B4:B1000, "&lt;&gt;")</f>
        <v>21</v>
      </c>
      <c r="I28">
        <f t="shared" ca="1" si="1"/>
        <v>3.0755334872191115E-3</v>
      </c>
      <c r="J28">
        <f t="shared" ca="1" si="2"/>
        <v>4.2179212147927057E-3</v>
      </c>
      <c r="L28">
        <f t="shared" ca="1" si="3"/>
        <v>3.0755334872191115E-3</v>
      </c>
      <c r="M28">
        <f t="shared" ca="1" si="4"/>
        <v>4.2179212147927057E-3</v>
      </c>
      <c r="O28">
        <f t="shared" ca="1" si="5"/>
        <v>-21.952599167469412</v>
      </c>
      <c r="P28">
        <f t="shared" ca="1" si="6"/>
        <v>-0.46602381560365813</v>
      </c>
      <c r="R28">
        <f t="shared" ca="1" si="7"/>
        <v>-11.52247007035835</v>
      </c>
      <c r="S28">
        <f t="shared" ca="1" si="8"/>
        <v>0.24316835219971242</v>
      </c>
    </row>
    <row r="29" spans="1:19" x14ac:dyDescent="0.35">
      <c r="C29" t="str">
        <f t="shared" si="0"/>
        <v/>
      </c>
      <c r="I29">
        <f t="shared" ca="1" si="1"/>
        <v>3.1852687577161535E-3</v>
      </c>
      <c r="J29">
        <f t="shared" ca="1" si="2"/>
        <v>4.3936679320757347E-3</v>
      </c>
      <c r="L29">
        <f t="shared" ca="1" si="3"/>
        <v>3.1852687577161535E-3</v>
      </c>
      <c r="M29">
        <f t="shared" ca="1" si="4"/>
        <v>4.3936679320757347E-3</v>
      </c>
      <c r="O29">
        <f t="shared" ca="1" si="5"/>
        <v>-21.663469220026826</v>
      </c>
      <c r="P29">
        <f t="shared" ca="1" si="6"/>
        <v>-0.45981016472894265</v>
      </c>
      <c r="R29">
        <f t="shared" ca="1" si="7"/>
        <v>-11.999364936163671</v>
      </c>
      <c r="S29">
        <f t="shared" ca="1" si="8"/>
        <v>0.25330036687470042</v>
      </c>
    </row>
    <row r="30" spans="1:19" x14ac:dyDescent="0.35">
      <c r="C30" t="str">
        <f t="shared" si="0"/>
        <v/>
      </c>
      <c r="F30" t="s">
        <v>239</v>
      </c>
      <c r="G30">
        <v>0.1019</v>
      </c>
      <c r="I30">
        <f t="shared" ca="1" si="1"/>
        <v>3.2935310715622289E-3</v>
      </c>
      <c r="J30">
        <f t="shared" ca="1" si="2"/>
        <v>4.5694146493587646E-3</v>
      </c>
      <c r="L30">
        <f t="shared" ca="1" si="3"/>
        <v>3.2935310715622289E-3</v>
      </c>
      <c r="M30">
        <f t="shared" ca="1" si="4"/>
        <v>4.5694146493587646E-3</v>
      </c>
      <c r="O30">
        <f t="shared" ca="1" si="5"/>
        <v>-21.374242748941256</v>
      </c>
      <c r="P30">
        <f t="shared" ca="1" si="6"/>
        <v>-0.45359651385422722</v>
      </c>
      <c r="R30">
        <f t="shared" ca="1" si="7"/>
        <v>-12.476003157665556</v>
      </c>
      <c r="S30">
        <f t="shared" ca="1" si="8"/>
        <v>0.26343238154968845</v>
      </c>
    </row>
    <row r="31" spans="1:19" x14ac:dyDescent="0.35">
      <c r="C31" t="str">
        <f t="shared" si="0"/>
        <v/>
      </c>
      <c r="F31" t="s">
        <v>240</v>
      </c>
      <c r="G31">
        <f>G30*180/PI()</f>
        <v>5.8384399323830891</v>
      </c>
      <c r="I31">
        <f t="shared" ca="1" si="1"/>
        <v>3.4003204287573374E-3</v>
      </c>
      <c r="J31">
        <f t="shared" ca="1" si="2"/>
        <v>4.7451613666417937E-3</v>
      </c>
      <c r="L31">
        <f t="shared" ca="1" si="3"/>
        <v>3.4003204287573374E-3</v>
      </c>
      <c r="M31">
        <f t="shared" ca="1" si="4"/>
        <v>4.7451613666417937E-3</v>
      </c>
      <c r="O31">
        <f t="shared" ca="1" si="5"/>
        <v>-21.084919754212706</v>
      </c>
      <c r="P31">
        <f t="shared" ca="1" si="6"/>
        <v>-0.4473828629795118</v>
      </c>
      <c r="R31">
        <f t="shared" ca="1" si="7"/>
        <v>-12.95238473486401</v>
      </c>
      <c r="S31">
        <f t="shared" ca="1" si="8"/>
        <v>0.27356439622467649</v>
      </c>
    </row>
    <row r="32" spans="1:19" x14ac:dyDescent="0.35">
      <c r="C32" t="str">
        <f t="shared" si="0"/>
        <v/>
      </c>
      <c r="F32" t="s">
        <v>46</v>
      </c>
      <c r="G32">
        <f>G31/(2*PI())</f>
        <v>0.92921657518387979</v>
      </c>
      <c r="I32">
        <f t="shared" ca="1" si="1"/>
        <v>3.5056368293014785E-3</v>
      </c>
      <c r="J32">
        <f t="shared" ca="1" si="2"/>
        <v>4.9209080839248227E-3</v>
      </c>
      <c r="L32">
        <f t="shared" ca="1" si="3"/>
        <v>3.5056368293014785E-3</v>
      </c>
      <c r="M32">
        <f t="shared" ca="1" si="4"/>
        <v>4.9209080839248227E-3</v>
      </c>
      <c r="O32">
        <f t="shared" ca="1" si="5"/>
        <v>-20.795500235841171</v>
      </c>
      <c r="P32">
        <f t="shared" ca="1" si="6"/>
        <v>-0.44116921210479632</v>
      </c>
      <c r="R32">
        <f t="shared" ca="1" si="7"/>
        <v>-13.428509667759023</v>
      </c>
      <c r="S32">
        <f t="shared" ca="1" si="8"/>
        <v>0.28369641089966446</v>
      </c>
    </row>
    <row r="33" spans="3:29" x14ac:dyDescent="0.35">
      <c r="C33" t="str">
        <f t="shared" si="0"/>
        <v/>
      </c>
      <c r="I33">
        <f t="shared" ca="1" si="1"/>
        <v>3.6094802731946522E-3</v>
      </c>
      <c r="J33">
        <f t="shared" ca="1" si="2"/>
        <v>5.0966548012078517E-3</v>
      </c>
      <c r="L33">
        <f t="shared" ca="1" si="3"/>
        <v>3.6094802731946522E-3</v>
      </c>
      <c r="M33">
        <f t="shared" ca="1" si="4"/>
        <v>5.0966548012078517E-3</v>
      </c>
      <c r="O33">
        <f t="shared" ca="1" si="5"/>
        <v>-20.505984193826656</v>
      </c>
      <c r="P33">
        <f t="shared" ca="1" si="6"/>
        <v>-0.43495556123008089</v>
      </c>
      <c r="R33">
        <f t="shared" ca="1" si="7"/>
        <v>-13.904377956350606</v>
      </c>
      <c r="S33">
        <f t="shared" ca="1" si="8"/>
        <v>0.29382842557465255</v>
      </c>
      <c r="U33" t="s">
        <v>43</v>
      </c>
      <c r="W33" t="s">
        <v>34</v>
      </c>
      <c r="X33" t="s">
        <v>35</v>
      </c>
      <c r="Y33" t="s">
        <v>36</v>
      </c>
      <c r="Z33" t="s">
        <v>38</v>
      </c>
      <c r="AA33" t="s">
        <v>37</v>
      </c>
      <c r="AB33" t="s">
        <v>39</v>
      </c>
      <c r="AC33" t="s">
        <v>46</v>
      </c>
    </row>
    <row r="34" spans="3:29" x14ac:dyDescent="0.35">
      <c r="C34" t="str">
        <f t="shared" si="0"/>
        <v/>
      </c>
      <c r="I34">
        <f t="shared" ca="1" si="1"/>
        <v>3.7118507604368589E-3</v>
      </c>
      <c r="J34">
        <f t="shared" ca="1" si="2"/>
        <v>5.2724015184908817E-3</v>
      </c>
      <c r="L34">
        <f t="shared" ca="1" si="3"/>
        <v>3.7118507604368589E-3</v>
      </c>
      <c r="M34">
        <f t="shared" ca="1" si="4"/>
        <v>5.2724015184908817E-3</v>
      </c>
      <c r="O34">
        <f t="shared" ca="1" si="5"/>
        <v>-20.216371628169163</v>
      </c>
      <c r="P34">
        <f t="shared" ca="1" si="6"/>
        <v>-0.42874191035536546</v>
      </c>
      <c r="R34">
        <f t="shared" ca="1" si="7"/>
        <v>-14.379989600638746</v>
      </c>
      <c r="S34">
        <f t="shared" ca="1" si="8"/>
        <v>0.30396044024964053</v>
      </c>
      <c r="U34" s="4">
        <f ca="1">1 - SUMXMY2(B4:B1000, C4:C1000) / DEVSQ(_xlfn.ANCHORARRAY(B4))</f>
        <v>-2100356.7406332875</v>
      </c>
      <c r="W34">
        <f>G9</f>
        <v>0</v>
      </c>
      <c r="X34">
        <f>G10</f>
        <v>0</v>
      </c>
      <c r="Y34">
        <f ca="1">G6</f>
        <v>1.739892501101991E-2</v>
      </c>
      <c r="Z34">
        <f ca="1">G5</f>
        <v>7.2182240680638199E-3</v>
      </c>
      <c r="AA34">
        <f>G13</f>
        <v>0</v>
      </c>
      <c r="AB34">
        <f>G14</f>
        <v>0</v>
      </c>
      <c r="AC34">
        <f>G32</f>
        <v>0.92921657518387979</v>
      </c>
    </row>
    <row r="35" spans="3:29" x14ac:dyDescent="0.35">
      <c r="C35" t="str">
        <f t="shared" si="0"/>
        <v/>
      </c>
      <c r="I35">
        <f t="shared" ca="1" si="1"/>
        <v>3.8127482910280982E-3</v>
      </c>
      <c r="J35">
        <f t="shared" ca="1" si="2"/>
        <v>5.4481482357739107E-3</v>
      </c>
      <c r="L35">
        <f t="shared" ca="1" si="3"/>
        <v>3.8127482910280982E-3</v>
      </c>
      <c r="M35">
        <f t="shared" ca="1" si="4"/>
        <v>5.4481482357739107E-3</v>
      </c>
      <c r="O35">
        <f t="shared" ca="1" si="5"/>
        <v>-19.92666253886868</v>
      </c>
      <c r="P35">
        <f t="shared" ca="1" si="6"/>
        <v>-0.42252825948064998</v>
      </c>
      <c r="R35">
        <f t="shared" ca="1" si="7"/>
        <v>-14.855344600623459</v>
      </c>
      <c r="S35">
        <f t="shared" ca="1" si="8"/>
        <v>0.31409245492462856</v>
      </c>
    </row>
    <row r="36" spans="3:29" x14ac:dyDescent="0.35">
      <c r="C36" t="str">
        <f t="shared" si="0"/>
        <v/>
      </c>
      <c r="I36">
        <f t="shared" ca="1" si="1"/>
        <v>3.9121728649683715E-3</v>
      </c>
      <c r="J36">
        <f t="shared" ca="1" si="2"/>
        <v>5.6238949530569406E-3</v>
      </c>
      <c r="L36">
        <f t="shared" ca="1" si="3"/>
        <v>3.9121728649683715E-3</v>
      </c>
      <c r="M36">
        <f t="shared" ca="1" si="4"/>
        <v>5.6238949530569406E-3</v>
      </c>
      <c r="O36">
        <f t="shared" ca="1" si="5"/>
        <v>-19.636856925925219</v>
      </c>
      <c r="P36">
        <f t="shared" ca="1" si="6"/>
        <v>-0.41631460860593461</v>
      </c>
      <c r="R36">
        <f t="shared" ca="1" si="7"/>
        <v>-15.330442956304733</v>
      </c>
      <c r="S36">
        <f t="shared" ca="1" si="8"/>
        <v>0.32422446959961659</v>
      </c>
    </row>
    <row r="37" spans="3:29" x14ac:dyDescent="0.35">
      <c r="C37" t="str">
        <f t="shared" si="0"/>
        <v/>
      </c>
      <c r="I37">
        <f t="shared" ca="1" si="1"/>
        <v>4.0101244822576768E-3</v>
      </c>
      <c r="J37">
        <f t="shared" ca="1" si="2"/>
        <v>5.7996416703399696E-3</v>
      </c>
      <c r="L37">
        <f t="shared" ca="1" si="3"/>
        <v>4.0101244822576768E-3</v>
      </c>
      <c r="M37">
        <f t="shared" ca="1" si="4"/>
        <v>5.7996416703399696E-3</v>
      </c>
      <c r="O37">
        <f t="shared" ca="1" si="5"/>
        <v>-19.346954789338774</v>
      </c>
      <c r="P37">
        <f t="shared" ca="1" si="6"/>
        <v>-0.41010095773121913</v>
      </c>
      <c r="R37">
        <f t="shared" ca="1" si="7"/>
        <v>-15.805284667682571</v>
      </c>
      <c r="S37">
        <f t="shared" ca="1" si="8"/>
        <v>0.33435648427460463</v>
      </c>
    </row>
    <row r="38" spans="3:29" x14ac:dyDescent="0.35">
      <c r="C38" t="str">
        <f t="shared" si="0"/>
        <v/>
      </c>
      <c r="I38">
        <f t="shared" ca="1" si="1"/>
        <v>4.1066031428960165E-3</v>
      </c>
      <c r="J38">
        <f t="shared" ca="1" si="2"/>
        <v>5.9753883876229996E-3</v>
      </c>
      <c r="L38">
        <f t="shared" ca="1" si="3"/>
        <v>4.1066031428960165E-3</v>
      </c>
      <c r="M38">
        <f t="shared" ca="1" si="4"/>
        <v>5.9753883876229996E-3</v>
      </c>
      <c r="O38">
        <f t="shared" ca="1" si="5"/>
        <v>-19.056956129109345</v>
      </c>
      <c r="P38">
        <f t="shared" ca="1" si="6"/>
        <v>-0.40388730685650365</v>
      </c>
      <c r="R38">
        <f t="shared" ca="1" si="7"/>
        <v>-16.279869734756975</v>
      </c>
      <c r="S38">
        <f t="shared" ca="1" si="8"/>
        <v>0.3444884989495926</v>
      </c>
    </row>
    <row r="39" spans="3:29" x14ac:dyDescent="0.35">
      <c r="C39" t="str">
        <f t="shared" si="0"/>
        <v/>
      </c>
      <c r="I39">
        <f t="shared" ca="1" si="1"/>
        <v>4.2016088468833888E-3</v>
      </c>
      <c r="J39">
        <f t="shared" ca="1" si="2"/>
        <v>6.1511351049060286E-3</v>
      </c>
      <c r="L39">
        <f t="shared" ca="1" si="3"/>
        <v>4.2016088468833888E-3</v>
      </c>
      <c r="M39">
        <f t="shared" ca="1" si="4"/>
        <v>6.1511351049060286E-3</v>
      </c>
      <c r="O39">
        <f t="shared" ca="1" si="5"/>
        <v>-18.766860945236942</v>
      </c>
      <c r="P39">
        <f t="shared" ca="1" si="6"/>
        <v>-0.39767365598178828</v>
      </c>
      <c r="R39">
        <f t="shared" ca="1" si="7"/>
        <v>-16.754198157527942</v>
      </c>
      <c r="S39">
        <f t="shared" ca="1" si="8"/>
        <v>0.35462051362458064</v>
      </c>
    </row>
    <row r="40" spans="3:29" x14ac:dyDescent="0.35">
      <c r="C40" t="str">
        <f t="shared" si="0"/>
        <v/>
      </c>
      <c r="I40">
        <f t="shared" ca="1" si="1"/>
        <v>4.2951415942197937E-3</v>
      </c>
      <c r="J40">
        <f t="shared" ca="1" si="2"/>
        <v>6.3268818221890585E-3</v>
      </c>
      <c r="L40">
        <f t="shared" ca="1" si="3"/>
        <v>4.2951415942197937E-3</v>
      </c>
      <c r="M40">
        <f t="shared" ca="1" si="4"/>
        <v>6.3268818221890585E-3</v>
      </c>
      <c r="O40">
        <f t="shared" ca="1" si="5"/>
        <v>-18.476669237721552</v>
      </c>
      <c r="P40">
        <f t="shared" ca="1" si="6"/>
        <v>-0.39146000510707279</v>
      </c>
      <c r="R40">
        <f t="shared" ca="1" si="7"/>
        <v>-17.228269935995474</v>
      </c>
      <c r="S40">
        <f t="shared" ca="1" si="8"/>
        <v>0.36475252829956867</v>
      </c>
    </row>
    <row r="41" spans="3:29" x14ac:dyDescent="0.35">
      <c r="C41" t="str">
        <f t="shared" si="0"/>
        <v/>
      </c>
      <c r="I41">
        <f t="shared" ca="1" si="1"/>
        <v>4.3872013849052321E-3</v>
      </c>
      <c r="J41">
        <f t="shared" ca="1" si="2"/>
        <v>6.5026285394720875E-3</v>
      </c>
      <c r="L41">
        <f t="shared" ca="1" si="3"/>
        <v>4.3872013849052321E-3</v>
      </c>
      <c r="M41">
        <f t="shared" ca="1" si="4"/>
        <v>6.5026285394720875E-3</v>
      </c>
      <c r="O41">
        <f t="shared" ca="1" si="5"/>
        <v>-18.186381006563177</v>
      </c>
      <c r="P41">
        <f t="shared" ca="1" si="6"/>
        <v>-0.38524635423235731</v>
      </c>
      <c r="R41">
        <f t="shared" ca="1" si="7"/>
        <v>-17.702085070159573</v>
      </c>
      <c r="S41">
        <f t="shared" ca="1" si="8"/>
        <v>0.3748845429745567</v>
      </c>
    </row>
    <row r="42" spans="3:29" x14ac:dyDescent="0.35">
      <c r="C42" t="str">
        <f t="shared" si="0"/>
        <v/>
      </c>
      <c r="I42">
        <f t="shared" ca="1" si="1"/>
        <v>4.4777882189397031E-3</v>
      </c>
      <c r="J42">
        <f t="shared" ca="1" si="2"/>
        <v>6.6783752567551175E-3</v>
      </c>
      <c r="L42">
        <f t="shared" ca="1" si="3"/>
        <v>4.4777882189397031E-3</v>
      </c>
      <c r="M42">
        <f t="shared" ca="1" si="4"/>
        <v>6.6783752567551175E-3</v>
      </c>
      <c r="O42">
        <f t="shared" ca="1" si="5"/>
        <v>-17.895996251761826</v>
      </c>
      <c r="P42">
        <f t="shared" ca="1" si="6"/>
        <v>-0.37903270335764194</v>
      </c>
      <c r="R42">
        <f t="shared" ca="1" si="7"/>
        <v>-18.17564356002023</v>
      </c>
      <c r="S42">
        <f t="shared" ca="1" si="8"/>
        <v>0.38501655764954468</v>
      </c>
    </row>
    <row r="43" spans="3:29" x14ac:dyDescent="0.35">
      <c r="C43" t="str">
        <f t="shared" si="0"/>
        <v/>
      </c>
      <c r="I43">
        <f t="shared" ca="1" si="1"/>
        <v>4.5669020963232066E-3</v>
      </c>
      <c r="J43">
        <f t="shared" ca="1" si="2"/>
        <v>6.8541219740381465E-3</v>
      </c>
      <c r="L43">
        <f t="shared" ca="1" si="3"/>
        <v>4.5669020963232066E-3</v>
      </c>
      <c r="M43">
        <f t="shared" ca="1" si="4"/>
        <v>6.8541219740381465E-3</v>
      </c>
      <c r="O43">
        <f t="shared" ca="1" si="5"/>
        <v>-17.605514973317486</v>
      </c>
      <c r="P43">
        <f t="shared" ca="1" si="6"/>
        <v>-0.37281905248292646</v>
      </c>
      <c r="R43">
        <f t="shared" ca="1" si="7"/>
        <v>-18.648945405577457</v>
      </c>
      <c r="S43">
        <f t="shared" ca="1" si="8"/>
        <v>0.39514857232453271</v>
      </c>
    </row>
    <row r="44" spans="3:29" x14ac:dyDescent="0.35">
      <c r="C44" t="str">
        <f t="shared" si="0"/>
        <v/>
      </c>
      <c r="I44">
        <f t="shared" ca="1" si="1"/>
        <v>4.6545430170557428E-3</v>
      </c>
      <c r="J44">
        <f t="shared" ca="1" si="2"/>
        <v>7.0298686913211764E-3</v>
      </c>
      <c r="L44">
        <f t="shared" ca="1" si="3"/>
        <v>4.6545430170557428E-3</v>
      </c>
      <c r="M44">
        <f t="shared" ca="1" si="4"/>
        <v>7.0298686913211764E-3</v>
      </c>
      <c r="O44">
        <f t="shared" ca="1" si="5"/>
        <v>-17.314937171230167</v>
      </c>
      <c r="P44">
        <f t="shared" ca="1" si="6"/>
        <v>-0.36660540160821103</v>
      </c>
      <c r="R44">
        <f t="shared" ca="1" si="7"/>
        <v>-19.12199060683125</v>
      </c>
      <c r="S44">
        <f t="shared" ca="1" si="8"/>
        <v>0.40528058699952074</v>
      </c>
    </row>
    <row r="45" spans="3:29" x14ac:dyDescent="0.35">
      <c r="C45" t="str">
        <f t="shared" si="0"/>
        <v/>
      </c>
      <c r="I45">
        <f t="shared" ca="1" si="1"/>
        <v>4.7407109811373133E-3</v>
      </c>
      <c r="J45">
        <f t="shared" ca="1" si="2"/>
        <v>7.2056154086042046E-3</v>
      </c>
      <c r="L45">
        <f t="shared" ca="1" si="3"/>
        <v>4.7407109811373133E-3</v>
      </c>
      <c r="M45">
        <f t="shared" ca="1" si="4"/>
        <v>7.2056154086042046E-3</v>
      </c>
      <c r="O45">
        <f t="shared" ca="1" si="5"/>
        <v>-17.024262845499869</v>
      </c>
      <c r="P45">
        <f t="shared" ca="1" si="6"/>
        <v>-0.36039175073349561</v>
      </c>
      <c r="R45">
        <f t="shared" ca="1" si="7"/>
        <v>-19.594779163781602</v>
      </c>
      <c r="S45">
        <f t="shared" ca="1" si="8"/>
        <v>0.41541260167450872</v>
      </c>
    </row>
    <row r="46" spans="3:29" x14ac:dyDescent="0.35">
      <c r="C46" t="str">
        <f t="shared" si="0"/>
        <v/>
      </c>
      <c r="I46">
        <f t="shared" ca="1" si="1"/>
        <v>4.8254059885679164E-3</v>
      </c>
      <c r="J46">
        <f t="shared" ca="1" si="2"/>
        <v>7.3813621258872336E-3</v>
      </c>
      <c r="L46">
        <f t="shared" ca="1" si="3"/>
        <v>4.8254059885679164E-3</v>
      </c>
      <c r="M46">
        <f t="shared" ca="1" si="4"/>
        <v>7.3813621258872336E-3</v>
      </c>
      <c r="O46">
        <f t="shared" ca="1" si="5"/>
        <v>-16.733491996126585</v>
      </c>
      <c r="P46">
        <f t="shared" ca="1" si="6"/>
        <v>-0.35417809985878018</v>
      </c>
      <c r="R46">
        <f t="shared" ca="1" si="7"/>
        <v>-20.067311076428521</v>
      </c>
      <c r="S46">
        <f t="shared" ca="1" si="8"/>
        <v>0.42554461634949675</v>
      </c>
    </row>
    <row r="47" spans="3:29" x14ac:dyDescent="0.35">
      <c r="C47" t="str">
        <f t="shared" si="0"/>
        <v/>
      </c>
      <c r="I47">
        <f t="shared" ca="1" si="1"/>
        <v>4.9086280393475512E-3</v>
      </c>
      <c r="J47">
        <f t="shared" ca="1" si="2"/>
        <v>7.5571088431702635E-3</v>
      </c>
      <c r="L47">
        <f t="shared" ca="1" si="3"/>
        <v>4.9086280393475512E-3</v>
      </c>
      <c r="M47">
        <f t="shared" ca="1" si="4"/>
        <v>7.5571088431702635E-3</v>
      </c>
      <c r="O47">
        <f t="shared" ca="1" si="5"/>
        <v>-16.442624623110319</v>
      </c>
      <c r="P47">
        <f t="shared" ca="1" si="6"/>
        <v>-0.3479644489840647</v>
      </c>
      <c r="R47">
        <f t="shared" ca="1" si="7"/>
        <v>-20.539586344772005</v>
      </c>
      <c r="S47">
        <f t="shared" ca="1" si="8"/>
        <v>0.43567663102448478</v>
      </c>
    </row>
    <row r="48" spans="3:29" x14ac:dyDescent="0.35">
      <c r="C48" t="str">
        <f t="shared" si="0"/>
        <v/>
      </c>
      <c r="I48">
        <f t="shared" ca="1" si="1"/>
        <v>4.9903771334762204E-3</v>
      </c>
      <c r="J48">
        <f t="shared" ca="1" si="2"/>
        <v>7.7328555604532926E-3</v>
      </c>
      <c r="L48">
        <f t="shared" ca="1" si="3"/>
        <v>4.9903771334762204E-3</v>
      </c>
      <c r="M48">
        <f t="shared" ca="1" si="4"/>
        <v>7.7328555604532926E-3</v>
      </c>
      <c r="O48">
        <f t="shared" ca="1" si="5"/>
        <v>-16.151660726451073</v>
      </c>
      <c r="P48">
        <f t="shared" ca="1" si="6"/>
        <v>-0.34175079810934927</v>
      </c>
      <c r="R48">
        <f t="shared" ca="1" si="7"/>
        <v>-21.011604968812055</v>
      </c>
      <c r="S48">
        <f t="shared" ca="1" si="8"/>
        <v>0.44580864569947282</v>
      </c>
    </row>
    <row r="49" spans="3:19" x14ac:dyDescent="0.35">
      <c r="C49" t="str">
        <f t="shared" si="0"/>
        <v/>
      </c>
      <c r="I49">
        <f t="shared" ca="1" si="1"/>
        <v>5.070653270953923E-3</v>
      </c>
      <c r="J49">
        <f t="shared" ca="1" si="2"/>
        <v>7.9086022777363225E-3</v>
      </c>
      <c r="L49">
        <f t="shared" ca="1" si="3"/>
        <v>5.070653270953923E-3</v>
      </c>
      <c r="M49">
        <f t="shared" ca="1" si="4"/>
        <v>7.9086022777363225E-3</v>
      </c>
      <c r="O49">
        <f t="shared" ca="1" si="5"/>
        <v>-15.860600306148845</v>
      </c>
      <c r="P49">
        <f t="shared" ca="1" si="6"/>
        <v>-0.33553714723463385</v>
      </c>
      <c r="R49">
        <f t="shared" ca="1" si="7"/>
        <v>-21.483366948548664</v>
      </c>
      <c r="S49">
        <f t="shared" ca="1" si="8"/>
        <v>0.45594066037446079</v>
      </c>
    </row>
    <row r="50" spans="3:19" x14ac:dyDescent="0.35">
      <c r="C50" t="str">
        <f t="shared" si="0"/>
        <v/>
      </c>
      <c r="I50">
        <f t="shared" ca="1" si="1"/>
        <v>5.1494564517806582E-3</v>
      </c>
      <c r="J50">
        <f t="shared" ca="1" si="2"/>
        <v>8.0843489950193515E-3</v>
      </c>
      <c r="L50">
        <f t="shared" ca="1" si="3"/>
        <v>5.1494564517806582E-3</v>
      </c>
      <c r="M50">
        <f t="shared" ca="1" si="4"/>
        <v>8.0843489950193515E-3</v>
      </c>
      <c r="O50">
        <f t="shared" ca="1" si="5"/>
        <v>-15.569443362203636</v>
      </c>
      <c r="P50">
        <f t="shared" ca="1" si="6"/>
        <v>-0.32932349635991842</v>
      </c>
      <c r="R50">
        <f t="shared" ca="1" si="7"/>
        <v>-21.954872283981846</v>
      </c>
      <c r="S50">
        <f t="shared" ca="1" si="8"/>
        <v>0.46607267504944883</v>
      </c>
    </row>
    <row r="51" spans="3:19" x14ac:dyDescent="0.35">
      <c r="C51" t="str">
        <f t="shared" si="0"/>
        <v/>
      </c>
      <c r="I51">
        <f t="shared" ca="1" si="1"/>
        <v>5.2267866759564251E-3</v>
      </c>
      <c r="J51">
        <f t="shared" ca="1" si="2"/>
        <v>8.2600957123023806E-3</v>
      </c>
      <c r="L51">
        <f t="shared" ca="1" si="3"/>
        <v>5.2267866759564251E-3</v>
      </c>
      <c r="M51">
        <f t="shared" ca="1" si="4"/>
        <v>8.2600957123023806E-3</v>
      </c>
      <c r="O51">
        <f t="shared" ca="1" si="5"/>
        <v>-15.278189894615439</v>
      </c>
      <c r="P51">
        <f t="shared" ca="1" si="6"/>
        <v>-0.32310984548520294</v>
      </c>
      <c r="R51">
        <f t="shared" ca="1" si="7"/>
        <v>-22.426120975111591</v>
      </c>
      <c r="S51">
        <f t="shared" ca="1" si="8"/>
        <v>0.47620468972443686</v>
      </c>
    </row>
    <row r="52" spans="3:19" x14ac:dyDescent="0.35">
      <c r="C52" t="str">
        <f t="shared" si="0"/>
        <v/>
      </c>
      <c r="I52">
        <f t="shared" ca="1" si="1"/>
        <v>5.3026439434812264E-3</v>
      </c>
      <c r="J52">
        <f t="shared" ca="1" si="2"/>
        <v>8.4358424295854113E-3</v>
      </c>
      <c r="L52">
        <f t="shared" ca="1" si="3"/>
        <v>5.3026439434812264E-3</v>
      </c>
      <c r="M52">
        <f t="shared" ca="1" si="4"/>
        <v>8.4358424295854113E-3</v>
      </c>
      <c r="O52">
        <f t="shared" ca="1" si="5"/>
        <v>-14.986839903384263</v>
      </c>
      <c r="P52">
        <f t="shared" ca="1" si="6"/>
        <v>-0.31689619461048751</v>
      </c>
      <c r="R52">
        <f t="shared" ca="1" si="7"/>
        <v>-22.897113021937891</v>
      </c>
      <c r="S52">
        <f t="shared" ca="1" si="8"/>
        <v>0.48633670439942484</v>
      </c>
    </row>
    <row r="53" spans="3:19" x14ac:dyDescent="0.35">
      <c r="C53" t="str">
        <f t="shared" si="0"/>
        <v/>
      </c>
      <c r="I53">
        <f t="shared" ca="1" si="1"/>
        <v>5.3770282543550603E-3</v>
      </c>
      <c r="J53">
        <f t="shared" ca="1" si="2"/>
        <v>8.6115891468684404E-3</v>
      </c>
      <c r="L53">
        <f t="shared" ca="1" si="3"/>
        <v>5.3770282543550603E-3</v>
      </c>
      <c r="M53">
        <f t="shared" ca="1" si="4"/>
        <v>8.6115891468684404E-3</v>
      </c>
      <c r="O53">
        <f t="shared" ca="1" si="5"/>
        <v>-14.695393388510105</v>
      </c>
      <c r="P53">
        <f t="shared" ca="1" si="6"/>
        <v>-0.31068254373577209</v>
      </c>
      <c r="R53">
        <f t="shared" ca="1" si="7"/>
        <v>-23.36784842446076</v>
      </c>
      <c r="S53">
        <f t="shared" ca="1" si="8"/>
        <v>0.49646871907441287</v>
      </c>
    </row>
    <row r="54" spans="3:19" x14ac:dyDescent="0.35">
      <c r="C54" t="str">
        <f t="shared" si="0"/>
        <v/>
      </c>
      <c r="I54">
        <f t="shared" ca="1" si="1"/>
        <v>5.4499396085779276E-3</v>
      </c>
      <c r="J54">
        <f t="shared" ca="1" si="2"/>
        <v>8.7873358641514694E-3</v>
      </c>
      <c r="L54">
        <f t="shared" ca="1" si="3"/>
        <v>5.4499396085779276E-3</v>
      </c>
      <c r="M54">
        <f t="shared" ca="1" si="4"/>
        <v>8.7873358641514694E-3</v>
      </c>
      <c r="O54">
        <f t="shared" ca="1" si="5"/>
        <v>-14.403850349992965</v>
      </c>
      <c r="P54">
        <f t="shared" ca="1" si="6"/>
        <v>-0.30446889286105661</v>
      </c>
      <c r="R54">
        <f t="shared" ca="1" si="7"/>
        <v>-23.838327182680199</v>
      </c>
      <c r="S54">
        <f t="shared" ca="1" si="8"/>
        <v>0.50660073374940084</v>
      </c>
    </row>
    <row r="55" spans="3:19" x14ac:dyDescent="0.35">
      <c r="C55" t="str">
        <f t="shared" si="0"/>
        <v/>
      </c>
      <c r="I55">
        <f t="shared" ca="1" si="1"/>
        <v>5.5213780061498276E-3</v>
      </c>
      <c r="J55">
        <f t="shared" ca="1" si="2"/>
        <v>8.9630825814344985E-3</v>
      </c>
      <c r="L55">
        <f t="shared" ca="1" si="3"/>
        <v>5.5213780061498276E-3</v>
      </c>
      <c r="M55">
        <f t="shared" ca="1" si="4"/>
        <v>8.9630825814344985E-3</v>
      </c>
      <c r="O55">
        <f t="shared" ca="1" si="5"/>
        <v>-14.112210787832844</v>
      </c>
      <c r="P55">
        <f t="shared" ca="1" si="6"/>
        <v>-0.29825524198634118</v>
      </c>
      <c r="R55">
        <f t="shared" ca="1" si="7"/>
        <v>-24.308549296596205</v>
      </c>
      <c r="S55">
        <f t="shared" ca="1" si="8"/>
        <v>0.51673274842438899</v>
      </c>
    </row>
    <row r="56" spans="3:19" x14ac:dyDescent="0.35">
      <c r="C56" t="str">
        <f t="shared" si="0"/>
        <v/>
      </c>
      <c r="I56">
        <f t="shared" ca="1" si="1"/>
        <v>5.591343447070761E-3</v>
      </c>
      <c r="J56">
        <f t="shared" ca="1" si="2"/>
        <v>9.1388292987175292E-3</v>
      </c>
      <c r="L56">
        <f t="shared" ca="1" si="3"/>
        <v>5.591343447070761E-3</v>
      </c>
      <c r="M56">
        <f t="shared" ca="1" si="4"/>
        <v>9.1388292987175292E-3</v>
      </c>
      <c r="O56">
        <f t="shared" ca="1" si="5"/>
        <v>-13.82047470202974</v>
      </c>
      <c r="P56">
        <f t="shared" ca="1" si="6"/>
        <v>-0.29204159111162575</v>
      </c>
      <c r="R56">
        <f t="shared" ca="1" si="7"/>
        <v>-24.778514766208762</v>
      </c>
      <c r="S56">
        <f t="shared" ca="1" si="8"/>
        <v>0.52686476309937691</v>
      </c>
    </row>
    <row r="57" spans="3:19" x14ac:dyDescent="0.35">
      <c r="C57" t="str">
        <f t="shared" si="0"/>
        <v/>
      </c>
      <c r="I57">
        <f t="shared" ca="1" si="1"/>
        <v>5.6598359313407261E-3</v>
      </c>
      <c r="J57">
        <f t="shared" ca="1" si="2"/>
        <v>9.3145760160005583E-3</v>
      </c>
      <c r="L57">
        <f t="shared" ca="1" si="3"/>
        <v>5.6598359313407261E-3</v>
      </c>
      <c r="M57">
        <f t="shared" ca="1" si="4"/>
        <v>9.3145760160005583E-3</v>
      </c>
      <c r="O57">
        <f t="shared" ca="1" si="5"/>
        <v>-13.528642092583654</v>
      </c>
      <c r="P57">
        <f t="shared" ca="1" si="6"/>
        <v>-0.28582794023691027</v>
      </c>
      <c r="R57">
        <f t="shared" ca="1" si="7"/>
        <v>-25.248223591517895</v>
      </c>
      <c r="S57">
        <f t="shared" ca="1" si="8"/>
        <v>0.53699677777436494</v>
      </c>
    </row>
    <row r="58" spans="3:19" x14ac:dyDescent="0.35">
      <c r="C58" t="str">
        <f t="shared" si="0"/>
        <v/>
      </c>
      <c r="I58">
        <f t="shared" ca="1" si="1"/>
        <v>5.7268554589597247E-3</v>
      </c>
      <c r="J58">
        <f t="shared" ca="1" si="2"/>
        <v>9.4903227332835873E-3</v>
      </c>
      <c r="L58">
        <f t="shared" ca="1" si="3"/>
        <v>5.7268554589597247E-3</v>
      </c>
      <c r="M58">
        <f t="shared" ca="1" si="4"/>
        <v>9.4903227332835873E-3</v>
      </c>
      <c r="O58">
        <f t="shared" ca="1" si="5"/>
        <v>-13.236712959494586</v>
      </c>
      <c r="P58">
        <f t="shared" ca="1" si="6"/>
        <v>-0.2796142893621949</v>
      </c>
      <c r="R58">
        <f t="shared" ca="1" si="7"/>
        <v>-25.717675772523588</v>
      </c>
      <c r="S58">
        <f t="shared" ca="1" si="8"/>
        <v>0.54712879244935297</v>
      </c>
    </row>
    <row r="59" spans="3:19" x14ac:dyDescent="0.35">
      <c r="C59" t="str">
        <f t="shared" si="0"/>
        <v/>
      </c>
      <c r="I59">
        <f t="shared" ca="1" si="1"/>
        <v>5.7924020299277568E-3</v>
      </c>
      <c r="J59">
        <f t="shared" ca="1" si="2"/>
        <v>9.6660694505666164E-3</v>
      </c>
      <c r="L59">
        <f t="shared" ca="1" si="3"/>
        <v>5.7924020299277568E-3</v>
      </c>
      <c r="M59">
        <f t="shared" ca="1" si="4"/>
        <v>9.6660694505666164E-3</v>
      </c>
      <c r="O59">
        <f t="shared" ca="1" si="5"/>
        <v>-12.944687302762535</v>
      </c>
      <c r="P59">
        <f t="shared" ca="1" si="6"/>
        <v>-0.27340063848747942</v>
      </c>
      <c r="R59">
        <f t="shared" ca="1" si="7"/>
        <v>-26.18687130922585</v>
      </c>
      <c r="S59">
        <f t="shared" ca="1" si="8"/>
        <v>0.55726080712434101</v>
      </c>
    </row>
    <row r="60" spans="3:19" x14ac:dyDescent="0.35">
      <c r="C60" t="str">
        <f t="shared" si="0"/>
        <v/>
      </c>
      <c r="I60">
        <f t="shared" ca="1" si="1"/>
        <v>5.8564756442448214E-3</v>
      </c>
      <c r="J60">
        <f t="shared" ca="1" si="2"/>
        <v>9.8418161678496454E-3</v>
      </c>
      <c r="L60">
        <f t="shared" ca="1" si="3"/>
        <v>5.8564756442448214E-3</v>
      </c>
      <c r="M60">
        <f t="shared" ca="1" si="4"/>
        <v>9.8418161678496454E-3</v>
      </c>
      <c r="O60">
        <f t="shared" ca="1" si="5"/>
        <v>-12.652565122387502</v>
      </c>
      <c r="P60">
        <f t="shared" ca="1" si="6"/>
        <v>-0.26718698761276399</v>
      </c>
      <c r="R60">
        <f t="shared" ca="1" si="7"/>
        <v>-26.655810201624668</v>
      </c>
      <c r="S60">
        <f t="shared" ca="1" si="8"/>
        <v>0.56739282179932893</v>
      </c>
    </row>
    <row r="61" spans="3:19" x14ac:dyDescent="0.35">
      <c r="C61" t="str">
        <f t="shared" si="0"/>
        <v/>
      </c>
      <c r="I61">
        <f t="shared" ca="1" si="1"/>
        <v>5.9190763019109187E-3</v>
      </c>
      <c r="J61">
        <f t="shared" ca="1" si="2"/>
        <v>1.0017562885132674E-2</v>
      </c>
      <c r="L61">
        <f t="shared" ca="1" si="3"/>
        <v>5.9190763019109187E-3</v>
      </c>
      <c r="M61">
        <f t="shared" ca="1" si="4"/>
        <v>1.0017562885132674E-2</v>
      </c>
      <c r="O61">
        <f t="shared" ca="1" si="5"/>
        <v>-12.360346418369485</v>
      </c>
      <c r="P61">
        <f t="shared" ca="1" si="6"/>
        <v>-0.26097333673804851</v>
      </c>
      <c r="R61">
        <f t="shared" ca="1" si="7"/>
        <v>-27.124492449720062</v>
      </c>
      <c r="S61">
        <f t="shared" ca="1" si="8"/>
        <v>0.57752483647431707</v>
      </c>
    </row>
    <row r="62" spans="3:19" x14ac:dyDescent="0.35">
      <c r="C62" t="str">
        <f t="shared" si="0"/>
        <v/>
      </c>
      <c r="I62">
        <f t="shared" ca="1" si="1"/>
        <v>5.9802040029260494E-3</v>
      </c>
      <c r="J62">
        <f t="shared" ca="1" si="2"/>
        <v>1.0193309602415703E-2</v>
      </c>
      <c r="L62">
        <f t="shared" ca="1" si="3"/>
        <v>5.9802040029260494E-3</v>
      </c>
      <c r="M62">
        <f t="shared" ca="1" si="4"/>
        <v>1.0193309602415703E-2</v>
      </c>
      <c r="O62">
        <f t="shared" ca="1" si="5"/>
        <v>-12.068031190708489</v>
      </c>
      <c r="P62">
        <f t="shared" ca="1" si="6"/>
        <v>-0.25475968586333309</v>
      </c>
      <c r="R62">
        <f t="shared" ca="1" si="7"/>
        <v>-27.592918053512012</v>
      </c>
      <c r="S62">
        <f t="shared" ca="1" si="8"/>
        <v>0.5876568511493051</v>
      </c>
    </row>
    <row r="63" spans="3:19" x14ac:dyDescent="0.35">
      <c r="C63" t="str">
        <f t="shared" si="0"/>
        <v/>
      </c>
      <c r="I63">
        <f t="shared" ca="1" si="1"/>
        <v>6.0398587472902136E-3</v>
      </c>
      <c r="J63">
        <f t="shared" ca="1" si="2"/>
        <v>1.0369056319698734E-2</v>
      </c>
      <c r="L63">
        <f t="shared" ca="1" si="3"/>
        <v>6.0398587472902136E-3</v>
      </c>
      <c r="M63">
        <f t="shared" ca="1" si="4"/>
        <v>1.0369056319698734E-2</v>
      </c>
      <c r="O63">
        <f t="shared" ca="1" si="5"/>
        <v>-11.775619439404508</v>
      </c>
      <c r="P63">
        <f t="shared" ca="1" si="6"/>
        <v>-0.2485460349886176</v>
      </c>
      <c r="R63">
        <f t="shared" ca="1" si="7"/>
        <v>-28.061087013000524</v>
      </c>
      <c r="S63">
        <f t="shared" ca="1" si="8"/>
        <v>0.59778886582429303</v>
      </c>
    </row>
    <row r="64" spans="3:19" x14ac:dyDescent="0.35">
      <c r="C64" t="str">
        <f t="shared" si="0"/>
        <v/>
      </c>
      <c r="I64">
        <f t="shared" ca="1" si="1"/>
        <v>6.0980405350034104E-3</v>
      </c>
      <c r="J64">
        <f t="shared" ca="1" si="2"/>
        <v>1.0544803036981763E-2</v>
      </c>
      <c r="L64">
        <f t="shared" ca="1" si="3"/>
        <v>6.0980405350034104E-3</v>
      </c>
      <c r="M64">
        <f t="shared" ca="1" si="4"/>
        <v>1.0544803036981763E-2</v>
      </c>
      <c r="O64">
        <f t="shared" ca="1" si="5"/>
        <v>-11.483111164457549</v>
      </c>
      <c r="P64">
        <f t="shared" ca="1" si="6"/>
        <v>-0.24233238411390223</v>
      </c>
      <c r="R64">
        <f t="shared" ca="1" si="7"/>
        <v>-28.528999328185613</v>
      </c>
      <c r="S64">
        <f t="shared" ca="1" si="8"/>
        <v>0.60792088049928106</v>
      </c>
    </row>
    <row r="65" spans="3:19" x14ac:dyDescent="0.35">
      <c r="C65" t="str">
        <f t="shared" si="0"/>
        <v/>
      </c>
      <c r="I65">
        <f t="shared" ca="1" si="1"/>
        <v>6.1547493660656406E-3</v>
      </c>
      <c r="J65">
        <f t="shared" ca="1" si="2"/>
        <v>1.0720549754264794E-2</v>
      </c>
      <c r="L65">
        <f t="shared" ca="1" si="3"/>
        <v>6.1547493660656406E-3</v>
      </c>
      <c r="M65">
        <f t="shared" ca="1" si="4"/>
        <v>1.0720549754264794E-2</v>
      </c>
      <c r="O65">
        <f t="shared" ca="1" si="5"/>
        <v>-11.190506365867606</v>
      </c>
      <c r="P65">
        <f t="shared" ca="1" si="6"/>
        <v>-0.23611873323918675</v>
      </c>
      <c r="R65">
        <f t="shared" ca="1" si="7"/>
        <v>-28.996654999067257</v>
      </c>
      <c r="S65">
        <f t="shared" ca="1" si="8"/>
        <v>0.61805289517426909</v>
      </c>
    </row>
    <row r="66" spans="3:19" x14ac:dyDescent="0.35">
      <c r="C66" t="str">
        <f t="shared" si="0"/>
        <v/>
      </c>
      <c r="I66">
        <f t="shared" ca="1" si="1"/>
        <v>6.2099852404769035E-3</v>
      </c>
      <c r="J66">
        <f t="shared" ca="1" si="2"/>
        <v>1.0896296471547821E-2</v>
      </c>
      <c r="L66">
        <f t="shared" ca="1" si="3"/>
        <v>6.2099852404769035E-3</v>
      </c>
      <c r="M66">
        <f t="shared" ca="1" si="4"/>
        <v>1.0896296471547821E-2</v>
      </c>
      <c r="O66">
        <f t="shared" ca="1" si="5"/>
        <v>-10.89780504363468</v>
      </c>
      <c r="P66">
        <f t="shared" ca="1" si="6"/>
        <v>-0.22990508236447132</v>
      </c>
      <c r="R66">
        <f t="shared" ca="1" si="7"/>
        <v>-29.464054025645471</v>
      </c>
      <c r="S66">
        <f t="shared" ca="1" si="8"/>
        <v>0.62818490984925712</v>
      </c>
    </row>
    <row r="67" spans="3:19" x14ac:dyDescent="0.35">
      <c r="C67" t="str">
        <f t="shared" si="0"/>
        <v/>
      </c>
      <c r="I67">
        <f t="shared" ca="1" si="1"/>
        <v>6.2637481582371989E-3</v>
      </c>
      <c r="J67">
        <f t="shared" ca="1" si="2"/>
        <v>1.1072043188830852E-2</v>
      </c>
      <c r="L67">
        <f t="shared" ca="1" si="3"/>
        <v>6.2637481582371989E-3</v>
      </c>
      <c r="M67">
        <f t="shared" ca="1" si="4"/>
        <v>1.1072043188830852E-2</v>
      </c>
      <c r="O67">
        <f t="shared" ca="1" si="5"/>
        <v>-10.605007197758772</v>
      </c>
      <c r="P67">
        <f t="shared" ca="1" si="6"/>
        <v>-0.22369143148975584</v>
      </c>
      <c r="R67">
        <f t="shared" ca="1" si="7"/>
        <v>-29.931196407920243</v>
      </c>
      <c r="S67">
        <f t="shared" ca="1" si="8"/>
        <v>0.63831692452424516</v>
      </c>
    </row>
    <row r="68" spans="3:19" x14ac:dyDescent="0.35">
      <c r="C68" t="str">
        <f t="shared" si="0"/>
        <v/>
      </c>
      <c r="I68">
        <f t="shared" ca="1" si="1"/>
        <v>6.3160381193465278E-3</v>
      </c>
      <c r="J68">
        <f t="shared" ca="1" si="2"/>
        <v>1.1247789906113881E-2</v>
      </c>
      <c r="L68">
        <f t="shared" ca="1" si="3"/>
        <v>6.3160381193465278E-3</v>
      </c>
      <c r="M68">
        <f t="shared" ca="1" si="4"/>
        <v>1.1247789906113881E-2</v>
      </c>
      <c r="O68">
        <f t="shared" ca="1" si="5"/>
        <v>-10.312112828239885</v>
      </c>
      <c r="P68">
        <f t="shared" ca="1" si="6"/>
        <v>-0.21747778061504047</v>
      </c>
      <c r="R68">
        <f t="shared" ca="1" si="7"/>
        <v>-30.398082145891582</v>
      </c>
      <c r="S68">
        <f t="shared" ca="1" si="8"/>
        <v>0.64844893919923319</v>
      </c>
    </row>
    <row r="69" spans="3:19" x14ac:dyDescent="0.35">
      <c r="C69" t="str">
        <f t="shared" ref="C69:C132" si="9">IF(ISBLANK(D69), "",
IF(D69 &lt; $G$9,
    $G$10 + $G$19 * ($G$23 * (D69 - $G$9))^2 + $G$21 * (1 - (D69 - $G$6)/($G$9 - $G$6)),
IF(D69 &gt; $G$13,
    $G$14 + $G$19 * ($G$23 * (D69 - $G$13))^2 - $G$22 * (1 - (D69 - $G$6)/($G$13 - $G$6)),
IF(D69 &lt; $G$6,
    $G$16 * (D69 - $G$6)^2 + $G$5,
    $G$17 * (D69 - $G$6)^2 + $G$5))))</f>
        <v/>
      </c>
      <c r="I69">
        <f t="shared" ref="I69:I103" ca="1" si="10">$G$16 * (J69 - $G$6)^2 + $G$5</f>
        <v>6.3668551238048893E-3</v>
      </c>
      <c r="J69">
        <f t="shared" ref="J69:J103" ca="1" si="11">$G$9 + ($G$6 - $G$9) * (ROW(B66)-1)/99</f>
        <v>1.142353662339691E-2</v>
      </c>
      <c r="L69">
        <f t="shared" ref="L69:L103" ca="1" si="12">$G$17 * (M69 - $G$6)^2 + $G$5</f>
        <v>6.3668551238048893E-3</v>
      </c>
      <c r="M69">
        <f t="shared" ref="M69:M103" ca="1" si="13">$G$13 + ($G$6 - $G$13) * (ROW(F66)-1)/99</f>
        <v>1.142353662339691E-2</v>
      </c>
      <c r="O69">
        <f t="shared" ref="O69:O103" ca="1" si="14">$G$10 + $G$19 * ($G$23 * (P69 - $G$9))^2 + $G$21 * (1 - (P69 - $G$6)/($G$9 - $G$6))</f>
        <v>-10.019121935078013</v>
      </c>
      <c r="P69">
        <f t="shared" ref="P69:P103" ca="1" si="15">$G$26 + ($G$9 - $G$26) * (ROW(B66)-1)/99</f>
        <v>-0.21126412974032505</v>
      </c>
      <c r="R69">
        <f t="shared" ref="R69:R103" ca="1" si="16">$G$14 + $G$19 * ($G$23 * (S69 - $G$13))^2 - $G$22 * (1 - (S69 - $G$6)/($G$13 - $G$6))</f>
        <v>-30.864711239559483</v>
      </c>
      <c r="S69">
        <f t="shared" ref="S69:S103" ca="1" si="17">$G$13 + ($G$25 - $G$13) * (ROW(B66)-1)/99</f>
        <v>0.65858095387422111</v>
      </c>
    </row>
    <row r="70" spans="3:19" x14ac:dyDescent="0.35">
      <c r="C70" t="str">
        <f t="shared" si="9"/>
        <v/>
      </c>
      <c r="I70">
        <f t="shared" ca="1" si="10"/>
        <v>6.4161991716122843E-3</v>
      </c>
      <c r="J70">
        <f t="shared" ca="1" si="11"/>
        <v>1.1599283340679939E-2</v>
      </c>
      <c r="L70">
        <f t="shared" ca="1" si="12"/>
        <v>6.4161991716122843E-3</v>
      </c>
      <c r="M70">
        <f t="shared" ca="1" si="13"/>
        <v>1.1599283340679939E-2</v>
      </c>
      <c r="O70">
        <f t="shared" ca="1" si="14"/>
        <v>-9.726034518273158</v>
      </c>
      <c r="P70">
        <f t="shared" ca="1" si="15"/>
        <v>-0.20505047886560956</v>
      </c>
      <c r="R70">
        <f t="shared" ca="1" si="16"/>
        <v>-31.331083688923957</v>
      </c>
      <c r="S70">
        <f t="shared" ca="1" si="17"/>
        <v>0.66871296854920925</v>
      </c>
    </row>
    <row r="71" spans="3:19" x14ac:dyDescent="0.35">
      <c r="C71" t="str">
        <f t="shared" si="9"/>
        <v/>
      </c>
      <c r="I71">
        <f t="shared" ca="1" si="10"/>
        <v>6.4640702627687119E-3</v>
      </c>
      <c r="J71">
        <f t="shared" ca="1" si="11"/>
        <v>1.1775030057962968E-2</v>
      </c>
      <c r="L71">
        <f t="shared" ca="1" si="12"/>
        <v>6.4640702627687119E-3</v>
      </c>
      <c r="M71">
        <f t="shared" ca="1" si="13"/>
        <v>1.1775030057962968E-2</v>
      </c>
      <c r="O71">
        <f t="shared" ca="1" si="14"/>
        <v>-9.432850577825322</v>
      </c>
      <c r="P71">
        <f t="shared" ca="1" si="15"/>
        <v>-0.19883682799089414</v>
      </c>
      <c r="R71">
        <f t="shared" ca="1" si="16"/>
        <v>-31.797199493984991</v>
      </c>
      <c r="S71">
        <f t="shared" ca="1" si="17"/>
        <v>0.67884498322419717</v>
      </c>
    </row>
    <row r="72" spans="3:19" x14ac:dyDescent="0.35">
      <c r="C72" t="str">
        <f t="shared" si="9"/>
        <v/>
      </c>
      <c r="I72">
        <f t="shared" ca="1" si="10"/>
        <v>6.5104683972741729E-3</v>
      </c>
      <c r="J72">
        <f t="shared" ca="1" si="11"/>
        <v>1.1950776775245999E-2</v>
      </c>
      <c r="L72">
        <f t="shared" ca="1" si="12"/>
        <v>6.5104683972741729E-3</v>
      </c>
      <c r="M72">
        <f t="shared" ca="1" si="13"/>
        <v>1.1950776775245999E-2</v>
      </c>
      <c r="O72">
        <f t="shared" ca="1" si="14"/>
        <v>-9.1395701137345018</v>
      </c>
      <c r="P72">
        <f t="shared" ca="1" si="15"/>
        <v>-0.19262317711617866</v>
      </c>
      <c r="R72">
        <f t="shared" ca="1" si="16"/>
        <v>-32.263058654742586</v>
      </c>
      <c r="S72">
        <f t="shared" ca="1" si="17"/>
        <v>0.68897699789918521</v>
      </c>
    </row>
    <row r="73" spans="3:19" x14ac:dyDescent="0.35">
      <c r="C73" t="str">
        <f t="shared" si="9"/>
        <v/>
      </c>
      <c r="I73">
        <f t="shared" ca="1" si="10"/>
        <v>6.5553935751286666E-3</v>
      </c>
      <c r="J73">
        <f t="shared" ca="1" si="11"/>
        <v>1.2126523492529026E-2</v>
      </c>
      <c r="L73">
        <f t="shared" ca="1" si="12"/>
        <v>6.5553935751286666E-3</v>
      </c>
      <c r="M73">
        <f t="shared" ca="1" si="13"/>
        <v>1.2126523492529026E-2</v>
      </c>
      <c r="O73">
        <f t="shared" ca="1" si="14"/>
        <v>-8.8461931260007063</v>
      </c>
      <c r="P73">
        <f t="shared" ca="1" si="15"/>
        <v>-0.18640952624146329</v>
      </c>
      <c r="R73">
        <f t="shared" ca="1" si="16"/>
        <v>-32.728661171196748</v>
      </c>
      <c r="S73">
        <f t="shared" ca="1" si="17"/>
        <v>0.69910901257417324</v>
      </c>
    </row>
    <row r="74" spans="3:19" x14ac:dyDescent="0.35">
      <c r="C74" t="str">
        <f t="shared" si="9"/>
        <v/>
      </c>
      <c r="I74">
        <f t="shared" ca="1" si="10"/>
        <v>6.5988457963321936E-3</v>
      </c>
      <c r="J74">
        <f t="shared" ca="1" si="11"/>
        <v>1.2302270209812057E-2</v>
      </c>
      <c r="L74">
        <f t="shared" ca="1" si="12"/>
        <v>6.5988457963321936E-3</v>
      </c>
      <c r="M74">
        <f t="shared" ca="1" si="13"/>
        <v>1.2302270209812057E-2</v>
      </c>
      <c r="O74">
        <f t="shared" ca="1" si="14"/>
        <v>-8.5527196146239213</v>
      </c>
      <c r="P74">
        <f t="shared" ca="1" si="15"/>
        <v>-0.1801958753667478</v>
      </c>
      <c r="R74">
        <f t="shared" ca="1" si="16"/>
        <v>-33.194007043347476</v>
      </c>
      <c r="S74">
        <f t="shared" ca="1" si="17"/>
        <v>0.70924102724916127</v>
      </c>
    </row>
    <row r="75" spans="3:19" x14ac:dyDescent="0.35">
      <c r="C75" t="str">
        <f t="shared" si="9"/>
        <v/>
      </c>
      <c r="I75">
        <f t="shared" ca="1" si="10"/>
        <v>6.6408250608847525E-3</v>
      </c>
      <c r="J75">
        <f t="shared" ca="1" si="11"/>
        <v>1.2478016927095086E-2</v>
      </c>
      <c r="L75">
        <f t="shared" ca="1" si="12"/>
        <v>6.6408250608847525E-3</v>
      </c>
      <c r="M75">
        <f t="shared" ca="1" si="13"/>
        <v>1.2478016927095086E-2</v>
      </c>
      <c r="O75">
        <f t="shared" ca="1" si="14"/>
        <v>-8.2591495796041556</v>
      </c>
      <c r="P75">
        <f t="shared" ca="1" si="15"/>
        <v>-0.17398222449203238</v>
      </c>
      <c r="R75">
        <f t="shared" ca="1" si="16"/>
        <v>-33.659096271194777</v>
      </c>
      <c r="S75">
        <f t="shared" ca="1" si="17"/>
        <v>0.7193730419241493</v>
      </c>
    </row>
    <row r="76" spans="3:19" x14ac:dyDescent="0.35">
      <c r="C76" t="str">
        <f t="shared" si="9"/>
        <v/>
      </c>
      <c r="I76">
        <f t="shared" ca="1" si="10"/>
        <v>6.6813313687863456E-3</v>
      </c>
      <c r="J76">
        <f t="shared" ca="1" si="11"/>
        <v>1.2653763644378117E-2</v>
      </c>
      <c r="L76">
        <f t="shared" ca="1" si="12"/>
        <v>6.6813313687863456E-3</v>
      </c>
      <c r="M76">
        <f t="shared" ca="1" si="13"/>
        <v>1.2653763644378117E-2</v>
      </c>
      <c r="O76">
        <f t="shared" ca="1" si="14"/>
        <v>-7.9654830209414076</v>
      </c>
      <c r="P76">
        <f t="shared" ca="1" si="15"/>
        <v>-0.1677685736173169</v>
      </c>
      <c r="R76">
        <f t="shared" ca="1" si="16"/>
        <v>-34.123928854738629</v>
      </c>
      <c r="S76">
        <f t="shared" ca="1" si="17"/>
        <v>0.72950505659913734</v>
      </c>
    </row>
    <row r="77" spans="3:19" x14ac:dyDescent="0.35">
      <c r="C77" t="str">
        <f t="shared" si="9"/>
        <v/>
      </c>
      <c r="I77">
        <f t="shared" ca="1" si="10"/>
        <v>6.7203647200369714E-3</v>
      </c>
      <c r="J77">
        <f t="shared" ca="1" si="11"/>
        <v>1.2829510361661144E-2</v>
      </c>
      <c r="L77">
        <f t="shared" ca="1" si="12"/>
        <v>6.7203647200369714E-3</v>
      </c>
      <c r="M77">
        <f t="shared" ca="1" si="13"/>
        <v>1.2829510361661144E-2</v>
      </c>
      <c r="O77">
        <f t="shared" ca="1" si="14"/>
        <v>-7.6717199386356798</v>
      </c>
      <c r="P77">
        <f t="shared" ca="1" si="15"/>
        <v>-0.16155492274260147</v>
      </c>
      <c r="R77">
        <f t="shared" ca="1" si="16"/>
        <v>-34.588504793979048</v>
      </c>
      <c r="S77">
        <f t="shared" ca="1" si="17"/>
        <v>0.73963707127412526</v>
      </c>
    </row>
    <row r="78" spans="3:19" x14ac:dyDescent="0.35">
      <c r="C78" t="str">
        <f t="shared" si="9"/>
        <v/>
      </c>
      <c r="I78">
        <f t="shared" ca="1" si="10"/>
        <v>6.7579251146366297E-3</v>
      </c>
      <c r="J78">
        <f t="shared" ca="1" si="11"/>
        <v>1.3005257078944175E-2</v>
      </c>
      <c r="L78">
        <f t="shared" ca="1" si="12"/>
        <v>6.7579251146366297E-3</v>
      </c>
      <c r="M78">
        <f t="shared" ca="1" si="13"/>
        <v>1.3005257078944175E-2</v>
      </c>
      <c r="O78">
        <f t="shared" ca="1" si="14"/>
        <v>-7.3778603326869678</v>
      </c>
      <c r="P78">
        <f t="shared" ca="1" si="15"/>
        <v>-0.15534127186788599</v>
      </c>
      <c r="R78">
        <f t="shared" ca="1" si="16"/>
        <v>-35.05282408891604</v>
      </c>
      <c r="S78">
        <f t="shared" ca="1" si="17"/>
        <v>0.7497690859491134</v>
      </c>
    </row>
    <row r="79" spans="3:19" x14ac:dyDescent="0.35">
      <c r="C79" t="str">
        <f t="shared" si="9"/>
        <v/>
      </c>
      <c r="I79">
        <f t="shared" ca="1" si="10"/>
        <v>6.7940125525853216E-3</v>
      </c>
      <c r="J79">
        <f t="shared" ca="1" si="11"/>
        <v>1.3181003796227204E-2</v>
      </c>
      <c r="L79">
        <f t="shared" ca="1" si="12"/>
        <v>6.7940125525853216E-3</v>
      </c>
      <c r="M79">
        <f t="shared" ca="1" si="13"/>
        <v>1.3181003796227204E-2</v>
      </c>
      <c r="O79">
        <f t="shared" ca="1" si="14"/>
        <v>-7.083904203095277</v>
      </c>
      <c r="P79">
        <f t="shared" ca="1" si="15"/>
        <v>-0.14912762099317062</v>
      </c>
      <c r="R79">
        <f t="shared" ca="1" si="16"/>
        <v>-35.516886739549584</v>
      </c>
      <c r="S79">
        <f t="shared" ca="1" si="17"/>
        <v>0.75990110062410132</v>
      </c>
    </row>
    <row r="80" spans="3:19" x14ac:dyDescent="0.35">
      <c r="C80" t="str">
        <f t="shared" si="9"/>
        <v/>
      </c>
      <c r="I80">
        <f t="shared" ca="1" si="10"/>
        <v>6.8286270338830468E-3</v>
      </c>
      <c r="J80">
        <f t="shared" ca="1" si="11"/>
        <v>1.3356750513510235E-2</v>
      </c>
      <c r="L80">
        <f t="shared" ca="1" si="12"/>
        <v>6.8286270338830468E-3</v>
      </c>
      <c r="M80">
        <f t="shared" ca="1" si="13"/>
        <v>1.3356750513510235E-2</v>
      </c>
      <c r="O80">
        <f t="shared" ca="1" si="14"/>
        <v>-6.7898515498606002</v>
      </c>
      <c r="P80">
        <f t="shared" ca="1" si="15"/>
        <v>-0.14291397011845514</v>
      </c>
      <c r="R80">
        <f t="shared" ca="1" si="16"/>
        <v>-35.980692745879693</v>
      </c>
      <c r="S80">
        <f t="shared" ca="1" si="17"/>
        <v>0.77003311529908935</v>
      </c>
    </row>
    <row r="81" spans="3:19" x14ac:dyDescent="0.35">
      <c r="C81" t="str">
        <f t="shared" si="9"/>
        <v/>
      </c>
      <c r="I81">
        <f t="shared" ca="1" si="10"/>
        <v>6.8617685585298039E-3</v>
      </c>
      <c r="J81">
        <f t="shared" ca="1" si="11"/>
        <v>1.3532497230793262E-2</v>
      </c>
      <c r="L81">
        <f t="shared" ca="1" si="12"/>
        <v>6.8617685585298039E-3</v>
      </c>
      <c r="M81">
        <f t="shared" ca="1" si="13"/>
        <v>1.3532497230793262E-2</v>
      </c>
      <c r="O81">
        <f t="shared" ca="1" si="14"/>
        <v>-6.4957023729829428</v>
      </c>
      <c r="P81">
        <f t="shared" ca="1" si="15"/>
        <v>-0.13670031924373971</v>
      </c>
      <c r="R81">
        <f t="shared" ca="1" si="16"/>
        <v>-36.444242107906376</v>
      </c>
      <c r="S81">
        <f t="shared" ca="1" si="17"/>
        <v>0.78016512997407739</v>
      </c>
    </row>
    <row r="82" spans="3:19" x14ac:dyDescent="0.35">
      <c r="C82" t="str">
        <f t="shared" si="9"/>
        <v/>
      </c>
      <c r="I82">
        <f t="shared" ca="1" si="10"/>
        <v>6.8934371265255943E-3</v>
      </c>
      <c r="J82">
        <f t="shared" ca="1" si="11"/>
        <v>1.3708243948076293E-2</v>
      </c>
      <c r="L82">
        <f t="shared" ca="1" si="12"/>
        <v>6.8934371265255943E-3</v>
      </c>
      <c r="M82">
        <f t="shared" ca="1" si="13"/>
        <v>1.3708243948076293E-2</v>
      </c>
      <c r="O82">
        <f t="shared" ca="1" si="14"/>
        <v>-6.2014566724623013</v>
      </c>
      <c r="P82">
        <f t="shared" ca="1" si="15"/>
        <v>-0.13048666836902423</v>
      </c>
      <c r="R82">
        <f t="shared" ca="1" si="16"/>
        <v>-36.907534825629625</v>
      </c>
      <c r="S82">
        <f t="shared" ca="1" si="17"/>
        <v>0.79029714464906542</v>
      </c>
    </row>
    <row r="83" spans="3:19" x14ac:dyDescent="0.35">
      <c r="C83" t="str">
        <f t="shared" si="9"/>
        <v/>
      </c>
      <c r="I83">
        <f t="shared" ca="1" si="10"/>
        <v>6.9236327378704183E-3</v>
      </c>
      <c r="J83">
        <f t="shared" ca="1" si="11"/>
        <v>1.3883990665359322E-2</v>
      </c>
      <c r="L83">
        <f t="shared" ca="1" si="12"/>
        <v>6.9236327378704183E-3</v>
      </c>
      <c r="M83">
        <f t="shared" ca="1" si="13"/>
        <v>1.3883990665359322E-2</v>
      </c>
      <c r="O83">
        <f t="shared" ca="1" si="14"/>
        <v>-5.9071144482986808</v>
      </c>
      <c r="P83">
        <f t="shared" ca="1" si="15"/>
        <v>-0.1242730174943088</v>
      </c>
      <c r="R83">
        <f t="shared" ca="1" si="16"/>
        <v>-37.370570899049426</v>
      </c>
      <c r="S83">
        <f t="shared" ca="1" si="17"/>
        <v>0.80042915932405334</v>
      </c>
    </row>
    <row r="84" spans="3:19" x14ac:dyDescent="0.35">
      <c r="C84" t="str">
        <f t="shared" si="9"/>
        <v/>
      </c>
      <c r="I84">
        <f t="shared" ca="1" si="10"/>
        <v>6.9523553925642748E-3</v>
      </c>
      <c r="J84">
        <f t="shared" ca="1" si="11"/>
        <v>1.4059737382642353E-2</v>
      </c>
      <c r="L84">
        <f t="shared" ca="1" si="12"/>
        <v>6.9523553925642748E-3</v>
      </c>
      <c r="M84">
        <f t="shared" ca="1" si="13"/>
        <v>1.4059737382642353E-2</v>
      </c>
      <c r="O84">
        <f t="shared" ca="1" si="14"/>
        <v>-5.6126757004920771</v>
      </c>
      <c r="P84">
        <f t="shared" ca="1" si="15"/>
        <v>-0.11805936661959338</v>
      </c>
      <c r="R84">
        <f t="shared" ca="1" si="16"/>
        <v>-37.833350328165807</v>
      </c>
      <c r="S84">
        <f t="shared" ca="1" si="17"/>
        <v>0.81056117399904148</v>
      </c>
    </row>
    <row r="85" spans="3:19" x14ac:dyDescent="0.35">
      <c r="C85" t="str">
        <f t="shared" si="9"/>
        <v/>
      </c>
      <c r="I85">
        <f t="shared" ca="1" si="10"/>
        <v>6.9796050906071648E-3</v>
      </c>
      <c r="J85">
        <f t="shared" ca="1" si="11"/>
        <v>1.423548409992538E-2</v>
      </c>
      <c r="L85">
        <f t="shared" ca="1" si="12"/>
        <v>6.9796050906071648E-3</v>
      </c>
      <c r="M85">
        <f t="shared" ca="1" si="13"/>
        <v>1.423548409992538E-2</v>
      </c>
      <c r="O85">
        <f t="shared" ca="1" si="14"/>
        <v>-5.3181404290424892</v>
      </c>
      <c r="P85">
        <f t="shared" ca="1" si="15"/>
        <v>-0.11184571574487789</v>
      </c>
      <c r="R85">
        <f t="shared" ca="1" si="16"/>
        <v>-38.29587311297874</v>
      </c>
      <c r="S85">
        <f t="shared" ca="1" si="17"/>
        <v>0.82069318867402941</v>
      </c>
    </row>
    <row r="86" spans="3:19" x14ac:dyDescent="0.35">
      <c r="C86" t="str">
        <f t="shared" si="9"/>
        <v/>
      </c>
      <c r="I86">
        <f t="shared" ca="1" si="10"/>
        <v>7.0053818319990874E-3</v>
      </c>
      <c r="J86">
        <f t="shared" ca="1" si="11"/>
        <v>1.4411230817208409E-2</v>
      </c>
      <c r="L86">
        <f t="shared" ca="1" si="12"/>
        <v>7.0053818319990874E-3</v>
      </c>
      <c r="M86">
        <f t="shared" ca="1" si="13"/>
        <v>1.4411230817208409E-2</v>
      </c>
      <c r="O86">
        <f t="shared" ca="1" si="14"/>
        <v>-5.0235086339499251</v>
      </c>
      <c r="P86">
        <f t="shared" ca="1" si="15"/>
        <v>-0.10563206487016252</v>
      </c>
      <c r="R86">
        <f t="shared" ca="1" si="16"/>
        <v>-38.758139253488245</v>
      </c>
      <c r="S86">
        <f t="shared" ca="1" si="17"/>
        <v>0.83082520334901744</v>
      </c>
    </row>
    <row r="87" spans="3:19" x14ac:dyDescent="0.35">
      <c r="C87" t="str">
        <f t="shared" si="9"/>
        <v/>
      </c>
      <c r="I87">
        <f t="shared" ca="1" si="10"/>
        <v>7.0296856167400426E-3</v>
      </c>
      <c r="J87">
        <f t="shared" ca="1" si="11"/>
        <v>1.458697753449144E-2</v>
      </c>
      <c r="L87">
        <f t="shared" ca="1" si="12"/>
        <v>7.0296856167400426E-3</v>
      </c>
      <c r="M87">
        <f t="shared" ca="1" si="13"/>
        <v>1.458697753449144E-2</v>
      </c>
      <c r="O87">
        <f t="shared" ca="1" si="14"/>
        <v>-4.7287803152143724</v>
      </c>
      <c r="P87">
        <f t="shared" ca="1" si="15"/>
        <v>-9.9418413995447041E-2</v>
      </c>
      <c r="R87">
        <f t="shared" ca="1" si="16"/>
        <v>-39.22014874969431</v>
      </c>
      <c r="S87">
        <f t="shared" ca="1" si="17"/>
        <v>0.84095721802400547</v>
      </c>
    </row>
    <row r="88" spans="3:19" x14ac:dyDescent="0.35">
      <c r="C88" t="str">
        <f t="shared" si="9"/>
        <v/>
      </c>
      <c r="I88">
        <f t="shared" ca="1" si="10"/>
        <v>7.0525164448300313E-3</v>
      </c>
      <c r="J88">
        <f t="shared" ca="1" si="11"/>
        <v>1.4762724251774467E-2</v>
      </c>
      <c r="L88">
        <f t="shared" ca="1" si="12"/>
        <v>7.0525164448300313E-3</v>
      </c>
      <c r="M88">
        <f t="shared" ca="1" si="13"/>
        <v>1.4762724251774467E-2</v>
      </c>
      <c r="O88">
        <f t="shared" ca="1" si="14"/>
        <v>-4.4339554728358435</v>
      </c>
      <c r="P88">
        <f t="shared" ca="1" si="15"/>
        <v>-9.3204763120731671E-2</v>
      </c>
      <c r="R88">
        <f t="shared" ca="1" si="16"/>
        <v>-39.681901601596941</v>
      </c>
      <c r="S88">
        <f t="shared" ca="1" si="17"/>
        <v>0.8510892326989935</v>
      </c>
    </row>
    <row r="89" spans="3:19" x14ac:dyDescent="0.35">
      <c r="C89" t="str">
        <f t="shared" si="9"/>
        <v/>
      </c>
      <c r="I89">
        <f t="shared" ca="1" si="10"/>
        <v>7.0738743162690534E-3</v>
      </c>
      <c r="J89">
        <f t="shared" ca="1" si="11"/>
        <v>1.4938470969057498E-2</v>
      </c>
      <c r="L89">
        <f t="shared" ca="1" si="12"/>
        <v>7.0738743162690534E-3</v>
      </c>
      <c r="M89">
        <f t="shared" ca="1" si="13"/>
        <v>1.4938470969057498E-2</v>
      </c>
      <c r="O89">
        <f t="shared" ca="1" si="14"/>
        <v>-4.1390341068143268</v>
      </c>
      <c r="P89">
        <f t="shared" ca="1" si="15"/>
        <v>-8.6991112246016189E-2</v>
      </c>
      <c r="R89">
        <f t="shared" ca="1" si="16"/>
        <v>-40.143397809196131</v>
      </c>
      <c r="S89">
        <f t="shared" ca="1" si="17"/>
        <v>0.86122124737398154</v>
      </c>
    </row>
    <row r="90" spans="3:19" x14ac:dyDescent="0.35">
      <c r="C90" t="str">
        <f t="shared" si="9"/>
        <v/>
      </c>
      <c r="I90">
        <f t="shared" ca="1" si="10"/>
        <v>7.0937592310571073E-3</v>
      </c>
      <c r="J90">
        <f t="shared" ca="1" si="11"/>
        <v>1.5114217686340527E-2</v>
      </c>
      <c r="L90">
        <f t="shared" ca="1" si="12"/>
        <v>7.0937592310571073E-3</v>
      </c>
      <c r="M90">
        <f t="shared" ca="1" si="13"/>
        <v>1.5114217686340527E-2</v>
      </c>
      <c r="O90">
        <f t="shared" ca="1" si="14"/>
        <v>-3.8440162171498282</v>
      </c>
      <c r="P90">
        <f t="shared" ca="1" si="15"/>
        <v>-8.0777461371300707E-2</v>
      </c>
      <c r="R90">
        <f t="shared" ca="1" si="16"/>
        <v>-40.604637372491901</v>
      </c>
      <c r="S90">
        <f t="shared" ca="1" si="17"/>
        <v>0.87135326204896957</v>
      </c>
    </row>
    <row r="91" spans="3:19" x14ac:dyDescent="0.35">
      <c r="C91" t="str">
        <f t="shared" si="9"/>
        <v/>
      </c>
      <c r="I91">
        <f t="shared" ca="1" si="10"/>
        <v>7.1121711891941955E-3</v>
      </c>
      <c r="J91">
        <f t="shared" ca="1" si="11"/>
        <v>1.5289964403623558E-2</v>
      </c>
      <c r="L91">
        <f t="shared" ca="1" si="12"/>
        <v>7.1121711891941955E-3</v>
      </c>
      <c r="M91">
        <f t="shared" ca="1" si="13"/>
        <v>1.5289964403623558E-2</v>
      </c>
      <c r="O91">
        <f t="shared" ca="1" si="14"/>
        <v>-3.5489018038423481</v>
      </c>
      <c r="P91">
        <f t="shared" ca="1" si="15"/>
        <v>-7.4563810496585226E-2</v>
      </c>
      <c r="R91">
        <f t="shared" ca="1" si="16"/>
        <v>-41.065620291484215</v>
      </c>
      <c r="S91">
        <f t="shared" ca="1" si="17"/>
        <v>0.88148527672395749</v>
      </c>
    </row>
    <row r="92" spans="3:19" x14ac:dyDescent="0.35">
      <c r="C92" t="str">
        <f t="shared" si="9"/>
        <v/>
      </c>
      <c r="I92">
        <f t="shared" ca="1" si="10"/>
        <v>7.1291101906803154E-3</v>
      </c>
      <c r="J92">
        <f t="shared" ca="1" si="11"/>
        <v>1.5465711120906585E-2</v>
      </c>
      <c r="L92">
        <f t="shared" ca="1" si="12"/>
        <v>7.1291101906803154E-3</v>
      </c>
      <c r="M92">
        <f t="shared" ca="1" si="13"/>
        <v>1.5465711120906585E-2</v>
      </c>
      <c r="O92">
        <f t="shared" ca="1" si="14"/>
        <v>-3.25369086689189</v>
      </c>
      <c r="P92">
        <f t="shared" ca="1" si="15"/>
        <v>-6.8350159621869855E-2</v>
      </c>
      <c r="R92">
        <f t="shared" ca="1" si="16"/>
        <v>-41.52634656617311</v>
      </c>
      <c r="S92">
        <f t="shared" ca="1" si="17"/>
        <v>0.89161729139894563</v>
      </c>
    </row>
    <row r="93" spans="3:19" x14ac:dyDescent="0.35">
      <c r="C93" t="str">
        <f t="shared" si="9"/>
        <v/>
      </c>
      <c r="I93">
        <f t="shared" ca="1" si="10"/>
        <v>7.1445762355154697E-3</v>
      </c>
      <c r="J93">
        <f t="shared" ca="1" si="11"/>
        <v>1.5641457838189616E-2</v>
      </c>
      <c r="L93">
        <f t="shared" ca="1" si="12"/>
        <v>7.1445762355154697E-3</v>
      </c>
      <c r="M93">
        <f t="shared" ca="1" si="13"/>
        <v>1.5641457838189616E-2</v>
      </c>
      <c r="O93">
        <f t="shared" ca="1" si="14"/>
        <v>-2.9583834062984455</v>
      </c>
      <c r="P93">
        <f t="shared" ca="1" si="15"/>
        <v>-6.2136508747154373E-2</v>
      </c>
      <c r="R93">
        <f t="shared" ca="1" si="16"/>
        <v>-41.986816196558564</v>
      </c>
      <c r="S93">
        <f t="shared" ca="1" si="17"/>
        <v>0.90174930607393355</v>
      </c>
    </row>
    <row r="94" spans="3:19" x14ac:dyDescent="0.35">
      <c r="C94" t="str">
        <f t="shared" si="9"/>
        <v/>
      </c>
      <c r="I94">
        <f t="shared" ca="1" si="10"/>
        <v>7.1585693236996557E-3</v>
      </c>
      <c r="J94">
        <f t="shared" ca="1" si="11"/>
        <v>1.5817204555472645E-2</v>
      </c>
      <c r="L94">
        <f t="shared" ca="1" si="12"/>
        <v>7.1585693236996557E-3</v>
      </c>
      <c r="M94">
        <f t="shared" ca="1" si="13"/>
        <v>1.5817204555472645E-2</v>
      </c>
      <c r="O94">
        <f t="shared" ca="1" si="14"/>
        <v>-2.662979422062024</v>
      </c>
      <c r="P94">
        <f t="shared" ca="1" si="15"/>
        <v>-5.5922857872439002E-2</v>
      </c>
      <c r="R94">
        <f t="shared" ca="1" si="16"/>
        <v>-42.447029182640584</v>
      </c>
      <c r="S94">
        <f t="shared" ca="1" si="17"/>
        <v>0.91188132074892159</v>
      </c>
    </row>
    <row r="95" spans="3:19" x14ac:dyDescent="0.35">
      <c r="C95" t="str">
        <f t="shared" si="9"/>
        <v/>
      </c>
      <c r="I95">
        <f t="shared" ca="1" si="10"/>
        <v>7.171089455232876E-3</v>
      </c>
      <c r="J95">
        <f t="shared" ca="1" si="11"/>
        <v>1.5992951272755674E-2</v>
      </c>
      <c r="L95">
        <f t="shared" ca="1" si="12"/>
        <v>7.171089455232876E-3</v>
      </c>
      <c r="M95">
        <f t="shared" ca="1" si="13"/>
        <v>1.5992951272755674E-2</v>
      </c>
      <c r="O95">
        <f t="shared" ca="1" si="14"/>
        <v>-2.3674789141826147</v>
      </c>
      <c r="P95">
        <f t="shared" ca="1" si="15"/>
        <v>-4.9709206997723521E-2</v>
      </c>
      <c r="R95">
        <f t="shared" ca="1" si="16"/>
        <v>-42.906985524419163</v>
      </c>
      <c r="S95">
        <f t="shared" ca="1" si="17"/>
        <v>0.92201333542390962</v>
      </c>
    </row>
    <row r="96" spans="3:19" x14ac:dyDescent="0.35">
      <c r="C96" t="str">
        <f t="shared" si="9"/>
        <v/>
      </c>
      <c r="I96">
        <f t="shared" ca="1" si="10"/>
        <v>7.182136630115128E-3</v>
      </c>
      <c r="J96">
        <f t="shared" ca="1" si="11"/>
        <v>1.6168697990038703E-2</v>
      </c>
      <c r="L96">
        <f t="shared" ca="1" si="12"/>
        <v>7.182136630115128E-3</v>
      </c>
      <c r="M96">
        <f t="shared" ca="1" si="13"/>
        <v>1.6168697990038703E-2</v>
      </c>
      <c r="O96">
        <f t="shared" ca="1" si="14"/>
        <v>-2.0718818826602279</v>
      </c>
      <c r="P96">
        <f t="shared" ca="1" si="15"/>
        <v>-4.349555612300815E-2</v>
      </c>
      <c r="R96">
        <f t="shared" ca="1" si="16"/>
        <v>-43.366685221894315</v>
      </c>
      <c r="S96">
        <f t="shared" ca="1" si="17"/>
        <v>0.93214535009889765</v>
      </c>
    </row>
    <row r="97" spans="3:19" x14ac:dyDescent="0.35">
      <c r="C97" t="str">
        <f t="shared" si="9"/>
        <v/>
      </c>
      <c r="I97">
        <f t="shared" ca="1" si="10"/>
        <v>7.1917108483464135E-3</v>
      </c>
      <c r="J97">
        <f t="shared" ca="1" si="11"/>
        <v>1.6344444707321736E-2</v>
      </c>
      <c r="L97">
        <f t="shared" ca="1" si="12"/>
        <v>7.1917108483464135E-3</v>
      </c>
      <c r="M97">
        <f t="shared" ca="1" si="13"/>
        <v>1.6344444707321736E-2</v>
      </c>
      <c r="O97">
        <f t="shared" ca="1" si="14"/>
        <v>-1.7761883274948544</v>
      </c>
      <c r="P97">
        <f t="shared" ca="1" si="15"/>
        <v>-3.7281905248292668E-2</v>
      </c>
      <c r="R97">
        <f t="shared" ca="1" si="16"/>
        <v>-43.826128275066019</v>
      </c>
      <c r="S97">
        <f t="shared" ca="1" si="17"/>
        <v>0.94227736477388557</v>
      </c>
    </row>
    <row r="98" spans="3:19" x14ac:dyDescent="0.35">
      <c r="C98" t="str">
        <f t="shared" si="9"/>
        <v/>
      </c>
      <c r="I98">
        <f t="shared" ca="1" si="10"/>
        <v>7.1998121099267325E-3</v>
      </c>
      <c r="J98">
        <f t="shared" ca="1" si="11"/>
        <v>1.6520191424604761E-2</v>
      </c>
      <c r="L98">
        <f t="shared" ca="1" si="12"/>
        <v>7.1998121099267325E-3</v>
      </c>
      <c r="M98">
        <f t="shared" ca="1" si="13"/>
        <v>1.6520191424604761E-2</v>
      </c>
      <c r="O98">
        <f t="shared" ca="1" si="14"/>
        <v>-1.4803982486864993</v>
      </c>
      <c r="P98">
        <f t="shared" ca="1" si="15"/>
        <v>-3.1068254373577187E-2</v>
      </c>
      <c r="R98">
        <f t="shared" ca="1" si="16"/>
        <v>-44.28531468393431</v>
      </c>
      <c r="S98">
        <f t="shared" ca="1" si="17"/>
        <v>0.95240937944887372</v>
      </c>
    </row>
    <row r="99" spans="3:19" x14ac:dyDescent="0.35">
      <c r="C99" t="str">
        <f t="shared" si="9"/>
        <v/>
      </c>
      <c r="I99">
        <f t="shared" ca="1" si="10"/>
        <v>7.2064404148560841E-3</v>
      </c>
      <c r="J99">
        <f t="shared" ca="1" si="11"/>
        <v>1.6695938141887794E-2</v>
      </c>
      <c r="L99">
        <f t="shared" ca="1" si="12"/>
        <v>7.2064404148560841E-3</v>
      </c>
      <c r="M99">
        <f t="shared" ca="1" si="13"/>
        <v>1.6695938141887794E-2</v>
      </c>
      <c r="O99">
        <f t="shared" ca="1" si="14"/>
        <v>-1.1845116462351617</v>
      </c>
      <c r="P99">
        <f t="shared" ca="1" si="15"/>
        <v>-2.4854603498861705E-2</v>
      </c>
      <c r="R99">
        <f t="shared" ca="1" si="16"/>
        <v>-44.744244448499146</v>
      </c>
      <c r="S99">
        <f t="shared" ca="1" si="17"/>
        <v>0.96254139412386164</v>
      </c>
    </row>
    <row r="100" spans="3:19" x14ac:dyDescent="0.35">
      <c r="C100" t="str">
        <f t="shared" si="9"/>
        <v/>
      </c>
      <c r="I100">
        <f t="shared" ca="1" si="10"/>
        <v>7.2115957631344683E-3</v>
      </c>
      <c r="J100">
        <f t="shared" ca="1" si="11"/>
        <v>1.6871684859170823E-2</v>
      </c>
      <c r="L100">
        <f t="shared" ca="1" si="12"/>
        <v>7.2115957631344683E-3</v>
      </c>
      <c r="M100">
        <f t="shared" ca="1" si="13"/>
        <v>1.6871684859170823E-2</v>
      </c>
      <c r="O100">
        <f t="shared" ca="1" si="14"/>
        <v>-0.88852852014084682</v>
      </c>
      <c r="P100">
        <f t="shared" ca="1" si="15"/>
        <v>-1.8640952624146334E-2</v>
      </c>
      <c r="R100">
        <f t="shared" ca="1" si="16"/>
        <v>-45.202917568760547</v>
      </c>
      <c r="S100">
        <f t="shared" ca="1" si="17"/>
        <v>0.97267340879884967</v>
      </c>
    </row>
    <row r="101" spans="3:19" x14ac:dyDescent="0.35">
      <c r="C101" t="str">
        <f t="shared" si="9"/>
        <v/>
      </c>
      <c r="I101">
        <f t="shared" ca="1" si="10"/>
        <v>7.2152781547618859E-3</v>
      </c>
      <c r="J101">
        <f t="shared" ca="1" si="11"/>
        <v>1.7047431576453848E-2</v>
      </c>
      <c r="L101">
        <f t="shared" ca="1" si="12"/>
        <v>7.2152781547618859E-3</v>
      </c>
      <c r="M101">
        <f t="shared" ca="1" si="13"/>
        <v>1.7047431576453848E-2</v>
      </c>
      <c r="O101">
        <f t="shared" ca="1" si="14"/>
        <v>-0.59244887040355021</v>
      </c>
      <c r="P101">
        <f t="shared" ca="1" si="15"/>
        <v>-1.2427301749430963E-2</v>
      </c>
      <c r="R101">
        <f t="shared" ca="1" si="16"/>
        <v>-45.661334044718515</v>
      </c>
      <c r="S101">
        <f t="shared" ca="1" si="17"/>
        <v>0.9828054234738377</v>
      </c>
    </row>
    <row r="102" spans="3:19" x14ac:dyDescent="0.35">
      <c r="C102" t="str">
        <f t="shared" si="9"/>
        <v/>
      </c>
      <c r="I102">
        <f t="shared" ca="1" si="10"/>
        <v>7.2174875897383362E-3</v>
      </c>
      <c r="J102">
        <f t="shared" ca="1" si="11"/>
        <v>1.7223178293736881E-2</v>
      </c>
      <c r="L102">
        <f t="shared" ca="1" si="12"/>
        <v>7.2174875897383362E-3</v>
      </c>
      <c r="M102">
        <f t="shared" ca="1" si="13"/>
        <v>1.7223178293736881E-2</v>
      </c>
      <c r="O102">
        <f t="shared" ca="1" si="14"/>
        <v>-0.29627269702326625</v>
      </c>
      <c r="P102">
        <f t="shared" ca="1" si="15"/>
        <v>-6.2136508747154817E-3</v>
      </c>
      <c r="R102">
        <f t="shared" ca="1" si="16"/>
        <v>-46.119493876373056</v>
      </c>
      <c r="S102">
        <f t="shared" ca="1" si="17"/>
        <v>0.99293743814882574</v>
      </c>
    </row>
    <row r="103" spans="3:19" x14ac:dyDescent="0.35">
      <c r="C103" t="str">
        <f t="shared" si="9"/>
        <v/>
      </c>
      <c r="I103">
        <f t="shared" ca="1" si="10"/>
        <v>7.2182240680638199E-3</v>
      </c>
      <c r="J103">
        <f t="shared" ca="1" si="11"/>
        <v>1.739892501101991E-2</v>
      </c>
      <c r="L103">
        <f t="shared" ca="1" si="12"/>
        <v>7.2182240680638199E-3</v>
      </c>
      <c r="M103">
        <f t="shared" ca="1" si="13"/>
        <v>1.739892501101991E-2</v>
      </c>
      <c r="O103">
        <f t="shared" ca="1" si="14"/>
        <v>0</v>
      </c>
      <c r="P103">
        <f t="shared" ca="1" si="15"/>
        <v>0</v>
      </c>
      <c r="R103">
        <f t="shared" ca="1" si="16"/>
        <v>-46.577397063724156</v>
      </c>
      <c r="S103">
        <f t="shared" ca="1" si="17"/>
        <v>1.0030694528238138</v>
      </c>
    </row>
    <row r="104" spans="3:19" x14ac:dyDescent="0.35">
      <c r="C104" t="str">
        <f t="shared" si="9"/>
        <v/>
      </c>
    </row>
    <row r="105" spans="3:19" x14ac:dyDescent="0.35">
      <c r="C105" t="str">
        <f t="shared" si="9"/>
        <v/>
      </c>
    </row>
    <row r="106" spans="3:19" x14ac:dyDescent="0.35">
      <c r="C106" t="str">
        <f t="shared" si="9"/>
        <v/>
      </c>
    </row>
    <row r="107" spans="3:19" x14ac:dyDescent="0.35">
      <c r="C107" t="str">
        <f t="shared" si="9"/>
        <v/>
      </c>
    </row>
    <row r="108" spans="3:19" x14ac:dyDescent="0.35">
      <c r="C108" t="str">
        <f t="shared" si="9"/>
        <v/>
      </c>
    </row>
    <row r="109" spans="3:19" x14ac:dyDescent="0.35">
      <c r="C109" t="str">
        <f t="shared" si="9"/>
        <v/>
      </c>
    </row>
    <row r="110" spans="3:19" x14ac:dyDescent="0.35">
      <c r="C110" t="str">
        <f t="shared" si="9"/>
        <v/>
      </c>
    </row>
    <row r="111" spans="3:19" x14ac:dyDescent="0.35">
      <c r="C111" t="str">
        <f t="shared" si="9"/>
        <v/>
      </c>
    </row>
    <row r="112" spans="3:19" x14ac:dyDescent="0.35">
      <c r="C112" t="str">
        <f t="shared" si="9"/>
        <v/>
      </c>
    </row>
    <row r="113" spans="3:3" x14ac:dyDescent="0.35">
      <c r="C113" t="str">
        <f t="shared" si="9"/>
        <v/>
      </c>
    </row>
    <row r="114" spans="3:3" x14ac:dyDescent="0.35">
      <c r="C114" t="str">
        <f t="shared" si="9"/>
        <v/>
      </c>
    </row>
    <row r="115" spans="3:3" x14ac:dyDescent="0.35">
      <c r="C115" t="str">
        <f t="shared" si="9"/>
        <v/>
      </c>
    </row>
    <row r="116" spans="3:3" x14ac:dyDescent="0.35">
      <c r="C116" t="str">
        <f t="shared" si="9"/>
        <v/>
      </c>
    </row>
    <row r="117" spans="3:3" x14ac:dyDescent="0.35">
      <c r="C117" t="str">
        <f t="shared" si="9"/>
        <v/>
      </c>
    </row>
    <row r="118" spans="3:3" x14ac:dyDescent="0.35">
      <c r="C118" t="str">
        <f t="shared" si="9"/>
        <v/>
      </c>
    </row>
    <row r="119" spans="3:3" x14ac:dyDescent="0.35">
      <c r="C119" t="str">
        <f t="shared" si="9"/>
        <v/>
      </c>
    </row>
    <row r="120" spans="3:3" x14ac:dyDescent="0.35">
      <c r="C120" t="str">
        <f t="shared" si="9"/>
        <v/>
      </c>
    </row>
    <row r="121" spans="3:3" x14ac:dyDescent="0.35">
      <c r="C121" t="str">
        <f t="shared" si="9"/>
        <v/>
      </c>
    </row>
    <row r="122" spans="3:3" x14ac:dyDescent="0.35">
      <c r="C122" t="str">
        <f t="shared" si="9"/>
        <v/>
      </c>
    </row>
    <row r="123" spans="3:3" x14ac:dyDescent="0.35">
      <c r="C123" t="str">
        <f t="shared" si="9"/>
        <v/>
      </c>
    </row>
    <row r="124" spans="3:3" x14ac:dyDescent="0.35">
      <c r="C124" t="str">
        <f t="shared" si="9"/>
        <v/>
      </c>
    </row>
    <row r="125" spans="3:3" x14ac:dyDescent="0.35">
      <c r="C125" t="str">
        <f t="shared" si="9"/>
        <v/>
      </c>
    </row>
    <row r="126" spans="3:3" x14ac:dyDescent="0.35">
      <c r="C126" t="str">
        <f t="shared" si="9"/>
        <v/>
      </c>
    </row>
    <row r="127" spans="3:3" x14ac:dyDescent="0.35">
      <c r="C127" t="str">
        <f t="shared" si="9"/>
        <v/>
      </c>
    </row>
    <row r="128" spans="3:3" x14ac:dyDescent="0.35">
      <c r="C128" t="str">
        <f t="shared" si="9"/>
        <v/>
      </c>
    </row>
    <row r="129" spans="3:3" x14ac:dyDescent="0.35">
      <c r="C129" t="str">
        <f t="shared" si="9"/>
        <v/>
      </c>
    </row>
    <row r="130" spans="3:3" x14ac:dyDescent="0.35">
      <c r="C130" t="str">
        <f t="shared" si="9"/>
        <v/>
      </c>
    </row>
    <row r="131" spans="3:3" x14ac:dyDescent="0.35">
      <c r="C131" t="str">
        <f t="shared" si="9"/>
        <v/>
      </c>
    </row>
    <row r="132" spans="3:3" x14ac:dyDescent="0.35">
      <c r="C132" t="str">
        <f t="shared" si="9"/>
        <v/>
      </c>
    </row>
    <row r="133" spans="3:3" x14ac:dyDescent="0.35">
      <c r="C133" t="str">
        <f t="shared" ref="C133:C196" si="18">IF(ISBLANK(D133), "",
IF(D133 &lt; $G$9,
    $G$10 + $G$19 * ($G$23 * (D133 - $G$9))^2 + $G$21 * (1 - (D133 - $G$6)/($G$9 - $G$6)),
IF(D133 &gt; $G$13,
    $G$14 + $G$19 * ($G$23 * (D133 - $G$13))^2 - $G$22 * (1 - (D133 - $G$6)/($G$13 - $G$6)),
IF(D133 &lt; $G$6,
    $G$16 * (D133 - $G$6)^2 + $G$5,
    $G$17 * (D133 - $G$6)^2 + $G$5))))</f>
        <v/>
      </c>
    </row>
    <row r="134" spans="3:3" x14ac:dyDescent="0.35">
      <c r="C134" t="str">
        <f t="shared" si="18"/>
        <v/>
      </c>
    </row>
    <row r="135" spans="3:3" x14ac:dyDescent="0.35">
      <c r="C135" t="str">
        <f t="shared" si="18"/>
        <v/>
      </c>
    </row>
    <row r="136" spans="3:3" x14ac:dyDescent="0.35">
      <c r="C136" t="str">
        <f t="shared" si="18"/>
        <v/>
      </c>
    </row>
    <row r="137" spans="3:3" x14ac:dyDescent="0.35">
      <c r="C137" t="str">
        <f t="shared" si="18"/>
        <v/>
      </c>
    </row>
    <row r="138" spans="3:3" x14ac:dyDescent="0.35">
      <c r="C138" t="str">
        <f t="shared" si="18"/>
        <v/>
      </c>
    </row>
    <row r="139" spans="3:3" x14ac:dyDescent="0.35">
      <c r="C139" t="str">
        <f t="shared" si="18"/>
        <v/>
      </c>
    </row>
    <row r="140" spans="3:3" x14ac:dyDescent="0.35">
      <c r="C140" t="str">
        <f t="shared" si="18"/>
        <v/>
      </c>
    </row>
    <row r="141" spans="3:3" x14ac:dyDescent="0.35">
      <c r="C141" t="str">
        <f t="shared" si="18"/>
        <v/>
      </c>
    </row>
    <row r="142" spans="3:3" x14ac:dyDescent="0.35">
      <c r="C142" t="str">
        <f t="shared" si="18"/>
        <v/>
      </c>
    </row>
    <row r="143" spans="3:3" x14ac:dyDescent="0.35">
      <c r="C143" t="str">
        <f t="shared" si="18"/>
        <v/>
      </c>
    </row>
    <row r="144" spans="3:3" x14ac:dyDescent="0.35">
      <c r="C144" t="str">
        <f t="shared" si="18"/>
        <v/>
      </c>
    </row>
    <row r="145" spans="3:3" x14ac:dyDescent="0.35">
      <c r="C145" t="str">
        <f t="shared" si="18"/>
        <v/>
      </c>
    </row>
    <row r="146" spans="3:3" x14ac:dyDescent="0.35">
      <c r="C146" t="str">
        <f t="shared" si="18"/>
        <v/>
      </c>
    </row>
    <row r="147" spans="3:3" x14ac:dyDescent="0.35">
      <c r="C147" t="str">
        <f t="shared" si="18"/>
        <v/>
      </c>
    </row>
    <row r="148" spans="3:3" x14ac:dyDescent="0.35">
      <c r="C148" t="str">
        <f t="shared" si="18"/>
        <v/>
      </c>
    </row>
    <row r="149" spans="3:3" x14ac:dyDescent="0.35">
      <c r="C149" t="str">
        <f t="shared" si="18"/>
        <v/>
      </c>
    </row>
    <row r="150" spans="3:3" x14ac:dyDescent="0.35">
      <c r="C150" t="str">
        <f t="shared" si="18"/>
        <v/>
      </c>
    </row>
    <row r="151" spans="3:3" x14ac:dyDescent="0.35">
      <c r="C151" t="str">
        <f t="shared" si="18"/>
        <v/>
      </c>
    </row>
    <row r="152" spans="3:3" x14ac:dyDescent="0.35">
      <c r="C152" t="str">
        <f t="shared" si="18"/>
        <v/>
      </c>
    </row>
    <row r="153" spans="3:3" x14ac:dyDescent="0.35">
      <c r="C153" t="str">
        <f t="shared" si="18"/>
        <v/>
      </c>
    </row>
    <row r="154" spans="3:3" x14ac:dyDescent="0.35">
      <c r="C154" t="str">
        <f t="shared" si="18"/>
        <v/>
      </c>
    </row>
    <row r="155" spans="3:3" x14ac:dyDescent="0.35">
      <c r="C155" t="str">
        <f t="shared" si="18"/>
        <v/>
      </c>
    </row>
    <row r="156" spans="3:3" x14ac:dyDescent="0.35">
      <c r="C156" t="str">
        <f t="shared" si="18"/>
        <v/>
      </c>
    </row>
    <row r="157" spans="3:3" x14ac:dyDescent="0.35">
      <c r="C157" t="str">
        <f t="shared" si="18"/>
        <v/>
      </c>
    </row>
    <row r="158" spans="3:3" x14ac:dyDescent="0.35">
      <c r="C158" t="str">
        <f t="shared" si="18"/>
        <v/>
      </c>
    </row>
    <row r="159" spans="3:3" x14ac:dyDescent="0.35">
      <c r="C159" t="str">
        <f t="shared" si="18"/>
        <v/>
      </c>
    </row>
    <row r="160" spans="3:3" x14ac:dyDescent="0.35">
      <c r="C160" t="str">
        <f t="shared" si="18"/>
        <v/>
      </c>
    </row>
    <row r="161" spans="3:3" x14ac:dyDescent="0.35">
      <c r="C161" t="str">
        <f t="shared" si="18"/>
        <v/>
      </c>
    </row>
    <row r="162" spans="3:3" x14ac:dyDescent="0.35">
      <c r="C162" t="str">
        <f t="shared" si="18"/>
        <v/>
      </c>
    </row>
    <row r="163" spans="3:3" x14ac:dyDescent="0.35">
      <c r="C163" t="str">
        <f t="shared" si="18"/>
        <v/>
      </c>
    </row>
    <row r="164" spans="3:3" x14ac:dyDescent="0.35">
      <c r="C164" t="str">
        <f t="shared" si="18"/>
        <v/>
      </c>
    </row>
    <row r="165" spans="3:3" x14ac:dyDescent="0.35">
      <c r="C165" t="str">
        <f t="shared" si="18"/>
        <v/>
      </c>
    </row>
    <row r="166" spans="3:3" x14ac:dyDescent="0.35">
      <c r="C166" t="str">
        <f t="shared" si="18"/>
        <v/>
      </c>
    </row>
    <row r="167" spans="3:3" x14ac:dyDescent="0.35">
      <c r="C167" t="str">
        <f t="shared" si="18"/>
        <v/>
      </c>
    </row>
    <row r="168" spans="3:3" x14ac:dyDescent="0.35">
      <c r="C168" t="str">
        <f t="shared" si="18"/>
        <v/>
      </c>
    </row>
    <row r="169" spans="3:3" x14ac:dyDescent="0.35">
      <c r="C169" t="str">
        <f t="shared" si="18"/>
        <v/>
      </c>
    </row>
    <row r="170" spans="3:3" x14ac:dyDescent="0.35">
      <c r="C170" t="str">
        <f t="shared" si="18"/>
        <v/>
      </c>
    </row>
    <row r="171" spans="3:3" x14ac:dyDescent="0.35">
      <c r="C171" t="str">
        <f t="shared" si="18"/>
        <v/>
      </c>
    </row>
    <row r="172" spans="3:3" x14ac:dyDescent="0.35">
      <c r="C172" t="str">
        <f t="shared" si="18"/>
        <v/>
      </c>
    </row>
    <row r="173" spans="3:3" x14ac:dyDescent="0.35">
      <c r="C173" t="str">
        <f t="shared" si="18"/>
        <v/>
      </c>
    </row>
    <row r="174" spans="3:3" x14ac:dyDescent="0.35">
      <c r="C174" t="str">
        <f t="shared" si="18"/>
        <v/>
      </c>
    </row>
    <row r="175" spans="3:3" x14ac:dyDescent="0.35">
      <c r="C175" t="str">
        <f t="shared" si="18"/>
        <v/>
      </c>
    </row>
    <row r="176" spans="3:3" x14ac:dyDescent="0.35">
      <c r="C176" t="str">
        <f t="shared" si="18"/>
        <v/>
      </c>
    </row>
    <row r="177" spans="3:3" x14ac:dyDescent="0.35">
      <c r="C177" t="str">
        <f t="shared" si="18"/>
        <v/>
      </c>
    </row>
    <row r="178" spans="3:3" x14ac:dyDescent="0.35">
      <c r="C178" t="str">
        <f t="shared" si="18"/>
        <v/>
      </c>
    </row>
    <row r="179" spans="3:3" x14ac:dyDescent="0.35">
      <c r="C179" t="str">
        <f t="shared" si="18"/>
        <v/>
      </c>
    </row>
    <row r="180" spans="3:3" x14ac:dyDescent="0.35">
      <c r="C180" t="str">
        <f t="shared" si="18"/>
        <v/>
      </c>
    </row>
    <row r="181" spans="3:3" x14ac:dyDescent="0.35">
      <c r="C181" t="str">
        <f t="shared" si="18"/>
        <v/>
      </c>
    </row>
    <row r="182" spans="3:3" x14ac:dyDescent="0.35">
      <c r="C182" t="str">
        <f t="shared" si="18"/>
        <v/>
      </c>
    </row>
    <row r="183" spans="3:3" x14ac:dyDescent="0.35">
      <c r="C183" t="str">
        <f t="shared" si="18"/>
        <v/>
      </c>
    </row>
    <row r="184" spans="3:3" x14ac:dyDescent="0.35">
      <c r="C184" t="str">
        <f t="shared" si="18"/>
        <v/>
      </c>
    </row>
    <row r="185" spans="3:3" x14ac:dyDescent="0.35">
      <c r="C185" t="str">
        <f t="shared" si="18"/>
        <v/>
      </c>
    </row>
    <row r="186" spans="3:3" x14ac:dyDescent="0.35">
      <c r="C186" t="str">
        <f t="shared" si="18"/>
        <v/>
      </c>
    </row>
    <row r="187" spans="3:3" x14ac:dyDescent="0.35">
      <c r="C187" t="str">
        <f t="shared" si="18"/>
        <v/>
      </c>
    </row>
    <row r="188" spans="3:3" x14ac:dyDescent="0.35">
      <c r="C188" t="str">
        <f t="shared" si="18"/>
        <v/>
      </c>
    </row>
    <row r="189" spans="3:3" x14ac:dyDescent="0.35">
      <c r="C189" t="str">
        <f t="shared" si="18"/>
        <v/>
      </c>
    </row>
    <row r="190" spans="3:3" x14ac:dyDescent="0.35">
      <c r="C190" t="str">
        <f t="shared" si="18"/>
        <v/>
      </c>
    </row>
    <row r="191" spans="3:3" x14ac:dyDescent="0.35">
      <c r="C191" t="str">
        <f t="shared" si="18"/>
        <v/>
      </c>
    </row>
    <row r="192" spans="3:3" x14ac:dyDescent="0.35">
      <c r="C192" t="str">
        <f t="shared" si="18"/>
        <v/>
      </c>
    </row>
    <row r="193" spans="3:3" x14ac:dyDescent="0.35">
      <c r="C193" t="str">
        <f t="shared" si="18"/>
        <v/>
      </c>
    </row>
    <row r="194" spans="3:3" x14ac:dyDescent="0.35">
      <c r="C194" t="str">
        <f t="shared" si="18"/>
        <v/>
      </c>
    </row>
    <row r="195" spans="3:3" x14ac:dyDescent="0.35">
      <c r="C195" t="str">
        <f t="shared" si="18"/>
        <v/>
      </c>
    </row>
    <row r="196" spans="3:3" x14ac:dyDescent="0.35">
      <c r="C196" t="str">
        <f t="shared" si="18"/>
        <v/>
      </c>
    </row>
    <row r="197" spans="3:3" x14ac:dyDescent="0.35">
      <c r="C197" t="str">
        <f t="shared" ref="C197:C260" si="19">IF(ISBLANK(D197), "",
IF(D197 &lt; $G$9,
    $G$10 + $G$19 * ($G$23 * (D197 - $G$9))^2 + $G$21 * (1 - (D197 - $G$6)/($G$9 - $G$6)),
IF(D197 &gt; $G$13,
    $G$14 + $G$19 * ($G$23 * (D197 - $G$13))^2 - $G$22 * (1 - (D197 - $G$6)/($G$13 - $G$6)),
IF(D197 &lt; $G$6,
    $G$16 * (D197 - $G$6)^2 + $G$5,
    $G$17 * (D197 - $G$6)^2 + $G$5))))</f>
        <v/>
      </c>
    </row>
    <row r="198" spans="3:3" x14ac:dyDescent="0.35">
      <c r="C198" t="str">
        <f t="shared" si="19"/>
        <v/>
      </c>
    </row>
    <row r="199" spans="3:3" x14ac:dyDescent="0.35">
      <c r="C199" t="str">
        <f t="shared" si="19"/>
        <v/>
      </c>
    </row>
    <row r="200" spans="3:3" x14ac:dyDescent="0.35">
      <c r="C200" t="str">
        <f t="shared" si="19"/>
        <v/>
      </c>
    </row>
    <row r="201" spans="3:3" x14ac:dyDescent="0.35">
      <c r="C201" t="str">
        <f t="shared" si="19"/>
        <v/>
      </c>
    </row>
    <row r="202" spans="3:3" x14ac:dyDescent="0.35">
      <c r="C202" t="str">
        <f t="shared" si="19"/>
        <v/>
      </c>
    </row>
    <row r="203" spans="3:3" x14ac:dyDescent="0.35">
      <c r="C203" t="str">
        <f t="shared" si="19"/>
        <v/>
      </c>
    </row>
    <row r="204" spans="3:3" x14ac:dyDescent="0.35">
      <c r="C204" t="str">
        <f t="shared" si="19"/>
        <v/>
      </c>
    </row>
    <row r="205" spans="3:3" x14ac:dyDescent="0.35">
      <c r="C205" t="str">
        <f t="shared" si="19"/>
        <v/>
      </c>
    </row>
    <row r="206" spans="3:3" x14ac:dyDescent="0.35">
      <c r="C206" t="str">
        <f t="shared" si="19"/>
        <v/>
      </c>
    </row>
    <row r="207" spans="3:3" x14ac:dyDescent="0.35">
      <c r="C207" t="str">
        <f t="shared" si="19"/>
        <v/>
      </c>
    </row>
    <row r="208" spans="3:3" x14ac:dyDescent="0.35">
      <c r="C208" t="str">
        <f t="shared" si="19"/>
        <v/>
      </c>
    </row>
    <row r="209" spans="3:3" x14ac:dyDescent="0.35">
      <c r="C209" t="str">
        <f t="shared" si="19"/>
        <v/>
      </c>
    </row>
    <row r="210" spans="3:3" x14ac:dyDescent="0.35">
      <c r="C210" t="str">
        <f t="shared" si="19"/>
        <v/>
      </c>
    </row>
    <row r="211" spans="3:3" x14ac:dyDescent="0.35">
      <c r="C211" t="str">
        <f t="shared" si="19"/>
        <v/>
      </c>
    </row>
    <row r="212" spans="3:3" x14ac:dyDescent="0.35">
      <c r="C212" t="str">
        <f t="shared" si="19"/>
        <v/>
      </c>
    </row>
    <row r="213" spans="3:3" x14ac:dyDescent="0.35">
      <c r="C213" t="str">
        <f t="shared" si="19"/>
        <v/>
      </c>
    </row>
    <row r="214" spans="3:3" x14ac:dyDescent="0.35">
      <c r="C214" t="str">
        <f t="shared" si="19"/>
        <v/>
      </c>
    </row>
    <row r="215" spans="3:3" x14ac:dyDescent="0.35">
      <c r="C215" t="str">
        <f t="shared" si="19"/>
        <v/>
      </c>
    </row>
    <row r="216" spans="3:3" x14ac:dyDescent="0.35">
      <c r="C216" t="str">
        <f t="shared" si="19"/>
        <v/>
      </c>
    </row>
    <row r="217" spans="3:3" x14ac:dyDescent="0.35">
      <c r="C217" t="str">
        <f t="shared" si="19"/>
        <v/>
      </c>
    </row>
    <row r="218" spans="3:3" x14ac:dyDescent="0.35">
      <c r="C218" t="str">
        <f t="shared" si="19"/>
        <v/>
      </c>
    </row>
    <row r="219" spans="3:3" x14ac:dyDescent="0.35">
      <c r="C219" t="str">
        <f t="shared" si="19"/>
        <v/>
      </c>
    </row>
    <row r="220" spans="3:3" x14ac:dyDescent="0.35">
      <c r="C220" t="str">
        <f t="shared" si="19"/>
        <v/>
      </c>
    </row>
    <row r="221" spans="3:3" x14ac:dyDescent="0.35">
      <c r="C221" t="str">
        <f t="shared" si="19"/>
        <v/>
      </c>
    </row>
    <row r="222" spans="3:3" x14ac:dyDescent="0.35">
      <c r="C222" t="str">
        <f t="shared" si="19"/>
        <v/>
      </c>
    </row>
    <row r="223" spans="3:3" x14ac:dyDescent="0.35">
      <c r="C223" t="str">
        <f t="shared" si="19"/>
        <v/>
      </c>
    </row>
    <row r="224" spans="3:3" x14ac:dyDescent="0.35">
      <c r="C224" t="str">
        <f t="shared" si="19"/>
        <v/>
      </c>
    </row>
    <row r="225" spans="3:3" x14ac:dyDescent="0.35">
      <c r="C225" t="str">
        <f t="shared" si="19"/>
        <v/>
      </c>
    </row>
    <row r="226" spans="3:3" x14ac:dyDescent="0.35">
      <c r="C226" t="str">
        <f t="shared" si="19"/>
        <v/>
      </c>
    </row>
    <row r="227" spans="3:3" x14ac:dyDescent="0.35">
      <c r="C227" t="str">
        <f t="shared" si="19"/>
        <v/>
      </c>
    </row>
    <row r="228" spans="3:3" x14ac:dyDescent="0.35">
      <c r="C228" t="str">
        <f t="shared" si="19"/>
        <v/>
      </c>
    </row>
    <row r="229" spans="3:3" x14ac:dyDescent="0.35">
      <c r="C229" t="str">
        <f t="shared" si="19"/>
        <v/>
      </c>
    </row>
    <row r="230" spans="3:3" x14ac:dyDescent="0.35">
      <c r="C230" t="str">
        <f t="shared" si="19"/>
        <v/>
      </c>
    </row>
    <row r="231" spans="3:3" x14ac:dyDescent="0.35">
      <c r="C231" t="str">
        <f t="shared" si="19"/>
        <v/>
      </c>
    </row>
    <row r="232" spans="3:3" x14ac:dyDescent="0.35">
      <c r="C232" t="str">
        <f t="shared" si="19"/>
        <v/>
      </c>
    </row>
    <row r="233" spans="3:3" x14ac:dyDescent="0.35">
      <c r="C233" t="str">
        <f t="shared" si="19"/>
        <v/>
      </c>
    </row>
    <row r="234" spans="3:3" x14ac:dyDescent="0.35">
      <c r="C234" t="str">
        <f t="shared" si="19"/>
        <v/>
      </c>
    </row>
    <row r="235" spans="3:3" x14ac:dyDescent="0.35">
      <c r="C235" t="str">
        <f t="shared" si="19"/>
        <v/>
      </c>
    </row>
    <row r="236" spans="3:3" x14ac:dyDescent="0.35">
      <c r="C236" t="str">
        <f t="shared" si="19"/>
        <v/>
      </c>
    </row>
    <row r="237" spans="3:3" x14ac:dyDescent="0.35">
      <c r="C237" t="str">
        <f t="shared" si="19"/>
        <v/>
      </c>
    </row>
    <row r="238" spans="3:3" x14ac:dyDescent="0.35">
      <c r="C238" t="str">
        <f t="shared" si="19"/>
        <v/>
      </c>
    </row>
    <row r="239" spans="3:3" x14ac:dyDescent="0.35">
      <c r="C239" t="str">
        <f t="shared" si="19"/>
        <v/>
      </c>
    </row>
    <row r="240" spans="3:3" x14ac:dyDescent="0.35">
      <c r="C240" t="str">
        <f t="shared" si="19"/>
        <v/>
      </c>
    </row>
    <row r="241" spans="3:3" x14ac:dyDescent="0.35">
      <c r="C241" t="str">
        <f t="shared" si="19"/>
        <v/>
      </c>
    </row>
    <row r="242" spans="3:3" x14ac:dyDescent="0.35">
      <c r="C242" t="str">
        <f t="shared" si="19"/>
        <v/>
      </c>
    </row>
    <row r="243" spans="3:3" x14ac:dyDescent="0.35">
      <c r="C243" t="str">
        <f t="shared" si="19"/>
        <v/>
      </c>
    </row>
    <row r="244" spans="3:3" x14ac:dyDescent="0.35">
      <c r="C244" t="str">
        <f t="shared" si="19"/>
        <v/>
      </c>
    </row>
    <row r="245" spans="3:3" x14ac:dyDescent="0.35">
      <c r="C245" t="str">
        <f t="shared" si="19"/>
        <v/>
      </c>
    </row>
    <row r="246" spans="3:3" x14ac:dyDescent="0.35">
      <c r="C246" t="str">
        <f t="shared" si="19"/>
        <v/>
      </c>
    </row>
    <row r="247" spans="3:3" x14ac:dyDescent="0.35">
      <c r="C247" t="str">
        <f t="shared" si="19"/>
        <v/>
      </c>
    </row>
    <row r="248" spans="3:3" x14ac:dyDescent="0.35">
      <c r="C248" t="str">
        <f t="shared" si="19"/>
        <v/>
      </c>
    </row>
    <row r="249" spans="3:3" x14ac:dyDescent="0.35">
      <c r="C249" t="str">
        <f t="shared" si="19"/>
        <v/>
      </c>
    </row>
    <row r="250" spans="3:3" x14ac:dyDescent="0.35">
      <c r="C250" t="str">
        <f t="shared" si="19"/>
        <v/>
      </c>
    </row>
    <row r="251" spans="3:3" x14ac:dyDescent="0.35">
      <c r="C251" t="str">
        <f t="shared" si="19"/>
        <v/>
      </c>
    </row>
    <row r="252" spans="3:3" x14ac:dyDescent="0.35">
      <c r="C252" t="str">
        <f t="shared" si="19"/>
        <v/>
      </c>
    </row>
    <row r="253" spans="3:3" x14ac:dyDescent="0.35">
      <c r="C253" t="str">
        <f t="shared" si="19"/>
        <v/>
      </c>
    </row>
    <row r="254" spans="3:3" x14ac:dyDescent="0.35">
      <c r="C254" t="str">
        <f t="shared" si="19"/>
        <v/>
      </c>
    </row>
    <row r="255" spans="3:3" x14ac:dyDescent="0.35">
      <c r="C255" t="str">
        <f t="shared" si="19"/>
        <v/>
      </c>
    </row>
    <row r="256" spans="3:3" x14ac:dyDescent="0.35">
      <c r="C256" t="str">
        <f t="shared" si="19"/>
        <v/>
      </c>
    </row>
    <row r="257" spans="3:3" x14ac:dyDescent="0.35">
      <c r="C257" t="str">
        <f t="shared" si="19"/>
        <v/>
      </c>
    </row>
    <row r="258" spans="3:3" x14ac:dyDescent="0.35">
      <c r="C258" t="str">
        <f t="shared" si="19"/>
        <v/>
      </c>
    </row>
    <row r="259" spans="3:3" x14ac:dyDescent="0.35">
      <c r="C259" t="str">
        <f t="shared" si="19"/>
        <v/>
      </c>
    </row>
    <row r="260" spans="3:3" x14ac:dyDescent="0.35">
      <c r="C260" t="str">
        <f t="shared" si="19"/>
        <v/>
      </c>
    </row>
    <row r="261" spans="3:3" x14ac:dyDescent="0.35">
      <c r="C261" t="str">
        <f t="shared" ref="C261:C324" si="20">IF(ISBLANK(D261), "",
IF(D261 &lt; $G$9,
    $G$10 + $G$19 * ($G$23 * (D261 - $G$9))^2 + $G$21 * (1 - (D261 - $G$6)/($G$9 - $G$6)),
IF(D261 &gt; $G$13,
    $G$14 + $G$19 * ($G$23 * (D261 - $G$13))^2 - $G$22 * (1 - (D261 - $G$6)/($G$13 - $G$6)),
IF(D261 &lt; $G$6,
    $G$16 * (D261 - $G$6)^2 + $G$5,
    $G$17 * (D261 - $G$6)^2 + $G$5))))</f>
        <v/>
      </c>
    </row>
    <row r="262" spans="3:3" x14ac:dyDescent="0.35">
      <c r="C262" t="str">
        <f t="shared" si="20"/>
        <v/>
      </c>
    </row>
    <row r="263" spans="3:3" x14ac:dyDescent="0.35">
      <c r="C263" t="str">
        <f t="shared" si="20"/>
        <v/>
      </c>
    </row>
    <row r="264" spans="3:3" x14ac:dyDescent="0.35">
      <c r="C264" t="str">
        <f t="shared" si="20"/>
        <v/>
      </c>
    </row>
    <row r="265" spans="3:3" x14ac:dyDescent="0.35">
      <c r="C265" t="str">
        <f t="shared" si="20"/>
        <v/>
      </c>
    </row>
    <row r="266" spans="3:3" x14ac:dyDescent="0.35">
      <c r="C266" t="str">
        <f t="shared" si="20"/>
        <v/>
      </c>
    </row>
    <row r="267" spans="3:3" x14ac:dyDescent="0.35">
      <c r="C267" t="str">
        <f t="shared" si="20"/>
        <v/>
      </c>
    </row>
    <row r="268" spans="3:3" x14ac:dyDescent="0.35">
      <c r="C268" t="str">
        <f t="shared" si="20"/>
        <v/>
      </c>
    </row>
    <row r="269" spans="3:3" x14ac:dyDescent="0.35">
      <c r="C269" t="str">
        <f t="shared" si="20"/>
        <v/>
      </c>
    </row>
    <row r="270" spans="3:3" x14ac:dyDescent="0.35">
      <c r="C270" t="str">
        <f t="shared" si="20"/>
        <v/>
      </c>
    </row>
    <row r="271" spans="3:3" x14ac:dyDescent="0.35">
      <c r="C271" t="str">
        <f t="shared" si="20"/>
        <v/>
      </c>
    </row>
    <row r="272" spans="3:3" x14ac:dyDescent="0.35">
      <c r="C272" t="str">
        <f t="shared" si="20"/>
        <v/>
      </c>
    </row>
    <row r="273" spans="3:3" x14ac:dyDescent="0.35">
      <c r="C273" t="str">
        <f t="shared" si="20"/>
        <v/>
      </c>
    </row>
    <row r="274" spans="3:3" x14ac:dyDescent="0.35">
      <c r="C274" t="str">
        <f t="shared" si="20"/>
        <v/>
      </c>
    </row>
    <row r="275" spans="3:3" x14ac:dyDescent="0.35">
      <c r="C275" t="str">
        <f t="shared" si="20"/>
        <v/>
      </c>
    </row>
    <row r="276" spans="3:3" x14ac:dyDescent="0.35">
      <c r="C276" t="str">
        <f t="shared" si="20"/>
        <v/>
      </c>
    </row>
    <row r="277" spans="3:3" x14ac:dyDescent="0.35">
      <c r="C277" t="str">
        <f t="shared" si="20"/>
        <v/>
      </c>
    </row>
    <row r="278" spans="3:3" x14ac:dyDescent="0.35">
      <c r="C278" t="str">
        <f t="shared" si="20"/>
        <v/>
      </c>
    </row>
    <row r="279" spans="3:3" x14ac:dyDescent="0.35">
      <c r="C279" t="str">
        <f t="shared" si="20"/>
        <v/>
      </c>
    </row>
    <row r="280" spans="3:3" x14ac:dyDescent="0.35">
      <c r="C280" t="str">
        <f t="shared" si="20"/>
        <v/>
      </c>
    </row>
    <row r="281" spans="3:3" x14ac:dyDescent="0.35">
      <c r="C281" t="str">
        <f t="shared" si="20"/>
        <v/>
      </c>
    </row>
    <row r="282" spans="3:3" x14ac:dyDescent="0.35">
      <c r="C282" t="str">
        <f t="shared" si="20"/>
        <v/>
      </c>
    </row>
    <row r="283" spans="3:3" x14ac:dyDescent="0.35">
      <c r="C283" t="str">
        <f t="shared" si="20"/>
        <v/>
      </c>
    </row>
    <row r="284" spans="3:3" x14ac:dyDescent="0.35">
      <c r="C284" t="str">
        <f t="shared" si="20"/>
        <v/>
      </c>
    </row>
    <row r="285" spans="3:3" x14ac:dyDescent="0.35">
      <c r="C285" t="str">
        <f t="shared" si="20"/>
        <v/>
      </c>
    </row>
    <row r="286" spans="3:3" x14ac:dyDescent="0.35">
      <c r="C286" t="str">
        <f t="shared" si="20"/>
        <v/>
      </c>
    </row>
    <row r="287" spans="3:3" x14ac:dyDescent="0.35">
      <c r="C287" t="str">
        <f t="shared" si="20"/>
        <v/>
      </c>
    </row>
    <row r="288" spans="3:3" x14ac:dyDescent="0.35">
      <c r="C288" t="str">
        <f t="shared" si="20"/>
        <v/>
      </c>
    </row>
    <row r="289" spans="3:3" x14ac:dyDescent="0.35">
      <c r="C289" t="str">
        <f t="shared" si="20"/>
        <v/>
      </c>
    </row>
    <row r="290" spans="3:3" x14ac:dyDescent="0.35">
      <c r="C290" t="str">
        <f t="shared" si="20"/>
        <v/>
      </c>
    </row>
    <row r="291" spans="3:3" x14ac:dyDescent="0.35">
      <c r="C291" t="str">
        <f t="shared" si="20"/>
        <v/>
      </c>
    </row>
    <row r="292" spans="3:3" x14ac:dyDescent="0.35">
      <c r="C292" t="str">
        <f t="shared" si="20"/>
        <v/>
      </c>
    </row>
    <row r="293" spans="3:3" x14ac:dyDescent="0.35">
      <c r="C293" t="str">
        <f t="shared" si="20"/>
        <v/>
      </c>
    </row>
    <row r="294" spans="3:3" x14ac:dyDescent="0.35">
      <c r="C294" t="str">
        <f t="shared" si="20"/>
        <v/>
      </c>
    </row>
    <row r="295" spans="3:3" x14ac:dyDescent="0.35">
      <c r="C295" t="str">
        <f t="shared" si="20"/>
        <v/>
      </c>
    </row>
    <row r="296" spans="3:3" x14ac:dyDescent="0.35">
      <c r="C296" t="str">
        <f t="shared" si="20"/>
        <v/>
      </c>
    </row>
    <row r="297" spans="3:3" x14ac:dyDescent="0.35">
      <c r="C297" t="str">
        <f t="shared" si="20"/>
        <v/>
      </c>
    </row>
    <row r="298" spans="3:3" x14ac:dyDescent="0.35">
      <c r="C298" t="str">
        <f t="shared" si="20"/>
        <v/>
      </c>
    </row>
    <row r="299" spans="3:3" x14ac:dyDescent="0.35">
      <c r="C299" t="str">
        <f t="shared" si="20"/>
        <v/>
      </c>
    </row>
    <row r="300" spans="3:3" x14ac:dyDescent="0.35">
      <c r="C300" t="str">
        <f t="shared" si="20"/>
        <v/>
      </c>
    </row>
    <row r="301" spans="3:3" x14ac:dyDescent="0.35">
      <c r="C301" t="str">
        <f t="shared" si="20"/>
        <v/>
      </c>
    </row>
    <row r="302" spans="3:3" x14ac:dyDescent="0.35">
      <c r="C302" t="str">
        <f t="shared" si="20"/>
        <v/>
      </c>
    </row>
    <row r="303" spans="3:3" x14ac:dyDescent="0.35">
      <c r="C303" t="str">
        <f t="shared" si="20"/>
        <v/>
      </c>
    </row>
    <row r="304" spans="3:3" x14ac:dyDescent="0.35">
      <c r="C304" t="str">
        <f t="shared" si="20"/>
        <v/>
      </c>
    </row>
    <row r="305" spans="3:3" x14ac:dyDescent="0.35">
      <c r="C305" t="str">
        <f t="shared" si="20"/>
        <v/>
      </c>
    </row>
    <row r="306" spans="3:3" x14ac:dyDescent="0.35">
      <c r="C306" t="str">
        <f t="shared" si="20"/>
        <v/>
      </c>
    </row>
    <row r="307" spans="3:3" x14ac:dyDescent="0.35">
      <c r="C307" t="str">
        <f t="shared" si="20"/>
        <v/>
      </c>
    </row>
    <row r="308" spans="3:3" x14ac:dyDescent="0.35">
      <c r="C308" t="str">
        <f t="shared" si="20"/>
        <v/>
      </c>
    </row>
    <row r="309" spans="3:3" x14ac:dyDescent="0.35">
      <c r="C309" t="str">
        <f t="shared" si="20"/>
        <v/>
      </c>
    </row>
    <row r="310" spans="3:3" x14ac:dyDescent="0.35">
      <c r="C310" t="str">
        <f t="shared" si="20"/>
        <v/>
      </c>
    </row>
    <row r="311" spans="3:3" x14ac:dyDescent="0.35">
      <c r="C311" t="str">
        <f t="shared" si="20"/>
        <v/>
      </c>
    </row>
    <row r="312" spans="3:3" x14ac:dyDescent="0.35">
      <c r="C312" t="str">
        <f t="shared" si="20"/>
        <v/>
      </c>
    </row>
    <row r="313" spans="3:3" x14ac:dyDescent="0.35">
      <c r="C313" t="str">
        <f t="shared" si="20"/>
        <v/>
      </c>
    </row>
    <row r="314" spans="3:3" x14ac:dyDescent="0.35">
      <c r="C314" t="str">
        <f t="shared" si="20"/>
        <v/>
      </c>
    </row>
    <row r="315" spans="3:3" x14ac:dyDescent="0.35">
      <c r="C315" t="str">
        <f t="shared" si="20"/>
        <v/>
      </c>
    </row>
    <row r="316" spans="3:3" x14ac:dyDescent="0.35">
      <c r="C316" t="str">
        <f t="shared" si="20"/>
        <v/>
      </c>
    </row>
    <row r="317" spans="3:3" x14ac:dyDescent="0.35">
      <c r="C317" t="str">
        <f t="shared" si="20"/>
        <v/>
      </c>
    </row>
    <row r="318" spans="3:3" x14ac:dyDescent="0.35">
      <c r="C318" t="str">
        <f t="shared" si="20"/>
        <v/>
      </c>
    </row>
    <row r="319" spans="3:3" x14ac:dyDescent="0.35">
      <c r="C319" t="str">
        <f t="shared" si="20"/>
        <v/>
      </c>
    </row>
    <row r="320" spans="3:3" x14ac:dyDescent="0.35">
      <c r="C320" t="str">
        <f t="shared" si="20"/>
        <v/>
      </c>
    </row>
    <row r="321" spans="3:3" x14ac:dyDescent="0.35">
      <c r="C321" t="str">
        <f t="shared" si="20"/>
        <v/>
      </c>
    </row>
    <row r="322" spans="3:3" x14ac:dyDescent="0.35">
      <c r="C322" t="str">
        <f t="shared" si="20"/>
        <v/>
      </c>
    </row>
    <row r="323" spans="3:3" x14ac:dyDescent="0.35">
      <c r="C323" t="str">
        <f t="shared" si="20"/>
        <v/>
      </c>
    </row>
    <row r="324" spans="3:3" x14ac:dyDescent="0.35">
      <c r="C324" t="str">
        <f t="shared" si="20"/>
        <v/>
      </c>
    </row>
    <row r="325" spans="3:3" x14ac:dyDescent="0.35">
      <c r="C325" t="str">
        <f t="shared" ref="C325:C388" si="21">IF(ISBLANK(D325), "",
IF(D325 &lt; $G$9,
    $G$10 + $G$19 * ($G$23 * (D325 - $G$9))^2 + $G$21 * (1 - (D325 - $G$6)/($G$9 - $G$6)),
IF(D325 &gt; $G$13,
    $G$14 + $G$19 * ($G$23 * (D325 - $G$13))^2 - $G$22 * (1 - (D325 - $G$6)/($G$13 - $G$6)),
IF(D325 &lt; $G$6,
    $G$16 * (D325 - $G$6)^2 + $G$5,
    $G$17 * (D325 - $G$6)^2 + $G$5))))</f>
        <v/>
      </c>
    </row>
    <row r="326" spans="3:3" x14ac:dyDescent="0.35">
      <c r="C326" t="str">
        <f t="shared" si="21"/>
        <v/>
      </c>
    </row>
    <row r="327" spans="3:3" x14ac:dyDescent="0.35">
      <c r="C327" t="str">
        <f t="shared" si="21"/>
        <v/>
      </c>
    </row>
    <row r="328" spans="3:3" x14ac:dyDescent="0.35">
      <c r="C328" t="str">
        <f t="shared" si="21"/>
        <v/>
      </c>
    </row>
    <row r="329" spans="3:3" x14ac:dyDescent="0.35">
      <c r="C329" t="str">
        <f t="shared" si="21"/>
        <v/>
      </c>
    </row>
    <row r="330" spans="3:3" x14ac:dyDescent="0.35">
      <c r="C330" t="str">
        <f t="shared" si="21"/>
        <v/>
      </c>
    </row>
    <row r="331" spans="3:3" x14ac:dyDescent="0.35">
      <c r="C331" t="str">
        <f t="shared" si="21"/>
        <v/>
      </c>
    </row>
    <row r="332" spans="3:3" x14ac:dyDescent="0.35">
      <c r="C332" t="str">
        <f t="shared" si="21"/>
        <v/>
      </c>
    </row>
    <row r="333" spans="3:3" x14ac:dyDescent="0.35">
      <c r="C333" t="str">
        <f t="shared" si="21"/>
        <v/>
      </c>
    </row>
    <row r="334" spans="3:3" x14ac:dyDescent="0.35">
      <c r="C334" t="str">
        <f t="shared" si="21"/>
        <v/>
      </c>
    </row>
    <row r="335" spans="3:3" x14ac:dyDescent="0.35">
      <c r="C335" t="str">
        <f t="shared" si="21"/>
        <v/>
      </c>
    </row>
    <row r="336" spans="3:3" x14ac:dyDescent="0.35">
      <c r="C336" t="str">
        <f t="shared" si="21"/>
        <v/>
      </c>
    </row>
    <row r="337" spans="3:3" x14ac:dyDescent="0.35">
      <c r="C337" t="str">
        <f t="shared" si="21"/>
        <v/>
      </c>
    </row>
    <row r="338" spans="3:3" x14ac:dyDescent="0.35">
      <c r="C338" t="str">
        <f t="shared" si="21"/>
        <v/>
      </c>
    </row>
    <row r="339" spans="3:3" x14ac:dyDescent="0.35">
      <c r="C339" t="str">
        <f t="shared" si="21"/>
        <v/>
      </c>
    </row>
    <row r="340" spans="3:3" x14ac:dyDescent="0.35">
      <c r="C340" t="str">
        <f t="shared" si="21"/>
        <v/>
      </c>
    </row>
    <row r="341" spans="3:3" x14ac:dyDescent="0.35">
      <c r="C341" t="str">
        <f t="shared" si="21"/>
        <v/>
      </c>
    </row>
    <row r="342" spans="3:3" x14ac:dyDescent="0.35">
      <c r="C342" t="str">
        <f t="shared" si="21"/>
        <v/>
      </c>
    </row>
    <row r="343" spans="3:3" x14ac:dyDescent="0.35">
      <c r="C343" t="str">
        <f t="shared" si="21"/>
        <v/>
      </c>
    </row>
    <row r="344" spans="3:3" x14ac:dyDescent="0.35">
      <c r="C344" t="str">
        <f t="shared" si="21"/>
        <v/>
      </c>
    </row>
    <row r="345" spans="3:3" x14ac:dyDescent="0.35">
      <c r="C345" t="str">
        <f t="shared" si="21"/>
        <v/>
      </c>
    </row>
    <row r="346" spans="3:3" x14ac:dyDescent="0.35">
      <c r="C346" t="str">
        <f t="shared" si="21"/>
        <v/>
      </c>
    </row>
    <row r="347" spans="3:3" x14ac:dyDescent="0.35">
      <c r="C347" t="str">
        <f t="shared" si="21"/>
        <v/>
      </c>
    </row>
    <row r="348" spans="3:3" x14ac:dyDescent="0.35">
      <c r="C348" t="str">
        <f t="shared" si="21"/>
        <v/>
      </c>
    </row>
    <row r="349" spans="3:3" x14ac:dyDescent="0.35">
      <c r="C349" t="str">
        <f t="shared" si="21"/>
        <v/>
      </c>
    </row>
    <row r="350" spans="3:3" x14ac:dyDescent="0.35">
      <c r="C350" t="str">
        <f t="shared" si="21"/>
        <v/>
      </c>
    </row>
    <row r="351" spans="3:3" x14ac:dyDescent="0.35">
      <c r="C351" t="str">
        <f t="shared" si="21"/>
        <v/>
      </c>
    </row>
    <row r="352" spans="3:3" x14ac:dyDescent="0.35">
      <c r="C352" t="str">
        <f t="shared" si="21"/>
        <v/>
      </c>
    </row>
    <row r="353" spans="3:3" x14ac:dyDescent="0.35">
      <c r="C353" t="str">
        <f t="shared" si="21"/>
        <v/>
      </c>
    </row>
    <row r="354" spans="3:3" x14ac:dyDescent="0.35">
      <c r="C354" t="str">
        <f t="shared" si="21"/>
        <v/>
      </c>
    </row>
    <row r="355" spans="3:3" x14ac:dyDescent="0.35">
      <c r="C355" t="str">
        <f t="shared" si="21"/>
        <v/>
      </c>
    </row>
    <row r="356" spans="3:3" x14ac:dyDescent="0.35">
      <c r="C356" t="str">
        <f t="shared" si="21"/>
        <v/>
      </c>
    </row>
    <row r="357" spans="3:3" x14ac:dyDescent="0.35">
      <c r="C357" t="str">
        <f t="shared" si="21"/>
        <v/>
      </c>
    </row>
    <row r="358" spans="3:3" x14ac:dyDescent="0.35">
      <c r="C358" t="str">
        <f t="shared" si="21"/>
        <v/>
      </c>
    </row>
    <row r="359" spans="3:3" x14ac:dyDescent="0.35">
      <c r="C359" t="str">
        <f t="shared" si="21"/>
        <v/>
      </c>
    </row>
    <row r="360" spans="3:3" x14ac:dyDescent="0.35">
      <c r="C360" t="str">
        <f t="shared" si="21"/>
        <v/>
      </c>
    </row>
    <row r="361" spans="3:3" x14ac:dyDescent="0.35">
      <c r="C361" t="str">
        <f t="shared" si="21"/>
        <v/>
      </c>
    </row>
    <row r="362" spans="3:3" x14ac:dyDescent="0.35">
      <c r="C362" t="str">
        <f t="shared" si="21"/>
        <v/>
      </c>
    </row>
    <row r="363" spans="3:3" x14ac:dyDescent="0.35">
      <c r="C363" t="str">
        <f t="shared" si="21"/>
        <v/>
      </c>
    </row>
    <row r="364" spans="3:3" x14ac:dyDescent="0.35">
      <c r="C364" t="str">
        <f t="shared" si="21"/>
        <v/>
      </c>
    </row>
    <row r="365" spans="3:3" x14ac:dyDescent="0.35">
      <c r="C365" t="str">
        <f t="shared" si="21"/>
        <v/>
      </c>
    </row>
    <row r="366" spans="3:3" x14ac:dyDescent="0.35">
      <c r="C366" t="str">
        <f t="shared" si="21"/>
        <v/>
      </c>
    </row>
    <row r="367" spans="3:3" x14ac:dyDescent="0.35">
      <c r="C367" t="str">
        <f t="shared" si="21"/>
        <v/>
      </c>
    </row>
    <row r="368" spans="3:3" x14ac:dyDescent="0.35">
      <c r="C368" t="str">
        <f t="shared" si="21"/>
        <v/>
      </c>
    </row>
    <row r="369" spans="3:3" x14ac:dyDescent="0.35">
      <c r="C369" t="str">
        <f t="shared" si="21"/>
        <v/>
      </c>
    </row>
    <row r="370" spans="3:3" x14ac:dyDescent="0.35">
      <c r="C370" t="str">
        <f t="shared" si="21"/>
        <v/>
      </c>
    </row>
    <row r="371" spans="3:3" x14ac:dyDescent="0.35">
      <c r="C371" t="str">
        <f t="shared" si="21"/>
        <v/>
      </c>
    </row>
    <row r="372" spans="3:3" x14ac:dyDescent="0.35">
      <c r="C372" t="str">
        <f t="shared" si="21"/>
        <v/>
      </c>
    </row>
    <row r="373" spans="3:3" x14ac:dyDescent="0.35">
      <c r="C373" t="str">
        <f t="shared" si="21"/>
        <v/>
      </c>
    </row>
    <row r="374" spans="3:3" x14ac:dyDescent="0.35">
      <c r="C374" t="str">
        <f t="shared" si="21"/>
        <v/>
      </c>
    </row>
    <row r="375" spans="3:3" x14ac:dyDescent="0.35">
      <c r="C375" t="str">
        <f t="shared" si="21"/>
        <v/>
      </c>
    </row>
    <row r="376" spans="3:3" x14ac:dyDescent="0.35">
      <c r="C376" t="str">
        <f t="shared" si="21"/>
        <v/>
      </c>
    </row>
    <row r="377" spans="3:3" x14ac:dyDescent="0.35">
      <c r="C377" t="str">
        <f t="shared" si="21"/>
        <v/>
      </c>
    </row>
    <row r="378" spans="3:3" x14ac:dyDescent="0.35">
      <c r="C378" t="str">
        <f t="shared" si="21"/>
        <v/>
      </c>
    </row>
    <row r="379" spans="3:3" x14ac:dyDescent="0.35">
      <c r="C379" t="str">
        <f t="shared" si="21"/>
        <v/>
      </c>
    </row>
    <row r="380" spans="3:3" x14ac:dyDescent="0.35">
      <c r="C380" t="str">
        <f t="shared" si="21"/>
        <v/>
      </c>
    </row>
    <row r="381" spans="3:3" x14ac:dyDescent="0.35">
      <c r="C381" t="str">
        <f t="shared" si="21"/>
        <v/>
      </c>
    </row>
    <row r="382" spans="3:3" x14ac:dyDescent="0.35">
      <c r="C382" t="str">
        <f t="shared" si="21"/>
        <v/>
      </c>
    </row>
    <row r="383" spans="3:3" x14ac:dyDescent="0.35">
      <c r="C383" t="str">
        <f t="shared" si="21"/>
        <v/>
      </c>
    </row>
    <row r="384" spans="3:3" x14ac:dyDescent="0.35">
      <c r="C384" t="str">
        <f t="shared" si="21"/>
        <v/>
      </c>
    </row>
    <row r="385" spans="3:3" x14ac:dyDescent="0.35">
      <c r="C385" t="str">
        <f t="shared" si="21"/>
        <v/>
      </c>
    </row>
    <row r="386" spans="3:3" x14ac:dyDescent="0.35">
      <c r="C386" t="str">
        <f t="shared" si="21"/>
        <v/>
      </c>
    </row>
    <row r="387" spans="3:3" x14ac:dyDescent="0.35">
      <c r="C387" t="str">
        <f t="shared" si="21"/>
        <v/>
      </c>
    </row>
    <row r="388" spans="3:3" x14ac:dyDescent="0.35">
      <c r="C388" t="str">
        <f t="shared" si="21"/>
        <v/>
      </c>
    </row>
    <row r="389" spans="3:3" x14ac:dyDescent="0.35">
      <c r="C389" t="str">
        <f t="shared" ref="C389:C452" si="22">IF(ISBLANK(D389), "",
IF(D389 &lt; $G$9,
    $G$10 + $G$19 * ($G$23 * (D389 - $G$9))^2 + $G$21 * (1 - (D389 - $G$6)/($G$9 - $G$6)),
IF(D389 &gt; $G$13,
    $G$14 + $G$19 * ($G$23 * (D389 - $G$13))^2 - $G$22 * (1 - (D389 - $G$6)/($G$13 - $G$6)),
IF(D389 &lt; $G$6,
    $G$16 * (D389 - $G$6)^2 + $G$5,
    $G$17 * (D389 - $G$6)^2 + $G$5))))</f>
        <v/>
      </c>
    </row>
    <row r="390" spans="3:3" x14ac:dyDescent="0.35">
      <c r="C390" t="str">
        <f t="shared" si="22"/>
        <v/>
      </c>
    </row>
    <row r="391" spans="3:3" x14ac:dyDescent="0.35">
      <c r="C391" t="str">
        <f t="shared" si="22"/>
        <v/>
      </c>
    </row>
    <row r="392" spans="3:3" x14ac:dyDescent="0.35">
      <c r="C392" t="str">
        <f t="shared" si="22"/>
        <v/>
      </c>
    </row>
    <row r="393" spans="3:3" x14ac:dyDescent="0.35">
      <c r="C393" t="str">
        <f t="shared" si="22"/>
        <v/>
      </c>
    </row>
    <row r="394" spans="3:3" x14ac:dyDescent="0.35">
      <c r="C394" t="str">
        <f t="shared" si="22"/>
        <v/>
      </c>
    </row>
    <row r="395" spans="3:3" x14ac:dyDescent="0.35">
      <c r="C395" t="str">
        <f t="shared" si="22"/>
        <v/>
      </c>
    </row>
    <row r="396" spans="3:3" x14ac:dyDescent="0.35">
      <c r="C396" t="str">
        <f t="shared" si="22"/>
        <v/>
      </c>
    </row>
    <row r="397" spans="3:3" x14ac:dyDescent="0.35">
      <c r="C397" t="str">
        <f t="shared" si="22"/>
        <v/>
      </c>
    </row>
    <row r="398" spans="3:3" x14ac:dyDescent="0.35">
      <c r="C398" t="str">
        <f t="shared" si="22"/>
        <v/>
      </c>
    </row>
    <row r="399" spans="3:3" x14ac:dyDescent="0.35">
      <c r="C399" t="str">
        <f t="shared" si="22"/>
        <v/>
      </c>
    </row>
    <row r="400" spans="3:3" x14ac:dyDescent="0.35">
      <c r="C400" t="str">
        <f t="shared" si="22"/>
        <v/>
      </c>
    </row>
    <row r="401" spans="3:3" x14ac:dyDescent="0.35">
      <c r="C401" t="str">
        <f t="shared" si="22"/>
        <v/>
      </c>
    </row>
    <row r="402" spans="3:3" x14ac:dyDescent="0.35">
      <c r="C402" t="str">
        <f t="shared" si="22"/>
        <v/>
      </c>
    </row>
    <row r="403" spans="3:3" x14ac:dyDescent="0.35">
      <c r="C403" t="str">
        <f t="shared" si="22"/>
        <v/>
      </c>
    </row>
    <row r="404" spans="3:3" x14ac:dyDescent="0.35">
      <c r="C404" t="str">
        <f t="shared" si="22"/>
        <v/>
      </c>
    </row>
    <row r="405" spans="3:3" x14ac:dyDescent="0.35">
      <c r="C405" t="str">
        <f t="shared" si="22"/>
        <v/>
      </c>
    </row>
    <row r="406" spans="3:3" x14ac:dyDescent="0.35">
      <c r="C406" t="str">
        <f t="shared" si="22"/>
        <v/>
      </c>
    </row>
    <row r="407" spans="3:3" x14ac:dyDescent="0.35">
      <c r="C407" t="str">
        <f t="shared" si="22"/>
        <v/>
      </c>
    </row>
    <row r="408" spans="3:3" x14ac:dyDescent="0.35">
      <c r="C408" t="str">
        <f t="shared" si="22"/>
        <v/>
      </c>
    </row>
    <row r="409" spans="3:3" x14ac:dyDescent="0.35">
      <c r="C409" t="str">
        <f t="shared" si="22"/>
        <v/>
      </c>
    </row>
    <row r="410" spans="3:3" x14ac:dyDescent="0.35">
      <c r="C410" t="str">
        <f t="shared" si="22"/>
        <v/>
      </c>
    </row>
    <row r="411" spans="3:3" x14ac:dyDescent="0.35">
      <c r="C411" t="str">
        <f t="shared" si="22"/>
        <v/>
      </c>
    </row>
    <row r="412" spans="3:3" x14ac:dyDescent="0.35">
      <c r="C412" t="str">
        <f t="shared" si="22"/>
        <v/>
      </c>
    </row>
    <row r="413" spans="3:3" x14ac:dyDescent="0.35">
      <c r="C413" t="str">
        <f t="shared" si="22"/>
        <v/>
      </c>
    </row>
    <row r="414" spans="3:3" x14ac:dyDescent="0.35">
      <c r="C414" t="str">
        <f t="shared" si="22"/>
        <v/>
      </c>
    </row>
    <row r="415" spans="3:3" x14ac:dyDescent="0.35">
      <c r="C415" t="str">
        <f t="shared" si="22"/>
        <v/>
      </c>
    </row>
    <row r="416" spans="3:3" x14ac:dyDescent="0.35">
      <c r="C416" t="str">
        <f t="shared" si="22"/>
        <v/>
      </c>
    </row>
    <row r="417" spans="3:3" x14ac:dyDescent="0.35">
      <c r="C417" t="str">
        <f t="shared" si="22"/>
        <v/>
      </c>
    </row>
    <row r="418" spans="3:3" x14ac:dyDescent="0.35">
      <c r="C418" t="str">
        <f t="shared" si="22"/>
        <v/>
      </c>
    </row>
    <row r="419" spans="3:3" x14ac:dyDescent="0.35">
      <c r="C419" t="str">
        <f t="shared" si="22"/>
        <v/>
      </c>
    </row>
    <row r="420" spans="3:3" x14ac:dyDescent="0.35">
      <c r="C420" t="str">
        <f t="shared" si="22"/>
        <v/>
      </c>
    </row>
    <row r="421" spans="3:3" x14ac:dyDescent="0.35">
      <c r="C421" t="str">
        <f t="shared" si="22"/>
        <v/>
      </c>
    </row>
    <row r="422" spans="3:3" x14ac:dyDescent="0.35">
      <c r="C422" t="str">
        <f t="shared" si="22"/>
        <v/>
      </c>
    </row>
    <row r="423" spans="3:3" x14ac:dyDescent="0.35">
      <c r="C423" t="str">
        <f t="shared" si="22"/>
        <v/>
      </c>
    </row>
    <row r="424" spans="3:3" x14ac:dyDescent="0.35">
      <c r="C424" t="str">
        <f t="shared" si="22"/>
        <v/>
      </c>
    </row>
    <row r="425" spans="3:3" x14ac:dyDescent="0.35">
      <c r="C425" t="str">
        <f t="shared" si="22"/>
        <v/>
      </c>
    </row>
    <row r="426" spans="3:3" x14ac:dyDescent="0.35">
      <c r="C426" t="str">
        <f t="shared" si="22"/>
        <v/>
      </c>
    </row>
    <row r="427" spans="3:3" x14ac:dyDescent="0.35">
      <c r="C427" t="str">
        <f t="shared" si="22"/>
        <v/>
      </c>
    </row>
    <row r="428" spans="3:3" x14ac:dyDescent="0.35">
      <c r="C428" t="str">
        <f t="shared" si="22"/>
        <v/>
      </c>
    </row>
    <row r="429" spans="3:3" x14ac:dyDescent="0.35">
      <c r="C429" t="str">
        <f t="shared" si="22"/>
        <v/>
      </c>
    </row>
    <row r="430" spans="3:3" x14ac:dyDescent="0.35">
      <c r="C430" t="str">
        <f t="shared" si="22"/>
        <v/>
      </c>
    </row>
    <row r="431" spans="3:3" x14ac:dyDescent="0.35">
      <c r="C431" t="str">
        <f t="shared" si="22"/>
        <v/>
      </c>
    </row>
    <row r="432" spans="3:3" x14ac:dyDescent="0.35">
      <c r="C432" t="str">
        <f t="shared" si="22"/>
        <v/>
      </c>
    </row>
    <row r="433" spans="3:3" x14ac:dyDescent="0.35">
      <c r="C433" t="str">
        <f t="shared" si="22"/>
        <v/>
      </c>
    </row>
    <row r="434" spans="3:3" x14ac:dyDescent="0.35">
      <c r="C434" t="str">
        <f t="shared" si="22"/>
        <v/>
      </c>
    </row>
    <row r="435" spans="3:3" x14ac:dyDescent="0.35">
      <c r="C435" t="str">
        <f t="shared" si="22"/>
        <v/>
      </c>
    </row>
    <row r="436" spans="3:3" x14ac:dyDescent="0.35">
      <c r="C436" t="str">
        <f t="shared" si="22"/>
        <v/>
      </c>
    </row>
    <row r="437" spans="3:3" x14ac:dyDescent="0.35">
      <c r="C437" t="str">
        <f t="shared" si="22"/>
        <v/>
      </c>
    </row>
    <row r="438" spans="3:3" x14ac:dyDescent="0.35">
      <c r="C438" t="str">
        <f t="shared" si="22"/>
        <v/>
      </c>
    </row>
    <row r="439" spans="3:3" x14ac:dyDescent="0.35">
      <c r="C439" t="str">
        <f t="shared" si="22"/>
        <v/>
      </c>
    </row>
    <row r="440" spans="3:3" x14ac:dyDescent="0.35">
      <c r="C440" t="str">
        <f t="shared" si="22"/>
        <v/>
      </c>
    </row>
    <row r="441" spans="3:3" x14ac:dyDescent="0.35">
      <c r="C441" t="str">
        <f t="shared" si="22"/>
        <v/>
      </c>
    </row>
    <row r="442" spans="3:3" x14ac:dyDescent="0.35">
      <c r="C442" t="str">
        <f t="shared" si="22"/>
        <v/>
      </c>
    </row>
    <row r="443" spans="3:3" x14ac:dyDescent="0.35">
      <c r="C443" t="str">
        <f t="shared" si="22"/>
        <v/>
      </c>
    </row>
    <row r="444" spans="3:3" x14ac:dyDescent="0.35">
      <c r="C444" t="str">
        <f t="shared" si="22"/>
        <v/>
      </c>
    </row>
    <row r="445" spans="3:3" x14ac:dyDescent="0.35">
      <c r="C445" t="str">
        <f t="shared" si="22"/>
        <v/>
      </c>
    </row>
    <row r="446" spans="3:3" x14ac:dyDescent="0.35">
      <c r="C446" t="str">
        <f t="shared" si="22"/>
        <v/>
      </c>
    </row>
    <row r="447" spans="3:3" x14ac:dyDescent="0.35">
      <c r="C447" t="str">
        <f t="shared" si="22"/>
        <v/>
      </c>
    </row>
    <row r="448" spans="3:3" x14ac:dyDescent="0.35">
      <c r="C448" t="str">
        <f t="shared" si="22"/>
        <v/>
      </c>
    </row>
    <row r="449" spans="3:3" x14ac:dyDescent="0.35">
      <c r="C449" t="str">
        <f t="shared" si="22"/>
        <v/>
      </c>
    </row>
    <row r="450" spans="3:3" x14ac:dyDescent="0.35">
      <c r="C450" t="str">
        <f t="shared" si="22"/>
        <v/>
      </c>
    </row>
    <row r="451" spans="3:3" x14ac:dyDescent="0.35">
      <c r="C451" t="str">
        <f t="shared" si="22"/>
        <v/>
      </c>
    </row>
    <row r="452" spans="3:3" x14ac:dyDescent="0.35">
      <c r="C452" t="str">
        <f t="shared" si="22"/>
        <v/>
      </c>
    </row>
    <row r="453" spans="3:3" x14ac:dyDescent="0.35">
      <c r="C453" t="str">
        <f t="shared" ref="C453:C516" si="23">IF(ISBLANK(D453), "",
IF(D453 &lt; $G$9,
    $G$10 + $G$19 * ($G$23 * (D453 - $G$9))^2 + $G$21 * (1 - (D453 - $G$6)/($G$9 - $G$6)),
IF(D453 &gt; $G$13,
    $G$14 + $G$19 * ($G$23 * (D453 - $G$13))^2 - $G$22 * (1 - (D453 - $G$6)/($G$13 - $G$6)),
IF(D453 &lt; $G$6,
    $G$16 * (D453 - $G$6)^2 + $G$5,
    $G$17 * (D453 - $G$6)^2 + $G$5))))</f>
        <v/>
      </c>
    </row>
    <row r="454" spans="3:3" x14ac:dyDescent="0.35">
      <c r="C454" t="str">
        <f t="shared" si="23"/>
        <v/>
      </c>
    </row>
    <row r="455" spans="3:3" x14ac:dyDescent="0.35">
      <c r="C455" t="str">
        <f t="shared" si="23"/>
        <v/>
      </c>
    </row>
    <row r="456" spans="3:3" x14ac:dyDescent="0.35">
      <c r="C456" t="str">
        <f t="shared" si="23"/>
        <v/>
      </c>
    </row>
    <row r="457" spans="3:3" x14ac:dyDescent="0.35">
      <c r="C457" t="str">
        <f t="shared" si="23"/>
        <v/>
      </c>
    </row>
    <row r="458" spans="3:3" x14ac:dyDescent="0.35">
      <c r="C458" t="str">
        <f t="shared" si="23"/>
        <v/>
      </c>
    </row>
    <row r="459" spans="3:3" x14ac:dyDescent="0.35">
      <c r="C459" t="str">
        <f t="shared" si="23"/>
        <v/>
      </c>
    </row>
    <row r="460" spans="3:3" x14ac:dyDescent="0.35">
      <c r="C460" t="str">
        <f t="shared" si="23"/>
        <v/>
      </c>
    </row>
    <row r="461" spans="3:3" x14ac:dyDescent="0.35">
      <c r="C461" t="str">
        <f t="shared" si="23"/>
        <v/>
      </c>
    </row>
    <row r="462" spans="3:3" x14ac:dyDescent="0.35">
      <c r="C462" t="str">
        <f t="shared" si="23"/>
        <v/>
      </c>
    </row>
    <row r="463" spans="3:3" x14ac:dyDescent="0.35">
      <c r="C463" t="str">
        <f t="shared" si="23"/>
        <v/>
      </c>
    </row>
    <row r="464" spans="3:3" x14ac:dyDescent="0.35">
      <c r="C464" t="str">
        <f t="shared" si="23"/>
        <v/>
      </c>
    </row>
    <row r="465" spans="3:3" x14ac:dyDescent="0.35">
      <c r="C465" t="str">
        <f t="shared" si="23"/>
        <v/>
      </c>
    </row>
    <row r="466" spans="3:3" x14ac:dyDescent="0.35">
      <c r="C466" t="str">
        <f t="shared" si="23"/>
        <v/>
      </c>
    </row>
    <row r="467" spans="3:3" x14ac:dyDescent="0.35">
      <c r="C467" t="str">
        <f t="shared" si="23"/>
        <v/>
      </c>
    </row>
    <row r="468" spans="3:3" x14ac:dyDescent="0.35">
      <c r="C468" t="str">
        <f t="shared" si="23"/>
        <v/>
      </c>
    </row>
    <row r="469" spans="3:3" x14ac:dyDescent="0.35">
      <c r="C469" t="str">
        <f t="shared" si="23"/>
        <v/>
      </c>
    </row>
    <row r="470" spans="3:3" x14ac:dyDescent="0.35">
      <c r="C470" t="str">
        <f t="shared" si="23"/>
        <v/>
      </c>
    </row>
    <row r="471" spans="3:3" x14ac:dyDescent="0.35">
      <c r="C471" t="str">
        <f t="shared" si="23"/>
        <v/>
      </c>
    </row>
    <row r="472" spans="3:3" x14ac:dyDescent="0.35">
      <c r="C472" t="str">
        <f t="shared" si="23"/>
        <v/>
      </c>
    </row>
    <row r="473" spans="3:3" x14ac:dyDescent="0.35">
      <c r="C473" t="str">
        <f t="shared" si="23"/>
        <v/>
      </c>
    </row>
    <row r="474" spans="3:3" x14ac:dyDescent="0.35">
      <c r="C474" t="str">
        <f t="shared" si="23"/>
        <v/>
      </c>
    </row>
    <row r="475" spans="3:3" x14ac:dyDescent="0.35">
      <c r="C475" t="str">
        <f t="shared" si="23"/>
        <v/>
      </c>
    </row>
    <row r="476" spans="3:3" x14ac:dyDescent="0.35">
      <c r="C476" t="str">
        <f t="shared" si="23"/>
        <v/>
      </c>
    </row>
    <row r="477" spans="3:3" x14ac:dyDescent="0.35">
      <c r="C477" t="str">
        <f t="shared" si="23"/>
        <v/>
      </c>
    </row>
    <row r="478" spans="3:3" x14ac:dyDescent="0.35">
      <c r="C478" t="str">
        <f t="shared" si="23"/>
        <v/>
      </c>
    </row>
    <row r="479" spans="3:3" x14ac:dyDescent="0.35">
      <c r="C479" t="str">
        <f t="shared" si="23"/>
        <v/>
      </c>
    </row>
    <row r="480" spans="3:3" x14ac:dyDescent="0.35">
      <c r="C480" t="str">
        <f t="shared" si="23"/>
        <v/>
      </c>
    </row>
    <row r="481" spans="3:3" x14ac:dyDescent="0.35">
      <c r="C481" t="str">
        <f t="shared" si="23"/>
        <v/>
      </c>
    </row>
    <row r="482" spans="3:3" x14ac:dyDescent="0.35">
      <c r="C482" t="str">
        <f t="shared" si="23"/>
        <v/>
      </c>
    </row>
    <row r="483" spans="3:3" x14ac:dyDescent="0.35">
      <c r="C483" t="str">
        <f t="shared" si="23"/>
        <v/>
      </c>
    </row>
    <row r="484" spans="3:3" x14ac:dyDescent="0.35">
      <c r="C484" t="str">
        <f t="shared" si="23"/>
        <v/>
      </c>
    </row>
    <row r="485" spans="3:3" x14ac:dyDescent="0.35">
      <c r="C485" t="str">
        <f t="shared" si="23"/>
        <v/>
      </c>
    </row>
    <row r="486" spans="3:3" x14ac:dyDescent="0.35">
      <c r="C486" t="str">
        <f t="shared" si="23"/>
        <v/>
      </c>
    </row>
    <row r="487" spans="3:3" x14ac:dyDescent="0.35">
      <c r="C487" t="str">
        <f t="shared" si="23"/>
        <v/>
      </c>
    </row>
    <row r="488" spans="3:3" x14ac:dyDescent="0.35">
      <c r="C488" t="str">
        <f t="shared" si="23"/>
        <v/>
      </c>
    </row>
    <row r="489" spans="3:3" x14ac:dyDescent="0.35">
      <c r="C489" t="str">
        <f t="shared" si="23"/>
        <v/>
      </c>
    </row>
    <row r="490" spans="3:3" x14ac:dyDescent="0.35">
      <c r="C490" t="str">
        <f t="shared" si="23"/>
        <v/>
      </c>
    </row>
    <row r="491" spans="3:3" x14ac:dyDescent="0.35">
      <c r="C491" t="str">
        <f t="shared" si="23"/>
        <v/>
      </c>
    </row>
    <row r="492" spans="3:3" x14ac:dyDescent="0.35">
      <c r="C492" t="str">
        <f t="shared" si="23"/>
        <v/>
      </c>
    </row>
    <row r="493" spans="3:3" x14ac:dyDescent="0.35">
      <c r="C493" t="str">
        <f t="shared" si="23"/>
        <v/>
      </c>
    </row>
    <row r="494" spans="3:3" x14ac:dyDescent="0.35">
      <c r="C494" t="str">
        <f t="shared" si="23"/>
        <v/>
      </c>
    </row>
    <row r="495" spans="3:3" x14ac:dyDescent="0.35">
      <c r="C495" t="str">
        <f t="shared" si="23"/>
        <v/>
      </c>
    </row>
    <row r="496" spans="3:3" x14ac:dyDescent="0.35">
      <c r="C496" t="str">
        <f t="shared" si="23"/>
        <v/>
      </c>
    </row>
    <row r="497" spans="3:3" x14ac:dyDescent="0.35">
      <c r="C497" t="str">
        <f t="shared" si="23"/>
        <v/>
      </c>
    </row>
    <row r="498" spans="3:3" x14ac:dyDescent="0.35">
      <c r="C498" t="str">
        <f t="shared" si="23"/>
        <v/>
      </c>
    </row>
    <row r="499" spans="3:3" x14ac:dyDescent="0.35">
      <c r="C499" t="str">
        <f t="shared" si="23"/>
        <v/>
      </c>
    </row>
    <row r="500" spans="3:3" x14ac:dyDescent="0.35">
      <c r="C500" t="str">
        <f t="shared" si="23"/>
        <v/>
      </c>
    </row>
    <row r="501" spans="3:3" x14ac:dyDescent="0.35">
      <c r="C501" t="str">
        <f t="shared" si="23"/>
        <v/>
      </c>
    </row>
    <row r="502" spans="3:3" x14ac:dyDescent="0.35">
      <c r="C502" t="str">
        <f t="shared" si="23"/>
        <v/>
      </c>
    </row>
    <row r="503" spans="3:3" x14ac:dyDescent="0.35">
      <c r="C503" t="str">
        <f t="shared" si="23"/>
        <v/>
      </c>
    </row>
    <row r="504" spans="3:3" x14ac:dyDescent="0.35">
      <c r="C504" t="str">
        <f t="shared" si="23"/>
        <v/>
      </c>
    </row>
    <row r="505" spans="3:3" x14ac:dyDescent="0.35">
      <c r="C505" t="str">
        <f t="shared" si="23"/>
        <v/>
      </c>
    </row>
    <row r="506" spans="3:3" x14ac:dyDescent="0.35">
      <c r="C506" t="str">
        <f t="shared" si="23"/>
        <v/>
      </c>
    </row>
    <row r="507" spans="3:3" x14ac:dyDescent="0.35">
      <c r="C507" t="str">
        <f t="shared" si="23"/>
        <v/>
      </c>
    </row>
    <row r="508" spans="3:3" x14ac:dyDescent="0.35">
      <c r="C508" t="str">
        <f t="shared" si="23"/>
        <v/>
      </c>
    </row>
    <row r="509" spans="3:3" x14ac:dyDescent="0.35">
      <c r="C509" t="str">
        <f t="shared" si="23"/>
        <v/>
      </c>
    </row>
    <row r="510" spans="3:3" x14ac:dyDescent="0.35">
      <c r="C510" t="str">
        <f t="shared" si="23"/>
        <v/>
      </c>
    </row>
    <row r="511" spans="3:3" x14ac:dyDescent="0.35">
      <c r="C511" t="str">
        <f t="shared" si="23"/>
        <v/>
      </c>
    </row>
    <row r="512" spans="3:3" x14ac:dyDescent="0.35">
      <c r="C512" t="str">
        <f t="shared" si="23"/>
        <v/>
      </c>
    </row>
    <row r="513" spans="3:3" x14ac:dyDescent="0.35">
      <c r="C513" t="str">
        <f t="shared" si="23"/>
        <v/>
      </c>
    </row>
    <row r="514" spans="3:3" x14ac:dyDescent="0.35">
      <c r="C514" t="str">
        <f t="shared" si="23"/>
        <v/>
      </c>
    </row>
    <row r="515" spans="3:3" x14ac:dyDescent="0.35">
      <c r="C515" t="str">
        <f t="shared" si="23"/>
        <v/>
      </c>
    </row>
    <row r="516" spans="3:3" x14ac:dyDescent="0.35">
      <c r="C516" t="str">
        <f t="shared" si="23"/>
        <v/>
      </c>
    </row>
    <row r="517" spans="3:3" x14ac:dyDescent="0.35">
      <c r="C517" t="str">
        <f t="shared" ref="C517:C580" si="24">IF(ISBLANK(D517), "",
IF(D517 &lt; $G$9,
    $G$10 + $G$19 * ($G$23 * (D517 - $G$9))^2 + $G$21 * (1 - (D517 - $G$6)/($G$9 - $G$6)),
IF(D517 &gt; $G$13,
    $G$14 + $G$19 * ($G$23 * (D517 - $G$13))^2 - $G$22 * (1 - (D517 - $G$6)/($G$13 - $G$6)),
IF(D517 &lt; $G$6,
    $G$16 * (D517 - $G$6)^2 + $G$5,
    $G$17 * (D517 - $G$6)^2 + $G$5))))</f>
        <v/>
      </c>
    </row>
    <row r="518" spans="3:3" x14ac:dyDescent="0.35">
      <c r="C518" t="str">
        <f t="shared" si="24"/>
        <v/>
      </c>
    </row>
    <row r="519" spans="3:3" x14ac:dyDescent="0.35">
      <c r="C519" t="str">
        <f t="shared" si="24"/>
        <v/>
      </c>
    </row>
    <row r="520" spans="3:3" x14ac:dyDescent="0.35">
      <c r="C520" t="str">
        <f t="shared" si="24"/>
        <v/>
      </c>
    </row>
    <row r="521" spans="3:3" x14ac:dyDescent="0.35">
      <c r="C521" t="str">
        <f t="shared" si="24"/>
        <v/>
      </c>
    </row>
    <row r="522" spans="3:3" x14ac:dyDescent="0.35">
      <c r="C522" t="str">
        <f t="shared" si="24"/>
        <v/>
      </c>
    </row>
    <row r="523" spans="3:3" x14ac:dyDescent="0.35">
      <c r="C523" t="str">
        <f t="shared" si="24"/>
        <v/>
      </c>
    </row>
    <row r="524" spans="3:3" x14ac:dyDescent="0.35">
      <c r="C524" t="str">
        <f t="shared" si="24"/>
        <v/>
      </c>
    </row>
    <row r="525" spans="3:3" x14ac:dyDescent="0.35">
      <c r="C525" t="str">
        <f t="shared" si="24"/>
        <v/>
      </c>
    </row>
    <row r="526" spans="3:3" x14ac:dyDescent="0.35">
      <c r="C526" t="str">
        <f t="shared" si="24"/>
        <v/>
      </c>
    </row>
    <row r="527" spans="3:3" x14ac:dyDescent="0.35">
      <c r="C527" t="str">
        <f t="shared" si="24"/>
        <v/>
      </c>
    </row>
    <row r="528" spans="3:3" x14ac:dyDescent="0.35">
      <c r="C528" t="str">
        <f t="shared" si="24"/>
        <v/>
      </c>
    </row>
    <row r="529" spans="3:3" x14ac:dyDescent="0.35">
      <c r="C529" t="str">
        <f t="shared" si="24"/>
        <v/>
      </c>
    </row>
    <row r="530" spans="3:3" x14ac:dyDescent="0.35">
      <c r="C530" t="str">
        <f t="shared" si="24"/>
        <v/>
      </c>
    </row>
    <row r="531" spans="3:3" x14ac:dyDescent="0.35">
      <c r="C531" t="str">
        <f t="shared" si="24"/>
        <v/>
      </c>
    </row>
    <row r="532" spans="3:3" x14ac:dyDescent="0.35">
      <c r="C532" t="str">
        <f t="shared" si="24"/>
        <v/>
      </c>
    </row>
    <row r="533" spans="3:3" x14ac:dyDescent="0.35">
      <c r="C533" t="str">
        <f t="shared" si="24"/>
        <v/>
      </c>
    </row>
    <row r="534" spans="3:3" x14ac:dyDescent="0.35">
      <c r="C534" t="str">
        <f t="shared" si="24"/>
        <v/>
      </c>
    </row>
    <row r="535" spans="3:3" x14ac:dyDescent="0.35">
      <c r="C535" t="str">
        <f t="shared" si="24"/>
        <v/>
      </c>
    </row>
    <row r="536" spans="3:3" x14ac:dyDescent="0.35">
      <c r="C536" t="str">
        <f t="shared" si="24"/>
        <v/>
      </c>
    </row>
    <row r="537" spans="3:3" x14ac:dyDescent="0.35">
      <c r="C537" t="str">
        <f t="shared" si="24"/>
        <v/>
      </c>
    </row>
    <row r="538" spans="3:3" x14ac:dyDescent="0.35">
      <c r="C538" t="str">
        <f t="shared" si="24"/>
        <v/>
      </c>
    </row>
    <row r="539" spans="3:3" x14ac:dyDescent="0.35">
      <c r="C539" t="str">
        <f t="shared" si="24"/>
        <v/>
      </c>
    </row>
    <row r="540" spans="3:3" x14ac:dyDescent="0.35">
      <c r="C540" t="str">
        <f t="shared" si="24"/>
        <v/>
      </c>
    </row>
    <row r="541" spans="3:3" x14ac:dyDescent="0.35">
      <c r="C541" t="str">
        <f t="shared" si="24"/>
        <v/>
      </c>
    </row>
    <row r="542" spans="3:3" x14ac:dyDescent="0.35">
      <c r="C542" t="str">
        <f t="shared" si="24"/>
        <v/>
      </c>
    </row>
    <row r="543" spans="3:3" x14ac:dyDescent="0.35">
      <c r="C543" t="str">
        <f t="shared" si="24"/>
        <v/>
      </c>
    </row>
    <row r="544" spans="3:3" x14ac:dyDescent="0.35">
      <c r="C544" t="str">
        <f t="shared" si="24"/>
        <v/>
      </c>
    </row>
    <row r="545" spans="3:3" x14ac:dyDescent="0.35">
      <c r="C545" t="str">
        <f t="shared" si="24"/>
        <v/>
      </c>
    </row>
    <row r="546" spans="3:3" x14ac:dyDescent="0.35">
      <c r="C546" t="str">
        <f t="shared" si="24"/>
        <v/>
      </c>
    </row>
    <row r="547" spans="3:3" x14ac:dyDescent="0.35">
      <c r="C547" t="str">
        <f t="shared" si="24"/>
        <v/>
      </c>
    </row>
    <row r="548" spans="3:3" x14ac:dyDescent="0.35">
      <c r="C548" t="str">
        <f t="shared" si="24"/>
        <v/>
      </c>
    </row>
    <row r="549" spans="3:3" x14ac:dyDescent="0.35">
      <c r="C549" t="str">
        <f t="shared" si="24"/>
        <v/>
      </c>
    </row>
    <row r="550" spans="3:3" x14ac:dyDescent="0.35">
      <c r="C550" t="str">
        <f t="shared" si="24"/>
        <v/>
      </c>
    </row>
    <row r="551" spans="3:3" x14ac:dyDescent="0.35">
      <c r="C551" t="str">
        <f t="shared" si="24"/>
        <v/>
      </c>
    </row>
    <row r="552" spans="3:3" x14ac:dyDescent="0.35">
      <c r="C552" t="str">
        <f t="shared" si="24"/>
        <v/>
      </c>
    </row>
    <row r="553" spans="3:3" x14ac:dyDescent="0.35">
      <c r="C553" t="str">
        <f t="shared" si="24"/>
        <v/>
      </c>
    </row>
    <row r="554" spans="3:3" x14ac:dyDescent="0.35">
      <c r="C554" t="str">
        <f t="shared" si="24"/>
        <v/>
      </c>
    </row>
    <row r="555" spans="3:3" x14ac:dyDescent="0.35">
      <c r="C555" t="str">
        <f t="shared" si="24"/>
        <v/>
      </c>
    </row>
    <row r="556" spans="3:3" x14ac:dyDescent="0.35">
      <c r="C556" t="str">
        <f t="shared" si="24"/>
        <v/>
      </c>
    </row>
    <row r="557" spans="3:3" x14ac:dyDescent="0.35">
      <c r="C557" t="str">
        <f t="shared" si="24"/>
        <v/>
      </c>
    </row>
    <row r="558" spans="3:3" x14ac:dyDescent="0.35">
      <c r="C558" t="str">
        <f t="shared" si="24"/>
        <v/>
      </c>
    </row>
    <row r="559" spans="3:3" x14ac:dyDescent="0.35">
      <c r="C559" t="str">
        <f t="shared" si="24"/>
        <v/>
      </c>
    </row>
    <row r="560" spans="3:3" x14ac:dyDescent="0.35">
      <c r="C560" t="str">
        <f t="shared" si="24"/>
        <v/>
      </c>
    </row>
    <row r="561" spans="3:3" x14ac:dyDescent="0.35">
      <c r="C561" t="str">
        <f t="shared" si="24"/>
        <v/>
      </c>
    </row>
    <row r="562" spans="3:3" x14ac:dyDescent="0.35">
      <c r="C562" t="str">
        <f t="shared" si="24"/>
        <v/>
      </c>
    </row>
    <row r="563" spans="3:3" x14ac:dyDescent="0.35">
      <c r="C563" t="str">
        <f t="shared" si="24"/>
        <v/>
      </c>
    </row>
    <row r="564" spans="3:3" x14ac:dyDescent="0.35">
      <c r="C564" t="str">
        <f t="shared" si="24"/>
        <v/>
      </c>
    </row>
    <row r="565" spans="3:3" x14ac:dyDescent="0.35">
      <c r="C565" t="str">
        <f t="shared" si="24"/>
        <v/>
      </c>
    </row>
    <row r="566" spans="3:3" x14ac:dyDescent="0.35">
      <c r="C566" t="str">
        <f t="shared" si="24"/>
        <v/>
      </c>
    </row>
    <row r="567" spans="3:3" x14ac:dyDescent="0.35">
      <c r="C567" t="str">
        <f t="shared" si="24"/>
        <v/>
      </c>
    </row>
    <row r="568" spans="3:3" x14ac:dyDescent="0.35">
      <c r="C568" t="str">
        <f t="shared" si="24"/>
        <v/>
      </c>
    </row>
    <row r="569" spans="3:3" x14ac:dyDescent="0.35">
      <c r="C569" t="str">
        <f t="shared" si="24"/>
        <v/>
      </c>
    </row>
    <row r="570" spans="3:3" x14ac:dyDescent="0.35">
      <c r="C570" t="str">
        <f t="shared" si="24"/>
        <v/>
      </c>
    </row>
    <row r="571" spans="3:3" x14ac:dyDescent="0.35">
      <c r="C571" t="str">
        <f t="shared" si="24"/>
        <v/>
      </c>
    </row>
    <row r="572" spans="3:3" x14ac:dyDescent="0.35">
      <c r="C572" t="str">
        <f t="shared" si="24"/>
        <v/>
      </c>
    </row>
    <row r="573" spans="3:3" x14ac:dyDescent="0.35">
      <c r="C573" t="str">
        <f t="shared" si="24"/>
        <v/>
      </c>
    </row>
    <row r="574" spans="3:3" x14ac:dyDescent="0.35">
      <c r="C574" t="str">
        <f t="shared" si="24"/>
        <v/>
      </c>
    </row>
    <row r="575" spans="3:3" x14ac:dyDescent="0.35">
      <c r="C575" t="str">
        <f t="shared" si="24"/>
        <v/>
      </c>
    </row>
    <row r="576" spans="3:3" x14ac:dyDescent="0.35">
      <c r="C576" t="str">
        <f t="shared" si="24"/>
        <v/>
      </c>
    </row>
    <row r="577" spans="3:3" x14ac:dyDescent="0.35">
      <c r="C577" t="str">
        <f t="shared" si="24"/>
        <v/>
      </c>
    </row>
    <row r="578" spans="3:3" x14ac:dyDescent="0.35">
      <c r="C578" t="str">
        <f t="shared" si="24"/>
        <v/>
      </c>
    </row>
    <row r="579" spans="3:3" x14ac:dyDescent="0.35">
      <c r="C579" t="str">
        <f t="shared" si="24"/>
        <v/>
      </c>
    </row>
    <row r="580" spans="3:3" x14ac:dyDescent="0.35">
      <c r="C580" t="str">
        <f t="shared" si="24"/>
        <v/>
      </c>
    </row>
    <row r="581" spans="3:3" x14ac:dyDescent="0.35">
      <c r="C581" t="str">
        <f t="shared" ref="C581:C644" si="25">IF(ISBLANK(D581), "",
IF(D581 &lt; $G$9,
    $G$10 + $G$19 * ($G$23 * (D581 - $G$9))^2 + $G$21 * (1 - (D581 - $G$6)/($G$9 - $G$6)),
IF(D581 &gt; $G$13,
    $G$14 + $G$19 * ($G$23 * (D581 - $G$13))^2 - $G$22 * (1 - (D581 - $G$6)/($G$13 - $G$6)),
IF(D581 &lt; $G$6,
    $G$16 * (D581 - $G$6)^2 + $G$5,
    $G$17 * (D581 - $G$6)^2 + $G$5))))</f>
        <v/>
      </c>
    </row>
    <row r="582" spans="3:3" x14ac:dyDescent="0.35">
      <c r="C582" t="str">
        <f t="shared" si="25"/>
        <v/>
      </c>
    </row>
    <row r="583" spans="3:3" x14ac:dyDescent="0.35">
      <c r="C583" t="str">
        <f t="shared" si="25"/>
        <v/>
      </c>
    </row>
    <row r="584" spans="3:3" x14ac:dyDescent="0.35">
      <c r="C584" t="str">
        <f t="shared" si="25"/>
        <v/>
      </c>
    </row>
    <row r="585" spans="3:3" x14ac:dyDescent="0.35">
      <c r="C585" t="str">
        <f t="shared" si="25"/>
        <v/>
      </c>
    </row>
    <row r="586" spans="3:3" x14ac:dyDescent="0.35">
      <c r="C586" t="str">
        <f t="shared" si="25"/>
        <v/>
      </c>
    </row>
    <row r="587" spans="3:3" x14ac:dyDescent="0.35">
      <c r="C587" t="str">
        <f t="shared" si="25"/>
        <v/>
      </c>
    </row>
    <row r="588" spans="3:3" x14ac:dyDescent="0.35">
      <c r="C588" t="str">
        <f t="shared" si="25"/>
        <v/>
      </c>
    </row>
    <row r="589" spans="3:3" x14ac:dyDescent="0.35">
      <c r="C589" t="str">
        <f t="shared" si="25"/>
        <v/>
      </c>
    </row>
    <row r="590" spans="3:3" x14ac:dyDescent="0.35">
      <c r="C590" t="str">
        <f t="shared" si="25"/>
        <v/>
      </c>
    </row>
    <row r="591" spans="3:3" x14ac:dyDescent="0.35">
      <c r="C591" t="str">
        <f t="shared" si="25"/>
        <v/>
      </c>
    </row>
    <row r="592" spans="3:3" x14ac:dyDescent="0.35">
      <c r="C592" t="str">
        <f t="shared" si="25"/>
        <v/>
      </c>
    </row>
    <row r="593" spans="3:3" x14ac:dyDescent="0.35">
      <c r="C593" t="str">
        <f t="shared" si="25"/>
        <v/>
      </c>
    </row>
    <row r="594" spans="3:3" x14ac:dyDescent="0.35">
      <c r="C594" t="str">
        <f t="shared" si="25"/>
        <v/>
      </c>
    </row>
    <row r="595" spans="3:3" x14ac:dyDescent="0.35">
      <c r="C595" t="str">
        <f t="shared" si="25"/>
        <v/>
      </c>
    </row>
    <row r="596" spans="3:3" x14ac:dyDescent="0.35">
      <c r="C596" t="str">
        <f t="shared" si="25"/>
        <v/>
      </c>
    </row>
    <row r="597" spans="3:3" x14ac:dyDescent="0.35">
      <c r="C597" t="str">
        <f t="shared" si="25"/>
        <v/>
      </c>
    </row>
    <row r="598" spans="3:3" x14ac:dyDescent="0.35">
      <c r="C598" t="str">
        <f t="shared" si="25"/>
        <v/>
      </c>
    </row>
    <row r="599" spans="3:3" x14ac:dyDescent="0.35">
      <c r="C599" t="str">
        <f t="shared" si="25"/>
        <v/>
      </c>
    </row>
    <row r="600" spans="3:3" x14ac:dyDescent="0.35">
      <c r="C600" t="str">
        <f t="shared" si="25"/>
        <v/>
      </c>
    </row>
    <row r="601" spans="3:3" x14ac:dyDescent="0.35">
      <c r="C601" t="str">
        <f t="shared" si="25"/>
        <v/>
      </c>
    </row>
    <row r="602" spans="3:3" x14ac:dyDescent="0.35">
      <c r="C602" t="str">
        <f t="shared" si="25"/>
        <v/>
      </c>
    </row>
    <row r="603" spans="3:3" x14ac:dyDescent="0.35">
      <c r="C603" t="str">
        <f t="shared" si="25"/>
        <v/>
      </c>
    </row>
    <row r="604" spans="3:3" x14ac:dyDescent="0.35">
      <c r="C604" t="str">
        <f t="shared" si="25"/>
        <v/>
      </c>
    </row>
    <row r="605" spans="3:3" x14ac:dyDescent="0.35">
      <c r="C605" t="str">
        <f t="shared" si="25"/>
        <v/>
      </c>
    </row>
    <row r="606" spans="3:3" x14ac:dyDescent="0.35">
      <c r="C606" t="str">
        <f t="shared" si="25"/>
        <v/>
      </c>
    </row>
    <row r="607" spans="3:3" x14ac:dyDescent="0.35">
      <c r="C607" t="str">
        <f t="shared" si="25"/>
        <v/>
      </c>
    </row>
    <row r="608" spans="3:3" x14ac:dyDescent="0.35">
      <c r="C608" t="str">
        <f t="shared" si="25"/>
        <v/>
      </c>
    </row>
    <row r="609" spans="3:3" x14ac:dyDescent="0.35">
      <c r="C609" t="str">
        <f t="shared" si="25"/>
        <v/>
      </c>
    </row>
    <row r="610" spans="3:3" x14ac:dyDescent="0.35">
      <c r="C610" t="str">
        <f t="shared" si="25"/>
        <v/>
      </c>
    </row>
    <row r="611" spans="3:3" x14ac:dyDescent="0.35">
      <c r="C611" t="str">
        <f t="shared" si="25"/>
        <v/>
      </c>
    </row>
    <row r="612" spans="3:3" x14ac:dyDescent="0.35">
      <c r="C612" t="str">
        <f t="shared" si="25"/>
        <v/>
      </c>
    </row>
    <row r="613" spans="3:3" x14ac:dyDescent="0.35">
      <c r="C613" t="str">
        <f t="shared" si="25"/>
        <v/>
      </c>
    </row>
    <row r="614" spans="3:3" x14ac:dyDescent="0.35">
      <c r="C614" t="str">
        <f t="shared" si="25"/>
        <v/>
      </c>
    </row>
    <row r="615" spans="3:3" x14ac:dyDescent="0.35">
      <c r="C615" t="str">
        <f t="shared" si="25"/>
        <v/>
      </c>
    </row>
    <row r="616" spans="3:3" x14ac:dyDescent="0.35">
      <c r="C616" t="str">
        <f t="shared" si="25"/>
        <v/>
      </c>
    </row>
    <row r="617" spans="3:3" x14ac:dyDescent="0.35">
      <c r="C617" t="str">
        <f t="shared" si="25"/>
        <v/>
      </c>
    </row>
    <row r="618" spans="3:3" x14ac:dyDescent="0.35">
      <c r="C618" t="str">
        <f t="shared" si="25"/>
        <v/>
      </c>
    </row>
    <row r="619" spans="3:3" x14ac:dyDescent="0.35">
      <c r="C619" t="str">
        <f t="shared" si="25"/>
        <v/>
      </c>
    </row>
    <row r="620" spans="3:3" x14ac:dyDescent="0.35">
      <c r="C620" t="str">
        <f t="shared" si="25"/>
        <v/>
      </c>
    </row>
    <row r="621" spans="3:3" x14ac:dyDescent="0.35">
      <c r="C621" t="str">
        <f t="shared" si="25"/>
        <v/>
      </c>
    </row>
    <row r="622" spans="3:3" x14ac:dyDescent="0.35">
      <c r="C622" t="str">
        <f t="shared" si="25"/>
        <v/>
      </c>
    </row>
    <row r="623" spans="3:3" x14ac:dyDescent="0.35">
      <c r="C623" t="str">
        <f t="shared" si="25"/>
        <v/>
      </c>
    </row>
    <row r="624" spans="3:3" x14ac:dyDescent="0.35">
      <c r="C624" t="str">
        <f t="shared" si="25"/>
        <v/>
      </c>
    </row>
    <row r="625" spans="3:3" x14ac:dyDescent="0.35">
      <c r="C625" t="str">
        <f t="shared" si="25"/>
        <v/>
      </c>
    </row>
    <row r="626" spans="3:3" x14ac:dyDescent="0.35">
      <c r="C626" t="str">
        <f t="shared" si="25"/>
        <v/>
      </c>
    </row>
    <row r="627" spans="3:3" x14ac:dyDescent="0.35">
      <c r="C627" t="str">
        <f t="shared" si="25"/>
        <v/>
      </c>
    </row>
    <row r="628" spans="3:3" x14ac:dyDescent="0.35">
      <c r="C628" t="str">
        <f t="shared" si="25"/>
        <v/>
      </c>
    </row>
    <row r="629" spans="3:3" x14ac:dyDescent="0.35">
      <c r="C629" t="str">
        <f t="shared" si="25"/>
        <v/>
      </c>
    </row>
    <row r="630" spans="3:3" x14ac:dyDescent="0.35">
      <c r="C630" t="str">
        <f t="shared" si="25"/>
        <v/>
      </c>
    </row>
    <row r="631" spans="3:3" x14ac:dyDescent="0.35">
      <c r="C631" t="str">
        <f t="shared" si="25"/>
        <v/>
      </c>
    </row>
    <row r="632" spans="3:3" x14ac:dyDescent="0.35">
      <c r="C632" t="str">
        <f t="shared" si="25"/>
        <v/>
      </c>
    </row>
    <row r="633" spans="3:3" x14ac:dyDescent="0.35">
      <c r="C633" t="str">
        <f t="shared" si="25"/>
        <v/>
      </c>
    </row>
    <row r="634" spans="3:3" x14ac:dyDescent="0.35">
      <c r="C634" t="str">
        <f t="shared" si="25"/>
        <v/>
      </c>
    </row>
    <row r="635" spans="3:3" x14ac:dyDescent="0.35">
      <c r="C635" t="str">
        <f t="shared" si="25"/>
        <v/>
      </c>
    </row>
    <row r="636" spans="3:3" x14ac:dyDescent="0.35">
      <c r="C636" t="str">
        <f t="shared" si="25"/>
        <v/>
      </c>
    </row>
    <row r="637" spans="3:3" x14ac:dyDescent="0.35">
      <c r="C637" t="str">
        <f t="shared" si="25"/>
        <v/>
      </c>
    </row>
    <row r="638" spans="3:3" x14ac:dyDescent="0.35">
      <c r="C638" t="str">
        <f t="shared" si="25"/>
        <v/>
      </c>
    </row>
    <row r="639" spans="3:3" x14ac:dyDescent="0.35">
      <c r="C639" t="str">
        <f t="shared" si="25"/>
        <v/>
      </c>
    </row>
    <row r="640" spans="3:3" x14ac:dyDescent="0.35">
      <c r="C640" t="str">
        <f t="shared" si="25"/>
        <v/>
      </c>
    </row>
    <row r="641" spans="3:3" x14ac:dyDescent="0.35">
      <c r="C641" t="str">
        <f t="shared" si="25"/>
        <v/>
      </c>
    </row>
    <row r="642" spans="3:3" x14ac:dyDescent="0.35">
      <c r="C642" t="str">
        <f t="shared" si="25"/>
        <v/>
      </c>
    </row>
    <row r="643" spans="3:3" x14ac:dyDescent="0.35">
      <c r="C643" t="str">
        <f t="shared" si="25"/>
        <v/>
      </c>
    </row>
    <row r="644" spans="3:3" x14ac:dyDescent="0.35">
      <c r="C644" t="str">
        <f t="shared" si="25"/>
        <v/>
      </c>
    </row>
    <row r="645" spans="3:3" x14ac:dyDescent="0.35">
      <c r="C645" t="str">
        <f t="shared" ref="C645:C708" si="26">IF(ISBLANK(D645), "",
IF(D645 &lt; $G$9,
    $G$10 + $G$19 * ($G$23 * (D645 - $G$9))^2 + $G$21 * (1 - (D645 - $G$6)/($G$9 - $G$6)),
IF(D645 &gt; $G$13,
    $G$14 + $G$19 * ($G$23 * (D645 - $G$13))^2 - $G$22 * (1 - (D645 - $G$6)/($G$13 - $G$6)),
IF(D645 &lt; $G$6,
    $G$16 * (D645 - $G$6)^2 + $G$5,
    $G$17 * (D645 - $G$6)^2 + $G$5))))</f>
        <v/>
      </c>
    </row>
    <row r="646" spans="3:3" x14ac:dyDescent="0.35">
      <c r="C646" t="str">
        <f t="shared" si="26"/>
        <v/>
      </c>
    </row>
    <row r="647" spans="3:3" x14ac:dyDescent="0.35">
      <c r="C647" t="str">
        <f t="shared" si="26"/>
        <v/>
      </c>
    </row>
    <row r="648" spans="3:3" x14ac:dyDescent="0.35">
      <c r="C648" t="str">
        <f t="shared" si="26"/>
        <v/>
      </c>
    </row>
    <row r="649" spans="3:3" x14ac:dyDescent="0.35">
      <c r="C649" t="str">
        <f t="shared" si="26"/>
        <v/>
      </c>
    </row>
    <row r="650" spans="3:3" x14ac:dyDescent="0.35">
      <c r="C650" t="str">
        <f t="shared" si="26"/>
        <v/>
      </c>
    </row>
    <row r="651" spans="3:3" x14ac:dyDescent="0.35">
      <c r="C651" t="str">
        <f t="shared" si="26"/>
        <v/>
      </c>
    </row>
    <row r="652" spans="3:3" x14ac:dyDescent="0.35">
      <c r="C652" t="str">
        <f t="shared" si="26"/>
        <v/>
      </c>
    </row>
    <row r="653" spans="3:3" x14ac:dyDescent="0.35">
      <c r="C653" t="str">
        <f t="shared" si="26"/>
        <v/>
      </c>
    </row>
    <row r="654" spans="3:3" x14ac:dyDescent="0.35">
      <c r="C654" t="str">
        <f t="shared" si="26"/>
        <v/>
      </c>
    </row>
    <row r="655" spans="3:3" x14ac:dyDescent="0.35">
      <c r="C655" t="str">
        <f t="shared" si="26"/>
        <v/>
      </c>
    </row>
    <row r="656" spans="3:3" x14ac:dyDescent="0.35">
      <c r="C656" t="str">
        <f t="shared" si="26"/>
        <v/>
      </c>
    </row>
    <row r="657" spans="3:3" x14ac:dyDescent="0.35">
      <c r="C657" t="str">
        <f t="shared" si="26"/>
        <v/>
      </c>
    </row>
    <row r="658" spans="3:3" x14ac:dyDescent="0.35">
      <c r="C658" t="str">
        <f t="shared" si="26"/>
        <v/>
      </c>
    </row>
    <row r="659" spans="3:3" x14ac:dyDescent="0.35">
      <c r="C659" t="str">
        <f t="shared" si="26"/>
        <v/>
      </c>
    </row>
    <row r="660" spans="3:3" x14ac:dyDescent="0.35">
      <c r="C660" t="str">
        <f t="shared" si="26"/>
        <v/>
      </c>
    </row>
    <row r="661" spans="3:3" x14ac:dyDescent="0.35">
      <c r="C661" t="str">
        <f t="shared" si="26"/>
        <v/>
      </c>
    </row>
    <row r="662" spans="3:3" x14ac:dyDescent="0.35">
      <c r="C662" t="str">
        <f t="shared" si="26"/>
        <v/>
      </c>
    </row>
    <row r="663" spans="3:3" x14ac:dyDescent="0.35">
      <c r="C663" t="str">
        <f t="shared" si="26"/>
        <v/>
      </c>
    </row>
    <row r="664" spans="3:3" x14ac:dyDescent="0.35">
      <c r="C664" t="str">
        <f t="shared" si="26"/>
        <v/>
      </c>
    </row>
    <row r="665" spans="3:3" x14ac:dyDescent="0.35">
      <c r="C665" t="str">
        <f t="shared" si="26"/>
        <v/>
      </c>
    </row>
    <row r="666" spans="3:3" x14ac:dyDescent="0.35">
      <c r="C666" t="str">
        <f t="shared" si="26"/>
        <v/>
      </c>
    </row>
    <row r="667" spans="3:3" x14ac:dyDescent="0.35">
      <c r="C667" t="str">
        <f t="shared" si="26"/>
        <v/>
      </c>
    </row>
    <row r="668" spans="3:3" x14ac:dyDescent="0.35">
      <c r="C668" t="str">
        <f t="shared" si="26"/>
        <v/>
      </c>
    </row>
    <row r="669" spans="3:3" x14ac:dyDescent="0.35">
      <c r="C669" t="str">
        <f t="shared" si="26"/>
        <v/>
      </c>
    </row>
    <row r="670" spans="3:3" x14ac:dyDescent="0.35">
      <c r="C670" t="str">
        <f t="shared" si="26"/>
        <v/>
      </c>
    </row>
    <row r="671" spans="3:3" x14ac:dyDescent="0.35">
      <c r="C671" t="str">
        <f t="shared" si="26"/>
        <v/>
      </c>
    </row>
    <row r="672" spans="3:3" x14ac:dyDescent="0.35">
      <c r="C672" t="str">
        <f t="shared" si="26"/>
        <v/>
      </c>
    </row>
    <row r="673" spans="3:3" x14ac:dyDescent="0.35">
      <c r="C673" t="str">
        <f t="shared" si="26"/>
        <v/>
      </c>
    </row>
    <row r="674" spans="3:3" x14ac:dyDescent="0.35">
      <c r="C674" t="str">
        <f t="shared" si="26"/>
        <v/>
      </c>
    </row>
    <row r="675" spans="3:3" x14ac:dyDescent="0.35">
      <c r="C675" t="str">
        <f t="shared" si="26"/>
        <v/>
      </c>
    </row>
    <row r="676" spans="3:3" x14ac:dyDescent="0.35">
      <c r="C676" t="str">
        <f t="shared" si="26"/>
        <v/>
      </c>
    </row>
    <row r="677" spans="3:3" x14ac:dyDescent="0.35">
      <c r="C677" t="str">
        <f t="shared" si="26"/>
        <v/>
      </c>
    </row>
    <row r="678" spans="3:3" x14ac:dyDescent="0.35">
      <c r="C678" t="str">
        <f t="shared" si="26"/>
        <v/>
      </c>
    </row>
    <row r="679" spans="3:3" x14ac:dyDescent="0.35">
      <c r="C679" t="str">
        <f t="shared" si="26"/>
        <v/>
      </c>
    </row>
    <row r="680" spans="3:3" x14ac:dyDescent="0.35">
      <c r="C680" t="str">
        <f t="shared" si="26"/>
        <v/>
      </c>
    </row>
    <row r="681" spans="3:3" x14ac:dyDescent="0.35">
      <c r="C681" t="str">
        <f t="shared" si="26"/>
        <v/>
      </c>
    </row>
    <row r="682" spans="3:3" x14ac:dyDescent="0.35">
      <c r="C682" t="str">
        <f t="shared" si="26"/>
        <v/>
      </c>
    </row>
    <row r="683" spans="3:3" x14ac:dyDescent="0.35">
      <c r="C683" t="str">
        <f t="shared" si="26"/>
        <v/>
      </c>
    </row>
    <row r="684" spans="3:3" x14ac:dyDescent="0.35">
      <c r="C684" t="str">
        <f t="shared" si="26"/>
        <v/>
      </c>
    </row>
    <row r="685" spans="3:3" x14ac:dyDescent="0.35">
      <c r="C685" t="str">
        <f t="shared" si="26"/>
        <v/>
      </c>
    </row>
    <row r="686" spans="3:3" x14ac:dyDescent="0.35">
      <c r="C686" t="str">
        <f t="shared" si="26"/>
        <v/>
      </c>
    </row>
    <row r="687" spans="3:3" x14ac:dyDescent="0.35">
      <c r="C687" t="str">
        <f t="shared" si="26"/>
        <v/>
      </c>
    </row>
    <row r="688" spans="3:3" x14ac:dyDescent="0.35">
      <c r="C688" t="str">
        <f t="shared" si="26"/>
        <v/>
      </c>
    </row>
    <row r="689" spans="3:3" x14ac:dyDescent="0.35">
      <c r="C689" t="str">
        <f t="shared" si="26"/>
        <v/>
      </c>
    </row>
    <row r="690" spans="3:3" x14ac:dyDescent="0.35">
      <c r="C690" t="str">
        <f t="shared" si="26"/>
        <v/>
      </c>
    </row>
    <row r="691" spans="3:3" x14ac:dyDescent="0.35">
      <c r="C691" t="str">
        <f t="shared" si="26"/>
        <v/>
      </c>
    </row>
    <row r="692" spans="3:3" x14ac:dyDescent="0.35">
      <c r="C692" t="str">
        <f t="shared" si="26"/>
        <v/>
      </c>
    </row>
    <row r="693" spans="3:3" x14ac:dyDescent="0.35">
      <c r="C693" t="str">
        <f t="shared" si="26"/>
        <v/>
      </c>
    </row>
    <row r="694" spans="3:3" x14ac:dyDescent="0.35">
      <c r="C694" t="str">
        <f t="shared" si="26"/>
        <v/>
      </c>
    </row>
    <row r="695" spans="3:3" x14ac:dyDescent="0.35">
      <c r="C695" t="str">
        <f t="shared" si="26"/>
        <v/>
      </c>
    </row>
    <row r="696" spans="3:3" x14ac:dyDescent="0.35">
      <c r="C696" t="str">
        <f t="shared" si="26"/>
        <v/>
      </c>
    </row>
    <row r="697" spans="3:3" x14ac:dyDescent="0.35">
      <c r="C697" t="str">
        <f t="shared" si="26"/>
        <v/>
      </c>
    </row>
    <row r="698" spans="3:3" x14ac:dyDescent="0.35">
      <c r="C698" t="str">
        <f t="shared" si="26"/>
        <v/>
      </c>
    </row>
    <row r="699" spans="3:3" x14ac:dyDescent="0.35">
      <c r="C699" t="str">
        <f t="shared" si="26"/>
        <v/>
      </c>
    </row>
    <row r="700" spans="3:3" x14ac:dyDescent="0.35">
      <c r="C700" t="str">
        <f t="shared" si="26"/>
        <v/>
      </c>
    </row>
    <row r="701" spans="3:3" x14ac:dyDescent="0.35">
      <c r="C701" t="str">
        <f t="shared" si="26"/>
        <v/>
      </c>
    </row>
    <row r="702" spans="3:3" x14ac:dyDescent="0.35">
      <c r="C702" t="str">
        <f t="shared" si="26"/>
        <v/>
      </c>
    </row>
    <row r="703" spans="3:3" x14ac:dyDescent="0.35">
      <c r="C703" t="str">
        <f t="shared" si="26"/>
        <v/>
      </c>
    </row>
    <row r="704" spans="3:3" x14ac:dyDescent="0.35">
      <c r="C704" t="str">
        <f t="shared" si="26"/>
        <v/>
      </c>
    </row>
    <row r="705" spans="3:3" x14ac:dyDescent="0.35">
      <c r="C705" t="str">
        <f t="shared" si="26"/>
        <v/>
      </c>
    </row>
    <row r="706" spans="3:3" x14ac:dyDescent="0.35">
      <c r="C706" t="str">
        <f t="shared" si="26"/>
        <v/>
      </c>
    </row>
    <row r="707" spans="3:3" x14ac:dyDescent="0.35">
      <c r="C707" t="str">
        <f t="shared" si="26"/>
        <v/>
      </c>
    </row>
    <row r="708" spans="3:3" x14ac:dyDescent="0.35">
      <c r="C708" t="str">
        <f t="shared" si="26"/>
        <v/>
      </c>
    </row>
    <row r="709" spans="3:3" x14ac:dyDescent="0.35">
      <c r="C709" t="str">
        <f t="shared" ref="C709:C772" si="27">IF(ISBLANK(D709), "",
IF(D709 &lt; $G$9,
    $G$10 + $G$19 * ($G$23 * (D709 - $G$9))^2 + $G$21 * (1 - (D709 - $G$6)/($G$9 - $G$6)),
IF(D709 &gt; $G$13,
    $G$14 + $G$19 * ($G$23 * (D709 - $G$13))^2 - $G$22 * (1 - (D709 - $G$6)/($G$13 - $G$6)),
IF(D709 &lt; $G$6,
    $G$16 * (D709 - $G$6)^2 + $G$5,
    $G$17 * (D709 - $G$6)^2 + $G$5))))</f>
        <v/>
      </c>
    </row>
    <row r="710" spans="3:3" x14ac:dyDescent="0.35">
      <c r="C710" t="str">
        <f t="shared" si="27"/>
        <v/>
      </c>
    </row>
    <row r="711" spans="3:3" x14ac:dyDescent="0.35">
      <c r="C711" t="str">
        <f t="shared" si="27"/>
        <v/>
      </c>
    </row>
    <row r="712" spans="3:3" x14ac:dyDescent="0.35">
      <c r="C712" t="str">
        <f t="shared" si="27"/>
        <v/>
      </c>
    </row>
    <row r="713" spans="3:3" x14ac:dyDescent="0.35">
      <c r="C713" t="str">
        <f t="shared" si="27"/>
        <v/>
      </c>
    </row>
    <row r="714" spans="3:3" x14ac:dyDescent="0.35">
      <c r="C714" t="str">
        <f t="shared" si="27"/>
        <v/>
      </c>
    </row>
    <row r="715" spans="3:3" x14ac:dyDescent="0.35">
      <c r="C715" t="str">
        <f t="shared" si="27"/>
        <v/>
      </c>
    </row>
    <row r="716" spans="3:3" x14ac:dyDescent="0.35">
      <c r="C716" t="str">
        <f t="shared" si="27"/>
        <v/>
      </c>
    </row>
    <row r="717" spans="3:3" x14ac:dyDescent="0.35">
      <c r="C717" t="str">
        <f t="shared" si="27"/>
        <v/>
      </c>
    </row>
    <row r="718" spans="3:3" x14ac:dyDescent="0.35">
      <c r="C718" t="str">
        <f t="shared" si="27"/>
        <v/>
      </c>
    </row>
    <row r="719" spans="3:3" x14ac:dyDescent="0.35">
      <c r="C719" t="str">
        <f t="shared" si="27"/>
        <v/>
      </c>
    </row>
    <row r="720" spans="3:3" x14ac:dyDescent="0.35">
      <c r="C720" t="str">
        <f t="shared" si="27"/>
        <v/>
      </c>
    </row>
    <row r="721" spans="3:3" x14ac:dyDescent="0.35">
      <c r="C721" t="str">
        <f t="shared" si="27"/>
        <v/>
      </c>
    </row>
    <row r="722" spans="3:3" x14ac:dyDescent="0.35">
      <c r="C722" t="str">
        <f t="shared" si="27"/>
        <v/>
      </c>
    </row>
    <row r="723" spans="3:3" x14ac:dyDescent="0.35">
      <c r="C723" t="str">
        <f t="shared" si="27"/>
        <v/>
      </c>
    </row>
    <row r="724" spans="3:3" x14ac:dyDescent="0.35">
      <c r="C724" t="str">
        <f t="shared" si="27"/>
        <v/>
      </c>
    </row>
    <row r="725" spans="3:3" x14ac:dyDescent="0.35">
      <c r="C725" t="str">
        <f t="shared" si="27"/>
        <v/>
      </c>
    </row>
    <row r="726" spans="3:3" x14ac:dyDescent="0.35">
      <c r="C726" t="str">
        <f t="shared" si="27"/>
        <v/>
      </c>
    </row>
    <row r="727" spans="3:3" x14ac:dyDescent="0.35">
      <c r="C727" t="str">
        <f t="shared" si="27"/>
        <v/>
      </c>
    </row>
    <row r="728" spans="3:3" x14ac:dyDescent="0.35">
      <c r="C728" t="str">
        <f t="shared" si="27"/>
        <v/>
      </c>
    </row>
    <row r="729" spans="3:3" x14ac:dyDescent="0.35">
      <c r="C729" t="str">
        <f t="shared" si="27"/>
        <v/>
      </c>
    </row>
    <row r="730" spans="3:3" x14ac:dyDescent="0.35">
      <c r="C730" t="str">
        <f t="shared" si="27"/>
        <v/>
      </c>
    </row>
    <row r="731" spans="3:3" x14ac:dyDescent="0.35">
      <c r="C731" t="str">
        <f t="shared" si="27"/>
        <v/>
      </c>
    </row>
    <row r="732" spans="3:3" x14ac:dyDescent="0.35">
      <c r="C732" t="str">
        <f t="shared" si="27"/>
        <v/>
      </c>
    </row>
    <row r="733" spans="3:3" x14ac:dyDescent="0.35">
      <c r="C733" t="str">
        <f t="shared" si="27"/>
        <v/>
      </c>
    </row>
    <row r="734" spans="3:3" x14ac:dyDescent="0.35">
      <c r="C734" t="str">
        <f t="shared" si="27"/>
        <v/>
      </c>
    </row>
    <row r="735" spans="3:3" x14ac:dyDescent="0.35">
      <c r="C735" t="str">
        <f t="shared" si="27"/>
        <v/>
      </c>
    </row>
    <row r="736" spans="3:3" x14ac:dyDescent="0.35">
      <c r="C736" t="str">
        <f t="shared" si="27"/>
        <v/>
      </c>
    </row>
    <row r="737" spans="3:3" x14ac:dyDescent="0.35">
      <c r="C737" t="str">
        <f t="shared" si="27"/>
        <v/>
      </c>
    </row>
    <row r="738" spans="3:3" x14ac:dyDescent="0.35">
      <c r="C738" t="str">
        <f t="shared" si="27"/>
        <v/>
      </c>
    </row>
    <row r="739" spans="3:3" x14ac:dyDescent="0.35">
      <c r="C739" t="str">
        <f t="shared" si="27"/>
        <v/>
      </c>
    </row>
    <row r="740" spans="3:3" x14ac:dyDescent="0.35">
      <c r="C740" t="str">
        <f t="shared" si="27"/>
        <v/>
      </c>
    </row>
    <row r="741" spans="3:3" x14ac:dyDescent="0.35">
      <c r="C741" t="str">
        <f t="shared" si="27"/>
        <v/>
      </c>
    </row>
    <row r="742" spans="3:3" x14ac:dyDescent="0.35">
      <c r="C742" t="str">
        <f t="shared" si="27"/>
        <v/>
      </c>
    </row>
    <row r="743" spans="3:3" x14ac:dyDescent="0.35">
      <c r="C743" t="str">
        <f t="shared" si="27"/>
        <v/>
      </c>
    </row>
    <row r="744" spans="3:3" x14ac:dyDescent="0.35">
      <c r="C744" t="str">
        <f t="shared" si="27"/>
        <v/>
      </c>
    </row>
    <row r="745" spans="3:3" x14ac:dyDescent="0.35">
      <c r="C745" t="str">
        <f t="shared" si="27"/>
        <v/>
      </c>
    </row>
    <row r="746" spans="3:3" x14ac:dyDescent="0.35">
      <c r="C746" t="str">
        <f t="shared" si="27"/>
        <v/>
      </c>
    </row>
    <row r="747" spans="3:3" x14ac:dyDescent="0.35">
      <c r="C747" t="str">
        <f t="shared" si="27"/>
        <v/>
      </c>
    </row>
    <row r="748" spans="3:3" x14ac:dyDescent="0.35">
      <c r="C748" t="str">
        <f t="shared" si="27"/>
        <v/>
      </c>
    </row>
    <row r="749" spans="3:3" x14ac:dyDescent="0.35">
      <c r="C749" t="str">
        <f t="shared" si="27"/>
        <v/>
      </c>
    </row>
    <row r="750" spans="3:3" x14ac:dyDescent="0.35">
      <c r="C750" t="str">
        <f t="shared" si="27"/>
        <v/>
      </c>
    </row>
    <row r="751" spans="3:3" x14ac:dyDescent="0.35">
      <c r="C751" t="str">
        <f t="shared" si="27"/>
        <v/>
      </c>
    </row>
    <row r="752" spans="3:3" x14ac:dyDescent="0.35">
      <c r="C752" t="str">
        <f t="shared" si="27"/>
        <v/>
      </c>
    </row>
    <row r="753" spans="3:3" x14ac:dyDescent="0.35">
      <c r="C753" t="str">
        <f t="shared" si="27"/>
        <v/>
      </c>
    </row>
    <row r="754" spans="3:3" x14ac:dyDescent="0.35">
      <c r="C754" t="str">
        <f t="shared" si="27"/>
        <v/>
      </c>
    </row>
    <row r="755" spans="3:3" x14ac:dyDescent="0.35">
      <c r="C755" t="str">
        <f t="shared" si="27"/>
        <v/>
      </c>
    </row>
    <row r="756" spans="3:3" x14ac:dyDescent="0.35">
      <c r="C756" t="str">
        <f t="shared" si="27"/>
        <v/>
      </c>
    </row>
    <row r="757" spans="3:3" x14ac:dyDescent="0.35">
      <c r="C757" t="str">
        <f t="shared" si="27"/>
        <v/>
      </c>
    </row>
    <row r="758" spans="3:3" x14ac:dyDescent="0.35">
      <c r="C758" t="str">
        <f t="shared" si="27"/>
        <v/>
      </c>
    </row>
    <row r="759" spans="3:3" x14ac:dyDescent="0.35">
      <c r="C759" t="str">
        <f t="shared" si="27"/>
        <v/>
      </c>
    </row>
    <row r="760" spans="3:3" x14ac:dyDescent="0.35">
      <c r="C760" t="str">
        <f t="shared" si="27"/>
        <v/>
      </c>
    </row>
    <row r="761" spans="3:3" x14ac:dyDescent="0.35">
      <c r="C761" t="str">
        <f t="shared" si="27"/>
        <v/>
      </c>
    </row>
    <row r="762" spans="3:3" x14ac:dyDescent="0.35">
      <c r="C762" t="str">
        <f t="shared" si="27"/>
        <v/>
      </c>
    </row>
    <row r="763" spans="3:3" x14ac:dyDescent="0.35">
      <c r="C763" t="str">
        <f t="shared" si="27"/>
        <v/>
      </c>
    </row>
    <row r="764" spans="3:3" x14ac:dyDescent="0.35">
      <c r="C764" t="str">
        <f t="shared" si="27"/>
        <v/>
      </c>
    </row>
    <row r="765" spans="3:3" x14ac:dyDescent="0.35">
      <c r="C765" t="str">
        <f t="shared" si="27"/>
        <v/>
      </c>
    </row>
    <row r="766" spans="3:3" x14ac:dyDescent="0.35">
      <c r="C766" t="str">
        <f t="shared" si="27"/>
        <v/>
      </c>
    </row>
    <row r="767" spans="3:3" x14ac:dyDescent="0.35">
      <c r="C767" t="str">
        <f t="shared" si="27"/>
        <v/>
      </c>
    </row>
    <row r="768" spans="3:3" x14ac:dyDescent="0.35">
      <c r="C768" t="str">
        <f t="shared" si="27"/>
        <v/>
      </c>
    </row>
    <row r="769" spans="3:3" x14ac:dyDescent="0.35">
      <c r="C769" t="str">
        <f t="shared" si="27"/>
        <v/>
      </c>
    </row>
    <row r="770" spans="3:3" x14ac:dyDescent="0.35">
      <c r="C770" t="str">
        <f t="shared" si="27"/>
        <v/>
      </c>
    </row>
    <row r="771" spans="3:3" x14ac:dyDescent="0.35">
      <c r="C771" t="str">
        <f t="shared" si="27"/>
        <v/>
      </c>
    </row>
    <row r="772" spans="3:3" x14ac:dyDescent="0.35">
      <c r="C772" t="str">
        <f t="shared" si="27"/>
        <v/>
      </c>
    </row>
    <row r="773" spans="3:3" x14ac:dyDescent="0.35">
      <c r="C773" t="str">
        <f t="shared" ref="C773:C836" si="28">IF(ISBLANK(D773), "",
IF(D773 &lt; $G$9,
    $G$10 + $G$19 * ($G$23 * (D773 - $G$9))^2 + $G$21 * (1 - (D773 - $G$6)/($G$9 - $G$6)),
IF(D773 &gt; $G$13,
    $G$14 + $G$19 * ($G$23 * (D773 - $G$13))^2 - $G$22 * (1 - (D773 - $G$6)/($G$13 - $G$6)),
IF(D773 &lt; $G$6,
    $G$16 * (D773 - $G$6)^2 + $G$5,
    $G$17 * (D773 - $G$6)^2 + $G$5))))</f>
        <v/>
      </c>
    </row>
    <row r="774" spans="3:3" x14ac:dyDescent="0.35">
      <c r="C774" t="str">
        <f t="shared" si="28"/>
        <v/>
      </c>
    </row>
    <row r="775" spans="3:3" x14ac:dyDescent="0.35">
      <c r="C775" t="str">
        <f t="shared" si="28"/>
        <v/>
      </c>
    </row>
    <row r="776" spans="3:3" x14ac:dyDescent="0.35">
      <c r="C776" t="str">
        <f t="shared" si="28"/>
        <v/>
      </c>
    </row>
    <row r="777" spans="3:3" x14ac:dyDescent="0.35">
      <c r="C777" t="str">
        <f t="shared" si="28"/>
        <v/>
      </c>
    </row>
    <row r="778" spans="3:3" x14ac:dyDescent="0.35">
      <c r="C778" t="str">
        <f t="shared" si="28"/>
        <v/>
      </c>
    </row>
    <row r="779" spans="3:3" x14ac:dyDescent="0.35">
      <c r="C779" t="str">
        <f t="shared" si="28"/>
        <v/>
      </c>
    </row>
    <row r="780" spans="3:3" x14ac:dyDescent="0.35">
      <c r="C780" t="str">
        <f t="shared" si="28"/>
        <v/>
      </c>
    </row>
    <row r="781" spans="3:3" x14ac:dyDescent="0.35">
      <c r="C781" t="str">
        <f t="shared" si="28"/>
        <v/>
      </c>
    </row>
    <row r="782" spans="3:3" x14ac:dyDescent="0.35">
      <c r="C782" t="str">
        <f t="shared" si="28"/>
        <v/>
      </c>
    </row>
    <row r="783" spans="3:3" x14ac:dyDescent="0.35">
      <c r="C783" t="str">
        <f t="shared" si="28"/>
        <v/>
      </c>
    </row>
    <row r="784" spans="3:3" x14ac:dyDescent="0.35">
      <c r="C784" t="str">
        <f t="shared" si="28"/>
        <v/>
      </c>
    </row>
    <row r="785" spans="3:3" x14ac:dyDescent="0.35">
      <c r="C785" t="str">
        <f t="shared" si="28"/>
        <v/>
      </c>
    </row>
    <row r="786" spans="3:3" x14ac:dyDescent="0.35">
      <c r="C786" t="str">
        <f t="shared" si="28"/>
        <v/>
      </c>
    </row>
    <row r="787" spans="3:3" x14ac:dyDescent="0.35">
      <c r="C787" t="str">
        <f t="shared" si="28"/>
        <v/>
      </c>
    </row>
    <row r="788" spans="3:3" x14ac:dyDescent="0.35">
      <c r="C788" t="str">
        <f t="shared" si="28"/>
        <v/>
      </c>
    </row>
    <row r="789" spans="3:3" x14ac:dyDescent="0.35">
      <c r="C789" t="str">
        <f t="shared" si="28"/>
        <v/>
      </c>
    </row>
    <row r="790" spans="3:3" x14ac:dyDescent="0.35">
      <c r="C790" t="str">
        <f t="shared" si="28"/>
        <v/>
      </c>
    </row>
    <row r="791" spans="3:3" x14ac:dyDescent="0.35">
      <c r="C791" t="str">
        <f t="shared" si="28"/>
        <v/>
      </c>
    </row>
    <row r="792" spans="3:3" x14ac:dyDescent="0.35">
      <c r="C792" t="str">
        <f t="shared" si="28"/>
        <v/>
      </c>
    </row>
    <row r="793" spans="3:3" x14ac:dyDescent="0.35">
      <c r="C793" t="str">
        <f t="shared" si="28"/>
        <v/>
      </c>
    </row>
    <row r="794" spans="3:3" x14ac:dyDescent="0.35">
      <c r="C794" t="str">
        <f t="shared" si="28"/>
        <v/>
      </c>
    </row>
    <row r="795" spans="3:3" x14ac:dyDescent="0.35">
      <c r="C795" t="str">
        <f t="shared" si="28"/>
        <v/>
      </c>
    </row>
    <row r="796" spans="3:3" x14ac:dyDescent="0.35">
      <c r="C796" t="str">
        <f t="shared" si="28"/>
        <v/>
      </c>
    </row>
    <row r="797" spans="3:3" x14ac:dyDescent="0.35">
      <c r="C797" t="str">
        <f t="shared" si="28"/>
        <v/>
      </c>
    </row>
    <row r="798" spans="3:3" x14ac:dyDescent="0.35">
      <c r="C798" t="str">
        <f t="shared" si="28"/>
        <v/>
      </c>
    </row>
    <row r="799" spans="3:3" x14ac:dyDescent="0.35">
      <c r="C799" t="str">
        <f t="shared" si="28"/>
        <v/>
      </c>
    </row>
    <row r="800" spans="3:3" x14ac:dyDescent="0.35">
      <c r="C800" t="str">
        <f t="shared" si="28"/>
        <v/>
      </c>
    </row>
    <row r="801" spans="3:3" x14ac:dyDescent="0.35">
      <c r="C801" t="str">
        <f t="shared" si="28"/>
        <v/>
      </c>
    </row>
    <row r="802" spans="3:3" x14ac:dyDescent="0.35">
      <c r="C802" t="str">
        <f t="shared" si="28"/>
        <v/>
      </c>
    </row>
    <row r="803" spans="3:3" x14ac:dyDescent="0.35">
      <c r="C803" t="str">
        <f t="shared" si="28"/>
        <v/>
      </c>
    </row>
    <row r="804" spans="3:3" x14ac:dyDescent="0.35">
      <c r="C804" t="str">
        <f t="shared" si="28"/>
        <v/>
      </c>
    </row>
    <row r="805" spans="3:3" x14ac:dyDescent="0.35">
      <c r="C805" t="str">
        <f t="shared" si="28"/>
        <v/>
      </c>
    </row>
    <row r="806" spans="3:3" x14ac:dyDescent="0.35">
      <c r="C806" t="str">
        <f t="shared" si="28"/>
        <v/>
      </c>
    </row>
    <row r="807" spans="3:3" x14ac:dyDescent="0.35">
      <c r="C807" t="str">
        <f t="shared" si="28"/>
        <v/>
      </c>
    </row>
    <row r="808" spans="3:3" x14ac:dyDescent="0.35">
      <c r="C808" t="str">
        <f t="shared" si="28"/>
        <v/>
      </c>
    </row>
    <row r="809" spans="3:3" x14ac:dyDescent="0.35">
      <c r="C809" t="str">
        <f t="shared" si="28"/>
        <v/>
      </c>
    </row>
    <row r="810" spans="3:3" x14ac:dyDescent="0.35">
      <c r="C810" t="str">
        <f t="shared" si="28"/>
        <v/>
      </c>
    </row>
    <row r="811" spans="3:3" x14ac:dyDescent="0.35">
      <c r="C811" t="str">
        <f t="shared" si="28"/>
        <v/>
      </c>
    </row>
    <row r="812" spans="3:3" x14ac:dyDescent="0.35">
      <c r="C812" t="str">
        <f t="shared" si="28"/>
        <v/>
      </c>
    </row>
    <row r="813" spans="3:3" x14ac:dyDescent="0.35">
      <c r="C813" t="str">
        <f t="shared" si="28"/>
        <v/>
      </c>
    </row>
    <row r="814" spans="3:3" x14ac:dyDescent="0.35">
      <c r="C814" t="str">
        <f t="shared" si="28"/>
        <v/>
      </c>
    </row>
    <row r="815" spans="3:3" x14ac:dyDescent="0.35">
      <c r="C815" t="str">
        <f t="shared" si="28"/>
        <v/>
      </c>
    </row>
    <row r="816" spans="3:3" x14ac:dyDescent="0.35">
      <c r="C816" t="str">
        <f t="shared" si="28"/>
        <v/>
      </c>
    </row>
    <row r="817" spans="3:3" x14ac:dyDescent="0.35">
      <c r="C817" t="str">
        <f t="shared" si="28"/>
        <v/>
      </c>
    </row>
    <row r="818" spans="3:3" x14ac:dyDescent="0.35">
      <c r="C818" t="str">
        <f t="shared" si="28"/>
        <v/>
      </c>
    </row>
    <row r="819" spans="3:3" x14ac:dyDescent="0.35">
      <c r="C819" t="str">
        <f t="shared" si="28"/>
        <v/>
      </c>
    </row>
    <row r="820" spans="3:3" x14ac:dyDescent="0.35">
      <c r="C820" t="str">
        <f t="shared" si="28"/>
        <v/>
      </c>
    </row>
    <row r="821" spans="3:3" x14ac:dyDescent="0.35">
      <c r="C821" t="str">
        <f t="shared" si="28"/>
        <v/>
      </c>
    </row>
    <row r="822" spans="3:3" x14ac:dyDescent="0.35">
      <c r="C822" t="str">
        <f t="shared" si="28"/>
        <v/>
      </c>
    </row>
    <row r="823" spans="3:3" x14ac:dyDescent="0.35">
      <c r="C823" t="str">
        <f t="shared" si="28"/>
        <v/>
      </c>
    </row>
    <row r="824" spans="3:3" x14ac:dyDescent="0.35">
      <c r="C824" t="str">
        <f t="shared" si="28"/>
        <v/>
      </c>
    </row>
    <row r="825" spans="3:3" x14ac:dyDescent="0.35">
      <c r="C825" t="str">
        <f t="shared" si="28"/>
        <v/>
      </c>
    </row>
    <row r="826" spans="3:3" x14ac:dyDescent="0.35">
      <c r="C826" t="str">
        <f t="shared" si="28"/>
        <v/>
      </c>
    </row>
    <row r="827" spans="3:3" x14ac:dyDescent="0.35">
      <c r="C827" t="str">
        <f t="shared" si="28"/>
        <v/>
      </c>
    </row>
    <row r="828" spans="3:3" x14ac:dyDescent="0.35">
      <c r="C828" t="str">
        <f t="shared" si="28"/>
        <v/>
      </c>
    </row>
    <row r="829" spans="3:3" x14ac:dyDescent="0.35">
      <c r="C829" t="str">
        <f t="shared" si="28"/>
        <v/>
      </c>
    </row>
    <row r="830" spans="3:3" x14ac:dyDescent="0.35">
      <c r="C830" t="str">
        <f t="shared" si="28"/>
        <v/>
      </c>
    </row>
    <row r="831" spans="3:3" x14ac:dyDescent="0.35">
      <c r="C831" t="str">
        <f t="shared" si="28"/>
        <v/>
      </c>
    </row>
    <row r="832" spans="3:3" x14ac:dyDescent="0.35">
      <c r="C832" t="str">
        <f t="shared" si="28"/>
        <v/>
      </c>
    </row>
    <row r="833" spans="3:3" x14ac:dyDescent="0.35">
      <c r="C833" t="str">
        <f t="shared" si="28"/>
        <v/>
      </c>
    </row>
    <row r="834" spans="3:3" x14ac:dyDescent="0.35">
      <c r="C834" t="str">
        <f t="shared" si="28"/>
        <v/>
      </c>
    </row>
    <row r="835" spans="3:3" x14ac:dyDescent="0.35">
      <c r="C835" t="str">
        <f t="shared" si="28"/>
        <v/>
      </c>
    </row>
    <row r="836" spans="3:3" x14ac:dyDescent="0.35">
      <c r="C836" t="str">
        <f t="shared" si="28"/>
        <v/>
      </c>
    </row>
    <row r="837" spans="3:3" x14ac:dyDescent="0.35">
      <c r="C837" t="str">
        <f t="shared" ref="C837:C900" si="29">IF(ISBLANK(D837), "",
IF(D837 &lt; $G$9,
    $G$10 + $G$19 * ($G$23 * (D837 - $G$9))^2 + $G$21 * (1 - (D837 - $G$6)/($G$9 - $G$6)),
IF(D837 &gt; $G$13,
    $G$14 + $G$19 * ($G$23 * (D837 - $G$13))^2 - $G$22 * (1 - (D837 - $G$6)/($G$13 - $G$6)),
IF(D837 &lt; $G$6,
    $G$16 * (D837 - $G$6)^2 + $G$5,
    $G$17 * (D837 - $G$6)^2 + $G$5))))</f>
        <v/>
      </c>
    </row>
    <row r="838" spans="3:3" x14ac:dyDescent="0.35">
      <c r="C838" t="str">
        <f t="shared" si="29"/>
        <v/>
      </c>
    </row>
    <row r="839" spans="3:3" x14ac:dyDescent="0.35">
      <c r="C839" t="str">
        <f t="shared" si="29"/>
        <v/>
      </c>
    </row>
    <row r="840" spans="3:3" x14ac:dyDescent="0.35">
      <c r="C840" t="str">
        <f t="shared" si="29"/>
        <v/>
      </c>
    </row>
    <row r="841" spans="3:3" x14ac:dyDescent="0.35">
      <c r="C841" t="str">
        <f t="shared" si="29"/>
        <v/>
      </c>
    </row>
    <row r="842" spans="3:3" x14ac:dyDescent="0.35">
      <c r="C842" t="str">
        <f t="shared" si="29"/>
        <v/>
      </c>
    </row>
    <row r="843" spans="3:3" x14ac:dyDescent="0.35">
      <c r="C843" t="str">
        <f t="shared" si="29"/>
        <v/>
      </c>
    </row>
    <row r="844" spans="3:3" x14ac:dyDescent="0.35">
      <c r="C844" t="str">
        <f t="shared" si="29"/>
        <v/>
      </c>
    </row>
    <row r="845" spans="3:3" x14ac:dyDescent="0.35">
      <c r="C845" t="str">
        <f t="shared" si="29"/>
        <v/>
      </c>
    </row>
    <row r="846" spans="3:3" x14ac:dyDescent="0.35">
      <c r="C846" t="str">
        <f t="shared" si="29"/>
        <v/>
      </c>
    </row>
    <row r="847" spans="3:3" x14ac:dyDescent="0.35">
      <c r="C847" t="str">
        <f t="shared" si="29"/>
        <v/>
      </c>
    </row>
    <row r="848" spans="3:3" x14ac:dyDescent="0.35">
      <c r="C848" t="str">
        <f t="shared" si="29"/>
        <v/>
      </c>
    </row>
    <row r="849" spans="3:3" x14ac:dyDescent="0.35">
      <c r="C849" t="str">
        <f t="shared" si="29"/>
        <v/>
      </c>
    </row>
    <row r="850" spans="3:3" x14ac:dyDescent="0.35">
      <c r="C850" t="str">
        <f t="shared" si="29"/>
        <v/>
      </c>
    </row>
    <row r="851" spans="3:3" x14ac:dyDescent="0.35">
      <c r="C851" t="str">
        <f t="shared" si="29"/>
        <v/>
      </c>
    </row>
    <row r="852" spans="3:3" x14ac:dyDescent="0.35">
      <c r="C852" t="str">
        <f t="shared" si="29"/>
        <v/>
      </c>
    </row>
    <row r="853" spans="3:3" x14ac:dyDescent="0.35">
      <c r="C853" t="str">
        <f t="shared" si="29"/>
        <v/>
      </c>
    </row>
    <row r="854" spans="3:3" x14ac:dyDescent="0.35">
      <c r="C854" t="str">
        <f t="shared" si="29"/>
        <v/>
      </c>
    </row>
    <row r="855" spans="3:3" x14ac:dyDescent="0.35">
      <c r="C855" t="str">
        <f t="shared" si="29"/>
        <v/>
      </c>
    </row>
    <row r="856" spans="3:3" x14ac:dyDescent="0.35">
      <c r="C856" t="str">
        <f t="shared" si="29"/>
        <v/>
      </c>
    </row>
    <row r="857" spans="3:3" x14ac:dyDescent="0.35">
      <c r="C857" t="str">
        <f t="shared" si="29"/>
        <v/>
      </c>
    </row>
    <row r="858" spans="3:3" x14ac:dyDescent="0.35">
      <c r="C858" t="str">
        <f t="shared" si="29"/>
        <v/>
      </c>
    </row>
    <row r="859" spans="3:3" x14ac:dyDescent="0.35">
      <c r="C859" t="str">
        <f t="shared" si="29"/>
        <v/>
      </c>
    </row>
    <row r="860" spans="3:3" x14ac:dyDescent="0.35">
      <c r="C860" t="str">
        <f t="shared" si="29"/>
        <v/>
      </c>
    </row>
    <row r="861" spans="3:3" x14ac:dyDescent="0.35">
      <c r="C861" t="str">
        <f t="shared" si="29"/>
        <v/>
      </c>
    </row>
    <row r="862" spans="3:3" x14ac:dyDescent="0.35">
      <c r="C862" t="str">
        <f t="shared" si="29"/>
        <v/>
      </c>
    </row>
    <row r="863" spans="3:3" x14ac:dyDescent="0.35">
      <c r="C863" t="str">
        <f t="shared" si="29"/>
        <v/>
      </c>
    </row>
    <row r="864" spans="3:3" x14ac:dyDescent="0.35">
      <c r="C864" t="str">
        <f t="shared" si="29"/>
        <v/>
      </c>
    </row>
    <row r="865" spans="3:3" x14ac:dyDescent="0.35">
      <c r="C865" t="str">
        <f t="shared" si="29"/>
        <v/>
      </c>
    </row>
    <row r="866" spans="3:3" x14ac:dyDescent="0.35">
      <c r="C866" t="str">
        <f t="shared" si="29"/>
        <v/>
      </c>
    </row>
    <row r="867" spans="3:3" x14ac:dyDescent="0.35">
      <c r="C867" t="str">
        <f t="shared" si="29"/>
        <v/>
      </c>
    </row>
    <row r="868" spans="3:3" x14ac:dyDescent="0.35">
      <c r="C868" t="str">
        <f t="shared" si="29"/>
        <v/>
      </c>
    </row>
    <row r="869" spans="3:3" x14ac:dyDescent="0.35">
      <c r="C869" t="str">
        <f t="shared" si="29"/>
        <v/>
      </c>
    </row>
    <row r="870" spans="3:3" x14ac:dyDescent="0.35">
      <c r="C870" t="str">
        <f t="shared" si="29"/>
        <v/>
      </c>
    </row>
    <row r="871" spans="3:3" x14ac:dyDescent="0.35">
      <c r="C871" t="str">
        <f t="shared" si="29"/>
        <v/>
      </c>
    </row>
    <row r="872" spans="3:3" x14ac:dyDescent="0.35">
      <c r="C872" t="str">
        <f t="shared" si="29"/>
        <v/>
      </c>
    </row>
    <row r="873" spans="3:3" x14ac:dyDescent="0.35">
      <c r="C873" t="str">
        <f t="shared" si="29"/>
        <v/>
      </c>
    </row>
    <row r="874" spans="3:3" x14ac:dyDescent="0.35">
      <c r="C874" t="str">
        <f t="shared" si="29"/>
        <v/>
      </c>
    </row>
    <row r="875" spans="3:3" x14ac:dyDescent="0.35">
      <c r="C875" t="str">
        <f t="shared" si="29"/>
        <v/>
      </c>
    </row>
    <row r="876" spans="3:3" x14ac:dyDescent="0.35">
      <c r="C876" t="str">
        <f t="shared" si="29"/>
        <v/>
      </c>
    </row>
    <row r="877" spans="3:3" x14ac:dyDescent="0.35">
      <c r="C877" t="str">
        <f t="shared" si="29"/>
        <v/>
      </c>
    </row>
    <row r="878" spans="3:3" x14ac:dyDescent="0.35">
      <c r="C878" t="str">
        <f t="shared" si="29"/>
        <v/>
      </c>
    </row>
    <row r="879" spans="3:3" x14ac:dyDescent="0.35">
      <c r="C879" t="str">
        <f t="shared" si="29"/>
        <v/>
      </c>
    </row>
    <row r="880" spans="3:3" x14ac:dyDescent="0.35">
      <c r="C880" t="str">
        <f t="shared" si="29"/>
        <v/>
      </c>
    </row>
    <row r="881" spans="3:3" x14ac:dyDescent="0.35">
      <c r="C881" t="str">
        <f t="shared" si="29"/>
        <v/>
      </c>
    </row>
    <row r="882" spans="3:3" x14ac:dyDescent="0.35">
      <c r="C882" t="str">
        <f t="shared" si="29"/>
        <v/>
      </c>
    </row>
    <row r="883" spans="3:3" x14ac:dyDescent="0.35">
      <c r="C883" t="str">
        <f t="shared" si="29"/>
        <v/>
      </c>
    </row>
    <row r="884" spans="3:3" x14ac:dyDescent="0.35">
      <c r="C884" t="str">
        <f t="shared" si="29"/>
        <v/>
      </c>
    </row>
    <row r="885" spans="3:3" x14ac:dyDescent="0.35">
      <c r="C885" t="str">
        <f t="shared" si="29"/>
        <v/>
      </c>
    </row>
    <row r="886" spans="3:3" x14ac:dyDescent="0.35">
      <c r="C886" t="str">
        <f t="shared" si="29"/>
        <v/>
      </c>
    </row>
    <row r="887" spans="3:3" x14ac:dyDescent="0.35">
      <c r="C887" t="str">
        <f t="shared" si="29"/>
        <v/>
      </c>
    </row>
    <row r="888" spans="3:3" x14ac:dyDescent="0.35">
      <c r="C888" t="str">
        <f t="shared" si="29"/>
        <v/>
      </c>
    </row>
    <row r="889" spans="3:3" x14ac:dyDescent="0.35">
      <c r="C889" t="str">
        <f t="shared" si="29"/>
        <v/>
      </c>
    </row>
    <row r="890" spans="3:3" x14ac:dyDescent="0.35">
      <c r="C890" t="str">
        <f t="shared" si="29"/>
        <v/>
      </c>
    </row>
    <row r="891" spans="3:3" x14ac:dyDescent="0.35">
      <c r="C891" t="str">
        <f t="shared" si="29"/>
        <v/>
      </c>
    </row>
    <row r="892" spans="3:3" x14ac:dyDescent="0.35">
      <c r="C892" t="str">
        <f t="shared" si="29"/>
        <v/>
      </c>
    </row>
    <row r="893" spans="3:3" x14ac:dyDescent="0.35">
      <c r="C893" t="str">
        <f t="shared" si="29"/>
        <v/>
      </c>
    </row>
    <row r="894" spans="3:3" x14ac:dyDescent="0.35">
      <c r="C894" t="str">
        <f t="shared" si="29"/>
        <v/>
      </c>
    </row>
    <row r="895" spans="3:3" x14ac:dyDescent="0.35">
      <c r="C895" t="str">
        <f t="shared" si="29"/>
        <v/>
      </c>
    </row>
    <row r="896" spans="3:3" x14ac:dyDescent="0.35">
      <c r="C896" t="str">
        <f t="shared" si="29"/>
        <v/>
      </c>
    </row>
    <row r="897" spans="3:3" x14ac:dyDescent="0.35">
      <c r="C897" t="str">
        <f t="shared" si="29"/>
        <v/>
      </c>
    </row>
    <row r="898" spans="3:3" x14ac:dyDescent="0.35">
      <c r="C898" t="str">
        <f t="shared" si="29"/>
        <v/>
      </c>
    </row>
    <row r="899" spans="3:3" x14ac:dyDescent="0.35">
      <c r="C899" t="str">
        <f t="shared" si="29"/>
        <v/>
      </c>
    </row>
    <row r="900" spans="3:3" x14ac:dyDescent="0.35">
      <c r="C900" t="str">
        <f t="shared" si="29"/>
        <v/>
      </c>
    </row>
    <row r="901" spans="3:3" x14ac:dyDescent="0.35">
      <c r="C901" t="str">
        <f t="shared" ref="C901:C964" si="30">IF(ISBLANK(D901), "",
IF(D901 &lt; $G$9,
    $G$10 + $G$19 * ($G$23 * (D901 - $G$9))^2 + $G$21 * (1 - (D901 - $G$6)/($G$9 - $G$6)),
IF(D901 &gt; $G$13,
    $G$14 + $G$19 * ($G$23 * (D901 - $G$13))^2 - $G$22 * (1 - (D901 - $G$6)/($G$13 - $G$6)),
IF(D901 &lt; $G$6,
    $G$16 * (D901 - $G$6)^2 + $G$5,
    $G$17 * (D901 - $G$6)^2 + $G$5))))</f>
        <v/>
      </c>
    </row>
    <row r="902" spans="3:3" x14ac:dyDescent="0.35">
      <c r="C902" t="str">
        <f t="shared" si="30"/>
        <v/>
      </c>
    </row>
    <row r="903" spans="3:3" x14ac:dyDescent="0.35">
      <c r="C903" t="str">
        <f t="shared" si="30"/>
        <v/>
      </c>
    </row>
    <row r="904" spans="3:3" x14ac:dyDescent="0.35">
      <c r="C904" t="str">
        <f t="shared" si="30"/>
        <v/>
      </c>
    </row>
    <row r="905" spans="3:3" x14ac:dyDescent="0.35">
      <c r="C905" t="str">
        <f t="shared" si="30"/>
        <v/>
      </c>
    </row>
    <row r="906" spans="3:3" x14ac:dyDescent="0.35">
      <c r="C906" t="str">
        <f t="shared" si="30"/>
        <v/>
      </c>
    </row>
    <row r="907" spans="3:3" x14ac:dyDescent="0.35">
      <c r="C907" t="str">
        <f t="shared" si="30"/>
        <v/>
      </c>
    </row>
    <row r="908" spans="3:3" x14ac:dyDescent="0.35">
      <c r="C908" t="str">
        <f t="shared" si="30"/>
        <v/>
      </c>
    </row>
    <row r="909" spans="3:3" x14ac:dyDescent="0.35">
      <c r="C909" t="str">
        <f t="shared" si="30"/>
        <v/>
      </c>
    </row>
    <row r="910" spans="3:3" x14ac:dyDescent="0.35">
      <c r="C910" t="str">
        <f t="shared" si="30"/>
        <v/>
      </c>
    </row>
    <row r="911" spans="3:3" x14ac:dyDescent="0.35">
      <c r="C911" t="str">
        <f t="shared" si="30"/>
        <v/>
      </c>
    </row>
    <row r="912" spans="3:3" x14ac:dyDescent="0.35">
      <c r="C912" t="str">
        <f t="shared" si="30"/>
        <v/>
      </c>
    </row>
    <row r="913" spans="3:3" x14ac:dyDescent="0.35">
      <c r="C913" t="str">
        <f t="shared" si="30"/>
        <v/>
      </c>
    </row>
    <row r="914" spans="3:3" x14ac:dyDescent="0.35">
      <c r="C914" t="str">
        <f t="shared" si="30"/>
        <v/>
      </c>
    </row>
    <row r="915" spans="3:3" x14ac:dyDescent="0.35">
      <c r="C915" t="str">
        <f t="shared" si="30"/>
        <v/>
      </c>
    </row>
    <row r="916" spans="3:3" x14ac:dyDescent="0.35">
      <c r="C916" t="str">
        <f t="shared" si="30"/>
        <v/>
      </c>
    </row>
    <row r="917" spans="3:3" x14ac:dyDescent="0.35">
      <c r="C917" t="str">
        <f t="shared" si="30"/>
        <v/>
      </c>
    </row>
    <row r="918" spans="3:3" x14ac:dyDescent="0.35">
      <c r="C918" t="str">
        <f t="shared" si="30"/>
        <v/>
      </c>
    </row>
    <row r="919" spans="3:3" x14ac:dyDescent="0.35">
      <c r="C919" t="str">
        <f t="shared" si="30"/>
        <v/>
      </c>
    </row>
    <row r="920" spans="3:3" x14ac:dyDescent="0.35">
      <c r="C920" t="str">
        <f t="shared" si="30"/>
        <v/>
      </c>
    </row>
    <row r="921" spans="3:3" x14ac:dyDescent="0.35">
      <c r="C921" t="str">
        <f t="shared" si="30"/>
        <v/>
      </c>
    </row>
    <row r="922" spans="3:3" x14ac:dyDescent="0.35">
      <c r="C922" t="str">
        <f t="shared" si="30"/>
        <v/>
      </c>
    </row>
    <row r="923" spans="3:3" x14ac:dyDescent="0.35">
      <c r="C923" t="str">
        <f t="shared" si="30"/>
        <v/>
      </c>
    </row>
    <row r="924" spans="3:3" x14ac:dyDescent="0.35">
      <c r="C924" t="str">
        <f t="shared" si="30"/>
        <v/>
      </c>
    </row>
    <row r="925" spans="3:3" x14ac:dyDescent="0.35">
      <c r="C925" t="str">
        <f t="shared" si="30"/>
        <v/>
      </c>
    </row>
    <row r="926" spans="3:3" x14ac:dyDescent="0.35">
      <c r="C926" t="str">
        <f t="shared" si="30"/>
        <v/>
      </c>
    </row>
    <row r="927" spans="3:3" x14ac:dyDescent="0.35">
      <c r="C927" t="str">
        <f t="shared" si="30"/>
        <v/>
      </c>
    </row>
    <row r="928" spans="3:3" x14ac:dyDescent="0.35">
      <c r="C928" t="str">
        <f t="shared" si="30"/>
        <v/>
      </c>
    </row>
    <row r="929" spans="3:3" x14ac:dyDescent="0.35">
      <c r="C929" t="str">
        <f t="shared" si="30"/>
        <v/>
      </c>
    </row>
    <row r="930" spans="3:3" x14ac:dyDescent="0.35">
      <c r="C930" t="str">
        <f t="shared" si="30"/>
        <v/>
      </c>
    </row>
    <row r="931" spans="3:3" x14ac:dyDescent="0.35">
      <c r="C931" t="str">
        <f t="shared" si="30"/>
        <v/>
      </c>
    </row>
    <row r="932" spans="3:3" x14ac:dyDescent="0.35">
      <c r="C932" t="str">
        <f t="shared" si="30"/>
        <v/>
      </c>
    </row>
    <row r="933" spans="3:3" x14ac:dyDescent="0.35">
      <c r="C933" t="str">
        <f t="shared" si="30"/>
        <v/>
      </c>
    </row>
    <row r="934" spans="3:3" x14ac:dyDescent="0.35">
      <c r="C934" t="str">
        <f t="shared" si="30"/>
        <v/>
      </c>
    </row>
    <row r="935" spans="3:3" x14ac:dyDescent="0.35">
      <c r="C935" t="str">
        <f t="shared" si="30"/>
        <v/>
      </c>
    </row>
    <row r="936" spans="3:3" x14ac:dyDescent="0.35">
      <c r="C936" t="str">
        <f t="shared" si="30"/>
        <v/>
      </c>
    </row>
    <row r="937" spans="3:3" x14ac:dyDescent="0.35">
      <c r="C937" t="str">
        <f t="shared" si="30"/>
        <v/>
      </c>
    </row>
    <row r="938" spans="3:3" x14ac:dyDescent="0.35">
      <c r="C938" t="str">
        <f t="shared" si="30"/>
        <v/>
      </c>
    </row>
    <row r="939" spans="3:3" x14ac:dyDescent="0.35">
      <c r="C939" t="str">
        <f t="shared" si="30"/>
        <v/>
      </c>
    </row>
    <row r="940" spans="3:3" x14ac:dyDescent="0.35">
      <c r="C940" t="str">
        <f t="shared" si="30"/>
        <v/>
      </c>
    </row>
    <row r="941" spans="3:3" x14ac:dyDescent="0.35">
      <c r="C941" t="str">
        <f t="shared" si="30"/>
        <v/>
      </c>
    </row>
    <row r="942" spans="3:3" x14ac:dyDescent="0.35">
      <c r="C942" t="str">
        <f t="shared" si="30"/>
        <v/>
      </c>
    </row>
    <row r="943" spans="3:3" x14ac:dyDescent="0.35">
      <c r="C943" t="str">
        <f t="shared" si="30"/>
        <v/>
      </c>
    </row>
    <row r="944" spans="3:3" x14ac:dyDescent="0.35">
      <c r="C944" t="str">
        <f t="shared" si="30"/>
        <v/>
      </c>
    </row>
    <row r="945" spans="3:3" x14ac:dyDescent="0.35">
      <c r="C945" t="str">
        <f t="shared" si="30"/>
        <v/>
      </c>
    </row>
    <row r="946" spans="3:3" x14ac:dyDescent="0.35">
      <c r="C946" t="str">
        <f t="shared" si="30"/>
        <v/>
      </c>
    </row>
    <row r="947" spans="3:3" x14ac:dyDescent="0.35">
      <c r="C947" t="str">
        <f t="shared" si="30"/>
        <v/>
      </c>
    </row>
    <row r="948" spans="3:3" x14ac:dyDescent="0.35">
      <c r="C948" t="str">
        <f t="shared" si="30"/>
        <v/>
      </c>
    </row>
    <row r="949" spans="3:3" x14ac:dyDescent="0.35">
      <c r="C949" t="str">
        <f t="shared" si="30"/>
        <v/>
      </c>
    </row>
    <row r="950" spans="3:3" x14ac:dyDescent="0.35">
      <c r="C950" t="str">
        <f t="shared" si="30"/>
        <v/>
      </c>
    </row>
    <row r="951" spans="3:3" x14ac:dyDescent="0.35">
      <c r="C951" t="str">
        <f t="shared" si="30"/>
        <v/>
      </c>
    </row>
    <row r="952" spans="3:3" x14ac:dyDescent="0.35">
      <c r="C952" t="str">
        <f t="shared" si="30"/>
        <v/>
      </c>
    </row>
    <row r="953" spans="3:3" x14ac:dyDescent="0.35">
      <c r="C953" t="str">
        <f t="shared" si="30"/>
        <v/>
      </c>
    </row>
    <row r="954" spans="3:3" x14ac:dyDescent="0.35">
      <c r="C954" t="str">
        <f t="shared" si="30"/>
        <v/>
      </c>
    </row>
    <row r="955" spans="3:3" x14ac:dyDescent="0.35">
      <c r="C955" t="str">
        <f t="shared" si="30"/>
        <v/>
      </c>
    </row>
    <row r="956" spans="3:3" x14ac:dyDescent="0.35">
      <c r="C956" t="str">
        <f t="shared" si="30"/>
        <v/>
      </c>
    </row>
    <row r="957" spans="3:3" x14ac:dyDescent="0.35">
      <c r="C957" t="str">
        <f t="shared" si="30"/>
        <v/>
      </c>
    </row>
    <row r="958" spans="3:3" x14ac:dyDescent="0.35">
      <c r="C958" t="str">
        <f t="shared" si="30"/>
        <v/>
      </c>
    </row>
    <row r="959" spans="3:3" x14ac:dyDescent="0.35">
      <c r="C959" t="str">
        <f t="shared" si="30"/>
        <v/>
      </c>
    </row>
    <row r="960" spans="3:3" x14ac:dyDescent="0.35">
      <c r="C960" t="str">
        <f t="shared" si="30"/>
        <v/>
      </c>
    </row>
    <row r="961" spans="3:3" x14ac:dyDescent="0.35">
      <c r="C961" t="str">
        <f t="shared" si="30"/>
        <v/>
      </c>
    </row>
    <row r="962" spans="3:3" x14ac:dyDescent="0.35">
      <c r="C962" t="str">
        <f t="shared" si="30"/>
        <v/>
      </c>
    </row>
    <row r="963" spans="3:3" x14ac:dyDescent="0.35">
      <c r="C963" t="str">
        <f t="shared" si="30"/>
        <v/>
      </c>
    </row>
    <row r="964" spans="3:3" x14ac:dyDescent="0.35">
      <c r="C964" t="str">
        <f t="shared" si="30"/>
        <v/>
      </c>
    </row>
    <row r="965" spans="3:3" x14ac:dyDescent="0.35">
      <c r="C965" t="str">
        <f t="shared" ref="C965:C1000" si="31">IF(ISBLANK(D965), "",
IF(D965 &lt; $G$9,
    $G$10 + $G$19 * ($G$23 * (D965 - $G$9))^2 + $G$21 * (1 - (D965 - $G$6)/($G$9 - $G$6)),
IF(D965 &gt; $G$13,
    $G$14 + $G$19 * ($G$23 * (D965 - $G$13))^2 - $G$22 * (1 - (D965 - $G$6)/($G$13 - $G$6)),
IF(D965 &lt; $G$6,
    $G$16 * (D965 - $G$6)^2 + $G$5,
    $G$17 * (D965 - $G$6)^2 + $G$5))))</f>
        <v/>
      </c>
    </row>
    <row r="966" spans="3:3" x14ac:dyDescent="0.35">
      <c r="C966" t="str">
        <f t="shared" si="31"/>
        <v/>
      </c>
    </row>
    <row r="967" spans="3:3" x14ac:dyDescent="0.35">
      <c r="C967" t="str">
        <f t="shared" si="31"/>
        <v/>
      </c>
    </row>
    <row r="968" spans="3:3" x14ac:dyDescent="0.35">
      <c r="C968" t="str">
        <f t="shared" si="31"/>
        <v/>
      </c>
    </row>
    <row r="969" spans="3:3" x14ac:dyDescent="0.35">
      <c r="C969" t="str">
        <f t="shared" si="31"/>
        <v/>
      </c>
    </row>
    <row r="970" spans="3:3" x14ac:dyDescent="0.35">
      <c r="C970" t="str">
        <f t="shared" si="31"/>
        <v/>
      </c>
    </row>
    <row r="971" spans="3:3" x14ac:dyDescent="0.35">
      <c r="C971" t="str">
        <f t="shared" si="31"/>
        <v/>
      </c>
    </row>
    <row r="972" spans="3:3" x14ac:dyDescent="0.35">
      <c r="C972" t="str">
        <f t="shared" si="31"/>
        <v/>
      </c>
    </row>
    <row r="973" spans="3:3" x14ac:dyDescent="0.35">
      <c r="C973" t="str">
        <f t="shared" si="31"/>
        <v/>
      </c>
    </row>
    <row r="974" spans="3:3" x14ac:dyDescent="0.35">
      <c r="C974" t="str">
        <f t="shared" si="31"/>
        <v/>
      </c>
    </row>
    <row r="975" spans="3:3" x14ac:dyDescent="0.35">
      <c r="C975" t="str">
        <f t="shared" si="31"/>
        <v/>
      </c>
    </row>
    <row r="976" spans="3:3" x14ac:dyDescent="0.35">
      <c r="C976" t="str">
        <f t="shared" si="31"/>
        <v/>
      </c>
    </row>
    <row r="977" spans="3:3" x14ac:dyDescent="0.35">
      <c r="C977" t="str">
        <f t="shared" si="31"/>
        <v/>
      </c>
    </row>
    <row r="978" spans="3:3" x14ac:dyDescent="0.35">
      <c r="C978" t="str">
        <f t="shared" si="31"/>
        <v/>
      </c>
    </row>
    <row r="979" spans="3:3" x14ac:dyDescent="0.35">
      <c r="C979" t="str">
        <f t="shared" si="31"/>
        <v/>
      </c>
    </row>
    <row r="980" spans="3:3" x14ac:dyDescent="0.35">
      <c r="C980" t="str">
        <f t="shared" si="31"/>
        <v/>
      </c>
    </row>
    <row r="981" spans="3:3" x14ac:dyDescent="0.35">
      <c r="C981" t="str">
        <f t="shared" si="31"/>
        <v/>
      </c>
    </row>
    <row r="982" spans="3:3" x14ac:dyDescent="0.35">
      <c r="C982" t="str">
        <f t="shared" si="31"/>
        <v/>
      </c>
    </row>
    <row r="983" spans="3:3" x14ac:dyDescent="0.35">
      <c r="C983" t="str">
        <f t="shared" si="31"/>
        <v/>
      </c>
    </row>
    <row r="984" spans="3:3" x14ac:dyDescent="0.35">
      <c r="C984" t="str">
        <f t="shared" si="31"/>
        <v/>
      </c>
    </row>
    <row r="985" spans="3:3" x14ac:dyDescent="0.35">
      <c r="C985" t="str">
        <f t="shared" si="31"/>
        <v/>
      </c>
    </row>
    <row r="986" spans="3:3" x14ac:dyDescent="0.35">
      <c r="C986" t="str">
        <f t="shared" si="31"/>
        <v/>
      </c>
    </row>
    <row r="987" spans="3:3" x14ac:dyDescent="0.35">
      <c r="C987" t="str">
        <f t="shared" si="31"/>
        <v/>
      </c>
    </row>
    <row r="988" spans="3:3" x14ac:dyDescent="0.35">
      <c r="C988" t="str">
        <f t="shared" si="31"/>
        <v/>
      </c>
    </row>
    <row r="989" spans="3:3" x14ac:dyDescent="0.35">
      <c r="C989" t="str">
        <f t="shared" si="31"/>
        <v/>
      </c>
    </row>
    <row r="990" spans="3:3" x14ac:dyDescent="0.35">
      <c r="C990" t="str">
        <f t="shared" si="31"/>
        <v/>
      </c>
    </row>
    <row r="991" spans="3:3" x14ac:dyDescent="0.35">
      <c r="C991" t="str">
        <f t="shared" si="31"/>
        <v/>
      </c>
    </row>
    <row r="992" spans="3:3" x14ac:dyDescent="0.35">
      <c r="C992" t="str">
        <f t="shared" si="31"/>
        <v/>
      </c>
    </row>
    <row r="993" spans="3:3" x14ac:dyDescent="0.35">
      <c r="C993" t="str">
        <f t="shared" si="31"/>
        <v/>
      </c>
    </row>
    <row r="994" spans="3:3" x14ac:dyDescent="0.35">
      <c r="C994" t="str">
        <f t="shared" si="31"/>
        <v/>
      </c>
    </row>
    <row r="995" spans="3:3" x14ac:dyDescent="0.35">
      <c r="C995" t="str">
        <f t="shared" si="31"/>
        <v/>
      </c>
    </row>
    <row r="996" spans="3:3" x14ac:dyDescent="0.35">
      <c r="C996" t="str">
        <f t="shared" si="31"/>
        <v/>
      </c>
    </row>
    <row r="997" spans="3:3" x14ac:dyDescent="0.35">
      <c r="C997" t="str">
        <f t="shared" si="31"/>
        <v/>
      </c>
    </row>
    <row r="998" spans="3:3" x14ac:dyDescent="0.35">
      <c r="C998" t="str">
        <f t="shared" si="31"/>
        <v/>
      </c>
    </row>
    <row r="999" spans="3:3" x14ac:dyDescent="0.35">
      <c r="C999" t="str">
        <f t="shared" si="31"/>
        <v/>
      </c>
    </row>
    <row r="1000" spans="3:3" x14ac:dyDescent="0.35">
      <c r="C1000" t="str">
        <f t="shared" si="31"/>
        <v/>
      </c>
    </row>
  </sheetData>
  <pageMargins left="0.7" right="0.7" top="0.75" bottom="0.75" header="0.3" footer="0.3"/>
  <drawing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2CF3C-704F-4ECE-B457-60CEFD20809F}">
  <sheetPr codeName="Sheet17"/>
  <dimension ref="A1:G19"/>
  <sheetViews>
    <sheetView workbookViewId="0"/>
  </sheetViews>
  <sheetFormatPr defaultRowHeight="14.5" x14ac:dyDescent="0.35"/>
  <sheetData>
    <row r="1" spans="1:3" x14ac:dyDescent="0.35">
      <c r="A1" t="s">
        <v>45</v>
      </c>
      <c r="B1" t="s">
        <v>36</v>
      </c>
      <c r="C1" t="s">
        <v>38</v>
      </c>
    </row>
    <row r="2" spans="1:3" x14ac:dyDescent="0.35">
      <c r="A2" s="18">
        <v>5218609.182</v>
      </c>
      <c r="B2">
        <v>7.9969469301212175E-3</v>
      </c>
      <c r="C2">
        <v>9.1960625648235799E-3</v>
      </c>
    </row>
    <row r="3" spans="1:3" x14ac:dyDescent="0.35">
      <c r="A3" s="18">
        <v>10437218.364</v>
      </c>
      <c r="B3">
        <v>1.152530806092353E-2</v>
      </c>
      <c r="C3">
        <v>8.4405247829155913E-3</v>
      </c>
    </row>
    <row r="4" spans="1:3" x14ac:dyDescent="0.35">
      <c r="A4" s="18">
        <v>20874436.728</v>
      </c>
      <c r="B4">
        <v>1.4662338217748101E-2</v>
      </c>
      <c r="C4">
        <v>7.7866809736125047E-3</v>
      </c>
    </row>
    <row r="5" spans="1:3" x14ac:dyDescent="0.35">
      <c r="A5" s="18">
        <v>41748873.456</v>
      </c>
      <c r="B5">
        <v>1.739892501101991E-2</v>
      </c>
      <c r="C5">
        <v>7.2182240680638199E-3</v>
      </c>
    </row>
    <row r="6" spans="1:3" x14ac:dyDescent="0.35">
      <c r="A6" s="18"/>
    </row>
    <row r="7" spans="1:3" x14ac:dyDescent="0.35">
      <c r="A7" s="18"/>
    </row>
    <row r="8" spans="1:3" x14ac:dyDescent="0.35">
      <c r="A8" s="18"/>
    </row>
    <row r="9" spans="1:3" x14ac:dyDescent="0.35">
      <c r="A9" s="18"/>
    </row>
    <row r="10" spans="1:3" x14ac:dyDescent="0.35">
      <c r="A10" s="18"/>
      <c r="B10" t="s">
        <v>278</v>
      </c>
      <c r="C10" s="18">
        <v>-5.0000000000000002E-11</v>
      </c>
    </row>
    <row r="11" spans="1:3" x14ac:dyDescent="0.35">
      <c r="A11" s="18"/>
      <c r="B11" t="s">
        <v>279</v>
      </c>
      <c r="C11">
        <v>9.1000000000000004E-3</v>
      </c>
    </row>
    <row r="12" spans="1:3" x14ac:dyDescent="0.35">
      <c r="A12" s="18"/>
    </row>
    <row r="18" spans="2:7" x14ac:dyDescent="0.35">
      <c r="B18" s="18"/>
      <c r="C18" s="18"/>
      <c r="D18" s="18"/>
      <c r="E18" s="18"/>
      <c r="F18" s="18"/>
      <c r="G18" s="18"/>
    </row>
    <row r="19" spans="2:7" x14ac:dyDescent="0.35">
      <c r="B19" s="18"/>
      <c r="C19" s="18"/>
      <c r="D19" s="18"/>
      <c r="E19" s="18"/>
      <c r="F19" s="18"/>
      <c r="G19" s="18"/>
    </row>
  </sheetData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9246F-8B4C-4074-8C97-679E0C3BD88A}">
  <sheetPr codeName="Sheet14"/>
  <dimension ref="A1:AE22"/>
  <sheetViews>
    <sheetView workbookViewId="0"/>
  </sheetViews>
  <sheetFormatPr defaultRowHeight="14.5" x14ac:dyDescent="0.35"/>
  <cols>
    <col min="1" max="1" width="9.90625" bestFit="1" customWidth="1"/>
  </cols>
  <sheetData>
    <row r="1" spans="1:31" x14ac:dyDescent="0.35">
      <c r="B1" t="s">
        <v>51</v>
      </c>
      <c r="C1" t="s">
        <v>53</v>
      </c>
      <c r="D1" t="s">
        <v>242</v>
      </c>
    </row>
    <row r="2" spans="1:31" x14ac:dyDescent="0.35">
      <c r="A2" t="s">
        <v>56</v>
      </c>
      <c r="B2">
        <v>0.1</v>
      </c>
      <c r="C2">
        <v>0.5</v>
      </c>
      <c r="D2">
        <v>0.1</v>
      </c>
    </row>
    <row r="3" spans="1:31" x14ac:dyDescent="0.35">
      <c r="A3" t="s">
        <v>241</v>
      </c>
      <c r="B3">
        <v>10</v>
      </c>
      <c r="C3">
        <v>50</v>
      </c>
      <c r="D3">
        <v>10</v>
      </c>
    </row>
    <row r="5" spans="1:31" x14ac:dyDescent="0.35">
      <c r="A5" t="s">
        <v>267</v>
      </c>
    </row>
    <row r="7" spans="1:31" x14ac:dyDescent="0.35">
      <c r="A7" t="s">
        <v>256</v>
      </c>
      <c r="B7" s="6"/>
      <c r="C7" s="21" t="s">
        <v>241</v>
      </c>
      <c r="D7" s="21"/>
      <c r="E7" s="21"/>
      <c r="F7" s="21"/>
      <c r="G7" s="21"/>
      <c r="H7" s="21"/>
    </row>
    <row r="8" spans="1:31" x14ac:dyDescent="0.35">
      <c r="A8" s="8"/>
      <c r="B8" s="7"/>
      <c r="C8" s="8">
        <v>10</v>
      </c>
      <c r="D8" s="8">
        <v>20</v>
      </c>
      <c r="E8" s="8">
        <v>30</v>
      </c>
      <c r="F8" s="8">
        <v>40</v>
      </c>
      <c r="G8" s="8">
        <v>50</v>
      </c>
    </row>
    <row r="9" spans="1:31" ht="14.5" customHeight="1" x14ac:dyDescent="0.35">
      <c r="A9" s="22" t="s">
        <v>56</v>
      </c>
      <c r="B9" s="6">
        <v>0.1</v>
      </c>
      <c r="C9">
        <v>6.7188004575282099</v>
      </c>
      <c r="D9">
        <v>8.4872188992051285</v>
      </c>
      <c r="E9">
        <v>10.258353897796932</v>
      </c>
      <c r="F9">
        <v>10.514720633635488</v>
      </c>
      <c r="G9">
        <v>10.508756030435201</v>
      </c>
    </row>
    <row r="10" spans="1:31" x14ac:dyDescent="0.35">
      <c r="A10" s="23"/>
      <c r="B10" s="6">
        <v>0.2</v>
      </c>
      <c r="C10">
        <v>6.7166730117754501</v>
      </c>
      <c r="D10">
        <v>8.4735281692826074</v>
      </c>
      <c r="E10">
        <v>10.230180381989907</v>
      </c>
      <c r="F10">
        <v>10.472202251417629</v>
      </c>
      <c r="G10">
        <v>10.452270730565376</v>
      </c>
    </row>
    <row r="11" spans="1:31" x14ac:dyDescent="0.35">
      <c r="A11" s="23"/>
      <c r="B11" s="6">
        <v>0.3</v>
      </c>
      <c r="C11">
        <v>6.7055381243856669</v>
      </c>
      <c r="D11">
        <v>8.4525732969742151</v>
      </c>
      <c r="E11">
        <v>10.191273024585884</v>
      </c>
      <c r="F11">
        <v>10.419467028189308</v>
      </c>
      <c r="G11">
        <v>10.381397156280521</v>
      </c>
    </row>
    <row r="12" spans="1:31" x14ac:dyDescent="0.35">
      <c r="A12" s="23"/>
      <c r="B12" s="6">
        <v>0.4</v>
      </c>
      <c r="C12">
        <v>6.7032897031647005</v>
      </c>
      <c r="D12">
        <v>8.4449440193312704</v>
      </c>
      <c r="E12">
        <v>10.171799794590404</v>
      </c>
      <c r="F12">
        <v>10.38881019442846</v>
      </c>
      <c r="G12">
        <v>10.336371121701244</v>
      </c>
    </row>
    <row r="13" spans="1:31" x14ac:dyDescent="0.35">
      <c r="A13" s="23"/>
      <c r="B13" s="6">
        <v>0.5</v>
      </c>
      <c r="C13">
        <v>6.69223134234303</v>
      </c>
      <c r="D13">
        <v>8.4235938416244966</v>
      </c>
      <c r="E13">
        <v>10.134295261544192</v>
      </c>
      <c r="F13">
        <v>10.339601790544211</v>
      </c>
      <c r="G13">
        <v>10.274875815283288</v>
      </c>
    </row>
    <row r="15" spans="1:31" x14ac:dyDescent="0.35">
      <c r="A15" t="s">
        <v>238</v>
      </c>
      <c r="B15" s="11">
        <v>0.1</v>
      </c>
      <c r="C15">
        <v>0.1</v>
      </c>
      <c r="D15">
        <v>0.1</v>
      </c>
      <c r="E15">
        <v>0.1</v>
      </c>
      <c r="F15">
        <v>0.1</v>
      </c>
      <c r="G15">
        <v>0.2</v>
      </c>
      <c r="H15">
        <v>0.2</v>
      </c>
      <c r="I15">
        <v>0.2</v>
      </c>
      <c r="J15">
        <v>0.2</v>
      </c>
      <c r="K15">
        <v>0.2</v>
      </c>
      <c r="L15">
        <v>0.3</v>
      </c>
      <c r="M15">
        <v>0.3</v>
      </c>
      <c r="N15">
        <v>0.3</v>
      </c>
      <c r="O15">
        <v>0.3</v>
      </c>
      <c r="P15">
        <v>0.3</v>
      </c>
      <c r="Q15">
        <v>0.4</v>
      </c>
      <c r="R15">
        <v>0.4</v>
      </c>
      <c r="S15">
        <v>0.4</v>
      </c>
      <c r="T15">
        <v>0.4</v>
      </c>
      <c r="U15">
        <v>0.4</v>
      </c>
      <c r="V15">
        <v>0.5</v>
      </c>
      <c r="W15">
        <v>0.5</v>
      </c>
      <c r="X15">
        <v>0.5</v>
      </c>
      <c r="Y15">
        <v>0.5</v>
      </c>
      <c r="Z15">
        <v>0.5</v>
      </c>
      <c r="AA15">
        <v>0.6</v>
      </c>
      <c r="AB15">
        <v>0.6</v>
      </c>
      <c r="AC15">
        <v>0.6</v>
      </c>
      <c r="AD15">
        <v>0.6</v>
      </c>
      <c r="AE15">
        <v>0.6</v>
      </c>
    </row>
    <row r="16" spans="1:31" x14ac:dyDescent="0.35">
      <c r="A16" s="8" t="s">
        <v>241</v>
      </c>
      <c r="B16" s="20">
        <v>10</v>
      </c>
      <c r="C16" s="8">
        <v>20</v>
      </c>
      <c r="D16" s="8">
        <v>30</v>
      </c>
      <c r="E16" s="8">
        <v>40</v>
      </c>
      <c r="F16" s="8">
        <v>50</v>
      </c>
      <c r="G16" s="8">
        <v>10</v>
      </c>
      <c r="H16" s="8">
        <v>20</v>
      </c>
      <c r="I16" s="8">
        <v>30</v>
      </c>
      <c r="J16" s="8">
        <v>40</v>
      </c>
      <c r="K16" s="8">
        <v>50</v>
      </c>
      <c r="L16" s="8">
        <v>10</v>
      </c>
      <c r="M16" s="8">
        <v>20</v>
      </c>
      <c r="N16" s="8">
        <v>30</v>
      </c>
      <c r="O16" s="8">
        <v>40</v>
      </c>
      <c r="P16" s="8">
        <v>50</v>
      </c>
      <c r="Q16" s="8">
        <v>10</v>
      </c>
      <c r="R16" s="8">
        <v>20</v>
      </c>
      <c r="S16" s="8">
        <v>30</v>
      </c>
      <c r="T16" s="8">
        <v>40</v>
      </c>
      <c r="U16" s="8">
        <v>50</v>
      </c>
      <c r="V16" s="8">
        <v>10</v>
      </c>
      <c r="W16" s="8">
        <v>20</v>
      </c>
      <c r="X16" s="8">
        <v>30</v>
      </c>
      <c r="Y16" s="8">
        <v>40</v>
      </c>
      <c r="Z16" s="8">
        <v>50</v>
      </c>
      <c r="AA16" s="8">
        <v>10</v>
      </c>
      <c r="AB16" s="8">
        <v>20</v>
      </c>
      <c r="AC16" s="8">
        <v>30</v>
      </c>
      <c r="AD16" s="8">
        <v>40</v>
      </c>
      <c r="AE16" s="8">
        <v>50</v>
      </c>
    </row>
    <row r="17" spans="1:26" x14ac:dyDescent="0.35">
      <c r="A17" t="s">
        <v>139</v>
      </c>
      <c r="B17" s="11">
        <v>4.8009999999999997E-3</v>
      </c>
      <c r="C17">
        <v>4.7818000000000001E-3</v>
      </c>
      <c r="D17">
        <v>4.7739999999999996E-3</v>
      </c>
      <c r="E17">
        <v>4.7777999999999996E-3</v>
      </c>
      <c r="F17">
        <v>4.7927999999999998E-3</v>
      </c>
      <c r="G17">
        <v>4.7740999999999999E-3</v>
      </c>
      <c r="H17">
        <v>4.7847000000000002E-3</v>
      </c>
      <c r="I17">
        <v>4.8085999999999997E-3</v>
      </c>
      <c r="J17">
        <v>4.8450999999999998E-3</v>
      </c>
      <c r="K17">
        <v>4.8957000000000002E-3</v>
      </c>
      <c r="L17">
        <v>4.8028000000000003E-3</v>
      </c>
      <c r="M17">
        <v>4.836E-3</v>
      </c>
      <c r="N17">
        <v>4.8823E-3</v>
      </c>
      <c r="O17">
        <v>4.9493999999999996E-3</v>
      </c>
      <c r="P17">
        <v>5.0372000000000004E-3</v>
      </c>
      <c r="Q17">
        <v>4.8466999999999998E-3</v>
      </c>
      <c r="R17">
        <v>4.8957000000000002E-3</v>
      </c>
      <c r="S17">
        <v>4.9645000000000002E-3</v>
      </c>
      <c r="T17">
        <v>5.0581000000000003E-3</v>
      </c>
      <c r="U17">
        <v>5.1837999999999997E-3</v>
      </c>
      <c r="V17">
        <v>4.8951999999999997E-3</v>
      </c>
      <c r="W17">
        <v>4.9591000000000001E-3</v>
      </c>
      <c r="X17">
        <v>5.0455999999999999E-3</v>
      </c>
      <c r="Y17">
        <v>5.1653999999999997E-3</v>
      </c>
      <c r="Z17">
        <v>5.3246999999999999E-3</v>
      </c>
    </row>
    <row r="18" spans="1:26" x14ac:dyDescent="0.35">
      <c r="A18" t="s">
        <v>136</v>
      </c>
      <c r="B18" s="11">
        <v>6.6400000000000001E-3</v>
      </c>
      <c r="C18">
        <v>6.6400000000000001E-3</v>
      </c>
      <c r="D18">
        <v>6.6499999999999997E-3</v>
      </c>
      <c r="E18">
        <v>6.6499999999999997E-3</v>
      </c>
      <c r="F18">
        <v>6.6499999999999997E-3</v>
      </c>
      <c r="G18">
        <v>6.6800000000000002E-3</v>
      </c>
      <c r="H18">
        <v>6.6899999999999998E-3</v>
      </c>
      <c r="I18">
        <v>6.6899999999999998E-3</v>
      </c>
      <c r="J18">
        <v>6.6899999999999998E-3</v>
      </c>
      <c r="K18">
        <v>6.6899999999999998E-3</v>
      </c>
      <c r="L18">
        <v>6.7200000000000003E-3</v>
      </c>
      <c r="M18">
        <v>6.7200000000000003E-3</v>
      </c>
      <c r="N18">
        <v>6.7200000000000003E-3</v>
      </c>
      <c r="O18">
        <v>6.7200000000000003E-3</v>
      </c>
      <c r="P18">
        <v>6.7299999999999999E-3</v>
      </c>
      <c r="Q18">
        <v>6.6899999999999998E-3</v>
      </c>
      <c r="R18">
        <v>6.6899999999999998E-3</v>
      </c>
      <c r="S18">
        <v>6.6899999999999998E-3</v>
      </c>
      <c r="T18">
        <v>6.6899999999999998E-3</v>
      </c>
      <c r="U18">
        <v>6.7000000000000002E-3</v>
      </c>
      <c r="V18">
        <v>6.7099999999999998E-3</v>
      </c>
      <c r="W18">
        <v>6.7099999999999998E-3</v>
      </c>
      <c r="X18">
        <v>6.7099999999999998E-3</v>
      </c>
      <c r="Y18">
        <v>6.7099999999999998E-3</v>
      </c>
      <c r="Z18">
        <v>6.7200000000000003E-3</v>
      </c>
    </row>
    <row r="19" spans="1:26" x14ac:dyDescent="0.35">
      <c r="A19" t="s">
        <v>257</v>
      </c>
      <c r="B19" s="11">
        <v>1.4999999999999999E-2</v>
      </c>
      <c r="C19">
        <v>1.4999999999999999E-2</v>
      </c>
      <c r="D19">
        <v>1.4999999999999999E-2</v>
      </c>
      <c r="E19">
        <v>1.4999999999999999E-2</v>
      </c>
      <c r="F19">
        <v>1.4999999999999999E-2</v>
      </c>
      <c r="G19">
        <v>1.4999999999999999E-2</v>
      </c>
      <c r="H19">
        <v>1.4999999999999999E-2</v>
      </c>
      <c r="I19">
        <v>1.4999999999999999E-2</v>
      </c>
      <c r="J19">
        <v>1.4999999999999999E-2</v>
      </c>
      <c r="K19">
        <v>1.4999999999999999E-2</v>
      </c>
      <c r="L19">
        <v>1.4999999999999999E-2</v>
      </c>
      <c r="M19">
        <v>1.4999999999999999E-2</v>
      </c>
      <c r="N19">
        <v>1.4999999999999999E-2</v>
      </c>
      <c r="O19">
        <v>1.4999999999999999E-2</v>
      </c>
      <c r="P19">
        <v>1.4999999999999999E-2</v>
      </c>
      <c r="Q19">
        <v>1.4999999999999999E-2</v>
      </c>
      <c r="R19">
        <v>1.4999999999999999E-2</v>
      </c>
      <c r="S19">
        <v>1.4999999999999999E-2</v>
      </c>
      <c r="T19">
        <v>1.4999999999999999E-2</v>
      </c>
      <c r="U19">
        <v>1.4999999999999999E-2</v>
      </c>
      <c r="V19">
        <v>1.4999999999999999E-2</v>
      </c>
      <c r="W19">
        <v>1.4999999999999999E-2</v>
      </c>
      <c r="X19">
        <v>1.4999999999999999E-2</v>
      </c>
      <c r="Y19">
        <v>1.4999999999999999E-2</v>
      </c>
      <c r="Z19">
        <v>1.4999999999999999E-2</v>
      </c>
    </row>
    <row r="20" spans="1:26" x14ac:dyDescent="0.35">
      <c r="A20" t="s">
        <v>263</v>
      </c>
      <c r="B20" s="11">
        <v>1.4917712126989092E-2</v>
      </c>
      <c r="C20">
        <v>6.3193060397672661E-3</v>
      </c>
      <c r="D20">
        <v>6.6425770002624023E-4</v>
      </c>
      <c r="E20">
        <v>0</v>
      </c>
      <c r="F20">
        <v>0</v>
      </c>
      <c r="G20">
        <v>1.4917712126989092E-2</v>
      </c>
      <c r="H20">
        <v>6.3193060397672661E-3</v>
      </c>
      <c r="I20">
        <v>6.6425770002624023E-4</v>
      </c>
      <c r="J20">
        <v>0</v>
      </c>
      <c r="K20">
        <v>0</v>
      </c>
      <c r="L20">
        <v>1.4917712126989092E-2</v>
      </c>
      <c r="M20">
        <v>6.3193060397672661E-3</v>
      </c>
      <c r="N20">
        <v>6.6425770002624023E-4</v>
      </c>
      <c r="O20">
        <v>0</v>
      </c>
      <c r="P20">
        <v>0</v>
      </c>
      <c r="Q20">
        <v>1.4917712126989092E-2</v>
      </c>
      <c r="R20">
        <v>6.3193060397672661E-3</v>
      </c>
      <c r="S20">
        <v>6.6425770002624023E-4</v>
      </c>
      <c r="T20">
        <v>0</v>
      </c>
      <c r="U20">
        <v>0</v>
      </c>
      <c r="V20">
        <v>1.4917712126989092E-2</v>
      </c>
      <c r="W20">
        <v>6.3193060397672661E-3</v>
      </c>
      <c r="X20">
        <v>6.6425770002624023E-4</v>
      </c>
      <c r="Y20">
        <v>0</v>
      </c>
      <c r="Z20">
        <v>0</v>
      </c>
    </row>
    <row r="21" spans="1:26" x14ac:dyDescent="0.35">
      <c r="A21" t="s">
        <v>237</v>
      </c>
      <c r="B21" s="11">
        <v>4.1358712126989092E-2</v>
      </c>
      <c r="C21">
        <v>3.2741106039767265E-2</v>
      </c>
      <c r="D21">
        <v>2.7088257700026239E-2</v>
      </c>
      <c r="E21">
        <v>2.6427799999999998E-2</v>
      </c>
      <c r="F21">
        <v>2.6442799999999999E-2</v>
      </c>
      <c r="G21">
        <v>4.1371812126989094E-2</v>
      </c>
      <c r="H21">
        <v>3.2794006039767266E-2</v>
      </c>
      <c r="I21">
        <v>2.7162857700026237E-2</v>
      </c>
      <c r="J21">
        <v>2.6535099999999999E-2</v>
      </c>
      <c r="K21">
        <v>2.65857E-2</v>
      </c>
      <c r="L21">
        <v>4.1440512126989092E-2</v>
      </c>
      <c r="M21">
        <v>3.2875306039767266E-2</v>
      </c>
      <c r="N21">
        <v>2.7266557700026239E-2</v>
      </c>
      <c r="O21">
        <v>2.6669399999999999E-2</v>
      </c>
      <c r="P21">
        <v>2.6767199999999998E-2</v>
      </c>
      <c r="Q21">
        <v>4.1454412126989096E-2</v>
      </c>
      <c r="R21">
        <v>3.2905006039767266E-2</v>
      </c>
      <c r="S21">
        <v>2.7318757700026237E-2</v>
      </c>
      <c r="T21">
        <v>2.67481E-2</v>
      </c>
      <c r="U21">
        <v>2.6883799999999999E-2</v>
      </c>
      <c r="V21">
        <v>4.1522912126989095E-2</v>
      </c>
      <c r="W21">
        <v>3.2988406039767271E-2</v>
      </c>
      <c r="X21">
        <v>2.7419857700026237E-2</v>
      </c>
      <c r="Y21">
        <v>2.6875400000000001E-2</v>
      </c>
      <c r="Z21">
        <v>2.7044699999999998E-2</v>
      </c>
    </row>
    <row r="22" spans="1:26" x14ac:dyDescent="0.35">
      <c r="A22" t="s">
        <v>256</v>
      </c>
      <c r="B22" s="11">
        <v>6.7188004575282099</v>
      </c>
      <c r="C22">
        <v>8.4872188992051285</v>
      </c>
      <c r="D22">
        <v>10.258353897796932</v>
      </c>
      <c r="E22">
        <v>10.514720633635488</v>
      </c>
      <c r="F22">
        <v>10.508756030435201</v>
      </c>
      <c r="G22">
        <v>6.7166730117754501</v>
      </c>
      <c r="H22">
        <v>8.4735281692826074</v>
      </c>
      <c r="I22">
        <v>10.230180381989907</v>
      </c>
      <c r="J22">
        <v>10.472202251417629</v>
      </c>
      <c r="K22">
        <v>10.452270730565376</v>
      </c>
      <c r="L22">
        <v>6.7055381243856669</v>
      </c>
      <c r="M22">
        <v>8.4525732969742151</v>
      </c>
      <c r="N22">
        <v>10.191273024585884</v>
      </c>
      <c r="O22">
        <v>10.419467028189308</v>
      </c>
      <c r="P22">
        <v>10.381397156280521</v>
      </c>
      <c r="Q22">
        <v>6.7032897031647005</v>
      </c>
      <c r="R22">
        <v>8.4449440193312704</v>
      </c>
      <c r="S22">
        <v>10.171799794590404</v>
      </c>
      <c r="T22">
        <v>10.38881019442846</v>
      </c>
      <c r="U22">
        <v>10.336371121701244</v>
      </c>
      <c r="V22">
        <v>6.69223134234303</v>
      </c>
      <c r="W22">
        <v>8.4235938416244966</v>
      </c>
      <c r="X22">
        <v>10.134295261544192</v>
      </c>
      <c r="Y22">
        <v>10.339601790544211</v>
      </c>
      <c r="Z22">
        <v>10.274875815283288</v>
      </c>
    </row>
  </sheetData>
  <mergeCells count="2">
    <mergeCell ref="C7:H7"/>
    <mergeCell ref="A9:A13"/>
  </mergeCells>
  <conditionalFormatting sqref="H13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9:G1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1226F-FBF5-4F20-AAE3-C1F65246A91B}">
  <sheetPr codeName="Sheet33"/>
  <dimension ref="A1:J12"/>
  <sheetViews>
    <sheetView workbookViewId="0"/>
  </sheetViews>
  <sheetFormatPr defaultRowHeight="14.5" x14ac:dyDescent="0.35"/>
  <cols>
    <col min="1" max="1" width="9.90625" bestFit="1" customWidth="1"/>
  </cols>
  <sheetData>
    <row r="1" spans="1:10" x14ac:dyDescent="0.35">
      <c r="A1" t="s">
        <v>56</v>
      </c>
      <c r="B1">
        <v>0.1</v>
      </c>
    </row>
    <row r="2" spans="1:10" x14ac:dyDescent="0.35">
      <c r="A2" t="s">
        <v>241</v>
      </c>
      <c r="B2">
        <v>40</v>
      </c>
    </row>
    <row r="4" spans="1:10" x14ac:dyDescent="0.35">
      <c r="A4" t="s">
        <v>267</v>
      </c>
    </row>
    <row r="6" spans="1:10" x14ac:dyDescent="0.35">
      <c r="A6" s="7" t="s">
        <v>268</v>
      </c>
      <c r="B6" s="8">
        <v>-8</v>
      </c>
      <c r="C6" s="8">
        <v>-6</v>
      </c>
      <c r="D6" s="8">
        <v>-4</v>
      </c>
      <c r="E6" s="8">
        <v>-2</v>
      </c>
      <c r="F6" s="8">
        <v>0</v>
      </c>
      <c r="G6" s="8">
        <v>2</v>
      </c>
      <c r="H6" s="8">
        <v>4</v>
      </c>
      <c r="I6" s="8">
        <v>6</v>
      </c>
      <c r="J6" s="8">
        <v>8</v>
      </c>
    </row>
    <row r="7" spans="1:10" x14ac:dyDescent="0.35">
      <c r="A7" s="6" t="s">
        <v>139</v>
      </c>
      <c r="B7">
        <v>5.0753999999999999E-3</v>
      </c>
      <c r="C7">
        <v>4.9305E-3</v>
      </c>
      <c r="D7">
        <v>4.8215000000000003E-3</v>
      </c>
      <c r="E7">
        <v>4.7482999999999996E-3</v>
      </c>
      <c r="F7">
        <v>4.7107E-3</v>
      </c>
      <c r="G7">
        <v>4.7086999999999997E-3</v>
      </c>
      <c r="H7">
        <v>4.7423999999999999E-3</v>
      </c>
      <c r="I7">
        <v>4.8120000000000003E-3</v>
      </c>
      <c r="J7">
        <v>4.9177999999999999E-3</v>
      </c>
    </row>
    <row r="8" spans="1:10" ht="14.5" customHeight="1" x14ac:dyDescent="0.35">
      <c r="A8" s="6" t="s">
        <v>136</v>
      </c>
      <c r="B8">
        <v>6.4900000000000001E-3</v>
      </c>
      <c r="C8">
        <v>6.4900000000000001E-3</v>
      </c>
      <c r="D8">
        <v>6.4900000000000001E-3</v>
      </c>
      <c r="E8">
        <v>6.4999999999999997E-3</v>
      </c>
      <c r="F8">
        <v>6.4999999999999997E-3</v>
      </c>
      <c r="G8">
        <v>6.5100000000000002E-3</v>
      </c>
      <c r="H8">
        <v>6.5100000000000002E-3</v>
      </c>
      <c r="I8">
        <v>6.5199999999999998E-3</v>
      </c>
      <c r="J8">
        <v>6.5300000000000002E-3</v>
      </c>
    </row>
    <row r="9" spans="1:10" x14ac:dyDescent="0.35">
      <c r="A9" s="6" t="s">
        <v>257</v>
      </c>
      <c r="B9">
        <v>1.4999999999999999E-2</v>
      </c>
      <c r="C9">
        <v>1.4999999999999999E-2</v>
      </c>
      <c r="D9">
        <v>1.4999999999999999E-2</v>
      </c>
      <c r="E9">
        <v>1.4999999999999999E-2</v>
      </c>
      <c r="F9">
        <v>1.4999999999999999E-2</v>
      </c>
      <c r="G9">
        <v>1.4999999999999999E-2</v>
      </c>
      <c r="H9">
        <v>1.4999999999999999E-2</v>
      </c>
      <c r="I9">
        <v>1.4999999999999999E-2</v>
      </c>
      <c r="J9">
        <v>1.4999999999999999E-2</v>
      </c>
    </row>
    <row r="10" spans="1:10" x14ac:dyDescent="0.35">
      <c r="A10" s="6" t="s">
        <v>263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</row>
    <row r="11" spans="1:10" x14ac:dyDescent="0.35">
      <c r="A11" s="6" t="s">
        <v>237</v>
      </c>
      <c r="B11">
        <v>2.6565399999999999E-2</v>
      </c>
      <c r="C11">
        <v>2.64205E-2</v>
      </c>
      <c r="D11">
        <v>2.6311500000000002E-2</v>
      </c>
      <c r="E11">
        <v>2.6248299999999999E-2</v>
      </c>
      <c r="F11">
        <v>2.62107E-2</v>
      </c>
      <c r="G11">
        <v>2.6218699999999998E-2</v>
      </c>
      <c r="H11">
        <v>2.6252399999999999E-2</v>
      </c>
      <c r="I11">
        <v>2.6332000000000001E-2</v>
      </c>
      <c r="J11">
        <v>2.64478E-2</v>
      </c>
    </row>
    <row r="12" spans="1:10" x14ac:dyDescent="0.35">
      <c r="A12" s="6" t="s">
        <v>256</v>
      </c>
      <c r="B12">
        <v>9.6697112950090212</v>
      </c>
      <c r="C12">
        <v>9.7227436436264512</v>
      </c>
      <c r="D12">
        <v>9.7630218131399804</v>
      </c>
      <c r="E12">
        <v>9.7865289727880533</v>
      </c>
      <c r="F12">
        <v>9.800568028951254</v>
      </c>
      <c r="G12">
        <v>9.7975776234684648</v>
      </c>
      <c r="H12">
        <v>9.7850005499090607</v>
      </c>
      <c r="I12">
        <v>9.7554211011861085</v>
      </c>
      <c r="J12">
        <v>9.7127076141090232</v>
      </c>
    </row>
  </sheetData>
  <conditionalFormatting sqref="B12:J1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9E8BB9-873A-4A9F-87EE-CE1C34D252C4}">
  <sheetPr codeName="Sheet32"/>
  <dimension ref="A1:BL26"/>
  <sheetViews>
    <sheetView workbookViewId="0"/>
  </sheetViews>
  <sheetFormatPr defaultRowHeight="14.5" x14ac:dyDescent="0.35"/>
  <cols>
    <col min="1" max="1" width="9.90625" bestFit="1" customWidth="1"/>
    <col min="30" max="30" width="8.7265625" customWidth="1"/>
  </cols>
  <sheetData>
    <row r="1" spans="1:35" x14ac:dyDescent="0.35">
      <c r="B1" t="s">
        <v>51</v>
      </c>
      <c r="C1" t="s">
        <v>53</v>
      </c>
      <c r="D1" t="s">
        <v>242</v>
      </c>
      <c r="E1" t="s">
        <v>269</v>
      </c>
    </row>
    <row r="2" spans="1:35" x14ac:dyDescent="0.35">
      <c r="A2" t="s">
        <v>56</v>
      </c>
      <c r="B2">
        <v>0.05</v>
      </c>
      <c r="C2">
        <v>0.35</v>
      </c>
      <c r="D2">
        <v>0.05</v>
      </c>
      <c r="E2">
        <f>(C2-B2)/D2</f>
        <v>5.9999999999999991</v>
      </c>
      <c r="G2" t="s">
        <v>273</v>
      </c>
    </row>
    <row r="3" spans="1:35" x14ac:dyDescent="0.35">
      <c r="A3" t="s">
        <v>241</v>
      </c>
      <c r="B3">
        <v>20</v>
      </c>
      <c r="C3">
        <v>60</v>
      </c>
      <c r="D3">
        <v>5</v>
      </c>
      <c r="E3">
        <f>(C3-B3)/D3</f>
        <v>8</v>
      </c>
      <c r="G3" t="s">
        <v>270</v>
      </c>
    </row>
    <row r="4" spans="1:35" x14ac:dyDescent="0.35">
      <c r="E4">
        <f>E2*E3</f>
        <v>47.999999999999993</v>
      </c>
      <c r="G4" t="s">
        <v>271</v>
      </c>
    </row>
    <row r="6" spans="1:35" x14ac:dyDescent="0.35">
      <c r="A6" t="s">
        <v>267</v>
      </c>
    </row>
    <row r="8" spans="1:35" x14ac:dyDescent="0.35">
      <c r="A8" t="s">
        <v>256</v>
      </c>
      <c r="B8" s="6"/>
      <c r="C8" s="24" t="s">
        <v>241</v>
      </c>
      <c r="D8" s="21"/>
      <c r="E8" s="21"/>
      <c r="F8" s="21"/>
      <c r="G8" s="21"/>
      <c r="H8" s="21"/>
      <c r="J8" t="s">
        <v>143</v>
      </c>
      <c r="K8" s="6"/>
      <c r="L8" s="24" t="s">
        <v>241</v>
      </c>
      <c r="M8" s="21"/>
      <c r="N8" s="21"/>
      <c r="O8" s="21"/>
      <c r="P8" s="21"/>
      <c r="Q8" s="21"/>
      <c r="S8" t="s">
        <v>272</v>
      </c>
      <c r="T8" s="6"/>
      <c r="U8" s="24" t="s">
        <v>241</v>
      </c>
      <c r="V8" s="21"/>
      <c r="W8" s="21"/>
      <c r="X8" s="21"/>
      <c r="Y8" s="21"/>
      <c r="Z8" s="21"/>
      <c r="AB8" t="s">
        <v>263</v>
      </c>
      <c r="AC8" s="6"/>
      <c r="AD8" s="24" t="s">
        <v>241</v>
      </c>
      <c r="AE8" s="21"/>
      <c r="AF8" s="21"/>
      <c r="AG8" s="21"/>
      <c r="AH8" s="21"/>
      <c r="AI8" s="21"/>
    </row>
    <row r="9" spans="1:35" x14ac:dyDescent="0.35">
      <c r="A9" s="8"/>
      <c r="B9" s="7"/>
      <c r="C9" s="20">
        <v>20</v>
      </c>
      <c r="D9" s="8">
        <v>25</v>
      </c>
      <c r="E9" s="8">
        <v>30</v>
      </c>
      <c r="F9" s="8">
        <v>35</v>
      </c>
      <c r="G9" s="8">
        <v>40</v>
      </c>
      <c r="H9" s="8">
        <v>45</v>
      </c>
      <c r="J9" s="8"/>
      <c r="K9" s="7"/>
      <c r="L9" s="20">
        <v>20</v>
      </c>
      <c r="M9" s="8">
        <v>25</v>
      </c>
      <c r="N9" s="8">
        <v>30</v>
      </c>
      <c r="O9" s="8">
        <v>35</v>
      </c>
      <c r="P9" s="8">
        <v>40</v>
      </c>
      <c r="Q9" s="8">
        <v>45</v>
      </c>
      <c r="S9" s="8"/>
      <c r="T9" s="7"/>
      <c r="U9" s="20">
        <v>20</v>
      </c>
      <c r="V9" s="8">
        <v>25</v>
      </c>
      <c r="W9" s="8">
        <v>30</v>
      </c>
      <c r="X9" s="8">
        <v>35</v>
      </c>
      <c r="Y9" s="8">
        <v>40</v>
      </c>
      <c r="Z9" s="8">
        <v>45</v>
      </c>
      <c r="AB9" s="8"/>
      <c r="AC9" s="7"/>
      <c r="AD9" s="20">
        <v>20</v>
      </c>
      <c r="AE9" s="8">
        <v>25</v>
      </c>
      <c r="AF9" s="8">
        <v>30</v>
      </c>
      <c r="AG9" s="8">
        <v>35</v>
      </c>
      <c r="AH9" s="8">
        <v>40</v>
      </c>
      <c r="AI9" s="8">
        <v>45</v>
      </c>
    </row>
    <row r="10" spans="1:35" ht="14.5" customHeight="1" x14ac:dyDescent="0.35">
      <c r="A10" s="22" t="s">
        <v>56</v>
      </c>
      <c r="B10" s="6">
        <v>0.05</v>
      </c>
      <c r="C10">
        <f>IF(B25="","",B25)</f>
        <v>11.867461525327172</v>
      </c>
      <c r="D10">
        <f t="shared" ref="D10:I10" si="0">IF(C25="","",C25)</f>
        <v>11.922709036903395</v>
      </c>
      <c r="E10">
        <f t="shared" si="0"/>
        <v>11.931496649394067</v>
      </c>
      <c r="F10">
        <f t="shared" si="0"/>
        <v>11.938991022789137</v>
      </c>
      <c r="G10">
        <f t="shared" si="0"/>
        <v>11.944219943926415</v>
      </c>
      <c r="H10">
        <f t="shared" si="0"/>
        <v>11.942173298973717</v>
      </c>
      <c r="I10" t="str">
        <f t="shared" si="0"/>
        <v/>
      </c>
      <c r="J10" s="22" t="s">
        <v>56</v>
      </c>
      <c r="K10" s="6">
        <v>0.05</v>
      </c>
      <c r="L10">
        <f>IF(B26="","",B26)</f>
        <v>0.97544448409972417</v>
      </c>
      <c r="M10">
        <f t="shared" ref="M10:Q10" si="1">IF(C26="","",C26)</f>
        <v>0.97925005381303376</v>
      </c>
      <c r="N10">
        <f t="shared" si="1"/>
        <v>0.98228572036803397</v>
      </c>
      <c r="O10">
        <f t="shared" si="1"/>
        <v>0.98514472802124875</v>
      </c>
      <c r="P10">
        <f t="shared" si="1"/>
        <v>0.98714723166636476</v>
      </c>
      <c r="Q10">
        <f t="shared" si="1"/>
        <v>0.98854508596379453</v>
      </c>
      <c r="S10" s="22" t="s">
        <v>56</v>
      </c>
      <c r="T10" s="6">
        <v>0.05</v>
      </c>
      <c r="U10">
        <f>IF(B21="","",B21)</f>
        <v>6.4799999999999996E-3</v>
      </c>
      <c r="V10">
        <f t="shared" ref="V10:Z10" si="2">IF(C21="","",C21)</f>
        <v>6.4799999999999996E-3</v>
      </c>
      <c r="W10">
        <f t="shared" si="2"/>
        <v>6.4799999999999996E-3</v>
      </c>
      <c r="X10">
        <f t="shared" si="2"/>
        <v>6.4799999999999996E-3</v>
      </c>
      <c r="Y10">
        <f t="shared" si="2"/>
        <v>6.4799999999999996E-3</v>
      </c>
      <c r="Z10">
        <f t="shared" si="2"/>
        <v>6.4900000000000001E-3</v>
      </c>
      <c r="AB10" s="22" t="s">
        <v>56</v>
      </c>
      <c r="AC10" s="6">
        <v>0.05</v>
      </c>
      <c r="AD10">
        <f>IF(B23="","",B23)</f>
        <v>8.1566237076445197E-5</v>
      </c>
      <c r="AE10">
        <f t="shared" ref="AE10:AI10" si="3">IF(C23="","",C23)</f>
        <v>1.3989465839462357E-6</v>
      </c>
      <c r="AF10">
        <f t="shared" si="3"/>
        <v>0</v>
      </c>
      <c r="AG10">
        <f t="shared" si="3"/>
        <v>0</v>
      </c>
      <c r="AH10">
        <f t="shared" si="3"/>
        <v>0</v>
      </c>
      <c r="AI10">
        <f t="shared" si="3"/>
        <v>0</v>
      </c>
    </row>
    <row r="11" spans="1:35" x14ac:dyDescent="0.35">
      <c r="A11" s="23"/>
      <c r="B11" s="6">
        <v>0.1</v>
      </c>
      <c r="C11">
        <f>IF(K25="","",K25)</f>
        <v>11.89153497708929</v>
      </c>
      <c r="D11">
        <f t="shared" ref="D11:I11" si="4">IF(L25="","",L25)</f>
        <v>11.944049962352828</v>
      </c>
      <c r="E11">
        <f t="shared" si="4"/>
        <v>11.950705616783278</v>
      </c>
      <c r="F11">
        <f t="shared" si="4"/>
        <v>11.949111992061791</v>
      </c>
      <c r="G11">
        <f t="shared" si="4"/>
        <v>11.951844180431115</v>
      </c>
      <c r="H11">
        <f t="shared" si="4"/>
        <v>11.953039905772526</v>
      </c>
      <c r="I11" t="str">
        <f t="shared" si="4"/>
        <v/>
      </c>
      <c r="J11" s="23"/>
      <c r="K11" s="6">
        <v>0.1</v>
      </c>
      <c r="L11">
        <f>IF(K26="","",K26)</f>
        <v>0.98682018123069393</v>
      </c>
      <c r="M11">
        <f t="shared" ref="M11:Q11" si="5">IF(L26="","",L26)</f>
        <v>0.98957415901170942</v>
      </c>
      <c r="N11">
        <f t="shared" si="5"/>
        <v>0.99183687131420473</v>
      </c>
      <c r="O11">
        <f t="shared" si="5"/>
        <v>0.99342472773646251</v>
      </c>
      <c r="P11">
        <f t="shared" si="5"/>
        <v>0.99448612619017196</v>
      </c>
      <c r="Q11">
        <f t="shared" si="5"/>
        <v>0.9949512015414691</v>
      </c>
      <c r="S11" s="23"/>
      <c r="T11" s="6">
        <v>0.1</v>
      </c>
      <c r="U11">
        <f>IF(K21="","",K21)</f>
        <v>6.4900000000000001E-3</v>
      </c>
      <c r="V11">
        <f t="shared" ref="V11:Z11" si="6">IF(L21="","",L21)</f>
        <v>6.4900000000000001E-3</v>
      </c>
      <c r="W11">
        <f t="shared" si="6"/>
        <v>6.4900000000000001E-3</v>
      </c>
      <c r="X11">
        <f t="shared" si="6"/>
        <v>6.4999999999999997E-3</v>
      </c>
      <c r="Y11">
        <f t="shared" si="6"/>
        <v>6.4999999999999997E-3</v>
      </c>
      <c r="Z11">
        <f t="shared" si="6"/>
        <v>6.4999999999999997E-3</v>
      </c>
      <c r="AB11" s="23"/>
      <c r="AC11" s="6">
        <v>0.1</v>
      </c>
      <c r="AD11">
        <f>IF(K23="","",K23)</f>
        <v>8.1566237076445197E-5</v>
      </c>
      <c r="AE11">
        <f t="shared" ref="AE11:AI11" si="7">IF(L23="","",L23)</f>
        <v>1.3989465839462357E-6</v>
      </c>
      <c r="AF11">
        <f t="shared" si="7"/>
        <v>0</v>
      </c>
      <c r="AG11">
        <f t="shared" si="7"/>
        <v>0</v>
      </c>
      <c r="AH11">
        <f t="shared" si="7"/>
        <v>0</v>
      </c>
      <c r="AI11">
        <f t="shared" si="7"/>
        <v>0</v>
      </c>
    </row>
    <row r="12" spans="1:35" x14ac:dyDescent="0.35">
      <c r="A12" s="23"/>
      <c r="B12" s="6">
        <v>0.15</v>
      </c>
      <c r="C12">
        <f>IF(T25="","",T25)</f>
        <v>11.883424603276326</v>
      </c>
      <c r="D12">
        <f t="shared" ref="D12:I12" si="8">IF(U25="","",U25)</f>
        <v>11.933369958426916</v>
      </c>
      <c r="E12">
        <f t="shared" si="8"/>
        <v>11.937798106422719</v>
      </c>
      <c r="F12">
        <f t="shared" si="8"/>
        <v>11.939161458875283</v>
      </c>
      <c r="G12">
        <f t="shared" si="8"/>
        <v>11.933596395768703</v>
      </c>
      <c r="H12">
        <f t="shared" si="8"/>
        <v>11.931950585997367</v>
      </c>
      <c r="I12" t="str">
        <f t="shared" si="8"/>
        <v/>
      </c>
      <c r="J12" s="23"/>
      <c r="K12" s="6">
        <v>0.15</v>
      </c>
      <c r="L12">
        <f>IF(T26="","",T26)</f>
        <v>0.99243172227769771</v>
      </c>
      <c r="M12">
        <f t="shared" ref="M12:Q12" si="9">IF(U26="","",U26)</f>
        <v>0.99424268876915833</v>
      </c>
      <c r="N12">
        <f t="shared" si="9"/>
        <v>0.99566072482828571</v>
      </c>
      <c r="O12">
        <f t="shared" si="9"/>
        <v>0.99619353174473591</v>
      </c>
      <c r="P12">
        <f t="shared" si="9"/>
        <v>0.99623795806229309</v>
      </c>
      <c r="Q12">
        <f t="shared" si="9"/>
        <v>0.99559416403466605</v>
      </c>
      <c r="S12" s="23"/>
      <c r="T12" s="6">
        <v>0.15</v>
      </c>
      <c r="U12">
        <f>IF(T21="","",T21)</f>
        <v>6.5300000000000002E-3</v>
      </c>
      <c r="V12">
        <f t="shared" ref="V12:Z12" si="10">IF(U21="","",U21)</f>
        <v>6.5300000000000002E-3</v>
      </c>
      <c r="W12">
        <f t="shared" si="10"/>
        <v>6.5300000000000002E-3</v>
      </c>
      <c r="X12">
        <f t="shared" si="10"/>
        <v>6.5300000000000002E-3</v>
      </c>
      <c r="Y12">
        <f t="shared" si="10"/>
        <v>6.5399999999999998E-3</v>
      </c>
      <c r="Z12">
        <f t="shared" si="10"/>
        <v>6.5399999999999998E-3</v>
      </c>
      <c r="AB12" s="23"/>
      <c r="AC12" s="6">
        <v>0.15</v>
      </c>
      <c r="AD12">
        <f>IF(T23="","",T23)</f>
        <v>8.1566237076445197E-5</v>
      </c>
      <c r="AE12">
        <f t="shared" ref="AE12:AI12" si="11">IF(U23="","",U23)</f>
        <v>1.3989465839462357E-6</v>
      </c>
      <c r="AF12">
        <f t="shared" si="11"/>
        <v>0</v>
      </c>
      <c r="AG12">
        <f t="shared" si="11"/>
        <v>0</v>
      </c>
      <c r="AH12">
        <f t="shared" si="11"/>
        <v>0</v>
      </c>
      <c r="AI12">
        <f t="shared" si="11"/>
        <v>0</v>
      </c>
    </row>
    <row r="13" spans="1:35" x14ac:dyDescent="0.35">
      <c r="A13" s="23"/>
      <c r="B13" s="6">
        <v>0.2</v>
      </c>
      <c r="C13">
        <f>IF(AC25="","",AC25)</f>
        <v>11.902309582489886</v>
      </c>
      <c r="D13">
        <f t="shared" ref="D13:I13" si="12">IF(AD25="","",AD25)</f>
        <v>11.949966266290302</v>
      </c>
      <c r="E13">
        <f t="shared" si="12"/>
        <v>11.951616450346224</v>
      </c>
      <c r="F13">
        <f t="shared" si="12"/>
        <v>11.950762539813677</v>
      </c>
      <c r="G13">
        <f t="shared" si="12"/>
        <v>11.948315339072625</v>
      </c>
      <c r="H13">
        <f t="shared" si="12"/>
        <v>11.943480796776274</v>
      </c>
      <c r="I13" t="str">
        <f t="shared" si="12"/>
        <v/>
      </c>
      <c r="J13" s="23"/>
      <c r="K13" s="6">
        <v>0.2</v>
      </c>
      <c r="L13">
        <f>IF(AC26="","",AC26)</f>
        <v>0.99541671208492255</v>
      </c>
      <c r="M13">
        <f t="shared" ref="M13:Q13" si="13">IF(AD26="","",AD26)</f>
        <v>0.9962823883425056</v>
      </c>
      <c r="N13">
        <f t="shared" si="13"/>
        <v>0.99661574180726453</v>
      </c>
      <c r="O13">
        <f t="shared" si="13"/>
        <v>0.9962823883425056</v>
      </c>
      <c r="P13">
        <f t="shared" si="13"/>
        <v>0.99532800982934555</v>
      </c>
      <c r="Q13">
        <f t="shared" si="13"/>
        <v>0.9934468170951386</v>
      </c>
      <c r="S13" s="23"/>
      <c r="T13" s="6">
        <v>0.2</v>
      </c>
      <c r="U13">
        <f>IF(AC21="","",AC21)</f>
        <v>6.5100000000000002E-3</v>
      </c>
      <c r="V13">
        <f t="shared" ref="V13:Z13" si="14">IF(AD21="","",AD21)</f>
        <v>6.5100000000000002E-3</v>
      </c>
      <c r="W13">
        <f t="shared" si="14"/>
        <v>6.5100000000000002E-3</v>
      </c>
      <c r="X13">
        <f t="shared" si="14"/>
        <v>6.5100000000000002E-3</v>
      </c>
      <c r="Y13">
        <f t="shared" si="14"/>
        <v>6.5100000000000002E-3</v>
      </c>
      <c r="Z13">
        <f t="shared" si="14"/>
        <v>6.5100000000000002E-3</v>
      </c>
      <c r="AB13" s="23"/>
      <c r="AC13" s="6">
        <v>0.2</v>
      </c>
      <c r="AD13">
        <f>IF(AC23="","",AC23)</f>
        <v>8.1566237076445197E-5</v>
      </c>
      <c r="AE13">
        <f t="shared" ref="AE13:AI13" si="15">IF(AD23="","",AD23)</f>
        <v>1.3989465839462357E-6</v>
      </c>
      <c r="AF13">
        <f t="shared" si="15"/>
        <v>0</v>
      </c>
      <c r="AG13">
        <f t="shared" si="15"/>
        <v>0</v>
      </c>
      <c r="AH13">
        <f t="shared" si="15"/>
        <v>0</v>
      </c>
      <c r="AI13">
        <f t="shared" si="15"/>
        <v>0</v>
      </c>
    </row>
    <row r="14" spans="1:35" x14ac:dyDescent="0.35">
      <c r="A14" s="23"/>
      <c r="B14" s="6">
        <v>0.25</v>
      </c>
      <c r="C14">
        <f>IF(AL25="","",AL25)</f>
        <v>11.86617061788716</v>
      </c>
      <c r="D14">
        <f t="shared" ref="D14:I14" si="16">IF(AM25="","",AM25)</f>
        <v>11.911614721675145</v>
      </c>
      <c r="E14">
        <f t="shared" si="16"/>
        <v>11.911161735358792</v>
      </c>
      <c r="F14">
        <f t="shared" si="16"/>
        <v>11.908561156117226</v>
      </c>
      <c r="G14">
        <f t="shared" si="16"/>
        <v>11.903250458628932</v>
      </c>
      <c r="H14">
        <f t="shared" si="16"/>
        <v>11.895349684108334</v>
      </c>
      <c r="I14" t="str">
        <f t="shared" si="16"/>
        <v/>
      </c>
      <c r="J14" s="23"/>
      <c r="K14" s="6">
        <v>0.25</v>
      </c>
      <c r="L14">
        <f>IF(AL26="","",AL26)</f>
        <v>0.9967046737433557</v>
      </c>
      <c r="M14">
        <f t="shared" ref="M14:Q14" si="17">IF(AM26="","",AM26)</f>
        <v>0.99681586098524488</v>
      </c>
      <c r="N14">
        <f t="shared" si="17"/>
        <v>0.99632682258590333</v>
      </c>
      <c r="O14">
        <f t="shared" si="17"/>
        <v>0.99530583673549577</v>
      </c>
      <c r="P14">
        <f t="shared" si="17"/>
        <v>0.99322596770379168</v>
      </c>
      <c r="Q14">
        <f t="shared" si="17"/>
        <v>0.99014435443608939</v>
      </c>
      <c r="S14" s="23"/>
      <c r="T14" s="6">
        <v>0.25</v>
      </c>
      <c r="U14">
        <f>IF(AL21="","",AL21)</f>
        <v>6.5799999999999999E-3</v>
      </c>
      <c r="V14">
        <f t="shared" ref="V14:Z14" si="18">IF(AM21="","",AM21)</f>
        <v>6.5799999999999999E-3</v>
      </c>
      <c r="W14">
        <f t="shared" si="18"/>
        <v>6.5799999999999999E-3</v>
      </c>
      <c r="X14">
        <f t="shared" si="18"/>
        <v>6.5799999999999999E-3</v>
      </c>
      <c r="Y14">
        <f t="shared" si="18"/>
        <v>6.5799999999999999E-3</v>
      </c>
      <c r="Z14">
        <f t="shared" si="18"/>
        <v>6.5799999999999999E-3</v>
      </c>
      <c r="AB14" s="23"/>
      <c r="AC14" s="6">
        <v>0.25</v>
      </c>
      <c r="AD14">
        <f>IF(AL23="","",AL23)</f>
        <v>8.1566237076445197E-5</v>
      </c>
      <c r="AE14">
        <f t="shared" ref="AE14:AI14" si="19">IF(AM23="","",AM23)</f>
        <v>1.3989465839462357E-6</v>
      </c>
      <c r="AF14">
        <f t="shared" si="19"/>
        <v>0</v>
      </c>
      <c r="AG14">
        <f t="shared" si="19"/>
        <v>0</v>
      </c>
      <c r="AH14">
        <f t="shared" si="19"/>
        <v>0</v>
      </c>
      <c r="AI14">
        <f t="shared" si="19"/>
        <v>0</v>
      </c>
    </row>
    <row r="15" spans="1:35" x14ac:dyDescent="0.35">
      <c r="A15" s="23"/>
      <c r="B15" s="6">
        <v>0.3</v>
      </c>
      <c r="C15">
        <f>IF(AU25="","",AU25)</f>
        <v>11.888830289367675</v>
      </c>
      <c r="D15">
        <f t="shared" ref="D15:I15" si="20">IF(AV25="","",AV25)</f>
        <v>11.927640179645827</v>
      </c>
      <c r="E15">
        <f t="shared" si="20"/>
        <v>11.925371884012616</v>
      </c>
      <c r="F15">
        <f t="shared" si="20"/>
        <v>11.920046185595158</v>
      </c>
      <c r="G15">
        <f t="shared" si="20"/>
        <v>11.912688691368093</v>
      </c>
      <c r="H15">
        <f t="shared" si="20"/>
        <v>11.901613007898897</v>
      </c>
      <c r="I15" t="str">
        <f t="shared" si="20"/>
        <v/>
      </c>
      <c r="J15" s="23"/>
      <c r="K15" s="6">
        <v>0.3</v>
      </c>
      <c r="L15">
        <f>IF(AU26="","",AU26)</f>
        <v>0.99677138311178781</v>
      </c>
      <c r="M15">
        <f t="shared" ref="M15:Q15" si="21">IF(AV26="","",AV26)</f>
        <v>0.9964379255368141</v>
      </c>
      <c r="N15">
        <f t="shared" si="21"/>
        <v>0.99523932338099586</v>
      </c>
      <c r="O15">
        <f t="shared" si="21"/>
        <v>0.99315973203262486</v>
      </c>
      <c r="P15">
        <f t="shared" si="21"/>
        <v>0.99029798087640009</v>
      </c>
      <c r="Q15">
        <f t="shared" si="21"/>
        <v>0.98601438261872498</v>
      </c>
      <c r="S15" s="23"/>
      <c r="T15" s="6">
        <v>0.3</v>
      </c>
      <c r="U15">
        <f>IF(AU21="","",AU21)</f>
        <v>6.5399999999999998E-3</v>
      </c>
      <c r="V15">
        <f t="shared" ref="V15:Z15" si="22">IF(AV21="","",AV21)</f>
        <v>6.5500000000000003E-3</v>
      </c>
      <c r="W15">
        <f t="shared" si="22"/>
        <v>6.5500000000000003E-3</v>
      </c>
      <c r="X15">
        <f t="shared" si="22"/>
        <v>6.5500000000000003E-3</v>
      </c>
      <c r="Y15">
        <f t="shared" si="22"/>
        <v>6.5500000000000003E-3</v>
      </c>
      <c r="Z15">
        <f t="shared" si="22"/>
        <v>6.5500000000000003E-3</v>
      </c>
      <c r="AB15" s="23"/>
      <c r="AC15" s="6">
        <v>0.3</v>
      </c>
      <c r="AD15">
        <f>IF(AU23="","",AU23)</f>
        <v>8.1566237076445197E-5</v>
      </c>
      <c r="AE15">
        <f t="shared" ref="AE15:AI15" si="23">IF(AV23="","",AV23)</f>
        <v>1.3989465839462357E-6</v>
      </c>
      <c r="AF15">
        <f t="shared" si="23"/>
        <v>0</v>
      </c>
      <c r="AG15">
        <f t="shared" si="23"/>
        <v>0</v>
      </c>
      <c r="AH15">
        <f t="shared" si="23"/>
        <v>0</v>
      </c>
      <c r="AI15">
        <f t="shared" si="23"/>
        <v>0</v>
      </c>
    </row>
    <row r="16" spans="1:35" x14ac:dyDescent="0.35">
      <c r="A16" s="23"/>
      <c r="B16" s="6">
        <v>0.35</v>
      </c>
      <c r="C16">
        <f t="shared" ref="C16" si="24">IF(BD25="","",BD25)</f>
        <v>11.848295208995218</v>
      </c>
      <c r="D16">
        <f t="shared" ref="D16" si="25">IF(BE25="","",BE25)</f>
        <v>11.891122032835241</v>
      </c>
      <c r="E16">
        <f t="shared" ref="E16:I16" si="26">IF(BF25="","",BF25)</f>
        <v>11.887234107753379</v>
      </c>
      <c r="F16">
        <f t="shared" si="26"/>
        <v>11.880142056891954</v>
      </c>
      <c r="G16">
        <f t="shared" si="26"/>
        <v>11.869969066305138</v>
      </c>
      <c r="H16">
        <f t="shared" si="26"/>
        <v>11.85600261512776</v>
      </c>
      <c r="I16" t="str">
        <f t="shared" si="26"/>
        <v/>
      </c>
      <c r="J16" s="23"/>
      <c r="K16" s="6">
        <v>0.35</v>
      </c>
      <c r="L16">
        <f>IF(BD26="","",BD26)</f>
        <v>0.9962823883425056</v>
      </c>
      <c r="M16">
        <f t="shared" ref="M16:Q16" si="27">IF(BE26="","",BE26)</f>
        <v>0.99541671208492255</v>
      </c>
      <c r="N16">
        <f t="shared" si="27"/>
        <v>0.99357937387905948</v>
      </c>
      <c r="O16">
        <f t="shared" si="27"/>
        <v>0.99080308928702165</v>
      </c>
      <c r="P16">
        <f t="shared" si="27"/>
        <v>0.98684197785085637</v>
      </c>
      <c r="Q16">
        <f t="shared" si="27"/>
        <v>0.98144418656985855</v>
      </c>
      <c r="S16" s="23"/>
      <c r="T16" s="6">
        <v>0.35</v>
      </c>
      <c r="U16">
        <f>IF(BD21="","",BD21)</f>
        <v>6.6100000000000004E-3</v>
      </c>
      <c r="V16">
        <f t="shared" ref="V16:Z16" si="28">IF(BE21="","",BE21)</f>
        <v>6.6100000000000004E-3</v>
      </c>
      <c r="W16">
        <f t="shared" si="28"/>
        <v>6.6100000000000004E-3</v>
      </c>
      <c r="X16">
        <f t="shared" si="28"/>
        <v>6.6100000000000004E-3</v>
      </c>
      <c r="Y16">
        <f t="shared" si="28"/>
        <v>6.6100000000000004E-3</v>
      </c>
      <c r="Z16">
        <f t="shared" si="28"/>
        <v>6.6100000000000004E-3</v>
      </c>
      <c r="AB16" s="23"/>
      <c r="AC16" s="6">
        <v>0.35</v>
      </c>
      <c r="AD16">
        <f>IF(BD23="","",BD23)</f>
        <v>8.1566237076445197E-5</v>
      </c>
      <c r="AE16">
        <f t="shared" ref="AE16:AI16" si="29">IF(BE23="","",BE23)</f>
        <v>1.3989465839462357E-6</v>
      </c>
      <c r="AF16">
        <f t="shared" si="29"/>
        <v>0</v>
      </c>
      <c r="AG16">
        <f t="shared" si="29"/>
        <v>0</v>
      </c>
      <c r="AH16">
        <f t="shared" si="29"/>
        <v>0</v>
      </c>
      <c r="AI16">
        <f t="shared" si="29"/>
        <v>0</v>
      </c>
    </row>
    <row r="18" spans="1:64" x14ac:dyDescent="0.35">
      <c r="A18" t="s">
        <v>238</v>
      </c>
      <c r="B18" s="11">
        <v>0.05</v>
      </c>
      <c r="C18">
        <v>0.05</v>
      </c>
      <c r="D18">
        <v>0.05</v>
      </c>
      <c r="E18">
        <v>0.05</v>
      </c>
      <c r="F18">
        <v>0.05</v>
      </c>
      <c r="G18">
        <v>0.05</v>
      </c>
      <c r="H18">
        <v>0.05</v>
      </c>
      <c r="I18">
        <v>0.05</v>
      </c>
      <c r="J18">
        <v>0.05</v>
      </c>
      <c r="K18">
        <v>0.1</v>
      </c>
      <c r="L18">
        <v>0.1</v>
      </c>
      <c r="M18">
        <v>0.1</v>
      </c>
      <c r="N18">
        <v>0.1</v>
      </c>
      <c r="O18">
        <v>0.1</v>
      </c>
      <c r="P18">
        <v>0.1</v>
      </c>
      <c r="Q18">
        <v>0.1</v>
      </c>
      <c r="R18">
        <v>0.1</v>
      </c>
      <c r="S18">
        <v>0.1</v>
      </c>
      <c r="T18">
        <v>0.15</v>
      </c>
      <c r="U18">
        <v>0.15</v>
      </c>
      <c r="V18">
        <v>0.15</v>
      </c>
      <c r="W18">
        <v>0.15</v>
      </c>
      <c r="X18">
        <v>0.15</v>
      </c>
      <c r="Y18">
        <v>0.15</v>
      </c>
      <c r="Z18">
        <v>0.15</v>
      </c>
      <c r="AA18">
        <v>0.15</v>
      </c>
      <c r="AB18">
        <v>0.15</v>
      </c>
      <c r="AC18">
        <v>0.2</v>
      </c>
      <c r="AD18">
        <v>0.2</v>
      </c>
      <c r="AE18">
        <v>0.2</v>
      </c>
      <c r="AF18">
        <v>0.2</v>
      </c>
      <c r="AG18">
        <v>0.2</v>
      </c>
      <c r="AH18">
        <v>0.2</v>
      </c>
      <c r="AI18">
        <v>0.2</v>
      </c>
      <c r="AJ18">
        <v>0.2</v>
      </c>
      <c r="AK18">
        <v>0.2</v>
      </c>
      <c r="AL18">
        <v>0.25</v>
      </c>
      <c r="AM18">
        <v>0.25</v>
      </c>
      <c r="AN18">
        <v>0.25</v>
      </c>
      <c r="AO18">
        <v>0.25</v>
      </c>
      <c r="AP18">
        <v>0.25</v>
      </c>
      <c r="AQ18">
        <v>0.25</v>
      </c>
      <c r="AR18">
        <v>0.25</v>
      </c>
      <c r="AS18">
        <v>0.25</v>
      </c>
      <c r="AT18">
        <v>0.25</v>
      </c>
      <c r="AU18">
        <v>0.3</v>
      </c>
      <c r="AV18">
        <v>0.3</v>
      </c>
      <c r="AW18">
        <v>0.3</v>
      </c>
      <c r="AX18">
        <v>0.3</v>
      </c>
      <c r="AY18">
        <v>0.3</v>
      </c>
      <c r="AZ18">
        <v>0.3</v>
      </c>
      <c r="BA18">
        <v>0.3</v>
      </c>
      <c r="BB18">
        <v>0.3</v>
      </c>
      <c r="BC18">
        <v>0.3</v>
      </c>
      <c r="BD18">
        <v>0.35</v>
      </c>
      <c r="BE18">
        <v>0.35</v>
      </c>
      <c r="BF18">
        <v>0.35</v>
      </c>
      <c r="BG18">
        <v>0.35</v>
      </c>
      <c r="BH18">
        <v>0.35</v>
      </c>
      <c r="BI18">
        <v>0.35</v>
      </c>
      <c r="BJ18">
        <v>0.35</v>
      </c>
      <c r="BK18">
        <v>0.35</v>
      </c>
      <c r="BL18">
        <v>0.35</v>
      </c>
    </row>
    <row r="19" spans="1:64" x14ac:dyDescent="0.35">
      <c r="A19" s="8" t="s">
        <v>241</v>
      </c>
      <c r="B19" s="20">
        <v>20</v>
      </c>
      <c r="C19" s="8">
        <v>25</v>
      </c>
      <c r="D19" s="8">
        <v>30</v>
      </c>
      <c r="E19" s="8">
        <v>35</v>
      </c>
      <c r="F19" s="8">
        <v>40</v>
      </c>
      <c r="G19" s="8">
        <v>45</v>
      </c>
      <c r="H19" s="8">
        <v>50</v>
      </c>
      <c r="I19" s="8">
        <v>55</v>
      </c>
      <c r="J19" s="8">
        <v>60</v>
      </c>
      <c r="K19" s="8">
        <v>20</v>
      </c>
      <c r="L19" s="8">
        <v>25</v>
      </c>
      <c r="M19" s="8">
        <v>30</v>
      </c>
      <c r="N19" s="8">
        <v>35</v>
      </c>
      <c r="O19" s="8">
        <v>40</v>
      </c>
      <c r="P19" s="8">
        <v>45</v>
      </c>
      <c r="Q19" s="8">
        <v>50</v>
      </c>
      <c r="R19" s="8">
        <v>55</v>
      </c>
      <c r="S19" s="8">
        <v>60</v>
      </c>
      <c r="T19" s="8">
        <v>20</v>
      </c>
      <c r="U19" s="8">
        <v>25</v>
      </c>
      <c r="V19" s="8">
        <v>30</v>
      </c>
      <c r="W19" s="8">
        <v>35</v>
      </c>
      <c r="X19" s="8">
        <v>40</v>
      </c>
      <c r="Y19" s="8">
        <v>45</v>
      </c>
      <c r="Z19" s="8">
        <v>50</v>
      </c>
      <c r="AA19" s="8">
        <v>55</v>
      </c>
      <c r="AB19" s="8">
        <v>60</v>
      </c>
      <c r="AC19" s="8">
        <v>20</v>
      </c>
      <c r="AD19" s="8">
        <v>25</v>
      </c>
      <c r="AE19" s="8">
        <v>30</v>
      </c>
      <c r="AF19" s="8">
        <v>35</v>
      </c>
      <c r="AG19" s="8">
        <v>40</v>
      </c>
      <c r="AH19" s="8">
        <v>45</v>
      </c>
      <c r="AI19" s="8">
        <v>50</v>
      </c>
      <c r="AJ19" s="8">
        <v>55</v>
      </c>
      <c r="AK19" s="8">
        <v>60</v>
      </c>
      <c r="AL19" s="8">
        <v>20</v>
      </c>
      <c r="AM19" s="8">
        <v>25</v>
      </c>
      <c r="AN19" s="8">
        <v>30</v>
      </c>
      <c r="AO19" s="8">
        <v>35</v>
      </c>
      <c r="AP19" s="8">
        <v>40</v>
      </c>
      <c r="AQ19" s="8">
        <v>45</v>
      </c>
      <c r="AR19" s="8">
        <v>50</v>
      </c>
      <c r="AS19" s="8">
        <v>55</v>
      </c>
      <c r="AT19" s="8">
        <v>60</v>
      </c>
      <c r="AU19" s="8">
        <v>20</v>
      </c>
      <c r="AV19" s="8">
        <v>25</v>
      </c>
      <c r="AW19" s="8">
        <v>30</v>
      </c>
      <c r="AX19" s="8">
        <v>35</v>
      </c>
      <c r="AY19" s="8">
        <v>40</v>
      </c>
      <c r="AZ19" s="8">
        <v>45</v>
      </c>
      <c r="BA19" s="8">
        <v>50</v>
      </c>
      <c r="BB19" s="8">
        <v>55</v>
      </c>
      <c r="BC19" s="8">
        <v>60</v>
      </c>
      <c r="BD19" s="8">
        <v>20</v>
      </c>
      <c r="BE19" s="8">
        <v>25</v>
      </c>
      <c r="BF19" s="8">
        <v>30</v>
      </c>
      <c r="BG19" s="8">
        <v>35</v>
      </c>
      <c r="BH19" s="8">
        <v>40</v>
      </c>
      <c r="BI19" s="8">
        <v>45</v>
      </c>
      <c r="BJ19" s="8">
        <v>50</v>
      </c>
      <c r="BK19" s="8">
        <v>55</v>
      </c>
      <c r="BL19" s="8">
        <v>60</v>
      </c>
    </row>
    <row r="20" spans="1:64" x14ac:dyDescent="0.35">
      <c r="A20" t="s">
        <v>139</v>
      </c>
      <c r="B20" s="11">
        <v>4.5802999999999998E-3</v>
      </c>
      <c r="C20">
        <v>4.5624999999999997E-3</v>
      </c>
      <c r="D20">
        <v>4.5484000000000002E-3</v>
      </c>
      <c r="E20">
        <v>4.5351999999999996E-3</v>
      </c>
      <c r="F20">
        <v>4.5259999999999996E-3</v>
      </c>
      <c r="G20">
        <v>4.5196000000000004E-3</v>
      </c>
      <c r="K20">
        <v>4.5275000000000003E-3</v>
      </c>
      <c r="L20">
        <v>4.5148999999999996E-3</v>
      </c>
      <c r="M20">
        <v>4.5046000000000001E-3</v>
      </c>
      <c r="N20">
        <v>4.4974000000000004E-3</v>
      </c>
      <c r="O20">
        <v>4.4926000000000002E-3</v>
      </c>
      <c r="P20">
        <v>4.4904999999999997E-3</v>
      </c>
      <c r="T20">
        <v>4.5018999999999997E-3</v>
      </c>
      <c r="U20">
        <v>4.4936999999999998E-3</v>
      </c>
      <c r="V20">
        <v>4.4872999999999996E-3</v>
      </c>
      <c r="W20">
        <v>4.4849E-3</v>
      </c>
      <c r="X20">
        <v>4.4847000000000003E-3</v>
      </c>
      <c r="Y20">
        <v>4.4875999999999996E-3</v>
      </c>
      <c r="AC20">
        <v>4.4884E-3</v>
      </c>
      <c r="AD20">
        <v>4.4844999999999998E-3</v>
      </c>
      <c r="AE20">
        <v>4.483E-3</v>
      </c>
      <c r="AF20">
        <v>4.4844999999999998E-3</v>
      </c>
      <c r="AG20">
        <v>4.4888000000000003E-3</v>
      </c>
      <c r="AH20">
        <v>4.4973000000000001E-3</v>
      </c>
      <c r="AL20">
        <v>4.4825999999999998E-3</v>
      </c>
      <c r="AM20">
        <v>4.4821000000000001E-3</v>
      </c>
      <c r="AN20">
        <v>4.4843000000000001E-3</v>
      </c>
      <c r="AO20">
        <v>4.4888999999999997E-3</v>
      </c>
      <c r="AP20">
        <v>4.4983000000000002E-3</v>
      </c>
      <c r="AQ20">
        <v>4.5123000000000003E-3</v>
      </c>
      <c r="AU20">
        <v>4.4822999999999998E-3</v>
      </c>
      <c r="AV20">
        <v>4.4837999999999996E-3</v>
      </c>
      <c r="AW20">
        <v>4.4891999999999996E-3</v>
      </c>
      <c r="AX20">
        <v>4.4986000000000002E-3</v>
      </c>
      <c r="AY20">
        <v>4.5116000000000002E-3</v>
      </c>
      <c r="AZ20">
        <v>4.5312E-3</v>
      </c>
      <c r="BD20">
        <v>4.4844999999999998E-3</v>
      </c>
      <c r="BE20">
        <v>4.4884E-3</v>
      </c>
      <c r="BF20">
        <v>4.4967000000000002E-3</v>
      </c>
      <c r="BG20">
        <v>4.5092999999999999E-3</v>
      </c>
      <c r="BH20">
        <v>4.5274E-3</v>
      </c>
      <c r="BI20">
        <v>4.5522999999999996E-3</v>
      </c>
    </row>
    <row r="21" spans="1:64" x14ac:dyDescent="0.35">
      <c r="A21" t="s">
        <v>136</v>
      </c>
      <c r="B21" s="11">
        <v>6.4799999999999996E-3</v>
      </c>
      <c r="C21">
        <v>6.4799999999999996E-3</v>
      </c>
      <c r="D21">
        <v>6.4799999999999996E-3</v>
      </c>
      <c r="E21">
        <v>6.4799999999999996E-3</v>
      </c>
      <c r="F21">
        <v>6.4799999999999996E-3</v>
      </c>
      <c r="G21">
        <v>6.4900000000000001E-3</v>
      </c>
      <c r="K21">
        <v>6.4900000000000001E-3</v>
      </c>
      <c r="L21">
        <v>6.4900000000000001E-3</v>
      </c>
      <c r="M21">
        <v>6.4900000000000001E-3</v>
      </c>
      <c r="N21">
        <v>6.4999999999999997E-3</v>
      </c>
      <c r="O21">
        <v>6.4999999999999997E-3</v>
      </c>
      <c r="P21">
        <v>6.4999999999999997E-3</v>
      </c>
      <c r="T21">
        <v>6.5300000000000002E-3</v>
      </c>
      <c r="U21">
        <v>6.5300000000000002E-3</v>
      </c>
      <c r="V21">
        <v>6.5300000000000002E-3</v>
      </c>
      <c r="W21">
        <v>6.5300000000000002E-3</v>
      </c>
      <c r="X21">
        <v>6.5399999999999998E-3</v>
      </c>
      <c r="Y21">
        <v>6.5399999999999998E-3</v>
      </c>
      <c r="AC21">
        <v>6.5100000000000002E-3</v>
      </c>
      <c r="AD21">
        <v>6.5100000000000002E-3</v>
      </c>
      <c r="AE21">
        <v>6.5100000000000002E-3</v>
      </c>
      <c r="AF21">
        <v>6.5100000000000002E-3</v>
      </c>
      <c r="AG21">
        <v>6.5100000000000002E-3</v>
      </c>
      <c r="AH21">
        <v>6.5100000000000002E-3</v>
      </c>
      <c r="AL21">
        <v>6.5799999999999999E-3</v>
      </c>
      <c r="AM21">
        <v>6.5799999999999999E-3</v>
      </c>
      <c r="AN21">
        <v>6.5799999999999999E-3</v>
      </c>
      <c r="AO21">
        <v>6.5799999999999999E-3</v>
      </c>
      <c r="AP21">
        <v>6.5799999999999999E-3</v>
      </c>
      <c r="AQ21">
        <v>6.5799999999999999E-3</v>
      </c>
      <c r="AU21">
        <v>6.5399999999999998E-3</v>
      </c>
      <c r="AV21">
        <v>6.5500000000000003E-3</v>
      </c>
      <c r="AW21">
        <v>6.5500000000000003E-3</v>
      </c>
      <c r="AX21">
        <v>6.5500000000000003E-3</v>
      </c>
      <c r="AY21">
        <v>6.5500000000000003E-3</v>
      </c>
      <c r="AZ21">
        <v>6.5500000000000003E-3</v>
      </c>
      <c r="BD21">
        <v>6.6100000000000004E-3</v>
      </c>
      <c r="BE21">
        <v>6.6100000000000004E-3</v>
      </c>
      <c r="BF21">
        <v>6.6100000000000004E-3</v>
      </c>
      <c r="BG21">
        <v>6.6100000000000004E-3</v>
      </c>
      <c r="BH21">
        <v>6.6100000000000004E-3</v>
      </c>
      <c r="BI21">
        <v>6.6100000000000004E-3</v>
      </c>
    </row>
    <row r="22" spans="1:64" x14ac:dyDescent="0.35">
      <c r="A22" t="s">
        <v>257</v>
      </c>
      <c r="B22" s="11">
        <v>0.01</v>
      </c>
      <c r="C22">
        <v>0.01</v>
      </c>
      <c r="D22">
        <v>0.01</v>
      </c>
      <c r="E22">
        <v>0.01</v>
      </c>
      <c r="F22">
        <v>0.01</v>
      </c>
      <c r="G22">
        <v>0.01</v>
      </c>
      <c r="K22">
        <v>0.01</v>
      </c>
      <c r="L22">
        <v>0.01</v>
      </c>
      <c r="M22">
        <v>0.01</v>
      </c>
      <c r="N22">
        <v>0.01</v>
      </c>
      <c r="O22">
        <v>0.01</v>
      </c>
      <c r="P22">
        <v>0.01</v>
      </c>
      <c r="T22">
        <v>0.01</v>
      </c>
      <c r="U22">
        <v>0.01</v>
      </c>
      <c r="V22">
        <v>0.01</v>
      </c>
      <c r="W22">
        <v>0.01</v>
      </c>
      <c r="X22">
        <v>0.01</v>
      </c>
      <c r="Y22">
        <v>0.01</v>
      </c>
      <c r="AC22">
        <v>0.01</v>
      </c>
      <c r="AD22">
        <v>0.01</v>
      </c>
      <c r="AE22">
        <v>0.01</v>
      </c>
      <c r="AF22">
        <v>0.01</v>
      </c>
      <c r="AG22">
        <v>0.01</v>
      </c>
      <c r="AH22">
        <v>0.01</v>
      </c>
      <c r="AL22">
        <v>0.01</v>
      </c>
      <c r="AM22">
        <v>0.01</v>
      </c>
      <c r="AN22">
        <v>0.01</v>
      </c>
      <c r="AO22">
        <v>0.01</v>
      </c>
      <c r="AP22">
        <v>0.01</v>
      </c>
      <c r="AQ22">
        <v>0.01</v>
      </c>
      <c r="AU22">
        <v>0.01</v>
      </c>
      <c r="AV22">
        <v>0.01</v>
      </c>
      <c r="AW22">
        <v>0.01</v>
      </c>
      <c r="AX22">
        <v>0.01</v>
      </c>
      <c r="AY22">
        <v>0.01</v>
      </c>
      <c r="AZ22">
        <v>0.01</v>
      </c>
      <c r="BD22">
        <v>0.01</v>
      </c>
      <c r="BE22">
        <v>0.01</v>
      </c>
      <c r="BF22">
        <v>0.01</v>
      </c>
      <c r="BG22">
        <v>0.01</v>
      </c>
      <c r="BH22">
        <v>0.01</v>
      </c>
      <c r="BI22">
        <v>0.01</v>
      </c>
    </row>
    <row r="23" spans="1:64" x14ac:dyDescent="0.35">
      <c r="A23" t="s">
        <v>263</v>
      </c>
      <c r="B23" s="11">
        <v>8.1566237076445197E-5</v>
      </c>
      <c r="C23">
        <v>1.3989465839462357E-6</v>
      </c>
      <c r="D23">
        <v>0</v>
      </c>
      <c r="E23">
        <v>0</v>
      </c>
      <c r="F23">
        <v>0</v>
      </c>
      <c r="G23">
        <v>0</v>
      </c>
      <c r="K23">
        <v>8.1566237076445197E-5</v>
      </c>
      <c r="L23">
        <v>1.3989465839462357E-6</v>
      </c>
      <c r="M23">
        <v>0</v>
      </c>
      <c r="N23">
        <v>0</v>
      </c>
      <c r="O23">
        <v>0</v>
      </c>
      <c r="P23">
        <v>0</v>
      </c>
      <c r="T23">
        <v>8.1566237076445197E-5</v>
      </c>
      <c r="U23">
        <v>1.3989465839462357E-6</v>
      </c>
      <c r="V23">
        <v>0</v>
      </c>
      <c r="W23">
        <v>0</v>
      </c>
      <c r="X23">
        <v>0</v>
      </c>
      <c r="Y23">
        <v>0</v>
      </c>
      <c r="AC23">
        <v>8.1566237076445197E-5</v>
      </c>
      <c r="AD23">
        <v>1.3989465839462357E-6</v>
      </c>
      <c r="AE23">
        <v>0</v>
      </c>
      <c r="AF23">
        <v>0</v>
      </c>
      <c r="AG23">
        <v>0</v>
      </c>
      <c r="AH23">
        <v>0</v>
      </c>
      <c r="AL23">
        <v>8.1566237076445197E-5</v>
      </c>
      <c r="AM23">
        <v>1.3989465839462357E-6</v>
      </c>
      <c r="AN23">
        <v>0</v>
      </c>
      <c r="AO23">
        <v>0</v>
      </c>
      <c r="AP23">
        <v>0</v>
      </c>
      <c r="AQ23">
        <v>0</v>
      </c>
      <c r="AU23">
        <v>8.1566237076445197E-5</v>
      </c>
      <c r="AV23">
        <v>1.3989465839462357E-6</v>
      </c>
      <c r="AW23">
        <v>0</v>
      </c>
      <c r="AX23">
        <v>0</v>
      </c>
      <c r="AY23">
        <v>0</v>
      </c>
      <c r="AZ23">
        <v>0</v>
      </c>
      <c r="BD23">
        <v>8.1566237076445197E-5</v>
      </c>
      <c r="BE23">
        <v>1.3989465839462357E-6</v>
      </c>
      <c r="BF23">
        <v>0</v>
      </c>
      <c r="BG23">
        <v>0</v>
      </c>
      <c r="BH23">
        <v>0</v>
      </c>
      <c r="BI23">
        <v>0</v>
      </c>
    </row>
    <row r="24" spans="1:64" x14ac:dyDescent="0.35">
      <c r="A24" t="s">
        <v>237</v>
      </c>
      <c r="B24" s="11">
        <v>2.1141866237076441E-2</v>
      </c>
      <c r="C24">
        <v>2.1043898946583945E-2</v>
      </c>
      <c r="D24">
        <v>2.1028400000000003E-2</v>
      </c>
      <c r="E24">
        <v>2.1015199999999998E-2</v>
      </c>
      <c r="F24">
        <v>2.1005999999999997E-2</v>
      </c>
      <c r="G24">
        <v>2.1009600000000003E-2</v>
      </c>
      <c r="K24">
        <v>2.1099066237076445E-2</v>
      </c>
      <c r="L24">
        <v>2.1006298946583946E-2</v>
      </c>
      <c r="M24">
        <v>2.0994600000000002E-2</v>
      </c>
      <c r="N24">
        <v>2.0997399999999999E-2</v>
      </c>
      <c r="O24">
        <v>2.09926E-2</v>
      </c>
      <c r="P24">
        <v>2.0990500000000002E-2</v>
      </c>
      <c r="T24">
        <v>2.1113466237076443E-2</v>
      </c>
      <c r="U24">
        <v>2.1025098946583946E-2</v>
      </c>
      <c r="V24">
        <v>2.1017300000000003E-2</v>
      </c>
      <c r="W24">
        <v>2.1014900000000003E-2</v>
      </c>
      <c r="X24">
        <v>2.10247E-2</v>
      </c>
      <c r="Y24">
        <v>2.10276E-2</v>
      </c>
      <c r="AC24">
        <v>2.1079966237076444E-2</v>
      </c>
      <c r="AD24">
        <v>2.0995898946583946E-2</v>
      </c>
      <c r="AE24">
        <v>2.0992999999999998E-2</v>
      </c>
      <c r="AF24">
        <v>2.0994499999999999E-2</v>
      </c>
      <c r="AG24">
        <v>2.0998799999999998E-2</v>
      </c>
      <c r="AH24">
        <v>2.10073E-2</v>
      </c>
      <c r="AL24">
        <v>2.1144166237076444E-2</v>
      </c>
      <c r="AM24">
        <v>2.1063498946583947E-2</v>
      </c>
      <c r="AN24">
        <v>2.1064300000000001E-2</v>
      </c>
      <c r="AO24">
        <v>2.1068900000000002E-2</v>
      </c>
      <c r="AP24">
        <v>2.1078300000000001E-2</v>
      </c>
      <c r="AQ24">
        <v>2.1092300000000001E-2</v>
      </c>
      <c r="AU24">
        <v>2.1103866237076444E-2</v>
      </c>
      <c r="AV24">
        <v>2.1035198946583945E-2</v>
      </c>
      <c r="AW24">
        <v>2.1039200000000001E-2</v>
      </c>
      <c r="AX24">
        <v>2.1048600000000001E-2</v>
      </c>
      <c r="AY24">
        <v>2.10616E-2</v>
      </c>
      <c r="AZ24">
        <v>2.1081200000000001E-2</v>
      </c>
      <c r="BD24">
        <v>2.1176066237076446E-2</v>
      </c>
      <c r="BE24">
        <v>2.109979894658395E-2</v>
      </c>
      <c r="BF24">
        <v>2.1106699999999999E-2</v>
      </c>
      <c r="BG24">
        <v>2.1119300000000001E-2</v>
      </c>
      <c r="BH24">
        <v>2.1137400000000001E-2</v>
      </c>
      <c r="BI24">
        <v>2.1162300000000002E-2</v>
      </c>
    </row>
    <row r="25" spans="1:64" x14ac:dyDescent="0.35">
      <c r="A25" s="6" t="s">
        <v>256</v>
      </c>
      <c r="B25">
        <v>11.867461525327172</v>
      </c>
      <c r="C25">
        <v>11.922709036903395</v>
      </c>
      <c r="D25">
        <v>11.931496649394067</v>
      </c>
      <c r="E25">
        <v>11.938991022789137</v>
      </c>
      <c r="F25">
        <v>11.944219943926415</v>
      </c>
      <c r="G25">
        <v>11.942173298973717</v>
      </c>
      <c r="K25">
        <v>11.89153497708929</v>
      </c>
      <c r="L25">
        <v>11.944049962352828</v>
      </c>
      <c r="M25">
        <v>11.950705616783278</v>
      </c>
      <c r="N25">
        <v>11.949111992061791</v>
      </c>
      <c r="O25">
        <v>11.951844180431115</v>
      </c>
      <c r="P25">
        <v>11.953039905772526</v>
      </c>
      <c r="T25">
        <v>11.883424603276326</v>
      </c>
      <c r="U25">
        <v>11.933369958426916</v>
      </c>
      <c r="V25">
        <v>11.937798106422719</v>
      </c>
      <c r="W25">
        <v>11.939161458875283</v>
      </c>
      <c r="X25">
        <v>11.933596395768703</v>
      </c>
      <c r="Y25">
        <v>11.931950585997367</v>
      </c>
      <c r="AC25">
        <v>11.902309582489886</v>
      </c>
      <c r="AD25">
        <v>11.949966266290302</v>
      </c>
      <c r="AE25">
        <v>11.951616450346224</v>
      </c>
      <c r="AF25">
        <v>11.950762539813677</v>
      </c>
      <c r="AG25">
        <v>11.948315339072625</v>
      </c>
      <c r="AH25">
        <v>11.943480796776274</v>
      </c>
      <c r="AL25">
        <v>11.86617061788716</v>
      </c>
      <c r="AM25">
        <v>11.911614721675145</v>
      </c>
      <c r="AN25">
        <v>11.911161735358792</v>
      </c>
      <c r="AO25">
        <v>11.908561156117226</v>
      </c>
      <c r="AP25">
        <v>11.903250458628932</v>
      </c>
      <c r="AQ25">
        <v>11.895349684108334</v>
      </c>
      <c r="AU25">
        <v>11.888830289367675</v>
      </c>
      <c r="AV25">
        <v>11.927640179645827</v>
      </c>
      <c r="AW25">
        <v>11.925371884012616</v>
      </c>
      <c r="AX25">
        <v>11.920046185595158</v>
      </c>
      <c r="AY25">
        <v>11.912688691368093</v>
      </c>
      <c r="AZ25">
        <v>11.901613007898897</v>
      </c>
      <c r="BD25">
        <v>11.848295208995218</v>
      </c>
      <c r="BE25">
        <v>11.891122032835241</v>
      </c>
      <c r="BF25">
        <v>11.887234107753379</v>
      </c>
      <c r="BG25">
        <v>11.880142056891954</v>
      </c>
      <c r="BH25">
        <v>11.869969066305138</v>
      </c>
      <c r="BI25">
        <v>11.85600261512776</v>
      </c>
    </row>
    <row r="26" spans="1:64" x14ac:dyDescent="0.35">
      <c r="A26" s="6" t="s">
        <v>143</v>
      </c>
      <c r="B26">
        <v>0.97544448409972417</v>
      </c>
      <c r="C26">
        <v>0.97925005381303376</v>
      </c>
      <c r="D26">
        <v>0.98228572036803397</v>
      </c>
      <c r="E26">
        <v>0.98514472802124875</v>
      </c>
      <c r="F26">
        <v>0.98714723166636476</v>
      </c>
      <c r="G26">
        <v>0.98854508596379453</v>
      </c>
      <c r="K26">
        <v>0.98682018123069393</v>
      </c>
      <c r="L26">
        <v>0.98957415901170942</v>
      </c>
      <c r="M26">
        <v>0.99183687131420473</v>
      </c>
      <c r="N26">
        <v>0.99342472773646251</v>
      </c>
      <c r="O26">
        <v>0.99448612619017196</v>
      </c>
      <c r="P26">
        <v>0.9949512015414691</v>
      </c>
      <c r="T26">
        <v>0.99243172227769771</v>
      </c>
      <c r="U26">
        <v>0.99424268876915833</v>
      </c>
      <c r="V26">
        <v>0.99566072482828571</v>
      </c>
      <c r="W26">
        <v>0.99619353174473591</v>
      </c>
      <c r="X26">
        <v>0.99623795806229309</v>
      </c>
      <c r="Y26">
        <v>0.99559416403466605</v>
      </c>
      <c r="AC26">
        <v>0.99541671208492255</v>
      </c>
      <c r="AD26">
        <v>0.9962823883425056</v>
      </c>
      <c r="AE26">
        <v>0.99661574180726453</v>
      </c>
      <c r="AF26">
        <v>0.9962823883425056</v>
      </c>
      <c r="AG26">
        <v>0.99532800982934555</v>
      </c>
      <c r="AH26">
        <v>0.9934468170951386</v>
      </c>
      <c r="AL26">
        <v>0.9967046737433557</v>
      </c>
      <c r="AM26">
        <v>0.99681586098524488</v>
      </c>
      <c r="AN26">
        <v>0.99632682258590333</v>
      </c>
      <c r="AO26">
        <v>0.99530583673549577</v>
      </c>
      <c r="AP26">
        <v>0.99322596770379168</v>
      </c>
      <c r="AQ26">
        <v>0.99014435443608939</v>
      </c>
      <c r="AU26">
        <v>0.99677138311178781</v>
      </c>
      <c r="AV26">
        <v>0.9964379255368141</v>
      </c>
      <c r="AW26">
        <v>0.99523932338099586</v>
      </c>
      <c r="AX26">
        <v>0.99315973203262486</v>
      </c>
      <c r="AY26">
        <v>0.99029798087640009</v>
      </c>
      <c r="AZ26">
        <v>0.98601438261872498</v>
      </c>
      <c r="BD26">
        <v>0.9962823883425056</v>
      </c>
      <c r="BE26">
        <v>0.99541671208492255</v>
      </c>
      <c r="BF26">
        <v>0.99357937387905948</v>
      </c>
      <c r="BG26">
        <v>0.99080308928702165</v>
      </c>
      <c r="BH26">
        <v>0.98684197785085637</v>
      </c>
      <c r="BI26">
        <v>0.98144418656985855</v>
      </c>
    </row>
  </sheetData>
  <mergeCells count="8">
    <mergeCell ref="U8:Z8"/>
    <mergeCell ref="S10:S16"/>
    <mergeCell ref="AD8:AI8"/>
    <mergeCell ref="AB10:AB16"/>
    <mergeCell ref="A10:A16"/>
    <mergeCell ref="C8:H8"/>
    <mergeCell ref="L8:Q8"/>
    <mergeCell ref="J10:J16"/>
  </mergeCells>
  <conditionalFormatting sqref="C10:I1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0:Q1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0:Z1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0:AI1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5969C-0496-4074-AEBD-6C779141CFF4}">
  <sheetPr codeName="Sheet35"/>
  <dimension ref="A1:BL26"/>
  <sheetViews>
    <sheetView tabSelected="1" zoomScale="64" workbookViewId="0">
      <selection activeCell="Z31" sqref="Z31"/>
    </sheetView>
  </sheetViews>
  <sheetFormatPr defaultRowHeight="14.5" x14ac:dyDescent="0.35"/>
  <cols>
    <col min="1" max="1" width="9.90625" bestFit="1" customWidth="1"/>
    <col min="30" max="30" width="8.7265625" customWidth="1"/>
  </cols>
  <sheetData>
    <row r="1" spans="1:35" x14ac:dyDescent="0.35">
      <c r="B1" t="s">
        <v>51</v>
      </c>
      <c r="C1" t="s">
        <v>53</v>
      </c>
      <c r="D1" t="s">
        <v>242</v>
      </c>
      <c r="E1" t="s">
        <v>269</v>
      </c>
    </row>
    <row r="2" spans="1:35" x14ac:dyDescent="0.35">
      <c r="A2" t="s">
        <v>56</v>
      </c>
      <c r="B2">
        <v>0.05</v>
      </c>
      <c r="C2">
        <v>0.35</v>
      </c>
      <c r="D2">
        <v>0.05</v>
      </c>
      <c r="E2">
        <f>(C2-B2)/D2</f>
        <v>5.9999999999999991</v>
      </c>
      <c r="G2" t="s">
        <v>286</v>
      </c>
    </row>
    <row r="3" spans="1:35" x14ac:dyDescent="0.35">
      <c r="A3" t="s">
        <v>241</v>
      </c>
      <c r="B3">
        <v>20</v>
      </c>
      <c r="C3">
        <v>60</v>
      </c>
      <c r="D3">
        <v>5</v>
      </c>
      <c r="E3">
        <f>(C3-B3)/D3</f>
        <v>8</v>
      </c>
      <c r="G3" t="s">
        <v>270</v>
      </c>
    </row>
    <row r="4" spans="1:35" x14ac:dyDescent="0.35">
      <c r="E4">
        <f>E2*E3</f>
        <v>47.999999999999993</v>
      </c>
      <c r="G4" t="s">
        <v>287</v>
      </c>
    </row>
    <row r="6" spans="1:35" x14ac:dyDescent="0.35">
      <c r="A6" t="s">
        <v>267</v>
      </c>
    </row>
    <row r="8" spans="1:35" x14ac:dyDescent="0.35">
      <c r="A8" t="s">
        <v>256</v>
      </c>
      <c r="B8" s="6"/>
      <c r="C8" s="24" t="s">
        <v>241</v>
      </c>
      <c r="D8" s="21"/>
      <c r="E8" s="21"/>
      <c r="F8" s="21"/>
      <c r="G8" s="21"/>
      <c r="H8" s="21"/>
      <c r="J8" t="s">
        <v>143</v>
      </c>
      <c r="K8" s="6"/>
      <c r="L8" s="24" t="s">
        <v>241</v>
      </c>
      <c r="M8" s="21"/>
      <c r="N8" s="21"/>
      <c r="O8" s="21"/>
      <c r="P8" s="21"/>
      <c r="Q8" s="21"/>
      <c r="S8" t="s">
        <v>272</v>
      </c>
      <c r="T8" s="6"/>
      <c r="U8" s="24" t="s">
        <v>241</v>
      </c>
      <c r="V8" s="21"/>
      <c r="W8" s="21"/>
      <c r="X8" s="21"/>
      <c r="Y8" s="21"/>
      <c r="Z8" s="21"/>
      <c r="AB8" t="s">
        <v>263</v>
      </c>
      <c r="AC8" s="6"/>
      <c r="AD8" s="24" t="s">
        <v>241</v>
      </c>
      <c r="AE8" s="21"/>
      <c r="AF8" s="21"/>
      <c r="AG8" s="21"/>
      <c r="AH8" s="21"/>
      <c r="AI8" s="21"/>
    </row>
    <row r="9" spans="1:35" x14ac:dyDescent="0.35">
      <c r="A9" s="8"/>
      <c r="B9" s="7"/>
      <c r="C9" s="20">
        <v>20</v>
      </c>
      <c r="D9" s="8">
        <v>25</v>
      </c>
      <c r="E9" s="8">
        <v>30</v>
      </c>
      <c r="F9" s="8">
        <v>35</v>
      </c>
      <c r="G9" s="8">
        <v>40</v>
      </c>
      <c r="H9" s="8">
        <v>45</v>
      </c>
      <c r="J9" s="8"/>
      <c r="K9" s="7"/>
      <c r="L9" s="20">
        <v>20</v>
      </c>
      <c r="M9" s="8">
        <v>25</v>
      </c>
      <c r="N9" s="8">
        <v>30</v>
      </c>
      <c r="O9" s="8">
        <v>35</v>
      </c>
      <c r="P9" s="8">
        <v>40</v>
      </c>
      <c r="Q9" s="8">
        <v>45</v>
      </c>
      <c r="S9" s="8"/>
      <c r="T9" s="7"/>
      <c r="U9" s="20">
        <v>20</v>
      </c>
      <c r="V9" s="8">
        <v>25</v>
      </c>
      <c r="W9" s="8">
        <v>30</v>
      </c>
      <c r="X9" s="8">
        <v>35</v>
      </c>
      <c r="Y9" s="8">
        <v>40</v>
      </c>
      <c r="Z9" s="8">
        <v>45</v>
      </c>
      <c r="AB9" s="8"/>
      <c r="AC9" s="7"/>
      <c r="AD9" s="20">
        <v>20</v>
      </c>
      <c r="AE9" s="8">
        <v>25</v>
      </c>
      <c r="AF9" s="8">
        <v>30</v>
      </c>
      <c r="AG9" s="8">
        <v>35</v>
      </c>
      <c r="AH9" s="8">
        <v>40</v>
      </c>
      <c r="AI9" s="8">
        <v>45</v>
      </c>
    </row>
    <row r="10" spans="1:35" ht="14.5" customHeight="1" x14ac:dyDescent="0.35">
      <c r="A10" s="22" t="s">
        <v>56</v>
      </c>
      <c r="B10" s="6">
        <v>0.05</v>
      </c>
      <c r="C10">
        <f>IF(B25="","",B25)</f>
        <v>11.07588</v>
      </c>
      <c r="D10">
        <f t="shared" ref="D10:H10" si="0">IF(C25="","",C25)</f>
        <v>11.12546</v>
      </c>
      <c r="E10">
        <f t="shared" si="0"/>
        <v>11.133570000000001</v>
      </c>
      <c r="F10">
        <f t="shared" si="0"/>
        <v>11.14001</v>
      </c>
      <c r="G10">
        <f t="shared" si="0"/>
        <v>11.1448</v>
      </c>
      <c r="H10">
        <f t="shared" si="0"/>
        <v>11.14831</v>
      </c>
      <c r="J10" s="22" t="s">
        <v>56</v>
      </c>
      <c r="K10" s="6">
        <v>0.05</v>
      </c>
      <c r="L10">
        <f>IF(B26="","",B26)</f>
        <v>0.97696400000000005</v>
      </c>
      <c r="M10">
        <f t="shared" ref="M10:Q10" si="1">IF(C26="","",C26)</f>
        <v>0.98063599999999995</v>
      </c>
      <c r="N10">
        <f t="shared" si="1"/>
        <v>0.98352799999999996</v>
      </c>
      <c r="O10">
        <f t="shared" si="1"/>
        <v>0.98607</v>
      </c>
      <c r="P10">
        <f t="shared" si="1"/>
        <v>0.98796600000000001</v>
      </c>
      <c r="Q10">
        <f t="shared" si="1"/>
        <v>0.98936400000000002</v>
      </c>
      <c r="S10" s="22" t="s">
        <v>56</v>
      </c>
      <c r="T10" s="6">
        <v>0.05</v>
      </c>
      <c r="U10">
        <f>IF(B21="","",B21)</f>
        <v>7.7200000000000003E-3</v>
      </c>
      <c r="V10">
        <f t="shared" ref="V10:Z10" si="2">IF(C21="","",C21)</f>
        <v>7.7200000000000003E-3</v>
      </c>
      <c r="W10">
        <f t="shared" si="2"/>
        <v>7.7200000000000003E-3</v>
      </c>
      <c r="X10">
        <f t="shared" si="2"/>
        <v>7.7200000000000003E-3</v>
      </c>
      <c r="Y10">
        <f t="shared" si="2"/>
        <v>7.7200000000000003E-3</v>
      </c>
      <c r="Z10">
        <f t="shared" si="2"/>
        <v>7.7200000000000003E-3</v>
      </c>
      <c r="AB10" s="22" t="s">
        <v>56</v>
      </c>
      <c r="AC10" s="6">
        <v>0.05</v>
      </c>
      <c r="AD10">
        <f>IF(B23="","",B23)</f>
        <v>8.4599999999999996E-5</v>
      </c>
      <c r="AE10">
        <f t="shared" ref="AE10:AI10" si="3">IF(C23="","",C23)</f>
        <v>1.5600000000000001E-6</v>
      </c>
      <c r="AF10">
        <f t="shared" si="3"/>
        <v>0</v>
      </c>
      <c r="AG10">
        <f t="shared" si="3"/>
        <v>0</v>
      </c>
      <c r="AH10">
        <f t="shared" si="3"/>
        <v>0</v>
      </c>
      <c r="AI10">
        <f t="shared" si="3"/>
        <v>0</v>
      </c>
    </row>
    <row r="11" spans="1:35" x14ac:dyDescent="0.35">
      <c r="A11" s="23"/>
      <c r="B11" s="6">
        <v>0.1</v>
      </c>
      <c r="C11">
        <f>IF(K25="","",K25)</f>
        <v>11.078290000000001</v>
      </c>
      <c r="D11">
        <f t="shared" ref="D11:H11" si="4">IF(L25="","",L25)</f>
        <v>11.12448</v>
      </c>
      <c r="E11">
        <f t="shared" si="4"/>
        <v>11.13026</v>
      </c>
      <c r="F11">
        <f t="shared" si="4"/>
        <v>11.134209999999999</v>
      </c>
      <c r="G11">
        <f t="shared" si="4"/>
        <v>11.13679</v>
      </c>
      <c r="H11">
        <f t="shared" si="4"/>
        <v>11.138210000000001</v>
      </c>
      <c r="J11" s="23"/>
      <c r="K11" s="6">
        <v>0.1</v>
      </c>
      <c r="L11">
        <f>IF(K26="","",K26)</f>
        <v>0.98750099999999996</v>
      </c>
      <c r="M11">
        <f t="shared" ref="M11:Q11" si="5">IF(L26="","",L26)</f>
        <v>0.98988900000000002</v>
      </c>
      <c r="N11">
        <f t="shared" si="5"/>
        <v>0.99189700000000003</v>
      </c>
      <c r="O11">
        <f t="shared" si="5"/>
        <v>0.99348199999999998</v>
      </c>
      <c r="P11">
        <f t="shared" si="5"/>
        <v>0.99452200000000002</v>
      </c>
      <c r="Q11">
        <f t="shared" si="5"/>
        <v>0.99509199999999998</v>
      </c>
      <c r="S11" s="23"/>
      <c r="T11" s="6">
        <v>0.1</v>
      </c>
      <c r="U11">
        <f>IF(K21="","",K21)</f>
        <v>7.77E-3</v>
      </c>
      <c r="V11">
        <f t="shared" ref="V11:Z11" si="6">IF(L21="","",L21)</f>
        <v>7.77E-3</v>
      </c>
      <c r="W11">
        <f t="shared" si="6"/>
        <v>7.77E-3</v>
      </c>
      <c r="X11">
        <f t="shared" si="6"/>
        <v>7.77E-3</v>
      </c>
      <c r="Y11">
        <f t="shared" si="6"/>
        <v>7.77E-3</v>
      </c>
      <c r="Z11">
        <f t="shared" si="6"/>
        <v>7.77E-3</v>
      </c>
      <c r="AB11" s="23"/>
      <c r="AC11" s="6">
        <v>0.1</v>
      </c>
      <c r="AD11">
        <f>IF(K23="","",K23)</f>
        <v>8.4599999999999996E-5</v>
      </c>
      <c r="AE11">
        <f t="shared" ref="AE11:AI11" si="7">IF(L23="","",L23)</f>
        <v>1.5600000000000001E-6</v>
      </c>
      <c r="AF11">
        <f t="shared" si="7"/>
        <v>0</v>
      </c>
      <c r="AG11">
        <f t="shared" si="7"/>
        <v>0</v>
      </c>
      <c r="AH11">
        <f t="shared" si="7"/>
        <v>0</v>
      </c>
      <c r="AI11">
        <f t="shared" si="7"/>
        <v>0</v>
      </c>
    </row>
    <row r="12" spans="1:35" x14ac:dyDescent="0.35">
      <c r="A12" s="23"/>
      <c r="B12" s="6">
        <v>0.15</v>
      </c>
      <c r="C12">
        <f>IF(T25="","",T25)</f>
        <v>11.06711</v>
      </c>
      <c r="D12">
        <f t="shared" ref="D12:H12" si="8">IF(U25="","",U25)</f>
        <v>11.11049</v>
      </c>
      <c r="E12">
        <f t="shared" si="8"/>
        <v>11.1144</v>
      </c>
      <c r="F12">
        <f t="shared" si="8"/>
        <v>11.116099999999999</v>
      </c>
      <c r="G12">
        <f t="shared" si="8"/>
        <v>11.116339999999999</v>
      </c>
      <c r="H12">
        <f t="shared" si="8"/>
        <v>11.114599999999999</v>
      </c>
      <c r="J12" s="23"/>
      <c r="K12" s="6">
        <v>0.15</v>
      </c>
      <c r="L12">
        <f>IF(T26="","",T26)</f>
        <v>0.99271799999999999</v>
      </c>
      <c r="M12">
        <f t="shared" ref="M12:Q12" si="9">IF(U26="","",U26)</f>
        <v>0.994031</v>
      </c>
      <c r="N12">
        <f t="shared" si="9"/>
        <v>0.99530799999999997</v>
      </c>
      <c r="O12">
        <f t="shared" si="9"/>
        <v>0.99599700000000002</v>
      </c>
      <c r="P12">
        <f t="shared" si="9"/>
        <v>0.99609599999999998</v>
      </c>
      <c r="Q12">
        <f t="shared" si="9"/>
        <v>0.99538700000000002</v>
      </c>
      <c r="S12" s="23"/>
      <c r="T12" s="6">
        <v>0.15</v>
      </c>
      <c r="U12">
        <f>IF(T21="","",T21)</f>
        <v>7.8200000000000006E-3</v>
      </c>
      <c r="V12">
        <f t="shared" ref="V12:Z12" si="10">IF(U21="","",U21)</f>
        <v>7.8200000000000006E-3</v>
      </c>
      <c r="W12">
        <f t="shared" si="10"/>
        <v>7.8200000000000006E-3</v>
      </c>
      <c r="X12">
        <f t="shared" si="10"/>
        <v>7.8200000000000006E-3</v>
      </c>
      <c r="Y12">
        <f t="shared" si="10"/>
        <v>7.8200000000000006E-3</v>
      </c>
      <c r="Z12">
        <f t="shared" si="10"/>
        <v>7.8200000000000006E-3</v>
      </c>
      <c r="AB12" s="23"/>
      <c r="AC12" s="6">
        <v>0.15</v>
      </c>
      <c r="AD12">
        <f>IF(T23="","",T23)</f>
        <v>8.4599999999999996E-5</v>
      </c>
      <c r="AE12">
        <f t="shared" ref="AE12:AI12" si="11">IF(U23="","",U23)</f>
        <v>1.5600000000000001E-6</v>
      </c>
      <c r="AF12">
        <f t="shared" si="11"/>
        <v>0</v>
      </c>
      <c r="AG12">
        <f t="shared" si="11"/>
        <v>0</v>
      </c>
      <c r="AH12">
        <f t="shared" si="11"/>
        <v>0</v>
      </c>
      <c r="AI12">
        <f t="shared" si="11"/>
        <v>0</v>
      </c>
    </row>
    <row r="13" spans="1:35" x14ac:dyDescent="0.35">
      <c r="A13" s="23"/>
      <c r="B13" s="6">
        <v>0.2</v>
      </c>
      <c r="C13">
        <f>IF(AC25="","",AC25)</f>
        <v>11.053972949159292</v>
      </c>
      <c r="D13">
        <f t="shared" ref="D13:H13" si="12">IF(AD25="","",AD25)</f>
        <v>11.096038629315753</v>
      </c>
      <c r="E13">
        <f t="shared" si="12"/>
        <v>11.097812151840703</v>
      </c>
      <c r="F13">
        <f t="shared" si="12"/>
        <v>11.097182554687873</v>
      </c>
      <c r="G13">
        <f t="shared" si="12"/>
        <v>11.095197369973258</v>
      </c>
      <c r="H13">
        <f t="shared" si="12"/>
        <v>11.090648650687232</v>
      </c>
      <c r="J13" s="23"/>
      <c r="K13" s="6">
        <v>0.2</v>
      </c>
      <c r="L13">
        <f>IF(AC26="","",AC26)</f>
        <v>0.99520992729366564</v>
      </c>
      <c r="M13">
        <f t="shared" ref="M13:Q13" si="13">IF(AD26="","",AD26)</f>
        <v>0.99603669345752688</v>
      </c>
      <c r="N13">
        <f t="shared" si="13"/>
        <v>0.99645059187771468</v>
      </c>
      <c r="O13">
        <f t="shared" si="13"/>
        <v>0.9961943284957604</v>
      </c>
      <c r="P13">
        <f t="shared" si="13"/>
        <v>0.99538697590694181</v>
      </c>
      <c r="Q13">
        <f t="shared" si="13"/>
        <v>0.9935409026740627</v>
      </c>
      <c r="S13" s="23"/>
      <c r="T13" s="6">
        <v>0.2</v>
      </c>
      <c r="U13">
        <f>IF(AC21="","",AC21)</f>
        <v>7.8600000000000007E-3</v>
      </c>
      <c r="V13">
        <f t="shared" ref="V13:Z13" si="14">IF(AD21="","",AD21)</f>
        <v>7.8600000000000007E-3</v>
      </c>
      <c r="W13">
        <f t="shared" si="14"/>
        <v>7.8600000000000007E-3</v>
      </c>
      <c r="X13">
        <f t="shared" si="14"/>
        <v>7.8600000000000007E-3</v>
      </c>
      <c r="Y13">
        <f t="shared" si="14"/>
        <v>7.8600000000000007E-3</v>
      </c>
      <c r="Z13">
        <f t="shared" si="14"/>
        <v>7.8600000000000007E-3</v>
      </c>
      <c r="AB13" s="23"/>
      <c r="AC13" s="6">
        <v>0.2</v>
      </c>
      <c r="AD13">
        <f>IF(AC23="","",AC23)</f>
        <v>8.4573567284889573E-5</v>
      </c>
      <c r="AE13">
        <f t="shared" ref="AE13:AI13" si="15">IF(AD23="","",AD23)</f>
        <v>1.5623688043353551E-6</v>
      </c>
      <c r="AF13">
        <f t="shared" si="15"/>
        <v>0</v>
      </c>
      <c r="AG13">
        <f t="shared" si="15"/>
        <v>0</v>
      </c>
      <c r="AH13">
        <f t="shared" si="15"/>
        <v>0</v>
      </c>
      <c r="AI13">
        <f t="shared" si="15"/>
        <v>0</v>
      </c>
    </row>
    <row r="14" spans="1:35" x14ac:dyDescent="0.35">
      <c r="A14" s="23"/>
      <c r="B14" s="6">
        <v>0.25</v>
      </c>
      <c r="C14">
        <f>IF(AL25="","",AL25)</f>
        <v>11.02306644813352</v>
      </c>
      <c r="D14">
        <f>IF(AM25="","",AM25)</f>
        <v>11.063211915629093</v>
      </c>
      <c r="E14">
        <f>IF(AN25="","",AN25)</f>
        <v>11.063386332871454</v>
      </c>
      <c r="F14">
        <f t="shared" ref="F14:H14" si="16">IF(AO25="","",AO25)</f>
        <v>11.060980192276483</v>
      </c>
      <c r="G14">
        <f t="shared" si="16"/>
        <v>11.056603701135577</v>
      </c>
      <c r="H14">
        <f t="shared" si="16"/>
        <v>11.049685336474278</v>
      </c>
      <c r="J14" s="23"/>
      <c r="K14" s="6">
        <v>0.25</v>
      </c>
      <c r="L14">
        <f>IF(AL26="","",AL26)</f>
        <v>0.99629287573465086</v>
      </c>
      <c r="M14">
        <f>IF(AM26="","",AM26)</f>
        <v>0.99643087462912683</v>
      </c>
      <c r="N14">
        <f>IF(AN26="","",AN26)</f>
        <v>0.9961943284957604</v>
      </c>
      <c r="O14">
        <f t="shared" ref="O14:Q14" si="17">IF(AO26="","",AO26)</f>
        <v>0.99520992729366564</v>
      </c>
      <c r="P14">
        <f t="shared" si="17"/>
        <v>0.99342330067335161</v>
      </c>
      <c r="Q14">
        <f t="shared" si="17"/>
        <v>0.99060918108219287</v>
      </c>
      <c r="S14" s="23"/>
      <c r="T14" s="6">
        <v>0.25</v>
      </c>
      <c r="U14">
        <f>IF(AL21="","",AL21)</f>
        <v>7.9299999999999995E-3</v>
      </c>
      <c r="V14">
        <f>IF(AM21="","",AM21)</f>
        <v>7.9299999999999995E-3</v>
      </c>
      <c r="W14">
        <f>IF(AN21="","",AN21)</f>
        <v>7.9299999999999995E-3</v>
      </c>
      <c r="X14">
        <f t="shared" ref="X14:Z14" si="18">IF(AO21="","",AO21)</f>
        <v>7.9299999999999995E-3</v>
      </c>
      <c r="Y14">
        <f t="shared" si="18"/>
        <v>7.9299999999999995E-3</v>
      </c>
      <c r="Z14">
        <f t="shared" si="18"/>
        <v>7.9299999999999995E-3</v>
      </c>
      <c r="AB14" s="23"/>
      <c r="AC14" s="6">
        <v>0.25</v>
      </c>
      <c r="AD14">
        <f>IF(AL23="","",AL23)</f>
        <v>8.4573567284889573E-5</v>
      </c>
      <c r="AE14">
        <f>IF(AM23="","",AM23)</f>
        <v>1.5623688043353551E-6</v>
      </c>
      <c r="AF14">
        <f>IF(AN23="","",AN23)</f>
        <v>0</v>
      </c>
      <c r="AG14">
        <f t="shared" ref="AG14:AI14" si="19">IF(AO23="","",AO23)</f>
        <v>0</v>
      </c>
      <c r="AH14">
        <f t="shared" si="19"/>
        <v>0</v>
      </c>
      <c r="AI14">
        <f t="shared" si="19"/>
        <v>0</v>
      </c>
    </row>
    <row r="15" spans="1:35" x14ac:dyDescent="0.35">
      <c r="A15" s="23"/>
      <c r="B15" s="6">
        <v>0.3</v>
      </c>
      <c r="C15">
        <f>IF(AU25="","",AU25)</f>
        <v>11.033062168083539</v>
      </c>
      <c r="D15">
        <f t="shared" ref="D15:I15" si="20">IF(AV25="","",AV25)</f>
        <v>11.072364516214313</v>
      </c>
      <c r="E15">
        <f t="shared" si="20"/>
        <v>11.070852025843823</v>
      </c>
      <c r="F15">
        <f t="shared" si="20"/>
        <v>11.066804851744603</v>
      </c>
      <c r="G15">
        <f t="shared" si="20"/>
        <v>11.060210448314253</v>
      </c>
      <c r="H15">
        <f t="shared" si="20"/>
        <v>11.050885820303296</v>
      </c>
      <c r="J15" s="23"/>
      <c r="K15" s="6">
        <v>0.3</v>
      </c>
      <c r="L15">
        <f>IF(AU26="","",AU26)</f>
        <v>0.99647030990664265</v>
      </c>
      <c r="M15">
        <f t="shared" ref="M15:Q15" si="21">IF(AV26="","",AV26)</f>
        <v>0.99623374505177742</v>
      </c>
      <c r="N15">
        <f t="shared" si="21"/>
        <v>0.99530827985793147</v>
      </c>
      <c r="O15">
        <f t="shared" si="21"/>
        <v>0.99365853252165015</v>
      </c>
      <c r="P15">
        <f t="shared" si="21"/>
        <v>0.99097957514773571</v>
      </c>
      <c r="Q15">
        <f t="shared" si="21"/>
        <v>0.98721063167543355</v>
      </c>
      <c r="S15" s="23"/>
      <c r="T15" s="6">
        <v>0.3</v>
      </c>
      <c r="U15">
        <f>IF(AU21="","",AU21)</f>
        <v>7.9100000000000004E-3</v>
      </c>
      <c r="V15">
        <f t="shared" ref="V15:Z15" si="22">IF(AV21="","",AV21)</f>
        <v>7.9100000000000004E-3</v>
      </c>
      <c r="W15">
        <f t="shared" si="22"/>
        <v>7.9100000000000004E-3</v>
      </c>
      <c r="X15">
        <f t="shared" si="22"/>
        <v>7.9100000000000004E-3</v>
      </c>
      <c r="Y15">
        <f t="shared" si="22"/>
        <v>7.9100000000000004E-3</v>
      </c>
      <c r="Z15">
        <f t="shared" si="22"/>
        <v>7.9100000000000004E-3</v>
      </c>
      <c r="AB15" s="23"/>
      <c r="AC15" s="6">
        <v>0.3</v>
      </c>
      <c r="AD15">
        <f>IF(AU23="","",AU23)</f>
        <v>8.4573567284889573E-5</v>
      </c>
      <c r="AE15">
        <f t="shared" ref="AE15:AI15" si="23">IF(AV23="","",AV23)</f>
        <v>1.5623688043353551E-6</v>
      </c>
      <c r="AF15">
        <f t="shared" si="23"/>
        <v>0</v>
      </c>
      <c r="AG15">
        <f t="shared" si="23"/>
        <v>0</v>
      </c>
      <c r="AH15">
        <f t="shared" si="23"/>
        <v>0</v>
      </c>
      <c r="AI15">
        <f t="shared" si="23"/>
        <v>0</v>
      </c>
    </row>
    <row r="16" spans="1:35" x14ac:dyDescent="0.35">
      <c r="A16" s="23"/>
      <c r="B16" s="6">
        <v>0.35</v>
      </c>
      <c r="C16">
        <f t="shared" ref="C16:I16" si="24">IF(BD25="","",BD25)</f>
        <v>11.018433437304925</v>
      </c>
      <c r="D16">
        <f t="shared" si="24"/>
        <v>11.056477570660324</v>
      </c>
      <c r="E16">
        <f t="shared" si="24"/>
        <v>11.053239525446282</v>
      </c>
      <c r="F16">
        <f t="shared" si="24"/>
        <v>11.047429132830995</v>
      </c>
      <c r="G16">
        <f t="shared" si="24"/>
        <v>11.038844787394389</v>
      </c>
      <c r="H16">
        <f t="shared" si="24"/>
        <v>11.026543078889118</v>
      </c>
      <c r="J16" s="23"/>
      <c r="K16" s="6">
        <v>0.35</v>
      </c>
      <c r="L16">
        <f>IF(BD26="","",BD26)</f>
        <v>0.99635201343725266</v>
      </c>
      <c r="M16">
        <f t="shared" ref="M16:Q16" si="25">IF(BE26="","",BE26)</f>
        <v>0.99564282403329951</v>
      </c>
      <c r="N16">
        <f t="shared" si="25"/>
        <v>0.99401158924461497</v>
      </c>
      <c r="O16">
        <f t="shared" si="25"/>
        <v>0.99164307735436841</v>
      </c>
      <c r="P16">
        <f t="shared" si="25"/>
        <v>0.98815987266742922</v>
      </c>
      <c r="Q16">
        <f t="shared" si="25"/>
        <v>0.9832014196679264</v>
      </c>
      <c r="S16" s="23"/>
      <c r="T16" s="6">
        <v>0.35</v>
      </c>
      <c r="U16">
        <f>IF(BD21="","",BD21)</f>
        <v>7.9399999999999991E-3</v>
      </c>
      <c r="V16">
        <f t="shared" ref="V16:Z16" si="26">IF(BE21="","",BE21)</f>
        <v>7.9399999999999991E-3</v>
      </c>
      <c r="W16">
        <f t="shared" si="26"/>
        <v>7.9399999999999991E-3</v>
      </c>
      <c r="X16">
        <f t="shared" si="26"/>
        <v>7.9399999999999991E-3</v>
      </c>
      <c r="Y16">
        <f t="shared" si="26"/>
        <v>7.9399999999999991E-3</v>
      </c>
      <c r="Z16">
        <f t="shared" si="26"/>
        <v>7.9399999999999991E-3</v>
      </c>
      <c r="AB16" s="23"/>
      <c r="AC16" s="6">
        <v>0.35</v>
      </c>
      <c r="AD16">
        <f>IF(BD23="","",BD23)</f>
        <v>8.4573567284889573E-5</v>
      </c>
      <c r="AE16">
        <f t="shared" ref="AE16:AI16" si="27">IF(BE23="","",BE23)</f>
        <v>1.5623688043353551E-6</v>
      </c>
      <c r="AF16">
        <f t="shared" si="27"/>
        <v>0</v>
      </c>
      <c r="AG16">
        <f t="shared" si="27"/>
        <v>0</v>
      </c>
      <c r="AH16">
        <f t="shared" si="27"/>
        <v>0</v>
      </c>
      <c r="AI16">
        <f t="shared" si="27"/>
        <v>0</v>
      </c>
    </row>
    <row r="18" spans="1:64" x14ac:dyDescent="0.35">
      <c r="A18" t="s">
        <v>238</v>
      </c>
      <c r="B18" s="11">
        <v>0.05</v>
      </c>
      <c r="C18">
        <v>0.05</v>
      </c>
      <c r="D18">
        <v>0.05</v>
      </c>
      <c r="E18">
        <v>0.05</v>
      </c>
      <c r="F18">
        <v>0.05</v>
      </c>
      <c r="G18">
        <v>0.05</v>
      </c>
      <c r="H18">
        <v>0.05</v>
      </c>
      <c r="I18">
        <v>0.05</v>
      </c>
      <c r="J18">
        <v>0.05</v>
      </c>
      <c r="K18">
        <v>0.1</v>
      </c>
      <c r="L18">
        <v>0.1</v>
      </c>
      <c r="M18">
        <v>0.1</v>
      </c>
      <c r="N18">
        <v>0.1</v>
      </c>
      <c r="O18">
        <v>0.1</v>
      </c>
      <c r="P18">
        <v>0.1</v>
      </c>
      <c r="Q18">
        <v>0.1</v>
      </c>
      <c r="R18">
        <v>0.1</v>
      </c>
      <c r="S18">
        <v>0.1</v>
      </c>
      <c r="T18">
        <v>0.15</v>
      </c>
      <c r="U18">
        <v>0.15</v>
      </c>
      <c r="V18">
        <v>0.15</v>
      </c>
      <c r="W18">
        <v>0.15</v>
      </c>
      <c r="X18">
        <v>0.15</v>
      </c>
      <c r="Y18">
        <v>0.15</v>
      </c>
      <c r="Z18">
        <v>0.15</v>
      </c>
      <c r="AA18">
        <v>0.15</v>
      </c>
      <c r="AB18">
        <v>0.15</v>
      </c>
      <c r="AC18">
        <v>0.2</v>
      </c>
      <c r="AD18">
        <v>0.2</v>
      </c>
      <c r="AE18">
        <v>0.2</v>
      </c>
      <c r="AF18">
        <v>0.2</v>
      </c>
      <c r="AG18">
        <v>0.2</v>
      </c>
      <c r="AH18">
        <v>0.2</v>
      </c>
      <c r="AI18">
        <v>0.2</v>
      </c>
      <c r="AJ18">
        <v>0.2</v>
      </c>
      <c r="AK18">
        <v>0.2</v>
      </c>
      <c r="AL18">
        <v>0.25</v>
      </c>
      <c r="AM18">
        <v>0.25</v>
      </c>
      <c r="AN18">
        <v>0.25</v>
      </c>
      <c r="AO18">
        <v>0.25</v>
      </c>
      <c r="AP18">
        <v>0.25</v>
      </c>
      <c r="AQ18">
        <v>0.25</v>
      </c>
      <c r="AR18">
        <v>0.25</v>
      </c>
      <c r="AS18">
        <v>0.25</v>
      </c>
      <c r="AT18">
        <v>0.25</v>
      </c>
      <c r="AU18">
        <v>0.3</v>
      </c>
      <c r="AV18">
        <v>0.3</v>
      </c>
      <c r="AW18">
        <v>0.3</v>
      </c>
      <c r="AX18">
        <v>0.3</v>
      </c>
      <c r="AY18">
        <v>0.3</v>
      </c>
      <c r="AZ18">
        <v>0.3</v>
      </c>
      <c r="BA18">
        <v>0.3</v>
      </c>
      <c r="BB18">
        <v>0.3</v>
      </c>
      <c r="BC18">
        <v>0.3</v>
      </c>
      <c r="BD18">
        <v>0.35</v>
      </c>
      <c r="BE18">
        <v>0.35</v>
      </c>
      <c r="BF18">
        <v>0.35</v>
      </c>
      <c r="BG18">
        <v>0.35</v>
      </c>
      <c r="BH18">
        <v>0.35</v>
      </c>
      <c r="BI18">
        <v>0.35</v>
      </c>
      <c r="BJ18">
        <v>0.35</v>
      </c>
      <c r="BK18">
        <v>0.35</v>
      </c>
      <c r="BL18">
        <v>0.35</v>
      </c>
    </row>
    <row r="19" spans="1:64" x14ac:dyDescent="0.35">
      <c r="A19" s="8" t="s">
        <v>241</v>
      </c>
      <c r="B19" s="20">
        <v>20</v>
      </c>
      <c r="C19" s="8">
        <v>25</v>
      </c>
      <c r="D19" s="8">
        <v>30</v>
      </c>
      <c r="E19" s="8">
        <v>35</v>
      </c>
      <c r="F19" s="8">
        <v>40</v>
      </c>
      <c r="G19" s="8">
        <v>45</v>
      </c>
      <c r="H19" s="8">
        <v>50</v>
      </c>
      <c r="I19" s="8">
        <v>55</v>
      </c>
      <c r="J19" s="8">
        <v>60</v>
      </c>
      <c r="K19" s="8">
        <v>20</v>
      </c>
      <c r="L19" s="8">
        <v>25</v>
      </c>
      <c r="M19" s="8">
        <v>30</v>
      </c>
      <c r="N19" s="8">
        <v>35</v>
      </c>
      <c r="O19" s="8">
        <v>40</v>
      </c>
      <c r="P19" s="8">
        <v>45</v>
      </c>
      <c r="Q19" s="8">
        <v>50</v>
      </c>
      <c r="R19" s="8">
        <v>55</v>
      </c>
      <c r="S19" s="8">
        <v>60</v>
      </c>
      <c r="T19" s="8">
        <v>20</v>
      </c>
      <c r="U19" s="8">
        <v>25</v>
      </c>
      <c r="V19" s="8">
        <v>30</v>
      </c>
      <c r="W19" s="8">
        <v>35</v>
      </c>
      <c r="X19" s="8">
        <v>40</v>
      </c>
      <c r="Y19" s="8">
        <v>45</v>
      </c>
      <c r="Z19" s="8">
        <v>50</v>
      </c>
      <c r="AA19" s="8">
        <v>55</v>
      </c>
      <c r="AB19" s="8">
        <v>60</v>
      </c>
      <c r="AC19" s="8">
        <v>20</v>
      </c>
      <c r="AD19" s="8">
        <v>25</v>
      </c>
      <c r="AE19" s="8">
        <v>30</v>
      </c>
      <c r="AF19" s="8">
        <v>35</v>
      </c>
      <c r="AG19" s="8">
        <v>40</v>
      </c>
      <c r="AH19" s="8">
        <v>45</v>
      </c>
      <c r="AI19" s="8">
        <v>50</v>
      </c>
      <c r="AJ19" s="8">
        <v>55</v>
      </c>
      <c r="AK19" s="8">
        <v>60</v>
      </c>
      <c r="AL19" s="8">
        <v>20</v>
      </c>
      <c r="AM19" s="8">
        <v>25</v>
      </c>
      <c r="AN19" s="8">
        <v>30</v>
      </c>
      <c r="AO19" s="8">
        <v>35</v>
      </c>
      <c r="AP19" s="8">
        <v>40</v>
      </c>
      <c r="AQ19" s="8">
        <v>45</v>
      </c>
      <c r="AR19" s="8">
        <v>50</v>
      </c>
      <c r="AS19" s="8">
        <v>55</v>
      </c>
      <c r="AT19" s="8">
        <v>60</v>
      </c>
      <c r="AU19" s="8">
        <v>20</v>
      </c>
      <c r="AV19" s="8">
        <v>25</v>
      </c>
      <c r="AW19" s="8">
        <v>30</v>
      </c>
      <c r="AX19" s="8">
        <v>35</v>
      </c>
      <c r="AY19" s="8">
        <v>40</v>
      </c>
      <c r="AZ19" s="8">
        <v>45</v>
      </c>
      <c r="BA19" s="8">
        <v>50</v>
      </c>
      <c r="BB19" s="8">
        <v>55</v>
      </c>
      <c r="BC19" s="8">
        <v>60</v>
      </c>
      <c r="BD19" s="8">
        <v>20</v>
      </c>
      <c r="BE19" s="8">
        <v>25</v>
      </c>
      <c r="BF19" s="8">
        <v>30</v>
      </c>
      <c r="BG19" s="8">
        <v>35</v>
      </c>
      <c r="BH19" s="8">
        <v>40</v>
      </c>
      <c r="BI19" s="8">
        <v>45</v>
      </c>
      <c r="BJ19" s="8">
        <v>50</v>
      </c>
      <c r="BK19" s="8">
        <v>55</v>
      </c>
      <c r="BL19" s="8">
        <v>60</v>
      </c>
    </row>
    <row r="20" spans="1:64" x14ac:dyDescent="0.35">
      <c r="A20" t="s">
        <v>139</v>
      </c>
      <c r="B20" s="11">
        <v>5.1539999999999997E-3</v>
      </c>
      <c r="C20">
        <v>5.1349999999999998E-3</v>
      </c>
      <c r="D20">
        <v>5.1200000000000004E-3</v>
      </c>
      <c r="E20">
        <v>5.1070000000000004E-3</v>
      </c>
      <c r="F20">
        <v>5.097E-3</v>
      </c>
      <c r="G20">
        <v>5.0899999999999999E-3</v>
      </c>
      <c r="K20">
        <v>5.0990000000000002E-3</v>
      </c>
      <c r="L20">
        <v>5.0870000000000004E-3</v>
      </c>
      <c r="M20">
        <v>5.0769999999999999E-3</v>
      </c>
      <c r="N20">
        <v>5.0689999999999997E-3</v>
      </c>
      <c r="O20">
        <v>5.0629999999999998E-3</v>
      </c>
      <c r="P20">
        <v>5.0610000000000004E-3</v>
      </c>
      <c r="T20">
        <v>5.0730000000000003E-3</v>
      </c>
      <c r="U20">
        <v>5.0660000000000002E-3</v>
      </c>
      <c r="V20">
        <v>5.0590000000000001E-3</v>
      </c>
      <c r="W20">
        <v>5.0559999999999997E-3</v>
      </c>
      <c r="X20">
        <v>5.0549999999999996E-3</v>
      </c>
      <c r="Y20">
        <v>5.0590000000000001E-3</v>
      </c>
      <c r="AC20">
        <v>5.0599E-3</v>
      </c>
      <c r="AD20">
        <v>5.0556999999999998E-3</v>
      </c>
      <c r="AE20">
        <v>5.0536000000000001E-3</v>
      </c>
      <c r="AF20">
        <v>5.0549000000000002E-3</v>
      </c>
      <c r="AG20">
        <v>5.0590000000000001E-3</v>
      </c>
      <c r="AH20">
        <v>5.0683999999999998E-3</v>
      </c>
      <c r="AL20">
        <v>5.0543999999999997E-3</v>
      </c>
      <c r="AM20">
        <v>5.0537000000000004E-3</v>
      </c>
      <c r="AN20">
        <v>5.0549000000000002E-3</v>
      </c>
      <c r="AO20">
        <v>5.0599E-3</v>
      </c>
      <c r="AP20">
        <v>5.0689999999999997E-3</v>
      </c>
      <c r="AQ20">
        <v>5.0834000000000001E-3</v>
      </c>
      <c r="AU20">
        <v>5.0534999999999998E-3</v>
      </c>
      <c r="AV20">
        <v>5.0546999999999996E-3</v>
      </c>
      <c r="AW20">
        <v>5.0594000000000004E-3</v>
      </c>
      <c r="AX20">
        <v>5.0677999999999999E-3</v>
      </c>
      <c r="AY20">
        <v>5.0815000000000001E-3</v>
      </c>
      <c r="AZ20">
        <v>5.1009000000000002E-3</v>
      </c>
      <c r="BD20">
        <v>5.0540999999999997E-3</v>
      </c>
      <c r="BE20">
        <v>5.0577E-3</v>
      </c>
      <c r="BF20">
        <v>5.0660000000000002E-3</v>
      </c>
      <c r="BG20">
        <v>5.0781000000000003E-3</v>
      </c>
      <c r="BH20">
        <v>5.0959999999999998E-3</v>
      </c>
      <c r="BI20">
        <v>5.1216999999999999E-3</v>
      </c>
    </row>
    <row r="21" spans="1:64" x14ac:dyDescent="0.35">
      <c r="A21" t="s">
        <v>136</v>
      </c>
      <c r="B21" s="11">
        <v>7.7200000000000003E-3</v>
      </c>
      <c r="C21">
        <v>7.7200000000000003E-3</v>
      </c>
      <c r="D21">
        <v>7.7200000000000003E-3</v>
      </c>
      <c r="E21">
        <v>7.7200000000000003E-3</v>
      </c>
      <c r="F21">
        <v>7.7200000000000003E-3</v>
      </c>
      <c r="G21">
        <v>7.7200000000000003E-3</v>
      </c>
      <c r="K21">
        <v>7.77E-3</v>
      </c>
      <c r="L21">
        <v>7.77E-3</v>
      </c>
      <c r="M21">
        <v>7.77E-3</v>
      </c>
      <c r="N21">
        <v>7.77E-3</v>
      </c>
      <c r="O21">
        <v>7.77E-3</v>
      </c>
      <c r="P21">
        <v>7.77E-3</v>
      </c>
      <c r="T21">
        <v>7.8200000000000006E-3</v>
      </c>
      <c r="U21">
        <v>7.8200000000000006E-3</v>
      </c>
      <c r="V21">
        <v>7.8200000000000006E-3</v>
      </c>
      <c r="W21">
        <v>7.8200000000000006E-3</v>
      </c>
      <c r="X21">
        <v>7.8200000000000006E-3</v>
      </c>
      <c r="Y21">
        <v>7.8200000000000006E-3</v>
      </c>
      <c r="AC21">
        <v>7.8600000000000007E-3</v>
      </c>
      <c r="AD21">
        <v>7.8600000000000007E-3</v>
      </c>
      <c r="AE21">
        <v>7.8600000000000007E-3</v>
      </c>
      <c r="AF21">
        <v>7.8600000000000007E-3</v>
      </c>
      <c r="AG21">
        <v>7.8600000000000007E-3</v>
      </c>
      <c r="AH21">
        <v>7.8600000000000007E-3</v>
      </c>
      <c r="AL21">
        <v>7.9299999999999995E-3</v>
      </c>
      <c r="AM21">
        <v>7.9299999999999995E-3</v>
      </c>
      <c r="AN21">
        <v>7.9299999999999995E-3</v>
      </c>
      <c r="AO21">
        <v>7.9299999999999995E-3</v>
      </c>
      <c r="AP21">
        <v>7.9299999999999995E-3</v>
      </c>
      <c r="AQ21">
        <v>7.9299999999999995E-3</v>
      </c>
      <c r="AU21">
        <v>7.9100000000000004E-3</v>
      </c>
      <c r="AV21">
        <v>7.9100000000000004E-3</v>
      </c>
      <c r="AW21">
        <v>7.9100000000000004E-3</v>
      </c>
      <c r="AX21">
        <v>7.9100000000000004E-3</v>
      </c>
      <c r="AY21">
        <v>7.9100000000000004E-3</v>
      </c>
      <c r="AZ21">
        <v>7.9100000000000004E-3</v>
      </c>
      <c r="BD21">
        <v>7.9399999999999991E-3</v>
      </c>
      <c r="BE21">
        <v>7.9399999999999991E-3</v>
      </c>
      <c r="BF21">
        <v>7.9399999999999991E-3</v>
      </c>
      <c r="BG21">
        <v>7.9399999999999991E-3</v>
      </c>
      <c r="BH21">
        <v>7.9399999999999991E-3</v>
      </c>
      <c r="BI21">
        <v>7.9399999999999991E-3</v>
      </c>
    </row>
    <row r="22" spans="1:64" x14ac:dyDescent="0.35">
      <c r="A22" t="s">
        <v>257</v>
      </c>
      <c r="B22" s="11">
        <v>0.01</v>
      </c>
      <c r="C22">
        <v>0.01</v>
      </c>
      <c r="D22">
        <v>0.01</v>
      </c>
      <c r="E22">
        <v>0.01</v>
      </c>
      <c r="F22">
        <v>0.01</v>
      </c>
      <c r="G22">
        <v>0.01</v>
      </c>
      <c r="K22">
        <v>0.01</v>
      </c>
      <c r="L22">
        <v>0.01</v>
      </c>
      <c r="M22">
        <v>0.01</v>
      </c>
      <c r="N22">
        <v>0.01</v>
      </c>
      <c r="O22">
        <v>0.01</v>
      </c>
      <c r="P22">
        <v>0.01</v>
      </c>
      <c r="T22">
        <v>0.01</v>
      </c>
      <c r="U22">
        <v>0.01</v>
      </c>
      <c r="V22">
        <v>0.01</v>
      </c>
      <c r="W22">
        <v>0.01</v>
      </c>
      <c r="X22">
        <v>0.01</v>
      </c>
      <c r="Y22">
        <v>0.01</v>
      </c>
      <c r="AC22">
        <v>0.01</v>
      </c>
      <c r="AD22">
        <v>0.01</v>
      </c>
      <c r="AE22">
        <v>0.01</v>
      </c>
      <c r="AF22">
        <v>0.01</v>
      </c>
      <c r="AG22">
        <v>0.01</v>
      </c>
      <c r="AH22">
        <v>0.01</v>
      </c>
      <c r="AL22">
        <v>0.01</v>
      </c>
      <c r="AM22">
        <v>0.01</v>
      </c>
      <c r="AN22">
        <v>0.01</v>
      </c>
      <c r="AO22">
        <v>0.01</v>
      </c>
      <c r="AP22">
        <v>0.01</v>
      </c>
      <c r="AQ22">
        <v>0.01</v>
      </c>
      <c r="AU22">
        <v>0.01</v>
      </c>
      <c r="AV22">
        <v>0.01</v>
      </c>
      <c r="AW22">
        <v>0.01</v>
      </c>
      <c r="AX22">
        <v>0.01</v>
      </c>
      <c r="AY22">
        <v>0.01</v>
      </c>
      <c r="AZ22">
        <v>0.01</v>
      </c>
      <c r="BD22">
        <v>0.01</v>
      </c>
      <c r="BE22">
        <v>0.01</v>
      </c>
      <c r="BF22">
        <v>0.01</v>
      </c>
      <c r="BG22">
        <v>0.01</v>
      </c>
      <c r="BH22">
        <v>0.01</v>
      </c>
      <c r="BI22">
        <v>0.01</v>
      </c>
    </row>
    <row r="23" spans="1:64" x14ac:dyDescent="0.35">
      <c r="A23" t="s">
        <v>263</v>
      </c>
      <c r="B23" s="33">
        <v>8.4599999999999996E-5</v>
      </c>
      <c r="C23" s="18">
        <v>1.5600000000000001E-6</v>
      </c>
      <c r="D23">
        <v>0</v>
      </c>
      <c r="E23">
        <v>0</v>
      </c>
      <c r="F23">
        <v>0</v>
      </c>
      <c r="G23">
        <v>0</v>
      </c>
      <c r="K23" s="18">
        <v>8.4599999999999996E-5</v>
      </c>
      <c r="L23" s="18">
        <v>1.5600000000000001E-6</v>
      </c>
      <c r="M23">
        <v>0</v>
      </c>
      <c r="N23">
        <v>0</v>
      </c>
      <c r="O23">
        <v>0</v>
      </c>
      <c r="P23">
        <v>0</v>
      </c>
      <c r="T23" s="18">
        <v>8.4599999999999996E-5</v>
      </c>
      <c r="U23" s="18">
        <v>1.5600000000000001E-6</v>
      </c>
      <c r="V23">
        <v>0</v>
      </c>
      <c r="W23">
        <v>0</v>
      </c>
      <c r="X23">
        <v>0</v>
      </c>
      <c r="Y23">
        <v>0</v>
      </c>
      <c r="AC23">
        <v>8.4573567284889573E-5</v>
      </c>
      <c r="AD23">
        <v>1.5623688043353551E-6</v>
      </c>
      <c r="AE23">
        <v>0</v>
      </c>
      <c r="AF23">
        <v>0</v>
      </c>
      <c r="AG23">
        <v>0</v>
      </c>
      <c r="AH23">
        <v>0</v>
      </c>
      <c r="AL23">
        <v>8.4573567284889573E-5</v>
      </c>
      <c r="AM23">
        <v>1.5623688043353551E-6</v>
      </c>
      <c r="AN23">
        <v>0</v>
      </c>
      <c r="AO23">
        <v>0</v>
      </c>
      <c r="AP23">
        <v>0</v>
      </c>
      <c r="AQ23">
        <v>0</v>
      </c>
      <c r="AU23">
        <v>8.4573567284889573E-5</v>
      </c>
      <c r="AV23">
        <v>1.5623688043353551E-6</v>
      </c>
      <c r="AW23">
        <v>0</v>
      </c>
      <c r="AX23">
        <v>0</v>
      </c>
      <c r="AY23">
        <v>0</v>
      </c>
      <c r="AZ23">
        <v>0</v>
      </c>
      <c r="BD23">
        <v>8.4573567284889573E-5</v>
      </c>
      <c r="BE23">
        <v>1.5623688043353551E-6</v>
      </c>
      <c r="BF23">
        <v>0</v>
      </c>
      <c r="BG23">
        <v>0</v>
      </c>
      <c r="BH23">
        <v>0</v>
      </c>
      <c r="BI23">
        <v>0</v>
      </c>
    </row>
    <row r="24" spans="1:64" x14ac:dyDescent="0.35">
      <c r="A24" t="s">
        <v>237</v>
      </c>
      <c r="B24" s="11">
        <v>2.2959E-2</v>
      </c>
      <c r="C24">
        <v>2.2856999999999999E-2</v>
      </c>
      <c r="D24">
        <v>2.2839999999999999E-2</v>
      </c>
      <c r="E24">
        <v>2.2827E-2</v>
      </c>
      <c r="F24">
        <v>2.2817E-2</v>
      </c>
      <c r="G24">
        <v>2.281E-2</v>
      </c>
      <c r="K24">
        <v>2.2953999999999999E-2</v>
      </c>
      <c r="L24">
        <v>2.2859000000000001E-2</v>
      </c>
      <c r="M24">
        <v>2.2846999999999999E-2</v>
      </c>
      <c r="N24">
        <v>2.2839000000000002E-2</v>
      </c>
      <c r="O24">
        <v>2.2832999999999999E-2</v>
      </c>
      <c r="P24">
        <v>2.2831000000000001E-2</v>
      </c>
      <c r="T24">
        <v>2.2977000000000001E-2</v>
      </c>
      <c r="U24">
        <v>2.2887000000000001E-2</v>
      </c>
      <c r="V24">
        <v>2.2879E-2</v>
      </c>
      <c r="W24">
        <v>2.2876000000000001E-2</v>
      </c>
      <c r="X24">
        <v>2.2875E-2</v>
      </c>
      <c r="Y24">
        <v>2.2879E-2</v>
      </c>
      <c r="AC24">
        <v>2.300447356728489E-2</v>
      </c>
      <c r="AD24">
        <v>2.2917262368804335E-2</v>
      </c>
      <c r="AE24">
        <v>2.2913599999999999E-2</v>
      </c>
      <c r="AF24">
        <v>2.2914900000000002E-2</v>
      </c>
      <c r="AG24">
        <v>2.2919000000000002E-2</v>
      </c>
      <c r="AH24">
        <v>2.2928400000000002E-2</v>
      </c>
      <c r="AL24">
        <v>2.3068973567284892E-2</v>
      </c>
      <c r="AM24">
        <v>2.2985262368804337E-2</v>
      </c>
      <c r="AN24">
        <v>2.2984900000000003E-2</v>
      </c>
      <c r="AO24">
        <v>2.2989900000000001E-2</v>
      </c>
      <c r="AP24">
        <v>2.2998999999999999E-2</v>
      </c>
      <c r="AQ24">
        <v>2.30134E-2</v>
      </c>
      <c r="AU24">
        <v>2.3048073567284888E-2</v>
      </c>
      <c r="AV24">
        <v>2.2966262368804332E-2</v>
      </c>
      <c r="AW24">
        <v>2.2969400000000001E-2</v>
      </c>
      <c r="AX24">
        <v>2.29778E-2</v>
      </c>
      <c r="AY24">
        <v>2.2991499999999998E-2</v>
      </c>
      <c r="AZ24">
        <v>2.3010900000000001E-2</v>
      </c>
      <c r="BD24">
        <v>2.3078673567284887E-2</v>
      </c>
      <c r="BE24">
        <v>2.2999262368804334E-2</v>
      </c>
      <c r="BF24">
        <v>2.3005999999999999E-2</v>
      </c>
      <c r="BG24">
        <v>2.30181E-2</v>
      </c>
      <c r="BH24">
        <v>2.3036000000000001E-2</v>
      </c>
      <c r="BI24">
        <v>2.3061699999999997E-2</v>
      </c>
    </row>
    <row r="25" spans="1:64" x14ac:dyDescent="0.35">
      <c r="A25" s="6" t="s">
        <v>256</v>
      </c>
      <c r="B25">
        <v>11.07588</v>
      </c>
      <c r="C25">
        <v>11.12546</v>
      </c>
      <c r="D25">
        <v>11.133570000000001</v>
      </c>
      <c r="E25">
        <v>11.14001</v>
      </c>
      <c r="F25">
        <v>11.1448</v>
      </c>
      <c r="G25">
        <v>11.14831</v>
      </c>
      <c r="K25">
        <v>11.078290000000001</v>
      </c>
      <c r="L25">
        <v>11.12448</v>
      </c>
      <c r="M25">
        <v>11.13026</v>
      </c>
      <c r="N25">
        <v>11.134209999999999</v>
      </c>
      <c r="O25">
        <v>11.13679</v>
      </c>
      <c r="P25">
        <v>11.138210000000001</v>
      </c>
      <c r="T25">
        <v>11.06711</v>
      </c>
      <c r="U25">
        <v>11.11049</v>
      </c>
      <c r="V25">
        <v>11.1144</v>
      </c>
      <c r="W25">
        <v>11.116099999999999</v>
      </c>
      <c r="X25">
        <v>11.116339999999999</v>
      </c>
      <c r="Y25">
        <v>11.114599999999999</v>
      </c>
      <c r="AC25">
        <v>11.053972949159292</v>
      </c>
      <c r="AD25">
        <v>11.096038629315753</v>
      </c>
      <c r="AE25">
        <v>11.097812151840703</v>
      </c>
      <c r="AF25">
        <v>11.097182554687873</v>
      </c>
      <c r="AG25">
        <v>11.095197369973258</v>
      </c>
      <c r="AH25">
        <v>11.090648650687232</v>
      </c>
      <c r="AL25">
        <v>11.02306644813352</v>
      </c>
      <c r="AM25">
        <v>11.063211915629093</v>
      </c>
      <c r="AN25">
        <v>11.063386332871454</v>
      </c>
      <c r="AO25">
        <v>11.060980192276483</v>
      </c>
      <c r="AP25">
        <v>11.056603701135577</v>
      </c>
      <c r="AQ25">
        <v>11.049685336474278</v>
      </c>
      <c r="AU25">
        <v>11.033062168083539</v>
      </c>
      <c r="AV25">
        <v>11.072364516214313</v>
      </c>
      <c r="AW25">
        <v>11.070852025843823</v>
      </c>
      <c r="AX25">
        <v>11.066804851744603</v>
      </c>
      <c r="AY25">
        <v>11.060210448314253</v>
      </c>
      <c r="AZ25">
        <v>11.050885820303296</v>
      </c>
      <c r="BD25">
        <v>11.018433437304925</v>
      </c>
      <c r="BE25">
        <v>11.056477570660324</v>
      </c>
      <c r="BF25">
        <v>11.053239525446282</v>
      </c>
      <c r="BG25">
        <v>11.047429132830995</v>
      </c>
      <c r="BH25">
        <v>11.038844787394389</v>
      </c>
      <c r="BI25">
        <v>11.026543078889118</v>
      </c>
    </row>
    <row r="26" spans="1:64" x14ac:dyDescent="0.35">
      <c r="A26" s="6" t="s">
        <v>143</v>
      </c>
      <c r="B26">
        <v>0.97696400000000005</v>
      </c>
      <c r="C26">
        <v>0.98063599999999995</v>
      </c>
      <c r="D26">
        <v>0.98352799999999996</v>
      </c>
      <c r="E26">
        <v>0.98607</v>
      </c>
      <c r="F26">
        <v>0.98796600000000001</v>
      </c>
      <c r="G26">
        <v>0.98936400000000002</v>
      </c>
      <c r="K26">
        <v>0.98750099999999996</v>
      </c>
      <c r="L26">
        <v>0.98988900000000002</v>
      </c>
      <c r="M26">
        <v>0.99189700000000003</v>
      </c>
      <c r="N26">
        <v>0.99348199999999998</v>
      </c>
      <c r="O26">
        <v>0.99452200000000002</v>
      </c>
      <c r="P26">
        <v>0.99509199999999998</v>
      </c>
      <c r="T26">
        <v>0.99271799999999999</v>
      </c>
      <c r="U26">
        <v>0.994031</v>
      </c>
      <c r="V26">
        <v>0.99530799999999997</v>
      </c>
      <c r="W26">
        <v>0.99599700000000002</v>
      </c>
      <c r="X26">
        <v>0.99609599999999998</v>
      </c>
      <c r="Y26">
        <v>0.99538700000000002</v>
      </c>
      <c r="AC26">
        <v>0.99520992729366564</v>
      </c>
      <c r="AD26">
        <v>0.99603669345752688</v>
      </c>
      <c r="AE26">
        <v>0.99645059187771468</v>
      </c>
      <c r="AF26">
        <v>0.9961943284957604</v>
      </c>
      <c r="AG26">
        <v>0.99538697590694181</v>
      </c>
      <c r="AH26">
        <v>0.9935409026740627</v>
      </c>
      <c r="AL26">
        <v>0.99629287573465086</v>
      </c>
      <c r="AM26">
        <v>0.99643087462912683</v>
      </c>
      <c r="AN26">
        <v>0.9961943284957604</v>
      </c>
      <c r="AO26">
        <v>0.99520992729366564</v>
      </c>
      <c r="AP26">
        <v>0.99342330067335161</v>
      </c>
      <c r="AQ26">
        <v>0.99060918108219287</v>
      </c>
      <c r="AU26">
        <v>0.99647030990664265</v>
      </c>
      <c r="AV26">
        <v>0.99623374505177742</v>
      </c>
      <c r="AW26">
        <v>0.99530827985793147</v>
      </c>
      <c r="AX26">
        <v>0.99365853252165015</v>
      </c>
      <c r="AY26">
        <v>0.99097957514773571</v>
      </c>
      <c r="AZ26">
        <v>0.98721063167543355</v>
      </c>
      <c r="BD26">
        <v>0.99635201343725266</v>
      </c>
      <c r="BE26">
        <v>0.99564282403329951</v>
      </c>
      <c r="BF26">
        <v>0.99401158924461497</v>
      </c>
      <c r="BG26">
        <v>0.99164307735436841</v>
      </c>
      <c r="BH26">
        <v>0.98815987266742922</v>
      </c>
      <c r="BI26">
        <v>0.9832014196679264</v>
      </c>
    </row>
  </sheetData>
  <mergeCells count="8">
    <mergeCell ref="C8:H8"/>
    <mergeCell ref="L8:Q8"/>
    <mergeCell ref="U8:Z8"/>
    <mergeCell ref="AD8:AI8"/>
    <mergeCell ref="A10:A16"/>
    <mergeCell ref="J10:J16"/>
    <mergeCell ref="S10:S16"/>
    <mergeCell ref="AB10:AB16"/>
  </mergeCells>
  <conditionalFormatting sqref="C10:I1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0:Q1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0:Z1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0:AI1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1759F-287E-4BC9-B23D-BA568A016244}">
  <sheetPr codeName="Sheet36"/>
  <dimension ref="A1:K22"/>
  <sheetViews>
    <sheetView workbookViewId="0">
      <selection activeCell="I12" sqref="I12"/>
    </sheetView>
  </sheetViews>
  <sheetFormatPr defaultRowHeight="14.5" x14ac:dyDescent="0.35"/>
  <cols>
    <col min="2" max="2" width="9.90625" bestFit="1" customWidth="1"/>
  </cols>
  <sheetData>
    <row r="1" spans="1:11" x14ac:dyDescent="0.35">
      <c r="A1" t="s">
        <v>241</v>
      </c>
      <c r="B1">
        <v>30</v>
      </c>
    </row>
    <row r="3" spans="1:11" x14ac:dyDescent="0.35">
      <c r="A3" t="s">
        <v>288</v>
      </c>
    </row>
    <row r="5" spans="1:11" x14ac:dyDescent="0.35">
      <c r="B5" t="s">
        <v>238</v>
      </c>
      <c r="C5" s="11">
        <v>0.05</v>
      </c>
      <c r="D5">
        <v>0.1</v>
      </c>
      <c r="E5">
        <v>0.15</v>
      </c>
      <c r="F5">
        <v>0.2</v>
      </c>
      <c r="G5">
        <v>0.25</v>
      </c>
      <c r="H5">
        <v>0.3</v>
      </c>
      <c r="I5">
        <v>0.35</v>
      </c>
    </row>
    <row r="6" spans="1:11" x14ac:dyDescent="0.35">
      <c r="B6" s="7" t="s">
        <v>268</v>
      </c>
      <c r="C6" s="8">
        <v>-3</v>
      </c>
      <c r="D6" s="8">
        <v>-3</v>
      </c>
      <c r="E6" s="8">
        <v>-3</v>
      </c>
      <c r="F6" s="8">
        <v>-3</v>
      </c>
      <c r="G6" s="8">
        <v>-3</v>
      </c>
      <c r="H6" s="8">
        <v>-3</v>
      </c>
      <c r="I6" s="8">
        <v>-3</v>
      </c>
      <c r="J6" s="35"/>
      <c r="K6" s="35"/>
    </row>
    <row r="7" spans="1:11" x14ac:dyDescent="0.35">
      <c r="A7" s="37" t="s">
        <v>289</v>
      </c>
      <c r="B7" s="39" t="s">
        <v>139</v>
      </c>
      <c r="C7" s="36">
        <v>5.1990999999999999E-3</v>
      </c>
      <c r="D7" s="36">
        <v>5.1723000000000003E-3</v>
      </c>
      <c r="E7" s="36">
        <v>5.1536000000000004E-3</v>
      </c>
      <c r="F7" s="36">
        <v>5.1387000000000004E-3</v>
      </c>
      <c r="G7" s="36">
        <v>5.1269000000000002E-3</v>
      </c>
      <c r="H7" s="36">
        <v>5.1161000000000002E-3</v>
      </c>
      <c r="I7" s="36">
        <v>5.1057999999999997E-3</v>
      </c>
    </row>
    <row r="8" spans="1:11" ht="14.5" customHeight="1" x14ac:dyDescent="0.35">
      <c r="A8" s="38"/>
      <c r="B8" s="6" t="s">
        <v>136</v>
      </c>
      <c r="C8" s="35">
        <v>7.7200000000000003E-3</v>
      </c>
      <c r="D8" s="35">
        <v>7.77E-3</v>
      </c>
      <c r="E8" s="35">
        <v>7.8200000000000006E-3</v>
      </c>
      <c r="F8" s="35">
        <v>7.8600000000000007E-3</v>
      </c>
      <c r="G8" s="35">
        <v>7.9399999999999991E-3</v>
      </c>
      <c r="H8" s="35">
        <v>7.9100000000000004E-3</v>
      </c>
      <c r="I8" s="35">
        <v>7.9399999999999991E-3</v>
      </c>
    </row>
    <row r="9" spans="1:11" x14ac:dyDescent="0.35">
      <c r="A9" s="38"/>
      <c r="B9" s="6" t="s">
        <v>257</v>
      </c>
      <c r="C9" s="35">
        <v>0.01</v>
      </c>
      <c r="D9" s="35">
        <v>0.01</v>
      </c>
      <c r="E9" s="35">
        <v>0.01</v>
      </c>
      <c r="F9" s="35">
        <v>0.01</v>
      </c>
      <c r="G9" s="35">
        <v>0.01</v>
      </c>
      <c r="H9" s="35">
        <v>0.01</v>
      </c>
      <c r="I9" s="35">
        <v>0.01</v>
      </c>
    </row>
    <row r="10" spans="1:11" x14ac:dyDescent="0.35">
      <c r="A10" s="38"/>
      <c r="B10" s="6" t="s">
        <v>263</v>
      </c>
      <c r="C10" s="35">
        <v>0</v>
      </c>
      <c r="D10" s="35">
        <v>0</v>
      </c>
      <c r="E10" s="35">
        <v>0</v>
      </c>
      <c r="F10" s="35">
        <v>0</v>
      </c>
      <c r="G10" s="35">
        <v>0</v>
      </c>
      <c r="H10" s="35">
        <v>0</v>
      </c>
      <c r="I10" s="35">
        <v>0</v>
      </c>
    </row>
    <row r="11" spans="1:11" x14ac:dyDescent="0.35">
      <c r="A11" s="38"/>
      <c r="B11" s="6" t="s">
        <v>237</v>
      </c>
      <c r="C11" s="35">
        <v>2.2919099999999998E-2</v>
      </c>
      <c r="D11" s="35">
        <v>2.2942299999999999E-2</v>
      </c>
      <c r="E11" s="35">
        <v>2.2973600000000004E-2</v>
      </c>
      <c r="F11" s="35">
        <v>2.2998700000000004E-2</v>
      </c>
      <c r="G11" s="35">
        <v>2.3066900000000001E-2</v>
      </c>
      <c r="H11" s="35">
        <v>2.3026100000000001E-2</v>
      </c>
      <c r="I11" s="35">
        <v>2.3045799999999998E-2</v>
      </c>
    </row>
    <row r="12" spans="1:11" x14ac:dyDescent="0.35">
      <c r="A12" s="38"/>
      <c r="B12" s="6" t="s">
        <v>256</v>
      </c>
      <c r="C12" s="35">
        <v>11.095148959706846</v>
      </c>
      <c r="D12" s="35">
        <v>11.083929184188907</v>
      </c>
      <c r="E12" s="35">
        <v>11.068828068844983</v>
      </c>
      <c r="F12" s="35">
        <v>11.056747925857422</v>
      </c>
      <c r="G12" s="35">
        <v>11.024057351547764</v>
      </c>
      <c r="H12" s="35">
        <v>11.043590904339734</v>
      </c>
      <c r="I12" s="35">
        <v>11.034150627117182</v>
      </c>
    </row>
    <row r="13" spans="1:11" x14ac:dyDescent="0.35">
      <c r="A13" s="38"/>
      <c r="B13" s="34" t="s">
        <v>143</v>
      </c>
      <c r="C13" s="35">
        <v>0.96856431134489029</v>
      </c>
      <c r="D13" s="35">
        <v>0.97358287630516771</v>
      </c>
      <c r="E13" s="35">
        <v>0.97711555245133852</v>
      </c>
      <c r="F13" s="35">
        <v>0.97994876352252869</v>
      </c>
      <c r="G13" s="35">
        <v>0.98220419963588501</v>
      </c>
      <c r="H13" s="35">
        <v>0.98427761597959762</v>
      </c>
      <c r="I13" s="35">
        <v>0.98626321264311545</v>
      </c>
    </row>
    <row r="14" spans="1:11" x14ac:dyDescent="0.35">
      <c r="A14" s="40"/>
      <c r="B14" s="8" t="s">
        <v>33</v>
      </c>
      <c r="C14" s="20">
        <v>0.39579999999999999</v>
      </c>
      <c r="D14" s="8">
        <v>0.33300000000000002</v>
      </c>
      <c r="E14" s="8">
        <v>0.30649999999999999</v>
      </c>
      <c r="F14" s="8">
        <v>0.2928</v>
      </c>
      <c r="G14" s="8">
        <v>0.28549999999999998</v>
      </c>
      <c r="H14" s="8">
        <v>0.28139999999999998</v>
      </c>
      <c r="I14" s="8">
        <v>0.27979999999999999</v>
      </c>
    </row>
    <row r="15" spans="1:11" x14ac:dyDescent="0.35">
      <c r="A15" s="37" t="s">
        <v>290</v>
      </c>
      <c r="B15" s="36" t="s">
        <v>139</v>
      </c>
      <c r="C15" s="41">
        <v>0.41599580000000003</v>
      </c>
      <c r="D15" s="36">
        <v>0.41109269999999998</v>
      </c>
      <c r="E15" s="36">
        <v>0.4041034</v>
      </c>
      <c r="F15" s="36">
        <v>0.39999010000000002</v>
      </c>
      <c r="G15" s="36">
        <v>0.40505869999999999</v>
      </c>
      <c r="H15" s="36">
        <v>0.40558519999999998</v>
      </c>
      <c r="I15" s="36">
        <v>0.40212239999999999</v>
      </c>
    </row>
    <row r="16" spans="1:11" x14ac:dyDescent="0.35">
      <c r="A16" s="38"/>
      <c r="B16" s="35" t="s">
        <v>136</v>
      </c>
      <c r="C16" s="11">
        <v>3.33311</v>
      </c>
      <c r="D16" s="35">
        <v>3.09626</v>
      </c>
      <c r="E16" s="35">
        <v>2.9512299999999998</v>
      </c>
      <c r="F16" s="35">
        <v>2.8494600000000001</v>
      </c>
      <c r="G16" s="35">
        <v>2.7952900000000001</v>
      </c>
      <c r="H16" s="35">
        <v>2.73977</v>
      </c>
      <c r="I16" s="35">
        <v>2.7074699999999998</v>
      </c>
    </row>
    <row r="17" spans="1:9" x14ac:dyDescent="0.35">
      <c r="A17" s="38"/>
      <c r="B17" s="35" t="s">
        <v>257</v>
      </c>
      <c r="C17" s="11">
        <v>0.01</v>
      </c>
      <c r="D17" s="35">
        <v>0.01</v>
      </c>
      <c r="E17" s="35">
        <v>0.01</v>
      </c>
      <c r="F17" s="35">
        <v>0.01</v>
      </c>
      <c r="G17" s="35">
        <v>0.01</v>
      </c>
      <c r="H17" s="35">
        <v>0.01</v>
      </c>
      <c r="I17" s="35">
        <v>0.01</v>
      </c>
    </row>
    <row r="18" spans="1:9" x14ac:dyDescent="0.35">
      <c r="A18" s="38"/>
      <c r="B18" s="35" t="s">
        <v>263</v>
      </c>
      <c r="C18" s="11">
        <v>7.6483551982668069E-2</v>
      </c>
      <c r="D18" s="35">
        <v>7.6483551982668069E-2</v>
      </c>
      <c r="E18" s="35">
        <v>7.6483551982668069E-2</v>
      </c>
      <c r="F18" s="35">
        <v>7.6483551982668069E-2</v>
      </c>
      <c r="G18" s="35">
        <v>7.6483551982668069E-2</v>
      </c>
      <c r="H18" s="35">
        <v>7.6483551982668069E-2</v>
      </c>
      <c r="I18" s="35">
        <v>7.6483551982668069E-2</v>
      </c>
    </row>
    <row r="19" spans="1:9" x14ac:dyDescent="0.35">
      <c r="A19" s="38"/>
      <c r="B19" s="35" t="s">
        <v>237</v>
      </c>
      <c r="C19" s="11">
        <v>3.835589351982668</v>
      </c>
      <c r="D19" s="35">
        <v>3.5938362519826681</v>
      </c>
      <c r="E19" s="35">
        <v>3.4418169519826676</v>
      </c>
      <c r="F19" s="35">
        <v>3.3359336519826681</v>
      </c>
      <c r="G19" s="35">
        <v>3.286832251982668</v>
      </c>
      <c r="H19" s="35">
        <v>3.2318387519826679</v>
      </c>
      <c r="I19" s="35">
        <v>3.1960759519826678</v>
      </c>
    </row>
    <row r="20" spans="1:9" x14ac:dyDescent="0.35">
      <c r="A20" s="38"/>
      <c r="B20" s="35" t="s">
        <v>256</v>
      </c>
      <c r="C20" s="11">
        <v>0.52143225368121671</v>
      </c>
      <c r="D20" s="35">
        <v>0.55650838262222679</v>
      </c>
      <c r="E20" s="35">
        <v>0.58108842739236755</v>
      </c>
      <c r="F20" s="35">
        <v>0.59953230748798814</v>
      </c>
      <c r="G20" s="35">
        <v>0.60848861355597594</v>
      </c>
      <c r="H20" s="35">
        <v>0.61884275593051796</v>
      </c>
      <c r="I20" s="35">
        <v>0.62576735661094385</v>
      </c>
    </row>
    <row r="21" spans="1:9" x14ac:dyDescent="0.35">
      <c r="A21" s="38"/>
      <c r="B21" s="35" t="s">
        <v>143</v>
      </c>
      <c r="C21" s="11">
        <v>0.7488007748896981</v>
      </c>
      <c r="D21" s="35">
        <v>0.7577317169360096</v>
      </c>
      <c r="E21" s="35">
        <v>0.77083730894335434</v>
      </c>
      <c r="F21" s="35">
        <v>0.7787642178915426</v>
      </c>
      <c r="G21" s="35">
        <v>0.76901934803735816</v>
      </c>
      <c r="H21" s="35">
        <v>0.76802106534178238</v>
      </c>
      <c r="I21" s="35">
        <v>0.77463473159132623</v>
      </c>
    </row>
    <row r="22" spans="1:9" x14ac:dyDescent="0.35">
      <c r="A22" s="40"/>
      <c r="B22" s="8" t="s">
        <v>33</v>
      </c>
      <c r="C22" s="20">
        <v>4.8128000000000002</v>
      </c>
      <c r="D22" s="8">
        <v>3.6682000000000001</v>
      </c>
      <c r="E22" s="8">
        <v>3.1616</v>
      </c>
      <c r="F22" s="8">
        <v>2.8605999999999998</v>
      </c>
      <c r="G22" s="8">
        <v>2.7185000000000001</v>
      </c>
      <c r="H22" s="8">
        <v>2.5663</v>
      </c>
      <c r="I22" s="8">
        <v>2.5135999999999998</v>
      </c>
    </row>
  </sheetData>
  <mergeCells count="2">
    <mergeCell ref="A7:A14"/>
    <mergeCell ref="A15:A22"/>
  </mergeCells>
  <conditionalFormatting sqref="C12:K1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2:I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horizontalDpi="1200" verticalDpi="120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7B504-CF91-4E63-ADD9-928A95EECE07}">
  <sheetPr codeName="Sheet2"/>
  <dimension ref="A1:AD25"/>
  <sheetViews>
    <sheetView zoomScale="109" zoomScaleNormal="70" workbookViewId="0">
      <selection activeCell="B12" sqref="B12"/>
    </sheetView>
  </sheetViews>
  <sheetFormatPr defaultRowHeight="14.5" x14ac:dyDescent="0.35"/>
  <cols>
    <col min="1" max="1" width="15.26953125" style="6" bestFit="1" customWidth="1"/>
    <col min="3" max="3" width="9.1796875" style="6"/>
    <col min="6" max="6" width="9.1796875" style="6"/>
    <col min="8" max="8" width="9.54296875" style="10" bestFit="1" customWidth="1"/>
    <col min="10" max="10" width="9.1796875" style="6"/>
    <col min="12" max="12" width="9.1796875" style="11"/>
    <col min="28" max="28" width="9.1796875" style="6"/>
  </cols>
  <sheetData>
    <row r="1" spans="1:28" x14ac:dyDescent="0.35">
      <c r="A1" s="25" t="s">
        <v>62</v>
      </c>
      <c r="B1" s="26"/>
      <c r="C1" s="26"/>
      <c r="D1" s="26"/>
      <c r="E1" s="26"/>
      <c r="F1" s="27"/>
      <c r="H1" s="25" t="s">
        <v>67</v>
      </c>
      <c r="I1" s="26"/>
      <c r="J1" s="27"/>
      <c r="L1" s="25" t="s">
        <v>63</v>
      </c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7"/>
    </row>
    <row r="2" spans="1:28" x14ac:dyDescent="0.35">
      <c r="A2" s="7" t="s">
        <v>48</v>
      </c>
      <c r="B2" s="8" t="s">
        <v>49</v>
      </c>
      <c r="C2" s="7" t="s">
        <v>50</v>
      </c>
      <c r="D2" s="8" t="s">
        <v>51</v>
      </c>
      <c r="E2" s="8" t="s">
        <v>52</v>
      </c>
      <c r="F2" s="7" t="s">
        <v>53</v>
      </c>
      <c r="H2" s="12" t="s">
        <v>48</v>
      </c>
      <c r="I2" s="8" t="s">
        <v>49</v>
      </c>
      <c r="J2" s="7" t="s">
        <v>50</v>
      </c>
    </row>
    <row r="3" spans="1:28" x14ac:dyDescent="0.35">
      <c r="H3" s="10" t="s">
        <v>72</v>
      </c>
      <c r="I3" s="13">
        <v>9.81</v>
      </c>
      <c r="J3" s="6" t="s">
        <v>73</v>
      </c>
      <c r="M3" t="s">
        <v>64</v>
      </c>
      <c r="N3" t="s">
        <v>66</v>
      </c>
      <c r="O3" t="s">
        <v>65</v>
      </c>
    </row>
    <row r="4" spans="1:28" x14ac:dyDescent="0.35">
      <c r="A4" s="9" t="s">
        <v>245</v>
      </c>
      <c r="H4" s="10" t="s">
        <v>68</v>
      </c>
      <c r="I4" s="13">
        <v>33079.131000000001</v>
      </c>
      <c r="J4" s="6" t="s">
        <v>69</v>
      </c>
      <c r="M4">
        <v>1</v>
      </c>
      <c r="N4">
        <v>0</v>
      </c>
      <c r="O4">
        <v>0</v>
      </c>
    </row>
    <row r="5" spans="1:28" x14ac:dyDescent="0.35">
      <c r="A5" s="6" t="s">
        <v>1</v>
      </c>
      <c r="B5" s="32">
        <f>(I4*I3)/(I5*I7^2*B8)</f>
        <v>0.25429082852241713</v>
      </c>
      <c r="H5" s="10" t="s">
        <v>70</v>
      </c>
      <c r="I5" s="13">
        <v>0.301721413422322</v>
      </c>
      <c r="J5" s="6" t="s">
        <v>71</v>
      </c>
      <c r="M5">
        <v>2</v>
      </c>
      <c r="N5">
        <f>B9/2</f>
        <v>8.3815909783602507</v>
      </c>
      <c r="O5">
        <f>B14</f>
        <v>5.7133631937457006</v>
      </c>
    </row>
    <row r="6" spans="1:28" x14ac:dyDescent="0.35">
      <c r="H6" s="10" t="s">
        <v>246</v>
      </c>
      <c r="I6" s="19">
        <v>1.42354425457476E-5</v>
      </c>
      <c r="J6" s="6" t="s">
        <v>89</v>
      </c>
      <c r="M6">
        <v>3</v>
      </c>
      <c r="N6">
        <f>N5</f>
        <v>8.3815909783602507</v>
      </c>
      <c r="O6">
        <f>O5+B13</f>
        <v>7.3008902062376499</v>
      </c>
    </row>
    <row r="7" spans="1:28" x14ac:dyDescent="0.35">
      <c r="A7" s="9" t="s">
        <v>61</v>
      </c>
      <c r="H7" s="10" t="s">
        <v>247</v>
      </c>
      <c r="I7" s="13">
        <v>248.035657436587</v>
      </c>
      <c r="J7" s="6" t="s">
        <v>74</v>
      </c>
      <c r="M7">
        <v>4</v>
      </c>
      <c r="N7">
        <v>0</v>
      </c>
      <c r="O7">
        <f>B12</f>
        <v>6.6146958853831244</v>
      </c>
    </row>
    <row r="8" spans="1:28" x14ac:dyDescent="0.35">
      <c r="A8" s="6" t="s">
        <v>54</v>
      </c>
      <c r="B8">
        <v>68.747677443329593</v>
      </c>
      <c r="C8" s="6" t="s">
        <v>55</v>
      </c>
      <c r="M8">
        <v>5</v>
      </c>
      <c r="N8">
        <v>0</v>
      </c>
      <c r="O8">
        <v>0</v>
      </c>
    </row>
    <row r="9" spans="1:28" x14ac:dyDescent="0.35">
      <c r="A9" s="6" t="s">
        <v>57</v>
      </c>
      <c r="B9">
        <v>16.763181956720501</v>
      </c>
      <c r="C9" s="6" t="s">
        <v>58</v>
      </c>
      <c r="M9">
        <v>6</v>
      </c>
      <c r="N9">
        <f>-N5</f>
        <v>-8.3815909783602507</v>
      </c>
      <c r="O9">
        <f>O5</f>
        <v>5.7133631937457006</v>
      </c>
    </row>
    <row r="10" spans="1:28" x14ac:dyDescent="0.35">
      <c r="A10" s="6" t="s">
        <v>56</v>
      </c>
      <c r="B10" s="3">
        <v>0.24</v>
      </c>
      <c r="M10">
        <v>7</v>
      </c>
      <c r="N10">
        <f>N9</f>
        <v>-8.3815909783602507</v>
      </c>
      <c r="O10">
        <f>O6</f>
        <v>7.3008902062376499</v>
      </c>
    </row>
    <row r="11" spans="1:28" x14ac:dyDescent="0.35">
      <c r="A11" s="6" t="s">
        <v>241</v>
      </c>
      <c r="B11" s="3">
        <v>28</v>
      </c>
      <c r="C11" s="6" t="s">
        <v>88</v>
      </c>
      <c r="M11">
        <v>8</v>
      </c>
      <c r="N11">
        <f>0</f>
        <v>0</v>
      </c>
      <c r="O11">
        <f>O7</f>
        <v>6.6146958853831244</v>
      </c>
    </row>
    <row r="12" spans="1:28" x14ac:dyDescent="0.35">
      <c r="A12" s="6" t="s">
        <v>59</v>
      </c>
      <c r="B12">
        <f>(2*B8)/(B9*(1+B10))</f>
        <v>6.6146958853831244</v>
      </c>
      <c r="C12" s="6" t="s">
        <v>58</v>
      </c>
    </row>
    <row r="13" spans="1:28" x14ac:dyDescent="0.35">
      <c r="A13" s="6" t="s">
        <v>60</v>
      </c>
      <c r="B13">
        <f>B12*B10</f>
        <v>1.5875270124919498</v>
      </c>
      <c r="C13" s="6" t="s">
        <v>58</v>
      </c>
      <c r="H13" s="12"/>
      <c r="I13" s="8"/>
      <c r="J13" s="7"/>
    </row>
    <row r="14" spans="1:28" x14ac:dyDescent="0.35">
      <c r="A14" s="6" t="s">
        <v>244</v>
      </c>
      <c r="B14">
        <f>0.25*(B12-B13)+(B9/2)*TAN(B11*PI()/180)</f>
        <v>5.7133631937457006</v>
      </c>
      <c r="C14" s="6" t="s">
        <v>58</v>
      </c>
      <c r="H14"/>
      <c r="J14"/>
    </row>
    <row r="15" spans="1:28" x14ac:dyDescent="0.35">
      <c r="A15" s="6" t="s">
        <v>268</v>
      </c>
      <c r="B15" s="3">
        <v>-3</v>
      </c>
      <c r="C15" s="6" t="s">
        <v>88</v>
      </c>
      <c r="H15"/>
      <c r="J15"/>
    </row>
    <row r="16" spans="1:28" x14ac:dyDescent="0.35">
      <c r="H16" s="28" t="s">
        <v>258</v>
      </c>
      <c r="I16" s="29"/>
      <c r="J16" s="30"/>
    </row>
    <row r="17" spans="4:30" x14ac:dyDescent="0.35">
      <c r="D17" s="2" t="s">
        <v>266</v>
      </c>
      <c r="H17" s="10" t="s">
        <v>48</v>
      </c>
      <c r="I17" t="s">
        <v>49</v>
      </c>
      <c r="J17" s="6" t="s">
        <v>50</v>
      </c>
    </row>
    <row r="18" spans="4:30" x14ac:dyDescent="0.35">
      <c r="D18" t="s">
        <v>260</v>
      </c>
      <c r="E18">
        <v>0.95</v>
      </c>
      <c r="H18" s="10" t="s">
        <v>139</v>
      </c>
      <c r="I18" s="4">
        <f>CruiseST!F27</f>
        <v>5.1376E-3</v>
      </c>
    </row>
    <row r="19" spans="4:30" x14ac:dyDescent="0.35">
      <c r="D19" t="s">
        <v>261</v>
      </c>
      <c r="E19">
        <v>0.06</v>
      </c>
      <c r="H19" s="10" t="s">
        <v>136</v>
      </c>
      <c r="I19" s="4">
        <f>CruiseST!C26</f>
        <v>7.9299999999999995E-3</v>
      </c>
    </row>
    <row r="20" spans="4:30" x14ac:dyDescent="0.35">
      <c r="D20" t="s">
        <v>259</v>
      </c>
      <c r="E20">
        <f>(E18/COS(B11*PI()/180))-(E19/(COS(B11*PI()/180)^2))-(B5/(10*COS(B11*PI()/180)^3))</f>
        <v>0.96203618409441105</v>
      </c>
      <c r="H20" s="11" t="s">
        <v>257</v>
      </c>
      <c r="I20" s="11">
        <v>0.01</v>
      </c>
    </row>
    <row r="21" spans="4:30" x14ac:dyDescent="0.35">
      <c r="D21" t="s">
        <v>262</v>
      </c>
      <c r="E21">
        <f>E20-(0.1/80)^(1/3)</f>
        <v>0.85431444959281688</v>
      </c>
      <c r="H21" s="11" t="s">
        <v>263</v>
      </c>
      <c r="I21" s="11">
        <f>20*(E22-E21)^4*E23</f>
        <v>0</v>
      </c>
    </row>
    <row r="22" spans="4:30" x14ac:dyDescent="0.35">
      <c r="D22" t="s">
        <v>264</v>
      </c>
      <c r="E22">
        <v>0.85</v>
      </c>
      <c r="H22" s="11" t="s">
        <v>237</v>
      </c>
      <c r="I22" s="11">
        <f>SUM(I18:I19,I20:I21)</f>
        <v>2.3067600000000001E-2</v>
      </c>
      <c r="AD22" t="s">
        <v>274</v>
      </c>
    </row>
    <row r="23" spans="4:30" x14ac:dyDescent="0.35">
      <c r="D23" t="s">
        <v>265</v>
      </c>
      <c r="E23">
        <f>IF(E22&gt;E21, 1, 0)</f>
        <v>0</v>
      </c>
      <c r="H23" s="10" t="s">
        <v>256</v>
      </c>
      <c r="I23">
        <f>B5/I22</f>
        <v>11.023722819990684</v>
      </c>
    </row>
    <row r="24" spans="4:30" x14ac:dyDescent="0.35">
      <c r="H24" s="10" t="s">
        <v>143</v>
      </c>
      <c r="I24">
        <f>(B5^2)/(PI()*(B9^2/B8)*I18)</f>
        <v>0.98015857815190333</v>
      </c>
    </row>
    <row r="25" spans="4:30" x14ac:dyDescent="0.35">
      <c r="H25" s="10" t="s">
        <v>33</v>
      </c>
      <c r="I25">
        <f>MAX(CruiseFS!H21:H60)</f>
        <v>0.28570000000000001</v>
      </c>
    </row>
  </sheetData>
  <mergeCells count="4">
    <mergeCell ref="A1:F1"/>
    <mergeCell ref="L1:AB1"/>
    <mergeCell ref="H16:J16"/>
    <mergeCell ref="H1:J1"/>
  </mergeCells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B463D-C705-4E4D-A03D-911971077893}">
  <sheetPr codeName="Sheet3"/>
  <dimension ref="A1:H16"/>
  <sheetViews>
    <sheetView workbookViewId="0">
      <selection sqref="A1:C1"/>
    </sheetView>
  </sheetViews>
  <sheetFormatPr defaultRowHeight="14.5" x14ac:dyDescent="0.35"/>
  <cols>
    <col min="1" max="1" width="9.1796875" style="6"/>
    <col min="3" max="3" width="9.1796875" style="6"/>
    <col min="5" max="5" width="9.1796875" style="10"/>
    <col min="7" max="7" width="9.1796875" style="6"/>
  </cols>
  <sheetData>
    <row r="1" spans="1:8" x14ac:dyDescent="0.35">
      <c r="A1" s="26" t="s">
        <v>75</v>
      </c>
      <c r="B1" s="26"/>
      <c r="C1" s="27"/>
      <c r="D1" s="10"/>
      <c r="E1" s="25" t="s">
        <v>76</v>
      </c>
      <c r="F1" s="26"/>
      <c r="G1" s="26"/>
      <c r="H1" s="11"/>
    </row>
    <row r="2" spans="1:8" x14ac:dyDescent="0.35">
      <c r="A2" s="14" t="s">
        <v>48</v>
      </c>
      <c r="B2" s="15" t="s">
        <v>49</v>
      </c>
      <c r="C2" s="14" t="s">
        <v>50</v>
      </c>
      <c r="E2" s="17" t="s">
        <v>48</v>
      </c>
      <c r="F2" s="15" t="s">
        <v>49</v>
      </c>
      <c r="G2" s="14" t="s">
        <v>50</v>
      </c>
    </row>
    <row r="3" spans="1:8" x14ac:dyDescent="0.35">
      <c r="A3" s="6" t="s">
        <v>79</v>
      </c>
      <c r="B3">
        <f>Variables!B8</f>
        <v>68.747677443329593</v>
      </c>
      <c r="C3" s="6" t="s">
        <v>55</v>
      </c>
    </row>
    <row r="4" spans="1:8" x14ac:dyDescent="0.35">
      <c r="A4" s="6" t="s">
        <v>80</v>
      </c>
      <c r="B4">
        <f>(2/3)*Variables!B12*(1+Variables!B10+Variables!B10^2)/(1+Variables!B10)</f>
        <v>4.6146394520823346</v>
      </c>
      <c r="C4" s="6" t="s">
        <v>58</v>
      </c>
      <c r="E4" s="16" t="s">
        <v>77</v>
      </c>
    </row>
    <row r="5" spans="1:8" x14ac:dyDescent="0.35">
      <c r="A5" s="6" t="s">
        <v>81</v>
      </c>
      <c r="B5">
        <f>Variables!B9</f>
        <v>16.763181956720501</v>
      </c>
      <c r="C5" s="6" t="s">
        <v>58</v>
      </c>
      <c r="E5" s="10" t="s">
        <v>82</v>
      </c>
      <c r="F5">
        <v>0</v>
      </c>
      <c r="G5" s="6" t="s">
        <v>58</v>
      </c>
    </row>
    <row r="6" spans="1:8" x14ac:dyDescent="0.35">
      <c r="E6" s="10" t="s">
        <v>83</v>
      </c>
      <c r="F6">
        <v>0</v>
      </c>
      <c r="G6" s="6" t="s">
        <v>58</v>
      </c>
    </row>
    <row r="7" spans="1:8" x14ac:dyDescent="0.35">
      <c r="E7" s="10" t="s">
        <v>84</v>
      </c>
      <c r="F7">
        <v>0</v>
      </c>
      <c r="G7" s="6" t="s">
        <v>58</v>
      </c>
    </row>
    <row r="8" spans="1:8" x14ac:dyDescent="0.35">
      <c r="E8" s="10" t="s">
        <v>86</v>
      </c>
      <c r="F8">
        <f>Variables!B12</f>
        <v>6.6146958853831244</v>
      </c>
      <c r="G8" s="6" t="s">
        <v>58</v>
      </c>
    </row>
    <row r="9" spans="1:8" x14ac:dyDescent="0.35">
      <c r="A9" s="9"/>
      <c r="E9" s="10" t="s">
        <v>87</v>
      </c>
      <c r="F9">
        <v>0</v>
      </c>
      <c r="G9" s="6" t="s">
        <v>88</v>
      </c>
    </row>
    <row r="11" spans="1:8" x14ac:dyDescent="0.35">
      <c r="E11" s="16" t="s">
        <v>78</v>
      </c>
    </row>
    <row r="12" spans="1:8" x14ac:dyDescent="0.35">
      <c r="E12" s="10" t="s">
        <v>82</v>
      </c>
      <c r="F12">
        <f>Variables!B14</f>
        <v>5.7133631937457006</v>
      </c>
      <c r="G12" s="6" t="s">
        <v>58</v>
      </c>
    </row>
    <row r="13" spans="1:8" x14ac:dyDescent="0.35">
      <c r="E13" s="10" t="s">
        <v>83</v>
      </c>
      <c r="F13">
        <f>Variables!B9/2</f>
        <v>8.3815909783602507</v>
      </c>
      <c r="G13" s="6" t="s">
        <v>58</v>
      </c>
    </row>
    <row r="14" spans="1:8" x14ac:dyDescent="0.35">
      <c r="E14" s="10" t="s">
        <v>84</v>
      </c>
      <c r="F14">
        <v>0</v>
      </c>
      <c r="G14" s="6" t="s">
        <v>58</v>
      </c>
    </row>
    <row r="15" spans="1:8" x14ac:dyDescent="0.35">
      <c r="E15" s="10" t="s">
        <v>86</v>
      </c>
      <c r="F15">
        <f>Variables!B13</f>
        <v>1.5875270124919498</v>
      </c>
      <c r="G15" s="6" t="s">
        <v>58</v>
      </c>
    </row>
    <row r="16" spans="1:8" x14ac:dyDescent="0.35">
      <c r="E16" s="10" t="s">
        <v>87</v>
      </c>
      <c r="F16">
        <f>Variables!B15</f>
        <v>-3</v>
      </c>
      <c r="G16" s="6" t="s">
        <v>88</v>
      </c>
    </row>
  </sheetData>
  <mergeCells count="2">
    <mergeCell ref="A1:C1"/>
    <mergeCell ref="E1:G1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1FF0C5-7AEF-4B53-8F24-1E41CACCC9EF}">
  <sheetPr codeName="Sheet18"/>
  <dimension ref="A1:I9"/>
  <sheetViews>
    <sheetView workbookViewId="0">
      <selection sqref="A1:H1"/>
    </sheetView>
  </sheetViews>
  <sheetFormatPr defaultRowHeight="14.5" x14ac:dyDescent="0.35"/>
  <cols>
    <col min="2" max="2" width="9.1796875" customWidth="1"/>
    <col min="8" max="8" width="9.1796875" style="6"/>
  </cols>
  <sheetData>
    <row r="1" spans="1:9" x14ac:dyDescent="0.35">
      <c r="A1" s="24" t="s">
        <v>76</v>
      </c>
      <c r="B1" s="21"/>
      <c r="C1" s="21"/>
      <c r="D1" s="21"/>
      <c r="E1" s="21"/>
      <c r="F1" s="21"/>
      <c r="G1" s="21"/>
      <c r="H1" s="21"/>
      <c r="I1" s="11"/>
    </row>
    <row r="3" spans="1:9" x14ac:dyDescent="0.35">
      <c r="A3" s="2" t="s">
        <v>77</v>
      </c>
    </row>
    <row r="4" spans="1:9" x14ac:dyDescent="0.35">
      <c r="A4" t="s">
        <v>45</v>
      </c>
      <c r="B4" t="s">
        <v>34</v>
      </c>
      <c r="C4" t="s">
        <v>35</v>
      </c>
      <c r="D4" t="s">
        <v>36</v>
      </c>
      <c r="E4" t="s">
        <v>38</v>
      </c>
      <c r="F4" t="s">
        <v>37</v>
      </c>
      <c r="G4" t="s">
        <v>47</v>
      </c>
      <c r="H4" s="6" t="s">
        <v>46</v>
      </c>
    </row>
    <row r="5" spans="1:9" x14ac:dyDescent="0.35">
      <c r="A5" s="18">
        <f>Variables!I5*Variables!I7*Variables!B12/Variables!I6</f>
        <v>34774361.285021096</v>
      </c>
      <c r="B5" s="18">
        <f>'CDCL(Re)'!B18*$A$5^2 + 'CDCL(Re)'!B19*$A$5 + 'CDCL(Re)'!B20</f>
        <v>-3.1550489054597772E-3</v>
      </c>
      <c r="C5">
        <f>'CDCL(Re)'!C18*$A$5^2 + 'CDCL(Re)'!C19*$A$5 + 'CDCL(Re)'!C20</f>
        <v>7.8017535783107819E-3</v>
      </c>
      <c r="D5" s="18">
        <f>'CDCL(Re)'!D18*$A$5^2 + 'CDCL(Re)'!D19*$A$5 + 'CDCL(Re)'!D20</f>
        <v>0.15311996722734628</v>
      </c>
      <c r="E5">
        <f>'CDCL(Re)'!E18*$A$5^2 + 'CDCL(Re)'!E19*$A$5 + 'CDCL(Re)'!E20</f>
        <v>7.3612819357489574E-3</v>
      </c>
      <c r="F5">
        <f>'CDCL(Re)'!F18*$A$5^2 + 'CDCL(Re)'!F19*$A$5 + 'CDCL(Re)'!F20</f>
        <v>0.61214949087170301</v>
      </c>
      <c r="G5">
        <f>'CDCL(Re)'!G18*$A$5^2 + 'CDCL(Re)'!G19*$A$5 + 'CDCL(Re)'!G20</f>
        <v>7.7076459506047589E-3</v>
      </c>
      <c r="H5" s="6">
        <f>'CDCL(Re)'!I18</f>
        <v>0.92921657518387979</v>
      </c>
    </row>
    <row r="7" spans="1:9" x14ac:dyDescent="0.35">
      <c r="A7" s="2" t="s">
        <v>78</v>
      </c>
    </row>
    <row r="8" spans="1:9" x14ac:dyDescent="0.35">
      <c r="A8" t="s">
        <v>45</v>
      </c>
      <c r="B8" t="s">
        <v>34</v>
      </c>
      <c r="C8" t="s">
        <v>35</v>
      </c>
      <c r="D8" t="s">
        <v>36</v>
      </c>
      <c r="E8" t="s">
        <v>38</v>
      </c>
      <c r="F8" t="s">
        <v>37</v>
      </c>
      <c r="G8" t="s">
        <v>47</v>
      </c>
      <c r="H8" s="6" t="s">
        <v>46</v>
      </c>
    </row>
    <row r="9" spans="1:9" x14ac:dyDescent="0.35">
      <c r="A9" s="18">
        <f>Variables!I5*Variables!I7*Variables!B13/Variables!I6</f>
        <v>8345846.7084050635</v>
      </c>
      <c r="B9">
        <f>'CDCL(Re)'!B18*$A$9^2 + 'CDCL(Re)'!B19*$A$9 + 'CDCL(Re)'!B20</f>
        <v>-5.7492334175993434E-3</v>
      </c>
      <c r="C9">
        <f>'CDCL(Re)'!C18*$A$9^2 + 'CDCL(Re)'!C19*$A$9 + 'CDCL(Re)'!C20</f>
        <v>9.4601935262396721E-3</v>
      </c>
      <c r="D9" s="18">
        <f>'CDCL(Re)'!D18*$A$9^2 + 'CDCL(Re)'!D19*$A$9 + 'CDCL(Re)'!D20</f>
        <v>0.24695132562358021</v>
      </c>
      <c r="E9">
        <f>'CDCL(Re)'!E18*$A$9^2 + 'CDCL(Re)'!E19*$A$9 + 'CDCL(Re)'!E20</f>
        <v>8.6827076645797484E-3</v>
      </c>
      <c r="F9">
        <f>'CDCL(Re)'!F18*$A$9^2 + 'CDCL(Re)'!F19*$A$9 + 'CDCL(Re)'!F20</f>
        <v>0.60504556112308161</v>
      </c>
      <c r="G9">
        <f>'CDCL(Re)'!G18*$A$9^2 + 'CDCL(Re)'!G19*$A$9 + 'CDCL(Re)'!G20</f>
        <v>9.329721361867686E-3</v>
      </c>
      <c r="H9" s="6">
        <f>'CDCL(Re)'!I18</f>
        <v>0.92921657518387979</v>
      </c>
    </row>
  </sheetData>
  <mergeCells count="1">
    <mergeCell ref="A1:H1"/>
  </mergeCell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510A2-46D4-49A6-BC02-0A9DBE8C8C10}">
  <sheetPr codeName="Sheet4"/>
  <dimension ref="A1:N53"/>
  <sheetViews>
    <sheetView workbookViewId="0"/>
  </sheetViews>
  <sheetFormatPr defaultRowHeight="14.5" x14ac:dyDescent="0.35"/>
  <sheetData>
    <row r="1" spans="1:9" x14ac:dyDescent="0.35">
      <c r="A1" t="s">
        <v>93</v>
      </c>
    </row>
    <row r="2" spans="1:9" x14ac:dyDescent="0.35">
      <c r="A2" t="s">
        <v>94</v>
      </c>
      <c r="B2" t="s">
        <v>95</v>
      </c>
      <c r="C2" t="s">
        <v>96</v>
      </c>
      <c r="D2" t="s">
        <v>97</v>
      </c>
      <c r="E2" t="s">
        <v>98</v>
      </c>
      <c r="F2" t="s">
        <v>99</v>
      </c>
    </row>
    <row r="4" spans="1:9" x14ac:dyDescent="0.35">
      <c r="A4" t="s">
        <v>100</v>
      </c>
      <c r="B4" t="s">
        <v>248</v>
      </c>
    </row>
    <row r="5" spans="1:9" x14ac:dyDescent="0.35">
      <c r="A5" t="s">
        <v>101</v>
      </c>
      <c r="B5" t="s">
        <v>102</v>
      </c>
      <c r="C5" t="s">
        <v>103</v>
      </c>
      <c r="D5">
        <v>2</v>
      </c>
    </row>
    <row r="6" spans="1:9" x14ac:dyDescent="0.35">
      <c r="A6" t="s">
        <v>101</v>
      </c>
      <c r="B6" t="s">
        <v>104</v>
      </c>
      <c r="C6" t="s">
        <v>103</v>
      </c>
      <c r="D6">
        <v>80</v>
      </c>
    </row>
    <row r="7" spans="1:9" x14ac:dyDescent="0.35">
      <c r="A7" t="s">
        <v>101</v>
      </c>
      <c r="B7" t="s">
        <v>105</v>
      </c>
      <c r="C7">
        <f>1600</f>
        <v>1600</v>
      </c>
    </row>
    <row r="9" spans="1:9" x14ac:dyDescent="0.35">
      <c r="A9" t="s">
        <v>79</v>
      </c>
      <c r="B9" t="s">
        <v>103</v>
      </c>
      <c r="C9" s="18">
        <v>68.748000000000005</v>
      </c>
      <c r="D9" t="s">
        <v>80</v>
      </c>
      <c r="E9" t="s">
        <v>103</v>
      </c>
      <c r="F9" s="18">
        <v>4.6146000000000003</v>
      </c>
      <c r="G9" t="s">
        <v>81</v>
      </c>
      <c r="H9" t="s">
        <v>103</v>
      </c>
      <c r="I9">
        <v>16.763000000000002</v>
      </c>
    </row>
    <row r="10" spans="1:9" x14ac:dyDescent="0.35">
      <c r="A10" t="s">
        <v>106</v>
      </c>
      <c r="B10" t="s">
        <v>103</v>
      </c>
      <c r="C10">
        <v>0</v>
      </c>
      <c r="D10" t="s">
        <v>107</v>
      </c>
      <c r="E10" t="s">
        <v>103</v>
      </c>
      <c r="F10">
        <v>0</v>
      </c>
      <c r="G10" t="s">
        <v>108</v>
      </c>
      <c r="H10" t="s">
        <v>103</v>
      </c>
      <c r="I10">
        <v>0</v>
      </c>
    </row>
    <row r="12" spans="1:9" x14ac:dyDescent="0.35">
      <c r="A12" t="s">
        <v>109</v>
      </c>
      <c r="B12" t="s">
        <v>110</v>
      </c>
      <c r="C12" t="s">
        <v>111</v>
      </c>
      <c r="D12" t="s">
        <v>65</v>
      </c>
      <c r="E12" t="s">
        <v>112</v>
      </c>
      <c r="F12" t="s">
        <v>113</v>
      </c>
      <c r="G12" t="s">
        <v>114</v>
      </c>
    </row>
    <row r="14" spans="1:9" x14ac:dyDescent="0.35">
      <c r="A14" t="s">
        <v>115</v>
      </c>
      <c r="B14" t="s">
        <v>116</v>
      </c>
      <c r="C14" t="s">
        <v>117</v>
      </c>
    </row>
    <row r="16" spans="1:9" x14ac:dyDescent="0.35">
      <c r="A16" t="s">
        <v>118</v>
      </c>
      <c r="B16" t="s">
        <v>103</v>
      </c>
      <c r="C16">
        <v>4.58779</v>
      </c>
      <c r="D16" t="s">
        <v>119</v>
      </c>
      <c r="E16" t="s">
        <v>103</v>
      </c>
      <c r="F16">
        <v>0</v>
      </c>
      <c r="G16" t="s">
        <v>120</v>
      </c>
      <c r="H16" t="s">
        <v>103</v>
      </c>
      <c r="I16">
        <v>0</v>
      </c>
    </row>
    <row r="17" spans="1:9" x14ac:dyDescent="0.35">
      <c r="A17" t="s">
        <v>121</v>
      </c>
      <c r="B17" t="s">
        <v>103</v>
      </c>
      <c r="C17">
        <v>0</v>
      </c>
      <c r="D17" t="s">
        <v>122</v>
      </c>
      <c r="E17" t="s">
        <v>103</v>
      </c>
      <c r="F17">
        <v>0</v>
      </c>
    </row>
    <row r="18" spans="1:9" x14ac:dyDescent="0.35">
      <c r="A18" t="s">
        <v>123</v>
      </c>
      <c r="B18" t="s">
        <v>103</v>
      </c>
      <c r="C18">
        <v>0</v>
      </c>
      <c r="D18" t="s">
        <v>124</v>
      </c>
      <c r="E18" t="s">
        <v>103</v>
      </c>
      <c r="F18">
        <v>0</v>
      </c>
      <c r="G18" t="s">
        <v>125</v>
      </c>
      <c r="H18" t="s">
        <v>103</v>
      </c>
      <c r="I18">
        <v>0</v>
      </c>
    </row>
    <row r="20" spans="1:9" x14ac:dyDescent="0.35">
      <c r="A20" t="s">
        <v>126</v>
      </c>
      <c r="B20" t="s">
        <v>103</v>
      </c>
      <c r="C20">
        <v>6.9199999999999999E-3</v>
      </c>
      <c r="D20" t="s">
        <v>127</v>
      </c>
      <c r="E20" t="s">
        <v>103</v>
      </c>
      <c r="F20">
        <v>0</v>
      </c>
      <c r="G20" t="s">
        <v>128</v>
      </c>
      <c r="H20" t="s">
        <v>103</v>
      </c>
      <c r="I20">
        <v>0</v>
      </c>
    </row>
    <row r="21" spans="1:9" x14ac:dyDescent="0.35">
      <c r="A21" t="s">
        <v>129</v>
      </c>
      <c r="B21" t="s">
        <v>103</v>
      </c>
      <c r="C21">
        <v>-8.0000000000000007E-5</v>
      </c>
      <c r="D21" t="s">
        <v>130</v>
      </c>
      <c r="E21" t="s">
        <v>103</v>
      </c>
      <c r="F21">
        <v>-0.19176000000000001</v>
      </c>
    </row>
    <row r="22" spans="1:9" x14ac:dyDescent="0.35">
      <c r="A22" t="s">
        <v>131</v>
      </c>
      <c r="B22" t="s">
        <v>103</v>
      </c>
      <c r="C22">
        <v>-0.25456000000000001</v>
      </c>
      <c r="D22" t="s">
        <v>132</v>
      </c>
      <c r="E22" t="s">
        <v>103</v>
      </c>
      <c r="F22">
        <v>5.0000000000000002E-5</v>
      </c>
      <c r="G22" t="s">
        <v>133</v>
      </c>
      <c r="H22" t="s">
        <v>103</v>
      </c>
      <c r="I22">
        <v>5.0000000000000002E-5</v>
      </c>
    </row>
    <row r="24" spans="1:9" x14ac:dyDescent="0.35">
      <c r="A24" t="s">
        <v>134</v>
      </c>
      <c r="B24" t="s">
        <v>103</v>
      </c>
      <c r="C24">
        <v>0.25430000000000003</v>
      </c>
    </row>
    <row r="25" spans="1:9" x14ac:dyDescent="0.35">
      <c r="A25" t="s">
        <v>135</v>
      </c>
      <c r="B25" t="s">
        <v>103</v>
      </c>
      <c r="C25">
        <v>1.346E-2</v>
      </c>
    </row>
    <row r="26" spans="1:9" x14ac:dyDescent="0.35">
      <c r="A26" t="s">
        <v>136</v>
      </c>
      <c r="B26" t="s">
        <v>103</v>
      </c>
      <c r="C26">
        <v>7.9299999999999995E-3</v>
      </c>
      <c r="D26" t="s">
        <v>137</v>
      </c>
      <c r="E26" t="s">
        <v>103</v>
      </c>
      <c r="F26">
        <v>5.5274E-3</v>
      </c>
    </row>
    <row r="27" spans="1:9" x14ac:dyDescent="0.35">
      <c r="A27" t="s">
        <v>138</v>
      </c>
      <c r="B27" t="s">
        <v>103</v>
      </c>
      <c r="C27">
        <v>0.25474000000000002</v>
      </c>
      <c r="D27" t="s">
        <v>139</v>
      </c>
      <c r="E27" t="s">
        <v>103</v>
      </c>
      <c r="F27">
        <v>5.1376E-3</v>
      </c>
      <c r="G27" t="s">
        <v>140</v>
      </c>
      <c r="H27" t="s">
        <v>141</v>
      </c>
    </row>
    <row r="28" spans="1:9" x14ac:dyDescent="0.35">
      <c r="A28" t="s">
        <v>142</v>
      </c>
      <c r="B28" t="s">
        <v>103</v>
      </c>
      <c r="C28">
        <v>0</v>
      </c>
      <c r="D28" t="s">
        <v>143</v>
      </c>
      <c r="E28" t="s">
        <v>103</v>
      </c>
      <c r="F28">
        <v>0.98370000000000002</v>
      </c>
      <c r="G28" t="s">
        <v>140</v>
      </c>
      <c r="H28" t="s">
        <v>144</v>
      </c>
    </row>
    <row r="31" spans="1:9" x14ac:dyDescent="0.35">
      <c r="A31" t="s">
        <v>93</v>
      </c>
    </row>
    <row r="33" spans="1:13" x14ac:dyDescent="0.35">
      <c r="A33" t="s">
        <v>145</v>
      </c>
      <c r="B33" t="s">
        <v>146</v>
      </c>
    </row>
    <row r="35" spans="1:13" x14ac:dyDescent="0.35">
      <c r="A35" t="s">
        <v>0</v>
      </c>
      <c r="B35" t="s">
        <v>147</v>
      </c>
    </row>
    <row r="36" spans="1:13" x14ac:dyDescent="0.35">
      <c r="A36" t="s">
        <v>148</v>
      </c>
      <c r="B36" t="s">
        <v>148</v>
      </c>
    </row>
    <row r="37" spans="1:13" x14ac:dyDescent="0.35">
      <c r="A37" t="s">
        <v>149</v>
      </c>
      <c r="B37" t="s">
        <v>150</v>
      </c>
      <c r="C37" t="s">
        <v>1</v>
      </c>
      <c r="D37" t="s">
        <v>140</v>
      </c>
      <c r="E37" t="s">
        <v>151</v>
      </c>
      <c r="F37" t="s">
        <v>103</v>
      </c>
      <c r="G37">
        <v>3.6145830000000001</v>
      </c>
      <c r="H37" t="s">
        <v>152</v>
      </c>
      <c r="I37" t="s">
        <v>103</v>
      </c>
      <c r="J37">
        <v>9.9999999999999995E-7</v>
      </c>
    </row>
    <row r="38" spans="1:13" x14ac:dyDescent="0.35">
      <c r="A38" t="s">
        <v>153</v>
      </c>
      <c r="B38" t="s">
        <v>150</v>
      </c>
      <c r="C38" t="s">
        <v>154</v>
      </c>
      <c r="D38" t="s">
        <v>140</v>
      </c>
      <c r="E38" t="s">
        <v>155</v>
      </c>
      <c r="F38" t="s">
        <v>103</v>
      </c>
      <c r="G38">
        <v>-2.2750000000000001E-3</v>
      </c>
      <c r="H38" t="s">
        <v>156</v>
      </c>
      <c r="I38" t="s">
        <v>103</v>
      </c>
      <c r="J38">
        <v>-7.8759999999999993E-3</v>
      </c>
    </row>
    <row r="39" spans="1:13" x14ac:dyDescent="0.35">
      <c r="A39" t="s">
        <v>157</v>
      </c>
      <c r="B39" t="s">
        <v>158</v>
      </c>
      <c r="C39" t="s">
        <v>159</v>
      </c>
      <c r="D39" t="s">
        <v>160</v>
      </c>
      <c r="E39" t="s">
        <v>103</v>
      </c>
      <c r="F39">
        <v>1.6000000000000001E-4</v>
      </c>
      <c r="G39" t="s">
        <v>161</v>
      </c>
      <c r="H39" t="s">
        <v>103</v>
      </c>
      <c r="I39">
        <v>-5.3893999999999997E-2</v>
      </c>
    </row>
    <row r="40" spans="1:13" x14ac:dyDescent="0.35">
      <c r="A40" t="s">
        <v>153</v>
      </c>
      <c r="B40" t="s">
        <v>158</v>
      </c>
      <c r="C40" t="s">
        <v>4</v>
      </c>
      <c r="D40" t="s">
        <v>140</v>
      </c>
      <c r="E40" t="s">
        <v>162</v>
      </c>
      <c r="F40" t="s">
        <v>103</v>
      </c>
      <c r="G40">
        <v>-2.7960560000000001</v>
      </c>
      <c r="H40" t="s">
        <v>163</v>
      </c>
      <c r="I40" t="s">
        <v>103</v>
      </c>
      <c r="J40">
        <v>0</v>
      </c>
    </row>
    <row r="41" spans="1:13" x14ac:dyDescent="0.35">
      <c r="A41" t="s">
        <v>149</v>
      </c>
      <c r="B41" t="s">
        <v>158</v>
      </c>
      <c r="C41" t="s">
        <v>164</v>
      </c>
      <c r="D41" t="s">
        <v>165</v>
      </c>
      <c r="E41" t="s">
        <v>103</v>
      </c>
      <c r="F41">
        <v>1.3799999999999999E-3</v>
      </c>
      <c r="G41" t="s">
        <v>166</v>
      </c>
      <c r="H41" t="s">
        <v>103</v>
      </c>
      <c r="I41">
        <v>6.045E-3</v>
      </c>
    </row>
    <row r="43" spans="1:13" x14ac:dyDescent="0.35">
      <c r="A43" t="s">
        <v>167</v>
      </c>
      <c r="B43" t="s">
        <v>168</v>
      </c>
      <c r="C43" t="s">
        <v>169</v>
      </c>
      <c r="D43" t="s">
        <v>170</v>
      </c>
      <c r="E43" t="s">
        <v>168</v>
      </c>
      <c r="F43" t="s">
        <v>171</v>
      </c>
      <c r="G43" t="s">
        <v>172</v>
      </c>
      <c r="H43" t="s">
        <v>168</v>
      </c>
      <c r="I43" t="s">
        <v>173</v>
      </c>
    </row>
    <row r="44" spans="1:13" x14ac:dyDescent="0.35">
      <c r="A44" t="s">
        <v>148</v>
      </c>
      <c r="B44" t="s">
        <v>148</v>
      </c>
      <c r="C44" t="s">
        <v>148</v>
      </c>
    </row>
    <row r="45" spans="1:13" x14ac:dyDescent="0.35">
      <c r="A45" t="s">
        <v>149</v>
      </c>
      <c r="B45" t="s">
        <v>150</v>
      </c>
      <c r="C45" t="s">
        <v>1</v>
      </c>
      <c r="D45" t="s">
        <v>140</v>
      </c>
      <c r="E45" t="s">
        <v>174</v>
      </c>
      <c r="F45" t="s">
        <v>103</v>
      </c>
      <c r="G45">
        <v>-5.8999999999999998E-5</v>
      </c>
      <c r="H45" t="s">
        <v>175</v>
      </c>
      <c r="I45" t="s">
        <v>103</v>
      </c>
      <c r="J45">
        <v>9.2736370000000008</v>
      </c>
      <c r="K45" t="s">
        <v>176</v>
      </c>
      <c r="L45" t="s">
        <v>103</v>
      </c>
      <c r="M45">
        <v>3.0000000000000001E-6</v>
      </c>
    </row>
    <row r="46" spans="1:13" x14ac:dyDescent="0.35">
      <c r="A46" t="s">
        <v>153</v>
      </c>
      <c r="B46" t="s">
        <v>150</v>
      </c>
      <c r="C46" t="s">
        <v>154</v>
      </c>
      <c r="D46" t="s">
        <v>140</v>
      </c>
      <c r="E46" t="s">
        <v>177</v>
      </c>
      <c r="F46" t="s">
        <v>103</v>
      </c>
      <c r="G46">
        <v>0.105271</v>
      </c>
      <c r="H46" t="s">
        <v>178</v>
      </c>
      <c r="I46" t="s">
        <v>103</v>
      </c>
      <c r="J46">
        <v>-3.9579999999999997E-3</v>
      </c>
      <c r="K46" t="s">
        <v>179</v>
      </c>
      <c r="L46" t="s">
        <v>103</v>
      </c>
      <c r="M46">
        <v>-5.202E-3</v>
      </c>
    </row>
    <row r="47" spans="1:13" x14ac:dyDescent="0.35">
      <c r="A47" t="s">
        <v>157</v>
      </c>
      <c r="B47" t="s">
        <v>158</v>
      </c>
      <c r="C47" t="s">
        <v>159</v>
      </c>
      <c r="D47" t="s">
        <v>180</v>
      </c>
      <c r="E47" t="s">
        <v>103</v>
      </c>
      <c r="F47">
        <v>-0.307979</v>
      </c>
      <c r="G47" t="s">
        <v>181</v>
      </c>
      <c r="H47" t="s">
        <v>103</v>
      </c>
      <c r="I47">
        <v>2.0100000000000001E-4</v>
      </c>
      <c r="J47" t="s">
        <v>182</v>
      </c>
      <c r="K47" t="s">
        <v>103</v>
      </c>
      <c r="L47">
        <v>7.9510999999999998E-2</v>
      </c>
    </row>
    <row r="48" spans="1:13" x14ac:dyDescent="0.35">
      <c r="A48" t="s">
        <v>153</v>
      </c>
      <c r="B48" t="s">
        <v>158</v>
      </c>
      <c r="C48" t="s">
        <v>4</v>
      </c>
      <c r="D48" t="s">
        <v>140</v>
      </c>
      <c r="E48" t="s">
        <v>183</v>
      </c>
      <c r="F48" t="s">
        <v>103</v>
      </c>
      <c r="G48">
        <v>0</v>
      </c>
      <c r="H48" t="s">
        <v>184</v>
      </c>
      <c r="I48" t="s">
        <v>103</v>
      </c>
      <c r="J48">
        <v>-8.0254820000000002</v>
      </c>
      <c r="K48" t="s">
        <v>185</v>
      </c>
      <c r="L48" t="s">
        <v>103</v>
      </c>
      <c r="M48">
        <v>0</v>
      </c>
    </row>
    <row r="49" spans="1:14" x14ac:dyDescent="0.35">
      <c r="A49" t="s">
        <v>149</v>
      </c>
      <c r="B49" t="s">
        <v>158</v>
      </c>
      <c r="C49" t="s">
        <v>164</v>
      </c>
      <c r="D49" t="s">
        <v>186</v>
      </c>
      <c r="E49" t="s">
        <v>103</v>
      </c>
      <c r="F49">
        <v>-4.9521999999999997E-2</v>
      </c>
      <c r="G49" t="s">
        <v>187</v>
      </c>
      <c r="H49" t="s">
        <v>103</v>
      </c>
      <c r="I49">
        <v>2.5089999999999999E-3</v>
      </c>
      <c r="J49" t="s">
        <v>188</v>
      </c>
      <c r="K49" t="s">
        <v>103</v>
      </c>
      <c r="L49">
        <v>-3.444E-3</v>
      </c>
    </row>
    <row r="51" spans="1:14" x14ac:dyDescent="0.35">
      <c r="A51" t="s">
        <v>189</v>
      </c>
      <c r="B51" t="s">
        <v>190</v>
      </c>
      <c r="C51" t="s">
        <v>191</v>
      </c>
      <c r="D51" t="s">
        <v>103</v>
      </c>
      <c r="E51">
        <v>3.5696180000000002</v>
      </c>
    </row>
    <row r="53" spans="1:14" x14ac:dyDescent="0.35">
      <c r="A53" t="s">
        <v>161</v>
      </c>
      <c r="B53" t="s">
        <v>188</v>
      </c>
      <c r="C53" t="s">
        <v>249</v>
      </c>
      <c r="D53" t="s">
        <v>182</v>
      </c>
      <c r="E53" t="s">
        <v>166</v>
      </c>
      <c r="F53" t="s">
        <v>103</v>
      </c>
      <c r="G53">
        <v>0.38616899999999998</v>
      </c>
      <c r="H53" t="s">
        <v>250</v>
      </c>
      <c r="I53" t="s">
        <v>251</v>
      </c>
      <c r="J53">
        <v>1</v>
      </c>
      <c r="K53" t="s">
        <v>252</v>
      </c>
      <c r="L53" t="s">
        <v>253</v>
      </c>
      <c r="M53" t="s">
        <v>254</v>
      </c>
      <c r="N53" t="s">
        <v>255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951BF-22E0-4DB1-B3E3-6E94166932FE}">
  <sheetPr codeName="Sheet5"/>
  <dimension ref="A1:N116"/>
  <sheetViews>
    <sheetView topLeftCell="A6" workbookViewId="0"/>
  </sheetViews>
  <sheetFormatPr defaultRowHeight="14.5" x14ac:dyDescent="0.35"/>
  <sheetData>
    <row r="1" spans="1:12" x14ac:dyDescent="0.35">
      <c r="A1" t="s">
        <v>93</v>
      </c>
    </row>
    <row r="2" spans="1:12" x14ac:dyDescent="0.35">
      <c r="A2" t="s">
        <v>192</v>
      </c>
      <c r="B2" t="s">
        <v>193</v>
      </c>
      <c r="C2" t="s">
        <v>194</v>
      </c>
      <c r="D2" t="s">
        <v>99</v>
      </c>
      <c r="E2" t="s">
        <v>195</v>
      </c>
      <c r="F2" t="s">
        <v>196</v>
      </c>
    </row>
    <row r="4" spans="1:12" x14ac:dyDescent="0.35">
      <c r="A4" t="s">
        <v>99</v>
      </c>
      <c r="B4" t="s">
        <v>197</v>
      </c>
      <c r="C4" t="s">
        <v>198</v>
      </c>
      <c r="D4" t="s">
        <v>199</v>
      </c>
      <c r="E4" t="s">
        <v>200</v>
      </c>
      <c r="F4" t="s">
        <v>81</v>
      </c>
      <c r="G4" t="s">
        <v>201</v>
      </c>
      <c r="H4" t="s">
        <v>202</v>
      </c>
      <c r="I4" t="s">
        <v>203</v>
      </c>
      <c r="J4" t="s">
        <v>108</v>
      </c>
    </row>
    <row r="5" spans="1:12" x14ac:dyDescent="0.35">
      <c r="A5" t="s">
        <v>109</v>
      </c>
      <c r="B5" t="s">
        <v>110</v>
      </c>
      <c r="C5" t="s">
        <v>111</v>
      </c>
      <c r="D5" t="s">
        <v>65</v>
      </c>
      <c r="E5" t="s">
        <v>112</v>
      </c>
      <c r="F5" t="s">
        <v>113</v>
      </c>
      <c r="G5" t="s">
        <v>114</v>
      </c>
    </row>
    <row r="7" spans="1:12" x14ac:dyDescent="0.35">
      <c r="A7" t="s">
        <v>192</v>
      </c>
      <c r="B7" t="s">
        <v>101</v>
      </c>
      <c r="C7">
        <v>1</v>
      </c>
      <c r="D7" t="s">
        <v>76</v>
      </c>
    </row>
    <row r="8" spans="1:12" x14ac:dyDescent="0.35">
      <c r="A8" t="s">
        <v>101</v>
      </c>
      <c r="B8" t="s">
        <v>204</v>
      </c>
      <c r="C8" t="s">
        <v>103</v>
      </c>
      <c r="D8">
        <v>20</v>
      </c>
      <c r="E8" t="s">
        <v>101</v>
      </c>
      <c r="F8" t="s">
        <v>205</v>
      </c>
      <c r="G8" t="s">
        <v>103</v>
      </c>
      <c r="H8">
        <v>40</v>
      </c>
      <c r="I8" t="s">
        <v>206</v>
      </c>
      <c r="J8" t="s">
        <v>207</v>
      </c>
      <c r="K8" t="s">
        <v>103</v>
      </c>
      <c r="L8">
        <v>1</v>
      </c>
    </row>
    <row r="9" spans="1:12" x14ac:dyDescent="0.35">
      <c r="A9" t="s">
        <v>192</v>
      </c>
      <c r="B9" t="s">
        <v>208</v>
      </c>
      <c r="C9" t="s">
        <v>103</v>
      </c>
      <c r="D9">
        <v>34.373778999999999</v>
      </c>
      <c r="E9" t="s">
        <v>209</v>
      </c>
      <c r="F9" t="s">
        <v>85</v>
      </c>
      <c r="G9" t="s">
        <v>103</v>
      </c>
      <c r="H9">
        <v>4.1010999999999997</v>
      </c>
    </row>
    <row r="10" spans="1:12" x14ac:dyDescent="0.35">
      <c r="A10" t="s">
        <v>210</v>
      </c>
      <c r="B10" t="s">
        <v>103</v>
      </c>
      <c r="C10">
        <v>0.12714</v>
      </c>
      <c r="D10" t="s">
        <v>211</v>
      </c>
      <c r="E10" t="s">
        <v>103</v>
      </c>
      <c r="F10">
        <v>-2.579E-2</v>
      </c>
    </row>
    <row r="11" spans="1:12" x14ac:dyDescent="0.35">
      <c r="A11" t="s">
        <v>212</v>
      </c>
      <c r="B11" t="s">
        <v>103</v>
      </c>
      <c r="C11">
        <v>2.0000000000000001E-4</v>
      </c>
      <c r="D11" t="s">
        <v>213</v>
      </c>
      <c r="E11" t="s">
        <v>103</v>
      </c>
      <c r="F11">
        <v>-9.5880000000000007E-2</v>
      </c>
    </row>
    <row r="12" spans="1:12" x14ac:dyDescent="0.35">
      <c r="A12" t="s">
        <v>214</v>
      </c>
      <c r="B12" t="s">
        <v>103</v>
      </c>
      <c r="C12">
        <v>6.79E-3</v>
      </c>
      <c r="D12" t="s">
        <v>215</v>
      </c>
      <c r="E12" t="s">
        <v>103</v>
      </c>
      <c r="F12">
        <v>-1.1900000000000001E-3</v>
      </c>
    </row>
    <row r="13" spans="1:12" x14ac:dyDescent="0.35">
      <c r="A13" t="s">
        <v>216</v>
      </c>
      <c r="B13" t="s">
        <v>103</v>
      </c>
      <c r="C13">
        <v>2.8300000000000001E-3</v>
      </c>
      <c r="D13" t="s">
        <v>217</v>
      </c>
      <c r="E13" t="s">
        <v>103</v>
      </c>
      <c r="F13">
        <v>3.9699999999999996E-3</v>
      </c>
    </row>
    <row r="15" spans="1:12" x14ac:dyDescent="0.35">
      <c r="A15" t="s">
        <v>99</v>
      </c>
      <c r="B15" t="s">
        <v>197</v>
      </c>
      <c r="C15" t="s">
        <v>198</v>
      </c>
      <c r="D15" t="s">
        <v>218</v>
      </c>
      <c r="E15" t="s">
        <v>219</v>
      </c>
      <c r="F15" t="s">
        <v>201</v>
      </c>
      <c r="G15" t="s">
        <v>220</v>
      </c>
      <c r="H15" t="s">
        <v>110</v>
      </c>
      <c r="I15" t="s">
        <v>221</v>
      </c>
      <c r="J15" t="s">
        <v>222</v>
      </c>
    </row>
    <row r="16" spans="1:12" x14ac:dyDescent="0.35">
      <c r="A16" t="s">
        <v>210</v>
      </c>
      <c r="B16" t="s">
        <v>103</v>
      </c>
      <c r="C16">
        <v>0.25429000000000002</v>
      </c>
      <c r="D16" t="s">
        <v>214</v>
      </c>
      <c r="E16" t="s">
        <v>103</v>
      </c>
      <c r="F16">
        <v>1.359E-2</v>
      </c>
    </row>
    <row r="17" spans="1:14" x14ac:dyDescent="0.35">
      <c r="A17" t="s">
        <v>223</v>
      </c>
      <c r="B17" t="s">
        <v>103</v>
      </c>
    </row>
    <row r="19" spans="1:14" x14ac:dyDescent="0.35">
      <c r="A19" t="s">
        <v>194</v>
      </c>
      <c r="B19" t="s">
        <v>99</v>
      </c>
      <c r="C19" t="s">
        <v>197</v>
      </c>
      <c r="D19" t="s">
        <v>198</v>
      </c>
      <c r="E19" t="s">
        <v>194</v>
      </c>
      <c r="F19" t="s">
        <v>224</v>
      </c>
      <c r="G19" t="s">
        <v>86</v>
      </c>
    </row>
    <row r="20" spans="1:14" x14ac:dyDescent="0.35">
      <c r="A20" t="s">
        <v>225</v>
      </c>
      <c r="B20" t="s">
        <v>83</v>
      </c>
      <c r="C20" t="s">
        <v>86</v>
      </c>
      <c r="D20" t="s">
        <v>226</v>
      </c>
      <c r="E20" t="s">
        <v>227</v>
      </c>
      <c r="F20" t="s">
        <v>228</v>
      </c>
      <c r="G20" t="s">
        <v>229</v>
      </c>
      <c r="H20" t="s">
        <v>230</v>
      </c>
      <c r="I20" t="s">
        <v>228</v>
      </c>
      <c r="J20" t="s">
        <v>231</v>
      </c>
      <c r="K20" t="s">
        <v>232</v>
      </c>
      <c r="L20" t="s">
        <v>233</v>
      </c>
      <c r="M20" t="s">
        <v>234</v>
      </c>
      <c r="N20" t="s">
        <v>235</v>
      </c>
    </row>
    <row r="21" spans="1:14" x14ac:dyDescent="0.35">
      <c r="A21">
        <v>1</v>
      </c>
      <c r="B21">
        <v>3.2000000000000002E-3</v>
      </c>
      <c r="C21">
        <v>6.6128</v>
      </c>
      <c r="D21">
        <v>8.5400000000000004E-2</v>
      </c>
      <c r="E21">
        <v>1.4287000000000001</v>
      </c>
      <c r="F21">
        <v>4.8899999999999999E-2</v>
      </c>
      <c r="G21">
        <v>0.26429999999999998</v>
      </c>
      <c r="H21">
        <v>0.2064</v>
      </c>
      <c r="I21">
        <v>0.1361</v>
      </c>
      <c r="J21">
        <v>7.4000000000000003E-3</v>
      </c>
      <c r="K21">
        <v>-1.0200000000000001E-2</v>
      </c>
      <c r="L21">
        <v>-5.3199999999999997E-2</v>
      </c>
      <c r="M21">
        <v>0.3</v>
      </c>
    </row>
    <row r="22" spans="1:14" x14ac:dyDescent="0.35">
      <c r="A22">
        <v>2</v>
      </c>
      <c r="B22">
        <v>2.9000000000000001E-2</v>
      </c>
      <c r="C22">
        <v>6.5972999999999997</v>
      </c>
      <c r="D22">
        <v>0.25519999999999998</v>
      </c>
      <c r="E22">
        <v>1.4287000000000001</v>
      </c>
      <c r="F22">
        <v>4.9000000000000002E-2</v>
      </c>
      <c r="G22">
        <v>0.27600000000000002</v>
      </c>
      <c r="H22">
        <v>0.2155</v>
      </c>
      <c r="I22">
        <v>2.92E-2</v>
      </c>
      <c r="J22">
        <v>7.4000000000000003E-3</v>
      </c>
      <c r="K22">
        <v>-1.0200000000000001E-2</v>
      </c>
      <c r="L22">
        <v>-5.3199999999999997E-2</v>
      </c>
      <c r="M22">
        <v>0.29699999999999999</v>
      </c>
    </row>
    <row r="23" spans="1:14" x14ac:dyDescent="0.35">
      <c r="A23">
        <v>3</v>
      </c>
      <c r="B23">
        <v>8.0500000000000002E-2</v>
      </c>
      <c r="C23">
        <v>6.5663999999999998</v>
      </c>
      <c r="D23">
        <v>0.42149999999999999</v>
      </c>
      <c r="E23">
        <v>1.4286000000000001</v>
      </c>
      <c r="F23">
        <v>4.9099999999999998E-2</v>
      </c>
      <c r="G23">
        <v>0.27800000000000002</v>
      </c>
      <c r="H23">
        <v>0.21709999999999999</v>
      </c>
      <c r="I23">
        <v>2.23E-2</v>
      </c>
      <c r="J23">
        <v>7.4000000000000003E-3</v>
      </c>
      <c r="K23">
        <v>-9.7999999999999997E-3</v>
      </c>
      <c r="L23">
        <v>-5.3199999999999997E-2</v>
      </c>
      <c r="M23">
        <v>0.29499999999999998</v>
      </c>
    </row>
    <row r="24" spans="1:14" x14ac:dyDescent="0.35">
      <c r="A24">
        <v>4</v>
      </c>
      <c r="B24">
        <v>0.1573</v>
      </c>
      <c r="C24">
        <v>6.5202999999999998</v>
      </c>
      <c r="D24">
        <v>0.58240000000000003</v>
      </c>
      <c r="E24">
        <v>1.4283999999999999</v>
      </c>
      <c r="F24">
        <v>4.9200000000000001E-2</v>
      </c>
      <c r="G24">
        <v>0.28010000000000002</v>
      </c>
      <c r="H24">
        <v>0.21870000000000001</v>
      </c>
      <c r="I24">
        <v>2.07E-2</v>
      </c>
      <c r="J24">
        <v>7.4000000000000003E-3</v>
      </c>
      <c r="K24">
        <v>-9.1999999999999998E-3</v>
      </c>
      <c r="L24">
        <v>-5.2999999999999999E-2</v>
      </c>
      <c r="M24">
        <v>0.29199999999999998</v>
      </c>
    </row>
    <row r="25" spans="1:14" x14ac:dyDescent="0.35">
      <c r="A25">
        <v>5</v>
      </c>
      <c r="B25">
        <v>0.25900000000000001</v>
      </c>
      <c r="C25">
        <v>6.4592999999999998</v>
      </c>
      <c r="D25">
        <v>0.73570000000000002</v>
      </c>
      <c r="E25">
        <v>1.4277</v>
      </c>
      <c r="F25">
        <v>4.9299999999999997E-2</v>
      </c>
      <c r="G25">
        <v>0.28270000000000001</v>
      </c>
      <c r="H25">
        <v>0.22070000000000001</v>
      </c>
      <c r="I25">
        <v>1.9900000000000001E-2</v>
      </c>
      <c r="J25">
        <v>7.4000000000000003E-3</v>
      </c>
      <c r="K25">
        <v>-8.3000000000000001E-3</v>
      </c>
      <c r="L25">
        <v>-5.2699999999999997E-2</v>
      </c>
      <c r="M25">
        <v>0.28799999999999998</v>
      </c>
    </row>
    <row r="26" spans="1:14" x14ac:dyDescent="0.35">
      <c r="A26">
        <v>6</v>
      </c>
      <c r="B26">
        <v>0.38500000000000001</v>
      </c>
      <c r="C26">
        <v>6.3837999999999999</v>
      </c>
      <c r="D26">
        <v>0.87949999999999995</v>
      </c>
      <c r="E26">
        <v>1.4263999999999999</v>
      </c>
      <c r="F26">
        <v>4.9200000000000001E-2</v>
      </c>
      <c r="G26">
        <v>0.28589999999999999</v>
      </c>
      <c r="H26">
        <v>0.22320000000000001</v>
      </c>
      <c r="I26">
        <v>1.9199999999999998E-2</v>
      </c>
      <c r="J26">
        <v>7.4999999999999997E-3</v>
      </c>
      <c r="K26">
        <v>-7.4000000000000003E-3</v>
      </c>
      <c r="L26">
        <v>-5.2400000000000002E-2</v>
      </c>
      <c r="M26">
        <v>0.28299999999999997</v>
      </c>
    </row>
    <row r="27" spans="1:14" x14ac:dyDescent="0.35">
      <c r="A27">
        <v>7</v>
      </c>
      <c r="B27">
        <v>0.5343</v>
      </c>
      <c r="C27">
        <v>6.2942</v>
      </c>
      <c r="D27">
        <v>1.012</v>
      </c>
      <c r="E27">
        <v>1.4240999999999999</v>
      </c>
      <c r="F27">
        <v>4.9099999999999998E-2</v>
      </c>
      <c r="G27">
        <v>0.28960000000000002</v>
      </c>
      <c r="H27">
        <v>0.2261</v>
      </c>
      <c r="I27">
        <v>1.8499999999999999E-2</v>
      </c>
      <c r="J27">
        <v>7.4999999999999997E-3</v>
      </c>
      <c r="K27">
        <v>-6.4000000000000003E-3</v>
      </c>
      <c r="L27">
        <v>-5.21E-2</v>
      </c>
      <c r="M27">
        <v>0.27800000000000002</v>
      </c>
    </row>
    <row r="28" spans="1:14" x14ac:dyDescent="0.35">
      <c r="A28">
        <v>8</v>
      </c>
      <c r="B28">
        <v>0.70630000000000004</v>
      </c>
      <c r="C28">
        <v>6.1910999999999996</v>
      </c>
      <c r="D28">
        <v>1.1317999999999999</v>
      </c>
      <c r="E28">
        <v>1.4206000000000001</v>
      </c>
      <c r="F28">
        <v>4.9000000000000002E-2</v>
      </c>
      <c r="G28">
        <v>0.29370000000000002</v>
      </c>
      <c r="H28">
        <v>0.22939999999999999</v>
      </c>
      <c r="I28">
        <v>1.7999999999999999E-2</v>
      </c>
      <c r="J28">
        <v>7.4999999999999997E-3</v>
      </c>
      <c r="K28">
        <v>-5.3E-3</v>
      </c>
      <c r="L28">
        <v>-5.1900000000000002E-2</v>
      </c>
      <c r="M28">
        <v>0.27300000000000002</v>
      </c>
    </row>
    <row r="29" spans="1:14" x14ac:dyDescent="0.35">
      <c r="A29">
        <v>9</v>
      </c>
      <c r="B29">
        <v>0.89970000000000006</v>
      </c>
      <c r="C29">
        <v>6.0750999999999999</v>
      </c>
      <c r="D29">
        <v>1.2376</v>
      </c>
      <c r="E29">
        <v>1.4154</v>
      </c>
      <c r="F29">
        <v>4.87E-2</v>
      </c>
      <c r="G29">
        <v>0.2984</v>
      </c>
      <c r="H29">
        <v>0.23300000000000001</v>
      </c>
      <c r="I29">
        <v>1.7000000000000001E-2</v>
      </c>
      <c r="J29">
        <v>7.4999999999999997E-3</v>
      </c>
      <c r="K29">
        <v>-4.3E-3</v>
      </c>
      <c r="L29">
        <v>-5.1799999999999999E-2</v>
      </c>
      <c r="M29">
        <v>0.26900000000000002</v>
      </c>
    </row>
    <row r="30" spans="1:14" x14ac:dyDescent="0.35">
      <c r="A30">
        <v>10</v>
      </c>
      <c r="B30">
        <v>1.1133999999999999</v>
      </c>
      <c r="C30">
        <v>5.9469000000000003</v>
      </c>
      <c r="D30">
        <v>1.3283</v>
      </c>
      <c r="E30">
        <v>1.4081999999999999</v>
      </c>
      <c r="F30">
        <v>4.8399999999999999E-2</v>
      </c>
      <c r="G30">
        <v>0.30330000000000001</v>
      </c>
      <c r="H30">
        <v>0.2369</v>
      </c>
      <c r="I30">
        <v>1.6299999999999999E-2</v>
      </c>
      <c r="J30">
        <v>7.6E-3</v>
      </c>
      <c r="K30">
        <v>-3.3999999999999998E-3</v>
      </c>
      <c r="L30">
        <v>-5.1799999999999999E-2</v>
      </c>
      <c r="M30">
        <v>0.26400000000000001</v>
      </c>
    </row>
    <row r="31" spans="1:14" x14ac:dyDescent="0.35">
      <c r="A31">
        <v>11</v>
      </c>
      <c r="B31">
        <v>1.3461000000000001</v>
      </c>
      <c r="C31">
        <v>5.8072999999999997</v>
      </c>
      <c r="D31">
        <v>1.4033</v>
      </c>
      <c r="E31">
        <v>1.3986000000000001</v>
      </c>
      <c r="F31">
        <v>4.8000000000000001E-2</v>
      </c>
      <c r="G31">
        <v>0.3085</v>
      </c>
      <c r="H31">
        <v>0.2409</v>
      </c>
      <c r="I31">
        <v>1.6199999999999999E-2</v>
      </c>
      <c r="J31">
        <v>7.6E-3</v>
      </c>
      <c r="K31">
        <v>-2.5000000000000001E-3</v>
      </c>
      <c r="L31">
        <v>-5.1999999999999998E-2</v>
      </c>
      <c r="M31">
        <v>0.26</v>
      </c>
    </row>
    <row r="32" spans="1:14" x14ac:dyDescent="0.35">
      <c r="A32">
        <v>12</v>
      </c>
      <c r="B32">
        <v>1.5963000000000001</v>
      </c>
      <c r="C32">
        <v>5.6573000000000002</v>
      </c>
      <c r="D32">
        <v>1.4619</v>
      </c>
      <c r="E32">
        <v>1.3863000000000001</v>
      </c>
      <c r="F32">
        <v>4.7500000000000001E-2</v>
      </c>
      <c r="G32">
        <v>0.31390000000000001</v>
      </c>
      <c r="H32">
        <v>0.24510000000000001</v>
      </c>
      <c r="I32">
        <v>1.6899999999999998E-2</v>
      </c>
      <c r="J32">
        <v>7.7000000000000002E-3</v>
      </c>
      <c r="K32">
        <v>-1.6999999999999999E-3</v>
      </c>
      <c r="L32">
        <v>-5.2200000000000003E-2</v>
      </c>
      <c r="M32">
        <v>0.25700000000000001</v>
      </c>
    </row>
    <row r="33" spans="1:13" x14ac:dyDescent="0.35">
      <c r="A33">
        <v>13</v>
      </c>
      <c r="B33">
        <v>1.8625</v>
      </c>
      <c r="C33">
        <v>5.4976000000000003</v>
      </c>
      <c r="D33">
        <v>1.5042</v>
      </c>
      <c r="E33">
        <v>1.3711</v>
      </c>
      <c r="F33">
        <v>4.6899999999999997E-2</v>
      </c>
      <c r="G33">
        <v>0.31969999999999998</v>
      </c>
      <c r="H33">
        <v>0.24970000000000001</v>
      </c>
      <c r="I33">
        <v>1.4500000000000001E-2</v>
      </c>
      <c r="J33">
        <v>7.7000000000000002E-3</v>
      </c>
      <c r="K33">
        <v>-1E-3</v>
      </c>
      <c r="L33">
        <v>-5.2499999999999998E-2</v>
      </c>
      <c r="M33">
        <v>0.254</v>
      </c>
    </row>
    <row r="34" spans="1:13" x14ac:dyDescent="0.35">
      <c r="A34">
        <v>14</v>
      </c>
      <c r="B34">
        <v>2.1431</v>
      </c>
      <c r="C34">
        <v>5.3292999999999999</v>
      </c>
      <c r="D34">
        <v>1.5301</v>
      </c>
      <c r="E34">
        <v>1.3527</v>
      </c>
      <c r="F34">
        <v>4.6199999999999998E-2</v>
      </c>
      <c r="G34">
        <v>0.32529999999999998</v>
      </c>
      <c r="H34">
        <v>0.254</v>
      </c>
      <c r="I34">
        <v>1.5800000000000002E-2</v>
      </c>
      <c r="J34">
        <v>7.7000000000000002E-3</v>
      </c>
      <c r="K34">
        <v>-4.0000000000000002E-4</v>
      </c>
      <c r="L34">
        <v>-5.2900000000000003E-2</v>
      </c>
      <c r="M34">
        <v>0.251</v>
      </c>
    </row>
    <row r="35" spans="1:13" x14ac:dyDescent="0.35">
      <c r="A35">
        <v>15</v>
      </c>
      <c r="B35">
        <v>2.4363000000000001</v>
      </c>
      <c r="C35">
        <v>5.1534000000000004</v>
      </c>
      <c r="D35">
        <v>1.54</v>
      </c>
      <c r="E35">
        <v>1.3307</v>
      </c>
      <c r="F35">
        <v>4.5400000000000003E-2</v>
      </c>
      <c r="G35">
        <v>0.33100000000000002</v>
      </c>
      <c r="H35">
        <v>0.25850000000000001</v>
      </c>
      <c r="I35">
        <v>1.52E-2</v>
      </c>
      <c r="J35">
        <v>7.7999999999999996E-3</v>
      </c>
      <c r="K35">
        <v>2.0000000000000001E-4</v>
      </c>
      <c r="L35">
        <v>-5.33E-2</v>
      </c>
      <c r="M35">
        <v>0.249</v>
      </c>
    </row>
    <row r="36" spans="1:13" x14ac:dyDescent="0.35">
      <c r="A36">
        <v>16</v>
      </c>
      <c r="B36">
        <v>2.7403</v>
      </c>
      <c r="C36">
        <v>4.9710999999999999</v>
      </c>
      <c r="D36">
        <v>1.5347</v>
      </c>
      <c r="E36">
        <v>1.3051999999999999</v>
      </c>
      <c r="F36">
        <v>4.4499999999999998E-2</v>
      </c>
      <c r="G36">
        <v>0.3367</v>
      </c>
      <c r="H36">
        <v>0.26290000000000002</v>
      </c>
      <c r="I36">
        <v>1.37E-2</v>
      </c>
      <c r="J36">
        <v>7.7999999999999996E-3</v>
      </c>
      <c r="K36">
        <v>6.9999999999999999E-4</v>
      </c>
      <c r="L36">
        <v>-5.3800000000000001E-2</v>
      </c>
      <c r="M36">
        <v>0.247</v>
      </c>
    </row>
    <row r="37" spans="1:13" x14ac:dyDescent="0.35">
      <c r="A37">
        <v>17</v>
      </c>
      <c r="B37">
        <v>3.0531999999999999</v>
      </c>
      <c r="C37">
        <v>4.7834000000000003</v>
      </c>
      <c r="D37">
        <v>1.5148999999999999</v>
      </c>
      <c r="E37">
        <v>1.276</v>
      </c>
      <c r="F37">
        <v>4.3400000000000001E-2</v>
      </c>
      <c r="G37">
        <v>0.34200000000000003</v>
      </c>
      <c r="H37">
        <v>0.2671</v>
      </c>
      <c r="I37">
        <v>1.44E-2</v>
      </c>
      <c r="J37">
        <v>7.9000000000000008E-3</v>
      </c>
      <c r="K37">
        <v>1.1000000000000001E-3</v>
      </c>
      <c r="L37">
        <v>-5.4300000000000001E-2</v>
      </c>
      <c r="M37">
        <v>0.246</v>
      </c>
    </row>
    <row r="38" spans="1:13" x14ac:dyDescent="0.35">
      <c r="A38">
        <v>18</v>
      </c>
      <c r="B38">
        <v>3.3732000000000002</v>
      </c>
      <c r="C38">
        <v>4.5914999999999999</v>
      </c>
      <c r="D38">
        <v>1.4818</v>
      </c>
      <c r="E38">
        <v>1.2431000000000001</v>
      </c>
      <c r="F38">
        <v>4.2299999999999997E-2</v>
      </c>
      <c r="G38">
        <v>0.34720000000000001</v>
      </c>
      <c r="H38">
        <v>0.2712</v>
      </c>
      <c r="I38">
        <v>1.37E-2</v>
      </c>
      <c r="J38">
        <v>7.9000000000000008E-3</v>
      </c>
      <c r="K38">
        <v>1.5E-3</v>
      </c>
      <c r="L38">
        <v>-5.4800000000000001E-2</v>
      </c>
      <c r="M38">
        <v>0.24399999999999999</v>
      </c>
    </row>
    <row r="39" spans="1:13" x14ac:dyDescent="0.35">
      <c r="A39">
        <v>19</v>
      </c>
      <c r="B39">
        <v>3.6981999999999999</v>
      </c>
      <c r="C39">
        <v>4.3964999999999996</v>
      </c>
      <c r="D39">
        <v>1.4367000000000001</v>
      </c>
      <c r="E39">
        <v>1.2064999999999999</v>
      </c>
      <c r="F39">
        <v>4.1099999999999998E-2</v>
      </c>
      <c r="G39">
        <v>0.35220000000000001</v>
      </c>
      <c r="H39">
        <v>0.27500000000000002</v>
      </c>
      <c r="I39">
        <v>1.1900000000000001E-2</v>
      </c>
      <c r="J39">
        <v>8.0000000000000002E-3</v>
      </c>
      <c r="K39">
        <v>1.8E-3</v>
      </c>
      <c r="L39">
        <v>-5.5300000000000002E-2</v>
      </c>
      <c r="M39">
        <v>0.24299999999999999</v>
      </c>
    </row>
    <row r="40" spans="1:13" x14ac:dyDescent="0.35">
      <c r="A40">
        <v>20</v>
      </c>
      <c r="B40">
        <v>4.0263</v>
      </c>
      <c r="C40">
        <v>4.1997999999999998</v>
      </c>
      <c r="D40">
        <v>1.3809</v>
      </c>
      <c r="E40">
        <v>1.1662999999999999</v>
      </c>
      <c r="F40">
        <v>3.9699999999999999E-2</v>
      </c>
      <c r="G40">
        <v>0.35639999999999999</v>
      </c>
      <c r="H40">
        <v>0.27829999999999999</v>
      </c>
      <c r="I40">
        <v>1.17E-2</v>
      </c>
      <c r="J40">
        <v>8.0000000000000002E-3</v>
      </c>
      <c r="K40">
        <v>2.0999999999999999E-3</v>
      </c>
      <c r="L40">
        <v>-5.57E-2</v>
      </c>
      <c r="M40">
        <v>0.24199999999999999</v>
      </c>
    </row>
    <row r="41" spans="1:13" x14ac:dyDescent="0.35">
      <c r="A41">
        <v>21</v>
      </c>
      <c r="B41">
        <v>4.3552999999999997</v>
      </c>
      <c r="C41">
        <v>4.0023999999999997</v>
      </c>
      <c r="D41">
        <v>1.3160000000000001</v>
      </c>
      <c r="E41">
        <v>1.1227</v>
      </c>
      <c r="F41">
        <v>3.8300000000000001E-2</v>
      </c>
      <c r="G41">
        <v>0.36</v>
      </c>
      <c r="H41">
        <v>0.28110000000000002</v>
      </c>
      <c r="I41">
        <v>1.17E-2</v>
      </c>
      <c r="J41">
        <v>8.0999999999999996E-3</v>
      </c>
      <c r="K41">
        <v>2.3999999999999998E-3</v>
      </c>
      <c r="L41">
        <v>-5.6099999999999997E-2</v>
      </c>
      <c r="M41">
        <v>0.24099999999999999</v>
      </c>
    </row>
    <row r="42" spans="1:13" x14ac:dyDescent="0.35">
      <c r="A42">
        <v>22</v>
      </c>
      <c r="B42">
        <v>4.6833999999999998</v>
      </c>
      <c r="C42">
        <v>3.8056999999999999</v>
      </c>
      <c r="D42">
        <v>1.2436</v>
      </c>
      <c r="E42">
        <v>1.0760000000000001</v>
      </c>
      <c r="F42">
        <v>3.6900000000000002E-2</v>
      </c>
      <c r="G42">
        <v>0.36309999999999998</v>
      </c>
      <c r="H42">
        <v>0.28349999999999997</v>
      </c>
      <c r="I42">
        <v>9.7000000000000003E-3</v>
      </c>
      <c r="J42">
        <v>8.0999999999999996E-3</v>
      </c>
      <c r="K42">
        <v>2.7000000000000001E-3</v>
      </c>
      <c r="L42">
        <v>-5.6300000000000003E-2</v>
      </c>
      <c r="M42">
        <v>0.24</v>
      </c>
    </row>
    <row r="43" spans="1:13" x14ac:dyDescent="0.35">
      <c r="A43">
        <v>23</v>
      </c>
      <c r="B43">
        <v>5.0084</v>
      </c>
      <c r="C43">
        <v>3.6107</v>
      </c>
      <c r="D43">
        <v>1.1653</v>
      </c>
      <c r="E43">
        <v>1.0263</v>
      </c>
      <c r="F43">
        <v>3.5299999999999998E-2</v>
      </c>
      <c r="G43">
        <v>0.36499999999999999</v>
      </c>
      <c r="H43">
        <v>0.28499999999999998</v>
      </c>
      <c r="I43">
        <v>9.4999999999999998E-3</v>
      </c>
      <c r="J43">
        <v>8.2000000000000007E-3</v>
      </c>
      <c r="K43">
        <v>3.0000000000000001E-3</v>
      </c>
      <c r="L43">
        <v>-5.6399999999999999E-2</v>
      </c>
      <c r="M43">
        <v>0.23899999999999999</v>
      </c>
    </row>
    <row r="44" spans="1:13" x14ac:dyDescent="0.35">
      <c r="A44">
        <v>24</v>
      </c>
      <c r="B44">
        <v>5.3284000000000002</v>
      </c>
      <c r="C44">
        <v>3.4188000000000001</v>
      </c>
      <c r="D44">
        <v>1.0828</v>
      </c>
      <c r="E44">
        <v>0.97399999999999998</v>
      </c>
      <c r="F44">
        <v>3.3700000000000001E-2</v>
      </c>
      <c r="G44">
        <v>0.3659</v>
      </c>
      <c r="H44">
        <v>0.28570000000000001</v>
      </c>
      <c r="I44">
        <v>9.1000000000000004E-3</v>
      </c>
      <c r="J44">
        <v>8.2000000000000007E-3</v>
      </c>
      <c r="K44">
        <v>3.3E-3</v>
      </c>
      <c r="L44">
        <v>-5.6300000000000003E-2</v>
      </c>
      <c r="M44">
        <v>0.23799999999999999</v>
      </c>
    </row>
    <row r="45" spans="1:13" x14ac:dyDescent="0.35">
      <c r="A45">
        <v>25</v>
      </c>
      <c r="B45">
        <v>5.6413000000000002</v>
      </c>
      <c r="C45">
        <v>3.2311000000000001</v>
      </c>
      <c r="D45">
        <v>0.99750000000000005</v>
      </c>
      <c r="E45">
        <v>0.9194</v>
      </c>
      <c r="F45">
        <v>3.2099999999999997E-2</v>
      </c>
      <c r="G45">
        <v>0.36530000000000001</v>
      </c>
      <c r="H45">
        <v>0.2853</v>
      </c>
      <c r="I45">
        <v>1.0500000000000001E-2</v>
      </c>
      <c r="J45">
        <v>8.3000000000000001E-3</v>
      </c>
      <c r="K45">
        <v>3.7000000000000002E-3</v>
      </c>
      <c r="L45">
        <v>-5.5899999999999998E-2</v>
      </c>
      <c r="M45">
        <v>0.23699999999999999</v>
      </c>
    </row>
    <row r="46" spans="1:13" x14ac:dyDescent="0.35">
      <c r="A46">
        <v>26</v>
      </c>
      <c r="B46">
        <v>5.9452999999999996</v>
      </c>
      <c r="C46">
        <v>3.0488</v>
      </c>
      <c r="D46">
        <v>0.91110000000000002</v>
      </c>
      <c r="E46">
        <v>0.8629</v>
      </c>
      <c r="F46">
        <v>3.0499999999999999E-2</v>
      </c>
      <c r="G46">
        <v>0.36370000000000002</v>
      </c>
      <c r="H46">
        <v>0.28399999999999997</v>
      </c>
      <c r="I46">
        <v>8.0999999999999996E-3</v>
      </c>
      <c r="J46">
        <v>8.3000000000000001E-3</v>
      </c>
      <c r="K46">
        <v>4.1000000000000003E-3</v>
      </c>
      <c r="L46">
        <v>-5.5300000000000002E-2</v>
      </c>
      <c r="M46">
        <v>0.23599999999999999</v>
      </c>
    </row>
    <row r="47" spans="1:13" x14ac:dyDescent="0.35">
      <c r="A47">
        <v>27</v>
      </c>
      <c r="B47">
        <v>6.2385000000000002</v>
      </c>
      <c r="C47">
        <v>2.8729</v>
      </c>
      <c r="D47">
        <v>0.82479999999999998</v>
      </c>
      <c r="E47">
        <v>0.80489999999999995</v>
      </c>
      <c r="F47">
        <v>2.8799999999999999E-2</v>
      </c>
      <c r="G47">
        <v>0.36</v>
      </c>
      <c r="H47">
        <v>0.28110000000000002</v>
      </c>
      <c r="I47">
        <v>7.7999999999999996E-3</v>
      </c>
      <c r="J47">
        <v>8.3999999999999995E-3</v>
      </c>
      <c r="K47">
        <v>4.4999999999999997E-3</v>
      </c>
      <c r="L47">
        <v>-5.4300000000000001E-2</v>
      </c>
      <c r="M47">
        <v>0.23400000000000001</v>
      </c>
    </row>
    <row r="48" spans="1:13" x14ac:dyDescent="0.35">
      <c r="A48">
        <v>28</v>
      </c>
      <c r="B48">
        <v>6.5190999999999999</v>
      </c>
      <c r="C48">
        <v>2.7046000000000001</v>
      </c>
      <c r="D48">
        <v>0.74</v>
      </c>
      <c r="E48">
        <v>0.74570000000000003</v>
      </c>
      <c r="F48">
        <v>2.7199999999999998E-2</v>
      </c>
      <c r="G48">
        <v>0.3543</v>
      </c>
      <c r="H48">
        <v>0.27660000000000001</v>
      </c>
      <c r="I48">
        <v>8.0000000000000002E-3</v>
      </c>
      <c r="J48">
        <v>8.3999999999999995E-3</v>
      </c>
      <c r="K48">
        <v>5.1000000000000004E-3</v>
      </c>
      <c r="L48">
        <v>-5.2900000000000003E-2</v>
      </c>
      <c r="M48">
        <v>0.23200000000000001</v>
      </c>
    </row>
    <row r="49" spans="1:13" x14ac:dyDescent="0.35">
      <c r="A49">
        <v>29</v>
      </c>
      <c r="B49">
        <v>6.7853000000000003</v>
      </c>
      <c r="C49">
        <v>2.5449000000000002</v>
      </c>
      <c r="D49">
        <v>0.65769999999999995</v>
      </c>
      <c r="E49">
        <v>0.68559999999999999</v>
      </c>
      <c r="F49">
        <v>2.5600000000000001E-2</v>
      </c>
      <c r="G49">
        <v>0.34620000000000001</v>
      </c>
      <c r="H49">
        <v>0.27039999999999997</v>
      </c>
      <c r="I49">
        <v>7.3000000000000001E-3</v>
      </c>
      <c r="J49">
        <v>8.5000000000000006E-3</v>
      </c>
      <c r="K49">
        <v>5.7999999999999996E-3</v>
      </c>
      <c r="L49">
        <v>-5.0999999999999997E-2</v>
      </c>
      <c r="M49">
        <v>0.22900000000000001</v>
      </c>
    </row>
    <row r="50" spans="1:13" x14ac:dyDescent="0.35">
      <c r="A50">
        <v>30</v>
      </c>
      <c r="B50">
        <v>7.0354999999999999</v>
      </c>
      <c r="C50">
        <v>2.3948999999999998</v>
      </c>
      <c r="D50">
        <v>0.57869999999999999</v>
      </c>
      <c r="E50">
        <v>0.625</v>
      </c>
      <c r="F50">
        <v>2.41E-2</v>
      </c>
      <c r="G50">
        <v>0.33560000000000001</v>
      </c>
      <c r="H50">
        <v>0.26200000000000001</v>
      </c>
      <c r="I50">
        <v>5.4999999999999997E-3</v>
      </c>
      <c r="J50">
        <v>8.5000000000000006E-3</v>
      </c>
      <c r="K50">
        <v>6.6E-3</v>
      </c>
      <c r="L50">
        <v>-4.8599999999999997E-2</v>
      </c>
      <c r="M50">
        <v>0.22500000000000001</v>
      </c>
    </row>
    <row r="51" spans="1:13" x14ac:dyDescent="0.35">
      <c r="A51">
        <v>31</v>
      </c>
      <c r="B51">
        <v>7.2682000000000002</v>
      </c>
      <c r="C51">
        <v>2.2553000000000001</v>
      </c>
      <c r="D51">
        <v>0.50380000000000003</v>
      </c>
      <c r="E51">
        <v>0.56410000000000005</v>
      </c>
      <c r="F51">
        <v>2.2700000000000001E-2</v>
      </c>
      <c r="G51">
        <v>0.3216</v>
      </c>
      <c r="H51">
        <v>0.25109999999999999</v>
      </c>
      <c r="I51">
        <v>5.8999999999999999E-3</v>
      </c>
      <c r="J51">
        <v>8.5000000000000006E-3</v>
      </c>
      <c r="K51">
        <v>7.6E-3</v>
      </c>
      <c r="L51">
        <v>-4.5600000000000002E-2</v>
      </c>
      <c r="M51">
        <v>0.22</v>
      </c>
    </row>
    <row r="52" spans="1:13" x14ac:dyDescent="0.35">
      <c r="A52">
        <v>32</v>
      </c>
      <c r="B52">
        <v>7.4819000000000004</v>
      </c>
      <c r="C52">
        <v>2.1271</v>
      </c>
      <c r="D52">
        <v>0.43330000000000002</v>
      </c>
      <c r="E52">
        <v>0.50309999999999999</v>
      </c>
      <c r="F52">
        <v>2.1299999999999999E-2</v>
      </c>
      <c r="G52">
        <v>0.30420000000000003</v>
      </c>
      <c r="H52">
        <v>0.23749999999999999</v>
      </c>
      <c r="I52">
        <v>5.4999999999999997E-3</v>
      </c>
      <c r="J52">
        <v>8.6E-3</v>
      </c>
      <c r="K52">
        <v>8.6E-3</v>
      </c>
      <c r="L52">
        <v>-4.19E-2</v>
      </c>
      <c r="M52">
        <v>0.214</v>
      </c>
    </row>
    <row r="53" spans="1:13" x14ac:dyDescent="0.35">
      <c r="A53">
        <v>33</v>
      </c>
      <c r="B53">
        <v>7.6753</v>
      </c>
      <c r="C53">
        <v>2.0110999999999999</v>
      </c>
      <c r="D53">
        <v>0.36770000000000003</v>
      </c>
      <c r="E53">
        <v>0.44219999999999998</v>
      </c>
      <c r="F53">
        <v>1.9900000000000001E-2</v>
      </c>
      <c r="G53">
        <v>0.2828</v>
      </c>
      <c r="H53">
        <v>0.22090000000000001</v>
      </c>
      <c r="I53">
        <v>5.4000000000000003E-3</v>
      </c>
      <c r="J53">
        <v>8.6E-3</v>
      </c>
      <c r="K53">
        <v>9.7000000000000003E-3</v>
      </c>
      <c r="L53">
        <v>-3.7499999999999999E-2</v>
      </c>
      <c r="M53">
        <v>0.20599999999999999</v>
      </c>
    </row>
    <row r="54" spans="1:13" x14ac:dyDescent="0.35">
      <c r="A54">
        <v>34</v>
      </c>
      <c r="B54">
        <v>7.8472999999999997</v>
      </c>
      <c r="C54">
        <v>1.9079999999999999</v>
      </c>
      <c r="D54">
        <v>0.30680000000000002</v>
      </c>
      <c r="E54">
        <v>0.38169999999999998</v>
      </c>
      <c r="F54">
        <v>1.8599999999999998E-2</v>
      </c>
      <c r="G54">
        <v>0.25729999999999997</v>
      </c>
      <c r="H54">
        <v>0.2009</v>
      </c>
      <c r="I54">
        <v>5.4000000000000003E-3</v>
      </c>
      <c r="J54">
        <v>8.6E-3</v>
      </c>
      <c r="K54">
        <v>1.0800000000000001E-2</v>
      </c>
      <c r="L54">
        <v>-3.2599999999999997E-2</v>
      </c>
      <c r="M54">
        <v>0.19600000000000001</v>
      </c>
    </row>
    <row r="55" spans="1:13" x14ac:dyDescent="0.35">
      <c r="A55">
        <v>35</v>
      </c>
      <c r="B55">
        <v>7.9965999999999999</v>
      </c>
      <c r="C55">
        <v>1.8184</v>
      </c>
      <c r="D55">
        <v>0.2505</v>
      </c>
      <c r="E55">
        <v>0.32150000000000001</v>
      </c>
      <c r="F55">
        <v>1.7299999999999999E-2</v>
      </c>
      <c r="G55">
        <v>0.2276</v>
      </c>
      <c r="H55">
        <v>0.1777</v>
      </c>
      <c r="I55">
        <v>4.5999999999999999E-3</v>
      </c>
      <c r="J55">
        <v>8.6999999999999994E-3</v>
      </c>
      <c r="K55">
        <v>1.15E-2</v>
      </c>
      <c r="L55">
        <v>-2.7199999999999998E-2</v>
      </c>
      <c r="M55">
        <v>0.185</v>
      </c>
    </row>
    <row r="56" spans="1:13" x14ac:dyDescent="0.35">
      <c r="A56">
        <v>36</v>
      </c>
      <c r="B56">
        <v>8.1226000000000003</v>
      </c>
      <c r="C56">
        <v>1.7428999999999999</v>
      </c>
      <c r="D56">
        <v>0.19850000000000001</v>
      </c>
      <c r="E56">
        <v>0.26190000000000002</v>
      </c>
      <c r="F56">
        <v>1.61E-2</v>
      </c>
      <c r="G56">
        <v>0.19350000000000001</v>
      </c>
      <c r="H56">
        <v>0.15110000000000001</v>
      </c>
      <c r="I56">
        <v>5.0000000000000001E-3</v>
      </c>
      <c r="J56">
        <v>8.8000000000000005E-3</v>
      </c>
      <c r="K56">
        <v>1.1599999999999999E-2</v>
      </c>
      <c r="L56">
        <v>-2.1600000000000001E-2</v>
      </c>
      <c r="M56">
        <v>0.17299999999999999</v>
      </c>
    </row>
    <row r="57" spans="1:13" x14ac:dyDescent="0.35">
      <c r="A57">
        <v>37</v>
      </c>
      <c r="B57">
        <v>8.2242999999999995</v>
      </c>
      <c r="C57">
        <v>1.6819</v>
      </c>
      <c r="D57">
        <v>0.1502</v>
      </c>
      <c r="E57">
        <v>0.2029</v>
      </c>
      <c r="F57">
        <v>1.4999999999999999E-2</v>
      </c>
      <c r="G57">
        <v>0.15540000000000001</v>
      </c>
      <c r="H57">
        <v>0.12130000000000001</v>
      </c>
      <c r="I57">
        <v>5.3E-3</v>
      </c>
      <c r="J57">
        <v>8.8999999999999999E-3</v>
      </c>
      <c r="K57">
        <v>1.09E-2</v>
      </c>
      <c r="L57">
        <v>-1.61E-2</v>
      </c>
      <c r="M57">
        <v>0.16</v>
      </c>
    </row>
    <row r="58" spans="1:13" x14ac:dyDescent="0.35">
      <c r="A58">
        <v>38</v>
      </c>
      <c r="B58">
        <v>8.3010999999999999</v>
      </c>
      <c r="C58">
        <v>1.6357999999999999</v>
      </c>
      <c r="D58">
        <v>0.105</v>
      </c>
      <c r="E58">
        <v>0.1444</v>
      </c>
      <c r="F58">
        <v>1.4200000000000001E-2</v>
      </c>
      <c r="G58">
        <v>0.1138</v>
      </c>
      <c r="H58">
        <v>8.8800000000000004E-2</v>
      </c>
      <c r="I58">
        <v>5.7999999999999996E-3</v>
      </c>
      <c r="J58">
        <v>8.9999999999999993E-3</v>
      </c>
      <c r="K58">
        <v>8.9999999999999993E-3</v>
      </c>
      <c r="L58">
        <v>-1.09E-2</v>
      </c>
      <c r="M58">
        <v>0.14799999999999999</v>
      </c>
    </row>
    <row r="59" spans="1:13" x14ac:dyDescent="0.35">
      <c r="A59">
        <v>39</v>
      </c>
      <c r="B59">
        <v>8.3526000000000007</v>
      </c>
      <c r="C59">
        <v>1.6049</v>
      </c>
      <c r="D59">
        <v>6.2100000000000002E-2</v>
      </c>
      <c r="E59">
        <v>8.6499999999999994E-2</v>
      </c>
      <c r="F59">
        <v>1.37E-2</v>
      </c>
      <c r="G59">
        <v>6.9500000000000006E-2</v>
      </c>
      <c r="H59">
        <v>5.4199999999999998E-2</v>
      </c>
      <c r="I59">
        <v>6.8999999999999999E-3</v>
      </c>
      <c r="J59">
        <v>9.1999999999999998E-3</v>
      </c>
      <c r="K59">
        <v>6.0000000000000001E-3</v>
      </c>
      <c r="L59">
        <v>-6.3E-3</v>
      </c>
      <c r="M59">
        <v>0.13900000000000001</v>
      </c>
    </row>
    <row r="60" spans="1:13" x14ac:dyDescent="0.35">
      <c r="A60">
        <v>40</v>
      </c>
      <c r="B60">
        <v>8.3783999999999992</v>
      </c>
      <c r="C60">
        <v>1.5893999999999999</v>
      </c>
      <c r="D60">
        <v>2.0500000000000001E-2</v>
      </c>
      <c r="E60">
        <v>2.8799999999999999E-2</v>
      </c>
      <c r="F60">
        <v>1.35E-2</v>
      </c>
      <c r="G60">
        <v>2.3400000000000001E-2</v>
      </c>
      <c r="H60">
        <v>1.83E-2</v>
      </c>
      <c r="I60">
        <v>8.2000000000000007E-3</v>
      </c>
      <c r="J60">
        <v>9.4000000000000004E-3</v>
      </c>
      <c r="K60">
        <v>2.0999999999999999E-3</v>
      </c>
      <c r="L60">
        <v>-2.0999999999999999E-3</v>
      </c>
      <c r="M60">
        <v>0.13300000000000001</v>
      </c>
    </row>
    <row r="62" spans="1:13" x14ac:dyDescent="0.35">
      <c r="A62" t="s">
        <v>192</v>
      </c>
      <c r="B62" t="s">
        <v>101</v>
      </c>
      <c r="C62">
        <v>2</v>
      </c>
      <c r="D62" t="s">
        <v>76</v>
      </c>
      <c r="E62" t="s">
        <v>236</v>
      </c>
    </row>
    <row r="63" spans="1:13" x14ac:dyDescent="0.35">
      <c r="A63" t="s">
        <v>101</v>
      </c>
      <c r="B63" t="s">
        <v>204</v>
      </c>
      <c r="C63" t="s">
        <v>103</v>
      </c>
      <c r="D63">
        <v>20</v>
      </c>
      <c r="E63" t="s">
        <v>101</v>
      </c>
      <c r="F63" t="s">
        <v>205</v>
      </c>
      <c r="G63" t="s">
        <v>103</v>
      </c>
      <c r="H63">
        <v>40</v>
      </c>
      <c r="I63" t="s">
        <v>206</v>
      </c>
      <c r="J63" t="s">
        <v>207</v>
      </c>
      <c r="K63" t="s">
        <v>103</v>
      </c>
      <c r="L63">
        <v>41</v>
      </c>
    </row>
    <row r="64" spans="1:13" x14ac:dyDescent="0.35">
      <c r="A64" t="s">
        <v>192</v>
      </c>
      <c r="B64" t="s">
        <v>208</v>
      </c>
      <c r="C64" t="s">
        <v>103</v>
      </c>
      <c r="D64">
        <v>34.373778999999999</v>
      </c>
      <c r="E64" t="s">
        <v>209</v>
      </c>
      <c r="F64" t="s">
        <v>85</v>
      </c>
      <c r="G64" t="s">
        <v>103</v>
      </c>
      <c r="H64">
        <v>4.1010999999999997</v>
      </c>
    </row>
    <row r="65" spans="1:14" x14ac:dyDescent="0.35">
      <c r="A65" t="s">
        <v>210</v>
      </c>
      <c r="B65" t="s">
        <v>103</v>
      </c>
      <c r="C65">
        <v>0.12716</v>
      </c>
      <c r="D65" t="s">
        <v>211</v>
      </c>
      <c r="E65" t="s">
        <v>103</v>
      </c>
      <c r="F65">
        <v>2.579E-2</v>
      </c>
    </row>
    <row r="66" spans="1:14" x14ac:dyDescent="0.35">
      <c r="A66" t="s">
        <v>212</v>
      </c>
      <c r="B66" t="s">
        <v>103</v>
      </c>
      <c r="C66">
        <v>-2.7999999999999998E-4</v>
      </c>
      <c r="D66" t="s">
        <v>213</v>
      </c>
      <c r="E66" t="s">
        <v>103</v>
      </c>
      <c r="F66">
        <v>-9.5880000000000007E-2</v>
      </c>
    </row>
    <row r="67" spans="1:14" x14ac:dyDescent="0.35">
      <c r="A67" t="s">
        <v>214</v>
      </c>
      <c r="B67" t="s">
        <v>103</v>
      </c>
      <c r="C67">
        <v>6.6699999999999997E-3</v>
      </c>
      <c r="D67" t="s">
        <v>215</v>
      </c>
      <c r="E67" t="s">
        <v>103</v>
      </c>
      <c r="F67">
        <v>1.24E-3</v>
      </c>
    </row>
    <row r="68" spans="1:14" x14ac:dyDescent="0.35">
      <c r="A68" t="s">
        <v>216</v>
      </c>
      <c r="B68" t="s">
        <v>103</v>
      </c>
      <c r="C68">
        <v>2.7000000000000001E-3</v>
      </c>
      <c r="D68" t="s">
        <v>217</v>
      </c>
      <c r="E68" t="s">
        <v>103</v>
      </c>
      <c r="F68">
        <v>3.9699999999999996E-3</v>
      </c>
    </row>
    <row r="70" spans="1:14" x14ac:dyDescent="0.35">
      <c r="A70" t="s">
        <v>99</v>
      </c>
      <c r="B70" t="s">
        <v>197</v>
      </c>
      <c r="C70" t="s">
        <v>198</v>
      </c>
      <c r="D70" t="s">
        <v>218</v>
      </c>
      <c r="E70" t="s">
        <v>219</v>
      </c>
      <c r="F70" t="s">
        <v>201</v>
      </c>
      <c r="G70" t="s">
        <v>220</v>
      </c>
      <c r="H70" t="s">
        <v>110</v>
      </c>
      <c r="I70" t="s">
        <v>221</v>
      </c>
      <c r="J70" t="s">
        <v>222</v>
      </c>
    </row>
    <row r="71" spans="1:14" x14ac:dyDescent="0.35">
      <c r="A71" t="s">
        <v>210</v>
      </c>
      <c r="B71" t="s">
        <v>103</v>
      </c>
      <c r="C71">
        <v>0.25430999999999998</v>
      </c>
      <c r="D71" t="s">
        <v>214</v>
      </c>
      <c r="E71" t="s">
        <v>103</v>
      </c>
      <c r="F71">
        <v>1.333E-2</v>
      </c>
    </row>
    <row r="72" spans="1:14" x14ac:dyDescent="0.35">
      <c r="A72" t="s">
        <v>223</v>
      </c>
      <c r="B72" t="s">
        <v>103</v>
      </c>
    </row>
    <row r="74" spans="1:14" x14ac:dyDescent="0.35">
      <c r="A74" t="s">
        <v>194</v>
      </c>
      <c r="B74" t="s">
        <v>99</v>
      </c>
      <c r="C74" t="s">
        <v>197</v>
      </c>
      <c r="D74" t="s">
        <v>198</v>
      </c>
      <c r="E74" t="s">
        <v>194</v>
      </c>
      <c r="F74" t="s">
        <v>224</v>
      </c>
      <c r="G74" t="s">
        <v>86</v>
      </c>
    </row>
    <row r="75" spans="1:14" x14ac:dyDescent="0.35">
      <c r="A75" t="s">
        <v>225</v>
      </c>
      <c r="B75" t="s">
        <v>83</v>
      </c>
      <c r="C75" t="s">
        <v>86</v>
      </c>
      <c r="D75" t="s">
        <v>226</v>
      </c>
      <c r="E75" t="s">
        <v>227</v>
      </c>
      <c r="F75" t="s">
        <v>228</v>
      </c>
      <c r="G75" t="s">
        <v>229</v>
      </c>
      <c r="H75" t="s">
        <v>230</v>
      </c>
      <c r="I75" t="s">
        <v>228</v>
      </c>
      <c r="J75" t="s">
        <v>231</v>
      </c>
      <c r="K75" t="s">
        <v>232</v>
      </c>
      <c r="L75" t="s">
        <v>233</v>
      </c>
      <c r="M75" t="s">
        <v>234</v>
      </c>
      <c r="N75" t="s">
        <v>235</v>
      </c>
    </row>
    <row r="76" spans="1:14" x14ac:dyDescent="0.35">
      <c r="A76">
        <v>41</v>
      </c>
      <c r="B76">
        <v>-3.2000000000000002E-3</v>
      </c>
      <c r="C76">
        <v>6.6128</v>
      </c>
      <c r="D76">
        <v>8.5400000000000004E-2</v>
      </c>
      <c r="E76">
        <v>1.4287000000000001</v>
      </c>
      <c r="F76">
        <v>4.8899999999999999E-2</v>
      </c>
      <c r="G76">
        <v>0.26429999999999998</v>
      </c>
      <c r="H76">
        <v>0.2064</v>
      </c>
      <c r="I76">
        <v>0.1361</v>
      </c>
      <c r="J76">
        <v>7.4000000000000003E-3</v>
      </c>
      <c r="K76">
        <v>-1.0200000000000001E-2</v>
      </c>
      <c r="L76">
        <v>5.3199999999999997E-2</v>
      </c>
      <c r="M76">
        <v>0.3</v>
      </c>
    </row>
    <row r="77" spans="1:14" x14ac:dyDescent="0.35">
      <c r="A77">
        <v>42</v>
      </c>
      <c r="B77">
        <v>-2.9000000000000001E-2</v>
      </c>
      <c r="C77">
        <v>6.5972999999999997</v>
      </c>
      <c r="D77">
        <v>0.25519999999999998</v>
      </c>
      <c r="E77">
        <v>1.4287000000000001</v>
      </c>
      <c r="F77">
        <v>4.9000000000000002E-2</v>
      </c>
      <c r="G77">
        <v>0.27600000000000002</v>
      </c>
      <c r="H77">
        <v>0.2155</v>
      </c>
      <c r="I77">
        <v>2.92E-2</v>
      </c>
      <c r="J77">
        <v>7.4000000000000003E-3</v>
      </c>
      <c r="K77">
        <v>-1.0200000000000001E-2</v>
      </c>
      <c r="L77">
        <v>5.3199999999999997E-2</v>
      </c>
      <c r="M77">
        <v>0.29699999999999999</v>
      </c>
    </row>
    <row r="78" spans="1:14" x14ac:dyDescent="0.35">
      <c r="A78">
        <v>43</v>
      </c>
      <c r="B78">
        <v>-8.0500000000000002E-2</v>
      </c>
      <c r="C78">
        <v>6.5663999999999998</v>
      </c>
      <c r="D78">
        <v>0.42149999999999999</v>
      </c>
      <c r="E78">
        <v>1.4286000000000001</v>
      </c>
      <c r="F78">
        <v>4.9099999999999998E-2</v>
      </c>
      <c r="G78">
        <v>0.27800000000000002</v>
      </c>
      <c r="H78">
        <v>0.21709999999999999</v>
      </c>
      <c r="I78">
        <v>2.23E-2</v>
      </c>
      <c r="J78">
        <v>7.4000000000000003E-3</v>
      </c>
      <c r="K78">
        <v>-9.7999999999999997E-3</v>
      </c>
      <c r="L78">
        <v>5.3199999999999997E-2</v>
      </c>
      <c r="M78">
        <v>0.29499999999999998</v>
      </c>
    </row>
    <row r="79" spans="1:14" x14ac:dyDescent="0.35">
      <c r="A79">
        <v>44</v>
      </c>
      <c r="B79">
        <v>-0.1573</v>
      </c>
      <c r="C79">
        <v>6.5202999999999998</v>
      </c>
      <c r="D79">
        <v>0.58240000000000003</v>
      </c>
      <c r="E79">
        <v>1.4283999999999999</v>
      </c>
      <c r="F79">
        <v>4.9200000000000001E-2</v>
      </c>
      <c r="G79">
        <v>0.28010000000000002</v>
      </c>
      <c r="H79">
        <v>0.21870000000000001</v>
      </c>
      <c r="I79">
        <v>2.07E-2</v>
      </c>
      <c r="J79">
        <v>7.4000000000000003E-3</v>
      </c>
      <c r="K79">
        <v>-9.1999999999999998E-3</v>
      </c>
      <c r="L79">
        <v>5.2999999999999999E-2</v>
      </c>
      <c r="M79">
        <v>0.29199999999999998</v>
      </c>
    </row>
    <row r="80" spans="1:14" x14ac:dyDescent="0.35">
      <c r="A80">
        <v>45</v>
      </c>
      <c r="B80">
        <v>-0.25900000000000001</v>
      </c>
      <c r="C80">
        <v>6.4592999999999998</v>
      </c>
      <c r="D80">
        <v>0.73570000000000002</v>
      </c>
      <c r="E80">
        <v>1.4277</v>
      </c>
      <c r="F80">
        <v>4.9299999999999997E-2</v>
      </c>
      <c r="G80">
        <v>0.28270000000000001</v>
      </c>
      <c r="H80">
        <v>0.22070000000000001</v>
      </c>
      <c r="I80">
        <v>1.9900000000000001E-2</v>
      </c>
      <c r="J80">
        <v>7.4000000000000003E-3</v>
      </c>
      <c r="K80">
        <v>-8.3000000000000001E-3</v>
      </c>
      <c r="L80">
        <v>5.2699999999999997E-2</v>
      </c>
      <c r="M80">
        <v>0.28799999999999998</v>
      </c>
    </row>
    <row r="81" spans="1:13" x14ac:dyDescent="0.35">
      <c r="A81">
        <v>46</v>
      </c>
      <c r="B81">
        <v>-0.38500000000000001</v>
      </c>
      <c r="C81">
        <v>6.3837999999999999</v>
      </c>
      <c r="D81">
        <v>0.87949999999999995</v>
      </c>
      <c r="E81">
        <v>1.4263999999999999</v>
      </c>
      <c r="F81">
        <v>4.9200000000000001E-2</v>
      </c>
      <c r="G81">
        <v>0.28589999999999999</v>
      </c>
      <c r="H81">
        <v>0.22320000000000001</v>
      </c>
      <c r="I81">
        <v>1.9099999999999999E-2</v>
      </c>
      <c r="J81">
        <v>7.4999999999999997E-3</v>
      </c>
      <c r="K81">
        <v>-7.4000000000000003E-3</v>
      </c>
      <c r="L81">
        <v>5.2400000000000002E-2</v>
      </c>
      <c r="M81">
        <v>0.28299999999999997</v>
      </c>
    </row>
    <row r="82" spans="1:13" x14ac:dyDescent="0.35">
      <c r="A82">
        <v>47</v>
      </c>
      <c r="B82">
        <v>-0.5343</v>
      </c>
      <c r="C82">
        <v>6.2942</v>
      </c>
      <c r="D82">
        <v>1.012</v>
      </c>
      <c r="E82">
        <v>1.4240999999999999</v>
      </c>
      <c r="F82">
        <v>4.9099999999999998E-2</v>
      </c>
      <c r="G82">
        <v>0.28960000000000002</v>
      </c>
      <c r="H82">
        <v>0.2261</v>
      </c>
      <c r="I82">
        <v>1.8499999999999999E-2</v>
      </c>
      <c r="J82">
        <v>7.4999999999999997E-3</v>
      </c>
      <c r="K82">
        <v>-6.4000000000000003E-3</v>
      </c>
      <c r="L82">
        <v>5.21E-2</v>
      </c>
      <c r="M82">
        <v>0.27800000000000002</v>
      </c>
    </row>
    <row r="83" spans="1:13" x14ac:dyDescent="0.35">
      <c r="A83">
        <v>48</v>
      </c>
      <c r="B83">
        <v>-0.70630000000000004</v>
      </c>
      <c r="C83">
        <v>6.1910999999999996</v>
      </c>
      <c r="D83">
        <v>1.1317999999999999</v>
      </c>
      <c r="E83">
        <v>1.4206000000000001</v>
      </c>
      <c r="F83">
        <v>4.9000000000000002E-2</v>
      </c>
      <c r="G83">
        <v>0.29370000000000002</v>
      </c>
      <c r="H83">
        <v>0.22939999999999999</v>
      </c>
      <c r="I83">
        <v>1.7899999999999999E-2</v>
      </c>
      <c r="J83">
        <v>7.4999999999999997E-3</v>
      </c>
      <c r="K83">
        <v>-5.3E-3</v>
      </c>
      <c r="L83">
        <v>5.1900000000000002E-2</v>
      </c>
      <c r="M83">
        <v>0.27300000000000002</v>
      </c>
    </row>
    <row r="84" spans="1:13" x14ac:dyDescent="0.35">
      <c r="A84">
        <v>49</v>
      </c>
      <c r="B84">
        <v>-0.89970000000000006</v>
      </c>
      <c r="C84">
        <v>6.0750999999999999</v>
      </c>
      <c r="D84">
        <v>1.2376</v>
      </c>
      <c r="E84">
        <v>1.4154</v>
      </c>
      <c r="F84">
        <v>4.87E-2</v>
      </c>
      <c r="G84">
        <v>0.2984</v>
      </c>
      <c r="H84">
        <v>0.23300000000000001</v>
      </c>
      <c r="I84">
        <v>1.67E-2</v>
      </c>
      <c r="J84">
        <v>7.4999999999999997E-3</v>
      </c>
      <c r="K84">
        <v>-4.3E-3</v>
      </c>
      <c r="L84">
        <v>5.1799999999999999E-2</v>
      </c>
      <c r="M84">
        <v>0.26900000000000002</v>
      </c>
    </row>
    <row r="85" spans="1:13" x14ac:dyDescent="0.35">
      <c r="A85">
        <v>50</v>
      </c>
      <c r="B85">
        <v>-1.1133999999999999</v>
      </c>
      <c r="C85">
        <v>5.9469000000000003</v>
      </c>
      <c r="D85">
        <v>1.3283</v>
      </c>
      <c r="E85">
        <v>1.4081999999999999</v>
      </c>
      <c r="F85">
        <v>4.8399999999999999E-2</v>
      </c>
      <c r="G85">
        <v>0.30330000000000001</v>
      </c>
      <c r="H85">
        <v>0.2369</v>
      </c>
      <c r="I85">
        <v>1.6199999999999999E-2</v>
      </c>
      <c r="J85">
        <v>7.6E-3</v>
      </c>
      <c r="K85">
        <v>-3.3999999999999998E-3</v>
      </c>
      <c r="L85">
        <v>5.1799999999999999E-2</v>
      </c>
      <c r="M85">
        <v>0.26400000000000001</v>
      </c>
    </row>
    <row r="86" spans="1:13" x14ac:dyDescent="0.35">
      <c r="A86">
        <v>51</v>
      </c>
      <c r="B86">
        <v>-1.3461000000000001</v>
      </c>
      <c r="C86">
        <v>5.8072999999999997</v>
      </c>
      <c r="D86">
        <v>1.4033</v>
      </c>
      <c r="E86">
        <v>1.3986000000000001</v>
      </c>
      <c r="F86">
        <v>4.8000000000000001E-2</v>
      </c>
      <c r="G86">
        <v>0.3085</v>
      </c>
      <c r="H86">
        <v>0.2409</v>
      </c>
      <c r="I86">
        <v>1.6199999999999999E-2</v>
      </c>
      <c r="J86">
        <v>7.6E-3</v>
      </c>
      <c r="K86">
        <v>-2.5000000000000001E-3</v>
      </c>
      <c r="L86">
        <v>5.1999999999999998E-2</v>
      </c>
      <c r="M86">
        <v>0.26</v>
      </c>
    </row>
    <row r="87" spans="1:13" x14ac:dyDescent="0.35">
      <c r="A87">
        <v>52</v>
      </c>
      <c r="B87">
        <v>-1.5963000000000001</v>
      </c>
      <c r="C87">
        <v>5.6573000000000002</v>
      </c>
      <c r="D87">
        <v>1.4619</v>
      </c>
      <c r="E87">
        <v>1.3863000000000001</v>
      </c>
      <c r="F87">
        <v>4.7500000000000001E-2</v>
      </c>
      <c r="G87">
        <v>0.31390000000000001</v>
      </c>
      <c r="H87">
        <v>0.24510000000000001</v>
      </c>
      <c r="I87">
        <v>1.66E-2</v>
      </c>
      <c r="J87">
        <v>7.7000000000000002E-3</v>
      </c>
      <c r="K87">
        <v>-1.6999999999999999E-3</v>
      </c>
      <c r="L87">
        <v>5.2200000000000003E-2</v>
      </c>
      <c r="M87">
        <v>0.25700000000000001</v>
      </c>
    </row>
    <row r="88" spans="1:13" x14ac:dyDescent="0.35">
      <c r="A88">
        <v>53</v>
      </c>
      <c r="B88">
        <v>-1.8625</v>
      </c>
      <c r="C88">
        <v>5.4976000000000003</v>
      </c>
      <c r="D88">
        <v>1.5042</v>
      </c>
      <c r="E88">
        <v>1.3711</v>
      </c>
      <c r="F88">
        <v>4.6899999999999997E-2</v>
      </c>
      <c r="G88">
        <v>0.31979999999999997</v>
      </c>
      <c r="H88">
        <v>0.24970000000000001</v>
      </c>
      <c r="I88">
        <v>1.4E-2</v>
      </c>
      <c r="J88">
        <v>7.7000000000000002E-3</v>
      </c>
      <c r="K88">
        <v>-1E-3</v>
      </c>
      <c r="L88">
        <v>5.2499999999999998E-2</v>
      </c>
      <c r="M88">
        <v>0.254</v>
      </c>
    </row>
    <row r="89" spans="1:13" x14ac:dyDescent="0.35">
      <c r="A89">
        <v>54</v>
      </c>
      <c r="B89">
        <v>-2.1431</v>
      </c>
      <c r="C89">
        <v>5.3292999999999999</v>
      </c>
      <c r="D89">
        <v>1.5301</v>
      </c>
      <c r="E89">
        <v>1.3527</v>
      </c>
      <c r="F89">
        <v>4.6199999999999998E-2</v>
      </c>
      <c r="G89">
        <v>0.32529999999999998</v>
      </c>
      <c r="H89">
        <v>0.254</v>
      </c>
      <c r="I89">
        <v>1.52E-2</v>
      </c>
      <c r="J89">
        <v>7.7000000000000002E-3</v>
      </c>
      <c r="K89">
        <v>-4.0000000000000002E-4</v>
      </c>
      <c r="L89">
        <v>5.2900000000000003E-2</v>
      </c>
      <c r="M89">
        <v>0.251</v>
      </c>
    </row>
    <row r="90" spans="1:13" x14ac:dyDescent="0.35">
      <c r="A90">
        <v>55</v>
      </c>
      <c r="B90">
        <v>-2.4363000000000001</v>
      </c>
      <c r="C90">
        <v>5.1534000000000004</v>
      </c>
      <c r="D90">
        <v>1.54</v>
      </c>
      <c r="E90">
        <v>1.3307</v>
      </c>
      <c r="F90">
        <v>4.5400000000000003E-2</v>
      </c>
      <c r="G90">
        <v>0.33100000000000002</v>
      </c>
      <c r="H90">
        <v>0.25850000000000001</v>
      </c>
      <c r="I90">
        <v>1.4999999999999999E-2</v>
      </c>
      <c r="J90">
        <v>7.7999999999999996E-3</v>
      </c>
      <c r="K90">
        <v>2.0000000000000001E-4</v>
      </c>
      <c r="L90">
        <v>5.33E-2</v>
      </c>
      <c r="M90">
        <v>0.249</v>
      </c>
    </row>
    <row r="91" spans="1:13" x14ac:dyDescent="0.35">
      <c r="A91">
        <v>56</v>
      </c>
      <c r="B91">
        <v>-2.7403</v>
      </c>
      <c r="C91">
        <v>4.9710999999999999</v>
      </c>
      <c r="D91">
        <v>1.5347</v>
      </c>
      <c r="E91">
        <v>1.3051999999999999</v>
      </c>
      <c r="F91">
        <v>4.4499999999999998E-2</v>
      </c>
      <c r="G91">
        <v>0.3367</v>
      </c>
      <c r="H91">
        <v>0.26290000000000002</v>
      </c>
      <c r="I91">
        <v>1.44E-2</v>
      </c>
      <c r="J91">
        <v>7.7999999999999996E-3</v>
      </c>
      <c r="K91">
        <v>6.9999999999999999E-4</v>
      </c>
      <c r="L91">
        <v>5.3800000000000001E-2</v>
      </c>
      <c r="M91">
        <v>0.247</v>
      </c>
    </row>
    <row r="92" spans="1:13" x14ac:dyDescent="0.35">
      <c r="A92">
        <v>57</v>
      </c>
      <c r="B92">
        <v>-3.0531999999999999</v>
      </c>
      <c r="C92">
        <v>4.7834000000000003</v>
      </c>
      <c r="D92">
        <v>1.5148999999999999</v>
      </c>
      <c r="E92">
        <v>1.276</v>
      </c>
      <c r="F92">
        <v>4.3400000000000001E-2</v>
      </c>
      <c r="G92">
        <v>0.34210000000000002</v>
      </c>
      <c r="H92">
        <v>0.2671</v>
      </c>
      <c r="I92">
        <v>1.4200000000000001E-2</v>
      </c>
      <c r="J92">
        <v>7.9000000000000008E-3</v>
      </c>
      <c r="K92">
        <v>1.1000000000000001E-3</v>
      </c>
      <c r="L92">
        <v>5.4300000000000001E-2</v>
      </c>
      <c r="M92">
        <v>0.246</v>
      </c>
    </row>
    <row r="93" spans="1:13" x14ac:dyDescent="0.35">
      <c r="A93">
        <v>58</v>
      </c>
      <c r="B93">
        <v>-3.3732000000000002</v>
      </c>
      <c r="C93">
        <v>4.5914999999999999</v>
      </c>
      <c r="D93">
        <v>1.4818</v>
      </c>
      <c r="E93">
        <v>1.2431000000000001</v>
      </c>
      <c r="F93">
        <v>4.2299999999999997E-2</v>
      </c>
      <c r="G93">
        <v>0.34720000000000001</v>
      </c>
      <c r="H93">
        <v>0.2712</v>
      </c>
      <c r="I93">
        <v>1.3599999999999999E-2</v>
      </c>
      <c r="J93">
        <v>7.9000000000000008E-3</v>
      </c>
      <c r="K93">
        <v>1.5E-3</v>
      </c>
      <c r="L93">
        <v>5.4800000000000001E-2</v>
      </c>
      <c r="M93">
        <v>0.24399999999999999</v>
      </c>
    </row>
    <row r="94" spans="1:13" x14ac:dyDescent="0.35">
      <c r="A94">
        <v>59</v>
      </c>
      <c r="B94">
        <v>-3.6981999999999999</v>
      </c>
      <c r="C94">
        <v>4.3964999999999996</v>
      </c>
      <c r="D94">
        <v>1.4367000000000001</v>
      </c>
      <c r="E94">
        <v>1.2064999999999999</v>
      </c>
      <c r="F94">
        <v>4.1099999999999998E-2</v>
      </c>
      <c r="G94">
        <v>0.35220000000000001</v>
      </c>
      <c r="H94">
        <v>0.27500000000000002</v>
      </c>
      <c r="I94">
        <v>1.18E-2</v>
      </c>
      <c r="J94">
        <v>8.0000000000000002E-3</v>
      </c>
      <c r="K94">
        <v>1.8E-3</v>
      </c>
      <c r="L94">
        <v>5.5300000000000002E-2</v>
      </c>
      <c r="M94">
        <v>0.24299999999999999</v>
      </c>
    </row>
    <row r="95" spans="1:13" x14ac:dyDescent="0.35">
      <c r="A95">
        <v>60</v>
      </c>
      <c r="B95">
        <v>-4.0263</v>
      </c>
      <c r="C95">
        <v>4.1997999999999998</v>
      </c>
      <c r="D95">
        <v>1.3809</v>
      </c>
      <c r="E95">
        <v>1.1662999999999999</v>
      </c>
      <c r="F95">
        <v>3.9699999999999999E-2</v>
      </c>
      <c r="G95">
        <v>0.35659999999999997</v>
      </c>
      <c r="H95">
        <v>0.27839999999999998</v>
      </c>
      <c r="I95">
        <v>1.03E-2</v>
      </c>
      <c r="J95">
        <v>8.0000000000000002E-3</v>
      </c>
      <c r="K95">
        <v>2.0999999999999999E-3</v>
      </c>
      <c r="L95">
        <v>5.57E-2</v>
      </c>
      <c r="M95">
        <v>0.24199999999999999</v>
      </c>
    </row>
    <row r="96" spans="1:13" x14ac:dyDescent="0.35">
      <c r="A96">
        <v>61</v>
      </c>
      <c r="B96">
        <v>-4.3552999999999997</v>
      </c>
      <c r="C96">
        <v>4.0023999999999997</v>
      </c>
      <c r="D96">
        <v>1.3160000000000001</v>
      </c>
      <c r="E96">
        <v>1.1227</v>
      </c>
      <c r="F96">
        <v>3.8300000000000001E-2</v>
      </c>
      <c r="G96">
        <v>0.36009999999999998</v>
      </c>
      <c r="H96">
        <v>0.28120000000000001</v>
      </c>
      <c r="I96">
        <v>1.14E-2</v>
      </c>
      <c r="J96">
        <v>8.0999999999999996E-3</v>
      </c>
      <c r="K96">
        <v>2.3999999999999998E-3</v>
      </c>
      <c r="L96">
        <v>5.6099999999999997E-2</v>
      </c>
      <c r="M96">
        <v>0.24099999999999999</v>
      </c>
    </row>
    <row r="97" spans="1:13" x14ac:dyDescent="0.35">
      <c r="A97">
        <v>62</v>
      </c>
      <c r="B97">
        <v>-4.6833999999999998</v>
      </c>
      <c r="C97">
        <v>3.8056999999999999</v>
      </c>
      <c r="D97">
        <v>1.2436</v>
      </c>
      <c r="E97">
        <v>1.0760000000000001</v>
      </c>
      <c r="F97">
        <v>3.6900000000000002E-2</v>
      </c>
      <c r="G97">
        <v>0.36309999999999998</v>
      </c>
      <c r="H97">
        <v>0.28349999999999997</v>
      </c>
      <c r="I97">
        <v>9.5999999999999992E-3</v>
      </c>
      <c r="J97">
        <v>8.0999999999999996E-3</v>
      </c>
      <c r="K97">
        <v>2.7000000000000001E-3</v>
      </c>
      <c r="L97">
        <v>5.6300000000000003E-2</v>
      </c>
      <c r="M97">
        <v>0.24</v>
      </c>
    </row>
    <row r="98" spans="1:13" x14ac:dyDescent="0.35">
      <c r="A98">
        <v>63</v>
      </c>
      <c r="B98">
        <v>-5.0084</v>
      </c>
      <c r="C98">
        <v>3.6107</v>
      </c>
      <c r="D98">
        <v>1.1653</v>
      </c>
      <c r="E98">
        <v>1.0263</v>
      </c>
      <c r="F98">
        <v>3.5299999999999998E-2</v>
      </c>
      <c r="G98">
        <v>0.36509999999999998</v>
      </c>
      <c r="H98">
        <v>0.28510000000000002</v>
      </c>
      <c r="I98">
        <v>9.1999999999999998E-3</v>
      </c>
      <c r="J98">
        <v>8.2000000000000007E-3</v>
      </c>
      <c r="K98">
        <v>3.0000000000000001E-3</v>
      </c>
      <c r="L98">
        <v>5.6399999999999999E-2</v>
      </c>
      <c r="M98">
        <v>0.23899999999999999</v>
      </c>
    </row>
    <row r="99" spans="1:13" x14ac:dyDescent="0.35">
      <c r="A99">
        <v>64</v>
      </c>
      <c r="B99">
        <v>-5.3284000000000002</v>
      </c>
      <c r="C99">
        <v>3.4188000000000001</v>
      </c>
      <c r="D99">
        <v>1.0828</v>
      </c>
      <c r="E99">
        <v>0.97399999999999998</v>
      </c>
      <c r="F99">
        <v>3.3700000000000001E-2</v>
      </c>
      <c r="G99">
        <v>0.36599999999999999</v>
      </c>
      <c r="H99">
        <v>0.2858</v>
      </c>
      <c r="I99">
        <v>8.2000000000000007E-3</v>
      </c>
      <c r="J99">
        <v>8.2000000000000007E-3</v>
      </c>
      <c r="K99">
        <v>3.3E-3</v>
      </c>
      <c r="L99">
        <v>5.6300000000000003E-2</v>
      </c>
      <c r="M99">
        <v>0.23799999999999999</v>
      </c>
    </row>
    <row r="100" spans="1:13" x14ac:dyDescent="0.35">
      <c r="A100">
        <v>65</v>
      </c>
      <c r="B100">
        <v>-5.6413000000000002</v>
      </c>
      <c r="C100">
        <v>3.2311000000000001</v>
      </c>
      <c r="D100">
        <v>0.99750000000000005</v>
      </c>
      <c r="E100">
        <v>0.9194</v>
      </c>
      <c r="F100">
        <v>3.2099999999999997E-2</v>
      </c>
      <c r="G100">
        <v>0.3654</v>
      </c>
      <c r="H100">
        <v>0.2853</v>
      </c>
      <c r="I100">
        <v>1.04E-2</v>
      </c>
      <c r="J100">
        <v>8.3000000000000001E-3</v>
      </c>
      <c r="K100">
        <v>3.7000000000000002E-3</v>
      </c>
      <c r="L100">
        <v>5.5899999999999998E-2</v>
      </c>
      <c r="M100">
        <v>0.23699999999999999</v>
      </c>
    </row>
    <row r="101" spans="1:13" x14ac:dyDescent="0.35">
      <c r="A101">
        <v>66</v>
      </c>
      <c r="B101">
        <v>-5.9452999999999996</v>
      </c>
      <c r="C101">
        <v>3.0488</v>
      </c>
      <c r="D101">
        <v>0.91110000000000002</v>
      </c>
      <c r="E101">
        <v>0.8629</v>
      </c>
      <c r="F101">
        <v>3.0499999999999999E-2</v>
      </c>
      <c r="G101">
        <v>0.36370000000000002</v>
      </c>
      <c r="H101">
        <v>0.28399999999999997</v>
      </c>
      <c r="I101">
        <v>7.7999999999999996E-3</v>
      </c>
      <c r="J101">
        <v>8.3000000000000001E-3</v>
      </c>
      <c r="K101">
        <v>4.1000000000000003E-3</v>
      </c>
      <c r="L101">
        <v>5.5300000000000002E-2</v>
      </c>
      <c r="M101">
        <v>0.23599999999999999</v>
      </c>
    </row>
    <row r="102" spans="1:13" x14ac:dyDescent="0.35">
      <c r="A102">
        <v>67</v>
      </c>
      <c r="B102">
        <v>-6.2385000000000002</v>
      </c>
      <c r="C102">
        <v>2.8729</v>
      </c>
      <c r="D102">
        <v>0.82479999999999998</v>
      </c>
      <c r="E102">
        <v>0.80489999999999995</v>
      </c>
      <c r="F102">
        <v>2.8799999999999999E-2</v>
      </c>
      <c r="G102">
        <v>0.36</v>
      </c>
      <c r="H102">
        <v>0.28110000000000002</v>
      </c>
      <c r="I102">
        <v>7.6E-3</v>
      </c>
      <c r="J102">
        <v>8.3999999999999995E-3</v>
      </c>
      <c r="K102">
        <v>4.4999999999999997E-3</v>
      </c>
      <c r="L102">
        <v>5.4300000000000001E-2</v>
      </c>
      <c r="M102">
        <v>0.23400000000000001</v>
      </c>
    </row>
    <row r="103" spans="1:13" x14ac:dyDescent="0.35">
      <c r="A103">
        <v>68</v>
      </c>
      <c r="B103">
        <v>-6.5190999999999999</v>
      </c>
      <c r="C103">
        <v>2.7046000000000001</v>
      </c>
      <c r="D103">
        <v>0.74</v>
      </c>
      <c r="E103">
        <v>0.74570000000000003</v>
      </c>
      <c r="F103">
        <v>2.7199999999999998E-2</v>
      </c>
      <c r="G103">
        <v>0.3543</v>
      </c>
      <c r="H103">
        <v>0.2767</v>
      </c>
      <c r="I103">
        <v>7.3000000000000001E-3</v>
      </c>
      <c r="J103">
        <v>8.3999999999999995E-3</v>
      </c>
      <c r="K103">
        <v>5.1000000000000004E-3</v>
      </c>
      <c r="L103">
        <v>5.2900000000000003E-2</v>
      </c>
      <c r="M103">
        <v>0.23200000000000001</v>
      </c>
    </row>
    <row r="104" spans="1:13" x14ac:dyDescent="0.35">
      <c r="A104">
        <v>69</v>
      </c>
      <c r="B104">
        <v>-6.7853000000000003</v>
      </c>
      <c r="C104">
        <v>2.5449000000000002</v>
      </c>
      <c r="D104">
        <v>0.65769999999999995</v>
      </c>
      <c r="E104">
        <v>0.68559999999999999</v>
      </c>
      <c r="F104">
        <v>2.5600000000000001E-2</v>
      </c>
      <c r="G104">
        <v>0.3463</v>
      </c>
      <c r="H104">
        <v>0.27039999999999997</v>
      </c>
      <c r="I104">
        <v>6.4999999999999997E-3</v>
      </c>
      <c r="J104">
        <v>8.5000000000000006E-3</v>
      </c>
      <c r="K104">
        <v>5.7999999999999996E-3</v>
      </c>
      <c r="L104">
        <v>5.0999999999999997E-2</v>
      </c>
      <c r="M104">
        <v>0.22900000000000001</v>
      </c>
    </row>
    <row r="105" spans="1:13" x14ac:dyDescent="0.35">
      <c r="A105">
        <v>70</v>
      </c>
      <c r="B105">
        <v>-7.0354999999999999</v>
      </c>
      <c r="C105">
        <v>2.3948999999999998</v>
      </c>
      <c r="D105">
        <v>0.57869999999999999</v>
      </c>
      <c r="E105">
        <v>0.625</v>
      </c>
      <c r="F105">
        <v>2.41E-2</v>
      </c>
      <c r="G105">
        <v>0.33560000000000001</v>
      </c>
      <c r="H105">
        <v>0.2621</v>
      </c>
      <c r="I105">
        <v>5.1999999999999998E-3</v>
      </c>
      <c r="J105">
        <v>8.5000000000000006E-3</v>
      </c>
      <c r="K105">
        <v>6.6E-3</v>
      </c>
      <c r="L105">
        <v>4.8599999999999997E-2</v>
      </c>
      <c r="M105">
        <v>0.22500000000000001</v>
      </c>
    </row>
    <row r="106" spans="1:13" x14ac:dyDescent="0.35">
      <c r="A106">
        <v>71</v>
      </c>
      <c r="B106">
        <v>-7.2682000000000002</v>
      </c>
      <c r="C106">
        <v>2.2553000000000001</v>
      </c>
      <c r="D106">
        <v>0.50380000000000003</v>
      </c>
      <c r="E106">
        <v>0.56410000000000005</v>
      </c>
      <c r="F106">
        <v>2.2700000000000001E-2</v>
      </c>
      <c r="G106">
        <v>0.3216</v>
      </c>
      <c r="H106">
        <v>0.25119999999999998</v>
      </c>
      <c r="I106">
        <v>5.4000000000000003E-3</v>
      </c>
      <c r="J106">
        <v>8.5000000000000006E-3</v>
      </c>
      <c r="K106">
        <v>7.6E-3</v>
      </c>
      <c r="L106">
        <v>4.5600000000000002E-2</v>
      </c>
      <c r="M106">
        <v>0.22</v>
      </c>
    </row>
    <row r="107" spans="1:13" x14ac:dyDescent="0.35">
      <c r="A107">
        <v>72</v>
      </c>
      <c r="B107">
        <v>-7.4819000000000004</v>
      </c>
      <c r="C107">
        <v>2.1271</v>
      </c>
      <c r="D107">
        <v>0.43330000000000002</v>
      </c>
      <c r="E107">
        <v>0.50309999999999999</v>
      </c>
      <c r="F107">
        <v>2.1299999999999999E-2</v>
      </c>
      <c r="G107">
        <v>0.30420000000000003</v>
      </c>
      <c r="H107">
        <v>0.23760000000000001</v>
      </c>
      <c r="I107">
        <v>5.0000000000000001E-3</v>
      </c>
      <c r="J107">
        <v>8.6E-3</v>
      </c>
      <c r="K107">
        <v>8.6E-3</v>
      </c>
      <c r="L107">
        <v>4.19E-2</v>
      </c>
      <c r="M107">
        <v>0.214</v>
      </c>
    </row>
    <row r="108" spans="1:13" x14ac:dyDescent="0.35">
      <c r="A108">
        <v>73</v>
      </c>
      <c r="B108">
        <v>-7.6753</v>
      </c>
      <c r="C108">
        <v>2.0110999999999999</v>
      </c>
      <c r="D108">
        <v>0.36770000000000003</v>
      </c>
      <c r="E108">
        <v>0.44219999999999998</v>
      </c>
      <c r="F108">
        <v>1.9900000000000001E-2</v>
      </c>
      <c r="G108">
        <v>0.28289999999999998</v>
      </c>
      <c r="H108">
        <v>0.22090000000000001</v>
      </c>
      <c r="I108">
        <v>5.0000000000000001E-3</v>
      </c>
      <c r="J108">
        <v>8.6E-3</v>
      </c>
      <c r="K108">
        <v>9.7000000000000003E-3</v>
      </c>
      <c r="L108">
        <v>3.7499999999999999E-2</v>
      </c>
      <c r="M108">
        <v>0.20599999999999999</v>
      </c>
    </row>
    <row r="109" spans="1:13" x14ac:dyDescent="0.35">
      <c r="A109">
        <v>74</v>
      </c>
      <c r="B109">
        <v>-7.8472999999999997</v>
      </c>
      <c r="C109">
        <v>1.9079999999999999</v>
      </c>
      <c r="D109">
        <v>0.30680000000000002</v>
      </c>
      <c r="E109">
        <v>0.38169999999999998</v>
      </c>
      <c r="F109">
        <v>1.8599999999999998E-2</v>
      </c>
      <c r="G109">
        <v>0.25729999999999997</v>
      </c>
      <c r="H109">
        <v>0.20100000000000001</v>
      </c>
      <c r="I109">
        <v>5.1000000000000004E-3</v>
      </c>
      <c r="J109">
        <v>8.6E-3</v>
      </c>
      <c r="K109">
        <v>1.0800000000000001E-2</v>
      </c>
      <c r="L109">
        <v>3.2599999999999997E-2</v>
      </c>
      <c r="M109">
        <v>0.19600000000000001</v>
      </c>
    </row>
    <row r="110" spans="1:13" x14ac:dyDescent="0.35">
      <c r="A110">
        <v>75</v>
      </c>
      <c r="B110">
        <v>-7.9965999999999999</v>
      </c>
      <c r="C110">
        <v>1.8184</v>
      </c>
      <c r="D110">
        <v>0.2505</v>
      </c>
      <c r="E110">
        <v>0.32150000000000001</v>
      </c>
      <c r="F110">
        <v>1.7299999999999999E-2</v>
      </c>
      <c r="G110">
        <v>0.2276</v>
      </c>
      <c r="H110">
        <v>0.1777</v>
      </c>
      <c r="I110">
        <v>4.4000000000000003E-3</v>
      </c>
      <c r="J110">
        <v>8.6999999999999994E-3</v>
      </c>
      <c r="K110">
        <v>1.15E-2</v>
      </c>
      <c r="L110">
        <v>2.7199999999999998E-2</v>
      </c>
      <c r="M110">
        <v>0.185</v>
      </c>
    </row>
    <row r="111" spans="1:13" x14ac:dyDescent="0.35">
      <c r="A111">
        <v>76</v>
      </c>
      <c r="B111">
        <v>-8.1226000000000003</v>
      </c>
      <c r="C111">
        <v>1.7428999999999999</v>
      </c>
      <c r="D111">
        <v>0.19850000000000001</v>
      </c>
      <c r="E111">
        <v>0.26190000000000002</v>
      </c>
      <c r="F111">
        <v>1.61E-2</v>
      </c>
      <c r="G111">
        <v>0.19350000000000001</v>
      </c>
      <c r="H111">
        <v>0.15110000000000001</v>
      </c>
      <c r="I111">
        <v>4.7999999999999996E-3</v>
      </c>
      <c r="J111">
        <v>8.8000000000000005E-3</v>
      </c>
      <c r="K111">
        <v>1.1599999999999999E-2</v>
      </c>
      <c r="L111">
        <v>2.1600000000000001E-2</v>
      </c>
      <c r="M111">
        <v>0.17299999999999999</v>
      </c>
    </row>
    <row r="112" spans="1:13" x14ac:dyDescent="0.35">
      <c r="A112">
        <v>77</v>
      </c>
      <c r="B112">
        <v>-8.2242999999999995</v>
      </c>
      <c r="C112">
        <v>1.6819</v>
      </c>
      <c r="D112">
        <v>0.1502</v>
      </c>
      <c r="E112">
        <v>0.2029</v>
      </c>
      <c r="F112">
        <v>1.4999999999999999E-2</v>
      </c>
      <c r="G112">
        <v>0.15540000000000001</v>
      </c>
      <c r="H112">
        <v>0.12130000000000001</v>
      </c>
      <c r="I112">
        <v>5.1999999999999998E-3</v>
      </c>
      <c r="J112">
        <v>8.8999999999999999E-3</v>
      </c>
      <c r="K112">
        <v>1.09E-2</v>
      </c>
      <c r="L112">
        <v>1.61E-2</v>
      </c>
      <c r="M112">
        <v>0.161</v>
      </c>
    </row>
    <row r="113" spans="1:13" x14ac:dyDescent="0.35">
      <c r="A113">
        <v>78</v>
      </c>
      <c r="B113">
        <v>-8.3010999999999999</v>
      </c>
      <c r="C113">
        <v>1.6357999999999999</v>
      </c>
      <c r="D113">
        <v>0.105</v>
      </c>
      <c r="E113">
        <v>0.1444</v>
      </c>
      <c r="F113">
        <v>1.4200000000000001E-2</v>
      </c>
      <c r="G113">
        <v>0.1138</v>
      </c>
      <c r="H113">
        <v>8.8800000000000004E-2</v>
      </c>
      <c r="I113">
        <v>5.7000000000000002E-3</v>
      </c>
      <c r="J113">
        <v>8.9999999999999993E-3</v>
      </c>
      <c r="K113">
        <v>8.9999999999999993E-3</v>
      </c>
      <c r="L113">
        <v>1.09E-2</v>
      </c>
      <c r="M113">
        <v>0.14799999999999999</v>
      </c>
    </row>
    <row r="114" spans="1:13" x14ac:dyDescent="0.35">
      <c r="A114">
        <v>79</v>
      </c>
      <c r="B114">
        <v>-8.3526000000000007</v>
      </c>
      <c r="C114">
        <v>1.6049</v>
      </c>
      <c r="D114">
        <v>6.2100000000000002E-2</v>
      </c>
      <c r="E114">
        <v>8.6499999999999994E-2</v>
      </c>
      <c r="F114">
        <v>1.37E-2</v>
      </c>
      <c r="G114">
        <v>6.9500000000000006E-2</v>
      </c>
      <c r="H114">
        <v>5.4199999999999998E-2</v>
      </c>
      <c r="I114">
        <v>6.7000000000000002E-3</v>
      </c>
      <c r="J114">
        <v>9.1999999999999998E-3</v>
      </c>
      <c r="K114">
        <v>6.0000000000000001E-3</v>
      </c>
      <c r="L114">
        <v>6.3E-3</v>
      </c>
      <c r="M114">
        <v>0.13900000000000001</v>
      </c>
    </row>
    <row r="115" spans="1:13" x14ac:dyDescent="0.35">
      <c r="A115">
        <v>80</v>
      </c>
      <c r="B115">
        <v>-8.3783999999999992</v>
      </c>
      <c r="C115">
        <v>1.5893999999999999</v>
      </c>
      <c r="D115">
        <v>2.0500000000000001E-2</v>
      </c>
      <c r="E115">
        <v>2.8799999999999999E-2</v>
      </c>
      <c r="F115">
        <v>1.35E-2</v>
      </c>
      <c r="G115">
        <v>2.3400000000000001E-2</v>
      </c>
      <c r="H115">
        <v>1.83E-2</v>
      </c>
      <c r="I115">
        <v>8.0999999999999996E-3</v>
      </c>
      <c r="J115">
        <v>9.4000000000000004E-3</v>
      </c>
      <c r="K115">
        <v>2.0999999999999999E-3</v>
      </c>
      <c r="L115">
        <v>2.0999999999999999E-3</v>
      </c>
      <c r="M115">
        <v>0.13300000000000001</v>
      </c>
    </row>
    <row r="116" spans="1:13" x14ac:dyDescent="0.35">
      <c r="A116" t="s">
        <v>93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27A0B-6DC3-4424-9B14-B4140A560C69}">
  <sheetPr codeName="Sheet16"/>
  <dimension ref="A1:AB43"/>
  <sheetViews>
    <sheetView workbookViewId="0"/>
  </sheetViews>
  <sheetFormatPr defaultRowHeight="14.5" x14ac:dyDescent="0.35"/>
  <sheetData>
    <row r="1" spans="1:9" x14ac:dyDescent="0.35">
      <c r="A1" t="s">
        <v>45</v>
      </c>
      <c r="B1" t="s">
        <v>34</v>
      </c>
      <c r="C1" t="s">
        <v>35</v>
      </c>
      <c r="D1" t="s">
        <v>36</v>
      </c>
      <c r="E1" t="s">
        <v>38</v>
      </c>
      <c r="F1" t="s">
        <v>37</v>
      </c>
      <c r="G1" t="s">
        <v>47</v>
      </c>
      <c r="I1" t="s">
        <v>46</v>
      </c>
    </row>
    <row r="2" spans="1:9" x14ac:dyDescent="0.35">
      <c r="A2" s="18">
        <v>3000000</v>
      </c>
      <c r="B2">
        <v>-7.4000000000000003E-3</v>
      </c>
      <c r="C2">
        <v>9.8999999999999991E-3</v>
      </c>
      <c r="D2">
        <v>0.28660000000000002</v>
      </c>
      <c r="E2">
        <v>8.9499999999999996E-3</v>
      </c>
      <c r="F2">
        <v>0.59570000000000001</v>
      </c>
      <c r="G2">
        <v>9.7699999999999992E-3</v>
      </c>
      <c r="I2">
        <v>0.92921657518387979</v>
      </c>
    </row>
    <row r="3" spans="1:9" x14ac:dyDescent="0.35">
      <c r="A3" s="18">
        <v>5000000</v>
      </c>
      <c r="B3">
        <v>-2.8E-3</v>
      </c>
      <c r="C3">
        <v>9.6299999999999997E-3</v>
      </c>
      <c r="D3">
        <v>0.26169999999999999</v>
      </c>
      <c r="E3">
        <v>8.8500000000000002E-3</v>
      </c>
      <c r="F3">
        <v>0.60719999999999996</v>
      </c>
      <c r="G3">
        <v>9.5700000000000004E-3</v>
      </c>
      <c r="I3">
        <v>0.92921657518387979</v>
      </c>
    </row>
    <row r="4" spans="1:9" x14ac:dyDescent="0.35">
      <c r="A4" s="18">
        <v>10000000</v>
      </c>
      <c r="B4">
        <v>-8.9999999999999993E-3</v>
      </c>
      <c r="C4">
        <v>9.2499999999999995E-3</v>
      </c>
      <c r="D4">
        <v>0.2266</v>
      </c>
      <c r="E4">
        <v>8.6E-3</v>
      </c>
      <c r="F4">
        <v>0.60980000000000001</v>
      </c>
      <c r="G4">
        <v>9.1500000000000001E-3</v>
      </c>
      <c r="I4">
        <v>0.92921657518387979</v>
      </c>
    </row>
    <row r="5" spans="1:9" x14ac:dyDescent="0.35">
      <c r="A5" s="18">
        <v>20000000</v>
      </c>
      <c r="B5">
        <v>-4.4000000000000003E-3</v>
      </c>
      <c r="C5">
        <v>8.5299999999999994E-3</v>
      </c>
      <c r="D5">
        <v>0.1895</v>
      </c>
      <c r="E5">
        <v>8.0999999999999996E-3</v>
      </c>
      <c r="F5">
        <v>0.60970000000000002</v>
      </c>
      <c r="G5">
        <v>8.539999999999999E-3</v>
      </c>
      <c r="I5">
        <v>0.92921657518387979</v>
      </c>
    </row>
    <row r="6" spans="1:9" x14ac:dyDescent="0.35">
      <c r="A6" s="18">
        <v>40000000</v>
      </c>
      <c r="B6">
        <v>-2.0000000000000001E-4</v>
      </c>
      <c r="C6">
        <v>7.3600000000000002E-3</v>
      </c>
      <c r="D6">
        <v>0.13919999999999999</v>
      </c>
      <c r="E6">
        <v>7.1000000000000004E-3</v>
      </c>
      <c r="F6">
        <v>0.60719999999999996</v>
      </c>
      <c r="G6">
        <v>7.4800000000000005E-3</v>
      </c>
      <c r="I6">
        <v>0.92921657518387979</v>
      </c>
    </row>
    <row r="7" spans="1:9" x14ac:dyDescent="0.35">
      <c r="A7" s="18">
        <v>60000000</v>
      </c>
      <c r="B7">
        <v>-0.01</v>
      </c>
      <c r="C7">
        <v>6.3700000000000007E-3</v>
      </c>
      <c r="D7">
        <v>0.15340000000000001</v>
      </c>
      <c r="E7">
        <v>6.1000000000000004E-3</v>
      </c>
      <c r="F7">
        <v>0.60029999999999994</v>
      </c>
      <c r="G7">
        <v>6.4400000000000004E-3</v>
      </c>
      <c r="I7">
        <v>0.92921657518387979</v>
      </c>
    </row>
    <row r="8" spans="1:9" x14ac:dyDescent="0.35">
      <c r="A8" s="18"/>
    </row>
    <row r="17" spans="1:26" x14ac:dyDescent="0.35">
      <c r="B17" t="s">
        <v>34</v>
      </c>
      <c r="C17" t="s">
        <v>35</v>
      </c>
      <c r="D17" t="s">
        <v>36</v>
      </c>
      <c r="E17" t="s">
        <v>38</v>
      </c>
      <c r="F17" t="s">
        <v>37</v>
      </c>
      <c r="G17" t="s">
        <v>47</v>
      </c>
      <c r="I17" t="s">
        <v>243</v>
      </c>
    </row>
    <row r="18" spans="1:26" x14ac:dyDescent="0.35">
      <c r="A18" t="s">
        <v>90</v>
      </c>
      <c r="B18" s="18">
        <v>-6.9999999999999997E-18</v>
      </c>
      <c r="C18" s="18">
        <v>3.9999999999999999E-19</v>
      </c>
      <c r="D18" s="18">
        <v>8.0000000000000006E-17</v>
      </c>
      <c r="E18" s="18">
        <v>1.0000000000000001E-32</v>
      </c>
      <c r="F18" s="18">
        <v>-1.0000000000000001E-17</v>
      </c>
      <c r="G18" s="18">
        <v>2E-19</v>
      </c>
      <c r="I18">
        <f>AVERAGE(I2:I12)</f>
        <v>0.92921657518387979</v>
      </c>
    </row>
    <row r="19" spans="1:26" x14ac:dyDescent="0.35">
      <c r="A19" t="s">
        <v>91</v>
      </c>
      <c r="B19" s="18">
        <v>4.0000000000000001E-10</v>
      </c>
      <c r="C19" s="18">
        <v>-7.9999999999999995E-11</v>
      </c>
      <c r="D19" s="18">
        <v>-6.9999999999999998E-9</v>
      </c>
      <c r="E19" s="18">
        <v>-5.0000000000000002E-11</v>
      </c>
      <c r="F19" s="18">
        <v>6.9999999999999996E-10</v>
      </c>
      <c r="G19" s="18">
        <v>-7.0000000000000004E-11</v>
      </c>
    </row>
    <row r="20" spans="1:26" x14ac:dyDescent="0.35">
      <c r="A20" t="s">
        <v>92</v>
      </c>
      <c r="B20">
        <v>-8.6E-3</v>
      </c>
      <c r="C20">
        <v>1.01E-2</v>
      </c>
      <c r="D20">
        <v>0.29980000000000001</v>
      </c>
      <c r="E20">
        <v>9.1000000000000004E-3</v>
      </c>
      <c r="F20">
        <v>0.59989999999999999</v>
      </c>
      <c r="G20">
        <v>9.9000000000000008E-3</v>
      </c>
    </row>
    <row r="29" spans="1:26" x14ac:dyDescent="0.35">
      <c r="W29" t="s">
        <v>45</v>
      </c>
      <c r="X29" t="s">
        <v>281</v>
      </c>
      <c r="Y29" t="s">
        <v>280</v>
      </c>
      <c r="Z29" t="s">
        <v>282</v>
      </c>
    </row>
    <row r="30" spans="1:26" x14ac:dyDescent="0.35">
      <c r="W30" s="18">
        <v>3000000</v>
      </c>
      <c r="X30">
        <v>8.1200000000000005E-3</v>
      </c>
      <c r="Y30" s="31">
        <f>W30*'A_CDCL(Re)'!$C$10+'A_CDCL(Re)'!$C$11</f>
        <v>8.9499999999999996E-3</v>
      </c>
      <c r="Z30" s="31">
        <f>Y30-X30</f>
        <v>8.2999999999999914E-4</v>
      </c>
    </row>
    <row r="31" spans="1:26" x14ac:dyDescent="0.35">
      <c r="W31" s="18">
        <v>5000000</v>
      </c>
      <c r="X31">
        <v>7.45E-3</v>
      </c>
      <c r="Y31" s="31">
        <f>W31*'A_CDCL(Re)'!$C$10+'A_CDCL(Re)'!$C$11</f>
        <v>8.8500000000000002E-3</v>
      </c>
      <c r="Z31" s="31">
        <f t="shared" ref="Z31:Z35" si="0">Y31-X31</f>
        <v>1.4000000000000002E-3</v>
      </c>
    </row>
    <row r="32" spans="1:26" x14ac:dyDescent="0.35">
      <c r="W32" s="18">
        <v>10000000</v>
      </c>
      <c r="X32">
        <v>6.6600000000000001E-3</v>
      </c>
      <c r="Y32" s="31">
        <f>W32*'A_CDCL(Re)'!$C$10+'A_CDCL(Re)'!$C$11</f>
        <v>8.6E-3</v>
      </c>
      <c r="Z32" s="31">
        <f t="shared" si="0"/>
        <v>1.9399999999999999E-3</v>
      </c>
    </row>
    <row r="33" spans="23:28" x14ac:dyDescent="0.35">
      <c r="W33" s="18">
        <v>20000000</v>
      </c>
      <c r="X33">
        <v>5.9800000000000001E-3</v>
      </c>
      <c r="Y33" s="31">
        <f>W33*'A_CDCL(Re)'!$C$10+'A_CDCL(Re)'!$C$11</f>
        <v>8.0999999999999996E-3</v>
      </c>
      <c r="Z33" s="31">
        <f t="shared" si="0"/>
        <v>2.1199999999999995E-3</v>
      </c>
    </row>
    <row r="34" spans="23:28" x14ac:dyDescent="0.35">
      <c r="W34">
        <v>40000000</v>
      </c>
      <c r="X34">
        <v>5.4000000000000003E-3</v>
      </c>
      <c r="Y34" s="31">
        <f>W34*'A_CDCL(Re)'!$C$10+'A_CDCL(Re)'!$C$11</f>
        <v>7.1000000000000004E-3</v>
      </c>
      <c r="Z34" s="31">
        <f t="shared" si="0"/>
        <v>1.7000000000000001E-3</v>
      </c>
    </row>
    <row r="35" spans="23:28" x14ac:dyDescent="0.35">
      <c r="W35">
        <v>60000000</v>
      </c>
      <c r="X35">
        <v>5.0899999999999999E-3</v>
      </c>
      <c r="Y35" s="31">
        <f>W35*'A_CDCL(Re)'!$C$10+'A_CDCL(Re)'!$C$11</f>
        <v>6.1000000000000004E-3</v>
      </c>
      <c r="Z35" s="31">
        <f t="shared" si="0"/>
        <v>1.0100000000000005E-3</v>
      </c>
    </row>
    <row r="37" spans="23:28" x14ac:dyDescent="0.35">
      <c r="W37" s="8" t="s">
        <v>35</v>
      </c>
      <c r="X37" s="7" t="s">
        <v>283</v>
      </c>
      <c r="Y37" s="8" t="s">
        <v>38</v>
      </c>
      <c r="Z37" s="7" t="s">
        <v>284</v>
      </c>
      <c r="AA37" s="8" t="s">
        <v>47</v>
      </c>
      <c r="AB37" s="8" t="s">
        <v>285</v>
      </c>
    </row>
    <row r="38" spans="23:28" x14ac:dyDescent="0.35">
      <c r="W38">
        <v>9.0699999999999999E-3</v>
      </c>
      <c r="X38" s="6">
        <f>W38+Z30</f>
        <v>9.8999999999999991E-3</v>
      </c>
      <c r="Y38">
        <v>8.1200000000000005E-3</v>
      </c>
      <c r="Z38" s="6">
        <f>Y38+Z30</f>
        <v>8.9499999999999996E-3</v>
      </c>
      <c r="AA38">
        <v>8.94E-3</v>
      </c>
      <c r="AB38">
        <f>AA38+Z30</f>
        <v>9.7699999999999992E-3</v>
      </c>
    </row>
    <row r="39" spans="23:28" x14ac:dyDescent="0.35">
      <c r="W39">
        <v>8.2299999999999995E-3</v>
      </c>
      <c r="X39" s="6">
        <f t="shared" ref="X39:X43" si="1">W39+Z31</f>
        <v>9.6299999999999997E-3</v>
      </c>
      <c r="Y39">
        <v>7.45E-3</v>
      </c>
      <c r="Z39" s="6">
        <f t="shared" ref="Z39:Z43" si="2">Y39+Z31</f>
        <v>8.8500000000000002E-3</v>
      </c>
      <c r="AA39">
        <v>8.1700000000000002E-3</v>
      </c>
      <c r="AB39">
        <f t="shared" ref="AB39:AB43" si="3">AA39+Z31</f>
        <v>9.5700000000000004E-3</v>
      </c>
    </row>
    <row r="40" spans="23:28" x14ac:dyDescent="0.35">
      <c r="W40">
        <v>7.3099999999999997E-3</v>
      </c>
      <c r="X40" s="6">
        <f t="shared" si="1"/>
        <v>9.2499999999999995E-3</v>
      </c>
      <c r="Y40">
        <v>6.6600000000000001E-3</v>
      </c>
      <c r="Z40" s="6">
        <f t="shared" si="2"/>
        <v>8.6E-3</v>
      </c>
      <c r="AA40">
        <v>7.2100000000000003E-3</v>
      </c>
      <c r="AB40">
        <f t="shared" si="3"/>
        <v>9.1500000000000001E-3</v>
      </c>
    </row>
    <row r="41" spans="23:28" x14ac:dyDescent="0.35">
      <c r="W41">
        <v>6.4099999999999999E-3</v>
      </c>
      <c r="X41" s="6">
        <f t="shared" si="1"/>
        <v>8.5299999999999994E-3</v>
      </c>
      <c r="Y41">
        <v>5.9800000000000001E-3</v>
      </c>
      <c r="Z41" s="6">
        <f t="shared" si="2"/>
        <v>8.0999999999999996E-3</v>
      </c>
      <c r="AA41">
        <v>6.4200000000000004E-3</v>
      </c>
      <c r="AB41">
        <f t="shared" si="3"/>
        <v>8.539999999999999E-3</v>
      </c>
    </row>
    <row r="42" spans="23:28" x14ac:dyDescent="0.35">
      <c r="W42">
        <v>5.6600000000000001E-3</v>
      </c>
      <c r="X42" s="6">
        <f t="shared" si="1"/>
        <v>7.3600000000000002E-3</v>
      </c>
      <c r="Y42">
        <v>5.4000000000000003E-3</v>
      </c>
      <c r="Z42" s="6">
        <f t="shared" si="2"/>
        <v>7.1000000000000004E-3</v>
      </c>
      <c r="AA42">
        <v>5.7800000000000004E-3</v>
      </c>
      <c r="AB42">
        <f t="shared" si="3"/>
        <v>7.4800000000000005E-3</v>
      </c>
    </row>
    <row r="43" spans="23:28" x14ac:dyDescent="0.35">
      <c r="W43">
        <v>5.3600000000000002E-3</v>
      </c>
      <c r="X43" s="6">
        <f t="shared" si="1"/>
        <v>6.3700000000000007E-3</v>
      </c>
      <c r="Y43">
        <v>5.0899999999999999E-3</v>
      </c>
      <c r="Z43" s="6">
        <f t="shared" si="2"/>
        <v>6.1000000000000004E-3</v>
      </c>
      <c r="AA43">
        <v>5.4299999999999999E-3</v>
      </c>
      <c r="AB43">
        <f t="shared" si="3"/>
        <v>6.4400000000000004E-3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22DD37-39C9-4952-8BA3-BF4D7FC37FD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</vt:i4>
      </vt:variant>
    </vt:vector>
  </HeadingPairs>
  <TitlesOfParts>
    <vt:vector size="31" baseType="lpstr">
      <vt:lpstr>T1_Re200 000_M0 84_N5 0_XtrTop </vt:lpstr>
      <vt:lpstr>T1_Re160 000_M0 84_N5 0_XtrTop </vt:lpstr>
      <vt:lpstr>T1_Re120 000_M0 84_N5 0_XtrTop </vt:lpstr>
      <vt:lpstr>T1_Re100 000_M0 84_N5 0_XtrTop </vt:lpstr>
      <vt:lpstr>T1_Re80 000_M0 84_N5 0_XtrTop 5</vt:lpstr>
      <vt:lpstr>T1_Re60 000_M0 84_N5 0_XtrTop 5</vt:lpstr>
      <vt:lpstr>T1_Re40 000_M0 84_N5 0_XtrTop 5</vt:lpstr>
      <vt:lpstr>T1_Re20 000_M0 84_N5 0_XtrTop 5</vt:lpstr>
      <vt:lpstr>T1_Re10 000_M0 84_N5 0_XtrTop 5</vt:lpstr>
      <vt:lpstr>T1_Re5 000_M0 84_N5 0_XtrTop 5%</vt:lpstr>
      <vt:lpstr>T1_Re3 000_M0 84_N5 0_XtrTop 5%</vt:lpstr>
      <vt:lpstr>T1_Re2 000_M0 84_N5 0_XtrTop 5%</vt:lpstr>
      <vt:lpstr>T1_Re1 000_M0 84_N5 0_XtrTop 5%</vt:lpstr>
      <vt:lpstr>polar1</vt:lpstr>
      <vt:lpstr>polar2</vt:lpstr>
      <vt:lpstr>polar4</vt:lpstr>
      <vt:lpstr>polar8</vt:lpstr>
      <vt:lpstr>CDCL</vt:lpstr>
      <vt:lpstr>A_CDCL</vt:lpstr>
      <vt:lpstr>A_CDCL(Re)</vt:lpstr>
      <vt:lpstr>Study_1</vt:lpstr>
      <vt:lpstr>Study_2</vt:lpstr>
      <vt:lpstr>Study_3</vt:lpstr>
      <vt:lpstr>Study_4</vt:lpstr>
      <vt:lpstr>Study_5</vt:lpstr>
      <vt:lpstr>Variables</vt:lpstr>
      <vt:lpstr>BuildAVL</vt:lpstr>
      <vt:lpstr>CruiseCDCL</vt:lpstr>
      <vt:lpstr>CruiseST</vt:lpstr>
      <vt:lpstr>CruiseFS</vt:lpstr>
      <vt:lpstr>CDCL(Re)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Sheridan</dc:creator>
  <cp:lastModifiedBy>Sheridan, Thomas</cp:lastModifiedBy>
  <dcterms:created xsi:type="dcterms:W3CDTF">2025-07-12T21:32:17Z</dcterms:created>
  <dcterms:modified xsi:type="dcterms:W3CDTF">2025-10-04T18:36:29Z</dcterms:modified>
</cp:coreProperties>
</file>