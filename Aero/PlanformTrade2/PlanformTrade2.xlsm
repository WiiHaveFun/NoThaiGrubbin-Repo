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2\"/>
    </mc:Choice>
  </mc:AlternateContent>
  <xr:revisionPtr revIDLastSave="0" documentId="13_ncr:1_{A7A2A5D3-6F38-465E-8075-7D167E24B2D6}" xr6:coauthVersionLast="47" xr6:coauthVersionMax="47" xr10:uidLastSave="{00000000-0000-0000-0000-000000000000}"/>
  <bookViews>
    <workbookView xWindow="-110" yWindow="-110" windowWidth="19420" windowHeight="11500" tabRatio="822" firstSheet="1" activeTab="1" xr2:uid="{D7FE38CE-8B6A-4834-9BB6-A7F65CAE4A07}"/>
  </bookViews>
  <sheets>
    <sheet name="CDCL" sheetId="16" state="hidden" r:id="rId1"/>
    <sheet name="Main" sheetId="92" r:id="rId2"/>
    <sheet name="Tail Sizing" sheetId="94" r:id="rId3"/>
    <sheet name="BuildAVL" sheetId="3" r:id="rId4"/>
    <sheet name="CDCL(Re)" sheetId="6" r:id="rId5"/>
    <sheet name="Tail Drag" sheetId="93" r:id="rId6"/>
    <sheet name="CruiseCDCL" sheetId="27" r:id="rId7"/>
    <sheet name="CruiseST" sheetId="4" r:id="rId8"/>
    <sheet name="CruiseFS" sheetId="5" r:id="rId9"/>
  </sheets>
  <functionGroups builtInGroupCount="19"/>
  <externalReferences>
    <externalReference r:id="rId10"/>
  </externalReferences>
  <definedNames>
    <definedName name="solver_adj" localSheetId="0" hidden="1">CDCL!$G$8,CDCL!$G$12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CDCL!$G$12</definedName>
    <definedName name="solver_lhs2" localSheetId="0" hidden="1">CDCL!$G$12</definedName>
    <definedName name="solver_lhs3" localSheetId="0" hidden="1">CDCL!$G$8</definedName>
    <definedName name="solver_lhs4" localSheetId="0" hidden="1">CDCL!$G$8</definedName>
    <definedName name="solver_lhs5" localSheetId="0" hidden="1">CDCL!$G$8</definedName>
    <definedName name="solver_lhs6" localSheetId="0" hidden="1">CDCL!$G$8</definedName>
    <definedName name="solver_lhs7" localSheetId="0" hidden="1">CDCL!$G$8</definedName>
    <definedName name="solver_lhs8" localSheetId="0" hidden="1">CDCL!$G$8</definedName>
    <definedName name="solver_lhs9" localSheetId="0" hidden="1">CDCL!$G$8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CDCL!$G$12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4</definedName>
    <definedName name="solver_rel3" localSheetId="0" hidden="1">1</definedName>
    <definedName name="solver_rel4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CDCL!$G$28</definedName>
    <definedName name="solver_rhs2" localSheetId="0" hidden="1">"integer"</definedName>
    <definedName name="solver_rhs3" localSheetId="0" hidden="1">CDCL!$G$12-1</definedName>
    <definedName name="solver_rhs4" localSheetId="0" hidden="1">"integer"</definedName>
    <definedName name="solver_rhs5" localSheetId="0" hidden="1">1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7" i="5" l="1"/>
  <c r="K210" i="5"/>
  <c r="C7" i="4"/>
  <c r="C5" i="93"/>
  <c r="F21" i="92"/>
  <c r="F2" i="92"/>
  <c r="F14" i="92"/>
  <c r="F13" i="92"/>
  <c r="F7" i="92"/>
  <c r="F5" i="92"/>
  <c r="F6" i="92" s="1"/>
  <c r="F8" i="92" l="1"/>
  <c r="F9" i="92" s="1"/>
  <c r="D17" i="27" l="1"/>
  <c r="D13" i="27"/>
  <c r="D9" i="27"/>
  <c r="D5" i="27"/>
  <c r="R6" i="3"/>
  <c r="N6" i="3"/>
  <c r="B6" i="94"/>
  <c r="F6" i="94"/>
  <c r="F7" i="94" s="1"/>
  <c r="C35" i="94"/>
  <c r="B3" i="94"/>
  <c r="F2" i="94" s="1"/>
  <c r="C67" i="94"/>
  <c r="B67" i="94"/>
  <c r="C61" i="94"/>
  <c r="B61" i="94"/>
  <c r="B56" i="94"/>
  <c r="B60" i="94" s="1"/>
  <c r="B66" i="94" s="1"/>
  <c r="C55" i="94"/>
  <c r="B55" i="94"/>
  <c r="C49" i="94"/>
  <c r="B49" i="94"/>
  <c r="B47" i="94"/>
  <c r="B53" i="94" s="1"/>
  <c r="B44" i="94"/>
  <c r="C43" i="94"/>
  <c r="B43" i="94"/>
  <c r="B7" i="94"/>
  <c r="B22" i="3"/>
  <c r="B5" i="3"/>
  <c r="B7" i="3"/>
  <c r="C21" i="3"/>
  <c r="B17" i="3"/>
  <c r="B14" i="3"/>
  <c r="F27" i="3"/>
  <c r="B18" i="3" s="1"/>
  <c r="F20" i="3"/>
  <c r="F30" i="3"/>
  <c r="C18" i="3" s="1"/>
  <c r="B11" i="92"/>
  <c r="B25" i="92" s="1"/>
  <c r="B1" i="94" l="1"/>
  <c r="B8" i="94" s="1"/>
  <c r="B36" i="94"/>
  <c r="B37" i="94" s="1"/>
  <c r="B41" i="94" s="1"/>
  <c r="F3" i="94"/>
  <c r="B59" i="94"/>
  <c r="B65" i="94" s="1"/>
  <c r="B62" i="94"/>
  <c r="B48" i="94"/>
  <c r="B54" i="94" s="1"/>
  <c r="B50" i="94"/>
  <c r="F16" i="3"/>
  <c r="B3" i="3"/>
  <c r="B4" i="3"/>
  <c r="B2" i="94" s="1"/>
  <c r="F8" i="94" s="1"/>
  <c r="C13" i="3"/>
  <c r="B26" i="92"/>
  <c r="F23" i="3"/>
  <c r="B11" i="94" l="1"/>
  <c r="B16" i="94" s="1"/>
  <c r="B29" i="94" s="1"/>
  <c r="C7" i="93"/>
  <c r="F16" i="94"/>
  <c r="F7" i="93"/>
  <c r="B57" i="94"/>
  <c r="B40" i="94"/>
  <c r="B68" i="94"/>
  <c r="F10" i="94"/>
  <c r="F17" i="94"/>
  <c r="B45" i="94" s="1"/>
  <c r="N13" i="3" s="1"/>
  <c r="F29" i="94"/>
  <c r="B19" i="94"/>
  <c r="C14" i="3"/>
  <c r="F22" i="3" s="1"/>
  <c r="A13" i="27" s="1"/>
  <c r="F29" i="3"/>
  <c r="A17" i="27" s="1"/>
  <c r="C22" i="3"/>
  <c r="F19" i="3" s="1"/>
  <c r="F15" i="3"/>
  <c r="A9" i="27" s="1"/>
  <c r="F8" i="3" l="1"/>
  <c r="A5" i="27" s="1"/>
  <c r="C56" i="94"/>
  <c r="R5" i="3" s="1"/>
  <c r="R8" i="3"/>
  <c r="B58" i="94"/>
  <c r="B64" i="94" s="1"/>
  <c r="R14" i="3"/>
  <c r="R13" i="3"/>
  <c r="C9" i="27"/>
  <c r="B9" i="27"/>
  <c r="G9" i="27"/>
  <c r="F9" i="27"/>
  <c r="E9" i="27"/>
  <c r="G5" i="27"/>
  <c r="E5" i="27"/>
  <c r="C5" i="27"/>
  <c r="F5" i="27"/>
  <c r="B5" i="27"/>
  <c r="G13" i="27"/>
  <c r="F13" i="27"/>
  <c r="E13" i="27"/>
  <c r="C13" i="27"/>
  <c r="B13" i="27"/>
  <c r="G17" i="27"/>
  <c r="F17" i="27"/>
  <c r="E17" i="27"/>
  <c r="C17" i="27"/>
  <c r="B17" i="27"/>
  <c r="B63" i="94"/>
  <c r="F19" i="94"/>
  <c r="B20" i="94"/>
  <c r="R15" i="3" s="1"/>
  <c r="B28" i="94"/>
  <c r="C2" i="93" s="1"/>
  <c r="C4" i="93" s="1"/>
  <c r="B46" i="94"/>
  <c r="B52" i="94" s="1"/>
  <c r="B51" i="94"/>
  <c r="F26" i="3"/>
  <c r="C36" i="94" s="1"/>
  <c r="O5" i="94" s="1"/>
  <c r="F12" i="3"/>
  <c r="F5" i="3"/>
  <c r="C38" i="94" s="1"/>
  <c r="C44" i="94" l="1"/>
  <c r="C47" i="94" s="1"/>
  <c r="C53" i="94" s="1"/>
  <c r="N8" i="3"/>
  <c r="F28" i="94"/>
  <c r="F2" i="93" s="1"/>
  <c r="F4" i="93" s="1"/>
  <c r="F20" i="94"/>
  <c r="C39" i="94"/>
  <c r="C42" i="94"/>
  <c r="C40" i="94"/>
  <c r="C37" i="94"/>
  <c r="C41" i="94" s="1"/>
  <c r="C68" i="94"/>
  <c r="B24" i="94"/>
  <c r="O7" i="94" s="1"/>
  <c r="C8" i="93" s="1"/>
  <c r="C60" i="94"/>
  <c r="C66" i="94" s="1"/>
  <c r="C59" i="94"/>
  <c r="C65" i="94" s="1"/>
  <c r="C57" i="94"/>
  <c r="R12" i="3" s="1"/>
  <c r="C62" i="94"/>
  <c r="N5" i="3" l="1"/>
  <c r="C48" i="94"/>
  <c r="C54" i="94" s="1"/>
  <c r="C50" i="94"/>
  <c r="F24" i="94"/>
  <c r="N15" i="3"/>
  <c r="C45" i="94"/>
  <c r="N12" i="3" s="1"/>
  <c r="C58" i="94"/>
  <c r="C64" i="94" s="1"/>
  <c r="C63" i="94"/>
  <c r="C46" i="94" l="1"/>
  <c r="C52" i="94" s="1"/>
  <c r="O6" i="94"/>
  <c r="C51" i="94"/>
  <c r="D20" i="6"/>
  <c r="I20" i="6"/>
  <c r="A9" i="6"/>
  <c r="A8" i="6"/>
  <c r="A7" i="6"/>
  <c r="A6" i="6"/>
  <c r="A5" i="6"/>
  <c r="A4" i="6"/>
  <c r="A3" i="6"/>
  <c r="A2" i="6"/>
  <c r="F5" i="93" l="1"/>
  <c r="F8" i="93" s="1"/>
  <c r="C10" i="93" s="1"/>
  <c r="F17" i="92" s="1"/>
  <c r="F20" i="92" s="1"/>
  <c r="F22" i="92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D4" i="16" a="1"/>
  <c r="B4" i="16" a="1"/>
  <c r="A4" i="16" a="1"/>
  <c r="G30" i="16" l="1"/>
  <c r="G31" i="16" s="1"/>
  <c r="G32" i="16" s="1"/>
  <c r="AC34" i="16" s="1"/>
  <c r="A4" i="16"/>
  <c r="B4" i="16"/>
  <c r="D4" i="16"/>
  <c r="G5" i="16" l="1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<sst xmlns="http://schemas.openxmlformats.org/spreadsheetml/2006/main" count="1447" uniqueCount="382">
  <si>
    <t>alpha</t>
  </si>
  <si>
    <t>CL</t>
  </si>
  <si>
    <t>CD</t>
  </si>
  <si>
    <t>CDp</t>
  </si>
  <si>
    <t>Cm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</si>
  <si>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</si>
  <si>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</si>
  <si>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</si>
  <si>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</si>
  <si>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</si>
  <si>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</si>
  <si>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</si>
  <si>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</si>
  <si>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</si>
  <si>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</si>
  <si>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</si>
  <si>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</si>
  <si>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</si>
  <si>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</si>
  <si>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</si>
  <si>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</si>
  <si>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</si>
  <si>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</si>
  <si>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</si>
  <si>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</si>
  <si>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</si>
  <si>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</si>
  <si>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</si>
  <si>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</si>
  <si>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</si>
  <si>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</si>
  <si>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</si>
  <si>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</si>
  <si>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</si>
  <si>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</si>
  <si>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</si>
  <si>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</si>
  <si>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</si>
  <si>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</si>
  <si>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</si>
  <si>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</si>
  <si>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</si>
  <si>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</si>
  <si>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</si>
  <si>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m^2</t>
  </si>
  <si>
    <t>m</t>
  </si>
  <si>
    <t>Point</t>
  </si>
  <si>
    <t>X</t>
  </si>
  <si>
    <t>Y</t>
  </si>
  <si>
    <t>Density</t>
  </si>
  <si>
    <t>kg/m^3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</si>
  <si>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</si>
  <si>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</si>
  <si>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</si>
  <si>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</si>
  <si>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</si>
  <si>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</si>
  <si>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</si>
  <si>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</si>
  <si>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</si>
  <si>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</si>
  <si>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</si>
  <si>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</si>
  <si>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</si>
  <si>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</si>
  <si>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</si>
  <si>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</si>
  <si>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</si>
  <si>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</si>
  <si>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</si>
  <si>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</si>
  <si>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</si>
  <si>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</si>
  <si>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</si>
  <si>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</si>
  <si>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</si>
  <si>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</si>
  <si>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</si>
  <si>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</si>
  <si>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</si>
  <si>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</si>
  <si>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</si>
  <si>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</si>
  <si>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</si>
  <si>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</si>
  <si>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</si>
  <si>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</si>
  <si>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</si>
  <si>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</si>
  <si>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</si>
  <si>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</si>
  <si>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</si>
  <si>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</si>
  <si>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</si>
  <si>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</si>
  <si>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</si>
  <si>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</si>
  <si>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</si>
  <si>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</si>
  <si>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</si>
  <si>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</si>
  <si>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</si>
  <si>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</si>
  <si>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</si>
  <si>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</si>
  <si>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</si>
  <si>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</si>
  <si>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</si>
  <si>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</si>
  <si>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</si>
  <si>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</si>
  <si>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</si>
  <si>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</si>
  <si>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</si>
  <si>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</si>
  <si>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</si>
  <si>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</si>
  <si>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</si>
  <si>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</si>
  <si>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</si>
  <si>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</si>
  <si>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</si>
  <si>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</si>
  <si>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</si>
  <si>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</si>
  <si>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</si>
  <si>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</si>
  <si>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</si>
  <si>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</si>
  <si>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</si>
  <si>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</si>
  <si>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</si>
  <si>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</si>
  <si>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</si>
  <si>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</si>
  <si>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</si>
  <si>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</si>
  <si>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</si>
  <si>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</si>
  <si>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</si>
  <si>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</si>
  <si>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</si>
  <si>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</si>
  <si>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</si>
  <si>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</si>
  <si>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</si>
  <si>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</si>
  <si>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</si>
  <si>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</si>
  <si>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</si>
  <si>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</si>
  <si>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</si>
  <si>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</si>
  <si>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</si>
  <si>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</si>
  <si>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</si>
  <si>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</si>
  <si>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</si>
  <si>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</si>
  <si>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</si>
  <si>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</si>
  <si>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</si>
  <si>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</si>
  <si>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</si>
  <si>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</si>
  <si>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</si>
  <si>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</si>
  <si>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</si>
  <si>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</si>
  <si>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</si>
  <si>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</si>
  <si>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</si>
  <si>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</si>
  <si>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</si>
  <si>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</si>
  <si>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</si>
  <si>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</si>
  <si>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</si>
  <si>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</si>
  <si>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</si>
  <si>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</si>
  <si>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</si>
  <si>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</si>
  <si>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</si>
  <si>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</si>
  <si>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</si>
  <si>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</si>
  <si>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</si>
  <si>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</si>
  <si>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</si>
  <si>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</si>
  <si>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</si>
  <si>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</si>
  <si>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</si>
  <si>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</si>
  <si>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</si>
  <si>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</si>
  <si>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</si>
  <si>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</si>
  <si>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</si>
  <si>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</si>
  <si>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</si>
  <si>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</si>
  <si>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</si>
  <si>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</si>
  <si>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</si>
  <si>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</si>
  <si>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</si>
  <si>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Taper</t>
  </si>
  <si>
    <t>Slope (deg)</t>
  </si>
  <si>
    <t>Slope (rad)</t>
  </si>
  <si>
    <t>Sweep</t>
  </si>
  <si>
    <t>Viscosity</t>
  </si>
  <si>
    <t>Velocity</t>
  </si>
  <si>
    <t>/</t>
  </si>
  <si>
    <t>(</t>
  </si>
  <si>
    <t>&gt;</t>
  </si>
  <si>
    <t>if</t>
  </si>
  <si>
    <t>spirally</t>
  </si>
  <si>
    <t>stable</t>
  </si>
  <si>
    <t>)</t>
  </si>
  <si>
    <t>Outputs</t>
  </si>
  <si>
    <t>M_DD</t>
  </si>
  <si>
    <t>K</t>
  </si>
  <si>
    <t>t/c</t>
  </si>
  <si>
    <t>M_crit</t>
  </si>
  <si>
    <t>M_cruise</t>
  </si>
  <si>
    <t>Above?</t>
  </si>
  <si>
    <t>Twist</t>
  </si>
  <si>
    <t>polar8</t>
  </si>
  <si>
    <t>CDw_0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</si>
  <si>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</si>
  <si>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</si>
  <si>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</si>
  <si>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</si>
  <si>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</si>
  <si>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</si>
  <si>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</si>
  <si>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</si>
  <si>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</si>
  <si>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</si>
  <si>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</si>
  <si>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</si>
  <si>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</si>
  <si>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</si>
  <si>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</si>
  <si>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</si>
  <si>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</si>
  <si>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</si>
  <si>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</si>
  <si>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</si>
  <si>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</si>
  <si>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</si>
  <si>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</si>
  <si>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</si>
  <si>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</si>
  <si>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</si>
  <si>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</si>
  <si>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</si>
  <si>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</si>
  <si>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</si>
  <si>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</si>
  <si>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</si>
  <si>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</si>
  <si>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</si>
  <si>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</si>
  <si>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</si>
  <si>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</si>
  <si>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</si>
  <si>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</si>
  <si>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</si>
  <si>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</si>
  <si>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</si>
  <si>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</si>
  <si>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</si>
  <si>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</si>
  <si>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</si>
  <si>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Section 3</t>
  </si>
  <si>
    <t>Section 4</t>
  </si>
  <si>
    <t>x^1 / ln(x)</t>
  </si>
  <si>
    <t>ln</t>
  </si>
  <si>
    <t>poly</t>
  </si>
  <si>
    <t>LE sweep wing</t>
  </si>
  <si>
    <t>LE sweep h-tail</t>
  </si>
  <si>
    <t>LE sweep v-tail</t>
  </si>
  <si>
    <t>AR</t>
  </si>
  <si>
    <t>Elevator</t>
  </si>
  <si>
    <t>SM</t>
  </si>
  <si>
    <t>H-Tail</t>
  </si>
  <si>
    <t>V-Tail</t>
  </si>
  <si>
    <t>Sizing</t>
  </si>
  <si>
    <t>Op Point</t>
  </si>
  <si>
    <t>b</t>
  </si>
  <si>
    <t>S</t>
  </si>
  <si>
    <t>Cruciform</t>
  </si>
  <si>
    <t>Design Vars</t>
  </si>
  <si>
    <t>x_wing</t>
  </si>
  <si>
    <t>CG</t>
  </si>
  <si>
    <t>x_cg</t>
  </si>
  <si>
    <t>Wing Derived</t>
  </si>
  <si>
    <t>c_root</t>
  </si>
  <si>
    <t>c_tip</t>
  </si>
  <si>
    <t>root</t>
  </si>
  <si>
    <t>tip</t>
  </si>
  <si>
    <t>twist</t>
  </si>
  <si>
    <t>wing start</t>
  </si>
  <si>
    <t>Interpolate</t>
  </si>
  <si>
    <t>l_HT</t>
  </si>
  <si>
    <t>l_VT</t>
  </si>
  <si>
    <t>F-67D</t>
  </si>
  <si>
    <t>LE_Flap</t>
  </si>
  <si>
    <t>TE_Flap</t>
  </si>
  <si>
    <t>Flaperon</t>
  </si>
  <si>
    <t>d01</t>
  </si>
  <si>
    <t>d02</t>
  </si>
  <si>
    <t>d03</t>
  </si>
  <si>
    <t>d04</t>
  </si>
  <si>
    <t>CLd01</t>
  </si>
  <si>
    <t>CLd02</t>
  </si>
  <si>
    <t>CLd03</t>
  </si>
  <si>
    <t>CLd04</t>
  </si>
  <si>
    <t>CYd01</t>
  </si>
  <si>
    <t>CYd02</t>
  </si>
  <si>
    <t>CYd03</t>
  </si>
  <si>
    <t>CYd04</t>
  </si>
  <si>
    <t>CDd01</t>
  </si>
  <si>
    <t>CDd02</t>
  </si>
  <si>
    <t>CDd03</t>
  </si>
  <si>
    <t>CDd04</t>
  </si>
  <si>
    <t>Cld01</t>
  </si>
  <si>
    <t>Cld02</t>
  </si>
  <si>
    <t>Cld03</t>
  </si>
  <si>
    <t>Cld04</t>
  </si>
  <si>
    <t>Cmd01</t>
  </si>
  <si>
    <t>Cmd02</t>
  </si>
  <si>
    <t>Cmd03</t>
  </si>
  <si>
    <t>Cmd04</t>
  </si>
  <si>
    <t>Cnd01</t>
  </si>
  <si>
    <t>Cnd02</t>
  </si>
  <si>
    <t>Cnd03</t>
  </si>
  <si>
    <t>Cnd04</t>
  </si>
  <si>
    <t>drag|</t>
  </si>
  <si>
    <t>CDffd01</t>
  </si>
  <si>
    <t>CDffd02</t>
  </si>
  <si>
    <t>CDffd03</t>
  </si>
  <si>
    <t>CDffd04</t>
  </si>
  <si>
    <t>span</t>
  </si>
  <si>
    <t>eff.</t>
  </si>
  <si>
    <t>ed01</t>
  </si>
  <si>
    <t>ed02</t>
  </si>
  <si>
    <t>ed03</t>
  </si>
  <si>
    <t>ed04</t>
  </si>
  <si>
    <t>Top</t>
  </si>
  <si>
    <t>Horizontal</t>
  </si>
  <si>
    <t>Stabilizer</t>
  </si>
  <si>
    <t>Vertical</t>
  </si>
  <si>
    <t>Cd_vt</t>
  </si>
  <si>
    <t>Cd_ht</t>
  </si>
  <si>
    <t>Cd_tot</t>
  </si>
  <si>
    <t>Re_vt</t>
  </si>
  <si>
    <t>M_vt</t>
  </si>
  <si>
    <t>Cfc_vt</t>
  </si>
  <si>
    <t>FF_vt</t>
  </si>
  <si>
    <t>Q_vt</t>
  </si>
  <si>
    <t>S_wet_vt</t>
  </si>
  <si>
    <t>Re_ht</t>
  </si>
  <si>
    <t>M_ht</t>
  </si>
  <si>
    <t>Cfc_ht</t>
  </si>
  <si>
    <t>FF_ht</t>
  </si>
  <si>
    <t>Q_ht</t>
  </si>
  <si>
    <t>S_wet_ht</t>
  </si>
  <si>
    <t>Wave Drag</t>
  </si>
  <si>
    <t>CDw</t>
  </si>
  <si>
    <t>Wing Drag</t>
  </si>
  <si>
    <t>Cdff</t>
  </si>
  <si>
    <t>Cdvis</t>
  </si>
  <si>
    <t>Tail Drag</t>
  </si>
  <si>
    <t>Cdtail</t>
  </si>
  <si>
    <t>Tail end</t>
  </si>
  <si>
    <t>= 0</t>
  </si>
  <si>
    <t>&lt; 15.24</t>
  </si>
  <si>
    <t>Change to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</si>
</sst>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%"/>
  </numFmts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4" borderId="0" xfId="0" applyFill="1"/>
    <xf numFmtId="0" fontId="0" fillId="0" borderId="9" xfId="0" applyBorder="1"/>
    <xf numFmtId="0" fontId="0" fillId="0" borderId="8" xfId="0" applyBorder="1"/>
    <xf numFmtId="0" fontId="1" fillId="0" borderId="4" xfId="0" applyFont="1" applyBorder="1"/>
    <xf numFmtId="0" fontId="0" fillId="0" borderId="10" xfId="0" applyBorder="1"/>
    <xf numFmtId="11" fontId="0" fillId="0" borderId="0" xfId="0" applyNumberFormat="1"/>
    <xf numFmtId="11" fontId="0" fillId="4" borderId="0" xfId="0" applyNumberFormat="1" applyFill="1"/>
    <xf numFmtId="11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Font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/>
    <xf numFmtId="2" fontId="0" fillId="0" borderId="0" xfId="0" applyNumberFormat="1"/>
    <xf numFmtId="0" fontId="0" fillId="0" borderId="7" xfId="0" applyBorder="1"/>
    <xf numFmtId="0" fontId="1" fillId="0" borderId="0" xfId="0" applyFont="1" applyAlignment="1"/>
    <xf numFmtId="165" fontId="0" fillId="0" borderId="6" xfId="0" applyNumberFormat="1" applyBorder="1"/>
    <xf numFmtId="164" fontId="0" fillId="0" borderId="6" xfId="0" applyNumberFormat="1" applyBorder="1"/>
    <xf numFmtId="2" fontId="0" fillId="4" borderId="0" xfId="0" applyNumberFormat="1" applyFill="1"/>
    <xf numFmtId="0" fontId="0" fillId="0" borderId="0" xfId="0" applyFont="1"/>
    <xf numFmtId="0" fontId="0" fillId="0" borderId="0" xfId="0" applyBorder="1"/>
    <xf numFmtId="0" fontId="0" fillId="0" borderId="0" xfId="0" applyBorder="1" applyAlignment="1"/>
    <xf numFmtId="0" fontId="1" fillId="0" borderId="1" xfId="0" applyFont="1" applyBorder="1" applyAlignment="1"/>
    <xf numFmtId="11" fontId="1" fillId="0" borderId="0" xfId="0" applyNumberFormat="1" applyFont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1" fontId="0" fillId="3" borderId="0" xfId="0" applyNumberFormat="1" applyFill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5.6837140677644964</c:v>
                </c:pt>
                <c:pt idx="11">
                  <c:v>5.6837140677644964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-5.6837140677644964</c:v>
                </c:pt>
                <c:pt idx="17">
                  <c:v>-5.6837140677644964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2.0956117397955296</c:v>
                </c:pt>
                <c:pt idx="23">
                  <c:v>2.0956117397955296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-2.0956117397955296</c:v>
                </c:pt>
                <c:pt idx="29">
                  <c:v>-2.0956117397955296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4.8</c:v>
                </c:pt>
                <c:pt idx="1">
                  <c:v>10.008293593681152</c:v>
                </c:pt>
                <c:pt idx="2">
                  <c:v>11.876958443817392</c:v>
                </c:pt>
                <c:pt idx="3">
                  <c:v>11.028882833787465</c:v>
                </c:pt>
                <c:pt idx="4">
                  <c:v>4.8</c:v>
                </c:pt>
                <c:pt idx="5">
                  <c:v>10.008293593681152</c:v>
                </c:pt>
                <c:pt idx="6">
                  <c:v>11.876958443817392</c:v>
                </c:pt>
                <c:pt idx="7">
                  <c:v>11.028882833787465</c:v>
                </c:pt>
                <c:pt idx="8">
                  <c:v>#N/A</c:v>
                </c:pt>
                <c:pt idx="9">
                  <c:v>11.420368626111392</c:v>
                </c:pt>
                <c:pt idx="10">
                  <c:v>14.560608214895325</c:v>
                </c:pt>
                <c:pt idx="11">
                  <c:v>15.692027928053632</c:v>
                </c:pt>
                <c:pt idx="12">
                  <c:v>15.191767669972414</c:v>
                </c:pt>
                <c:pt idx="13">
                  <c:v>11.420368626111392</c:v>
                </c:pt>
                <c:pt idx="14">
                  <c:v>#N/A</c:v>
                </c:pt>
                <c:pt idx="15">
                  <c:v>11.420368626111392</c:v>
                </c:pt>
                <c:pt idx="16">
                  <c:v>14.560608214895325</c:v>
                </c:pt>
                <c:pt idx="17">
                  <c:v>15.692027928053632</c:v>
                </c:pt>
                <c:pt idx="18">
                  <c:v>15.191767669972414</c:v>
                </c:pt>
                <c:pt idx="19">
                  <c:v>11.420368626111392</c:v>
                </c:pt>
                <c:pt idx="20">
                  <c:v>#N/A</c:v>
                </c:pt>
                <c:pt idx="21">
                  <c:v>8.9644946873208262</c:v>
                </c:pt>
                <c:pt idx="22">
                  <c:v>11.829603065411572</c:v>
                </c:pt>
                <c:pt idx="23">
                  <c:v>14.033004944618359</c:v>
                </c:pt>
                <c:pt idx="24">
                  <c:v>13.3712984457344</c:v>
                </c:pt>
                <c:pt idx="25">
                  <c:v>8.9644946873208262</c:v>
                </c:pt>
                <c:pt idx="26">
                  <c:v>#N/A</c:v>
                </c:pt>
                <c:pt idx="27">
                  <c:v>8.9644946873208262</c:v>
                </c:pt>
                <c:pt idx="28">
                  <c:v>11.829603065411572</c:v>
                </c:pt>
                <c:pt idx="29">
                  <c:v>14.033004944618359</c:v>
                </c:pt>
                <c:pt idx="30">
                  <c:v>13.3712984457344</c:v>
                </c:pt>
                <c:pt idx="31">
                  <c:v>8.9644946873208262</c:v>
                </c:pt>
                <c:pt idx="32">
                  <c:v>#N/A</c:v>
                </c:pt>
                <c:pt idx="33">
                  <c:v>10.008293593681152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5-434D-9CD4-7E3AE312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5.6837140677644964</c:v>
                </c:pt>
                <c:pt idx="11">
                  <c:v>5.6837140677644964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-5.6837140677644964</c:v>
                </c:pt>
                <c:pt idx="17">
                  <c:v>-5.6837140677644964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2.0956117397955296</c:v>
                </c:pt>
                <c:pt idx="23">
                  <c:v>2.0956117397955296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-2.0956117397955296</c:v>
                </c:pt>
                <c:pt idx="29">
                  <c:v>-2.0956117397955296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4.8</c:v>
                </c:pt>
                <c:pt idx="1">
                  <c:v>10.008293593681152</c:v>
                </c:pt>
                <c:pt idx="2">
                  <c:v>11.876958443817392</c:v>
                </c:pt>
                <c:pt idx="3">
                  <c:v>11.028882833787465</c:v>
                </c:pt>
                <c:pt idx="4">
                  <c:v>4.8</c:v>
                </c:pt>
                <c:pt idx="5">
                  <c:v>10.008293593681152</c:v>
                </c:pt>
                <c:pt idx="6">
                  <c:v>11.876958443817392</c:v>
                </c:pt>
                <c:pt idx="7">
                  <c:v>11.028882833787465</c:v>
                </c:pt>
                <c:pt idx="8">
                  <c:v>#N/A</c:v>
                </c:pt>
                <c:pt idx="9">
                  <c:v>11.420368626111392</c:v>
                </c:pt>
                <c:pt idx="10">
                  <c:v>14.560608214895325</c:v>
                </c:pt>
                <c:pt idx="11">
                  <c:v>15.692027928053632</c:v>
                </c:pt>
                <c:pt idx="12">
                  <c:v>15.191767669972414</c:v>
                </c:pt>
                <c:pt idx="13">
                  <c:v>11.420368626111392</c:v>
                </c:pt>
                <c:pt idx="14">
                  <c:v>#N/A</c:v>
                </c:pt>
                <c:pt idx="15">
                  <c:v>11.420368626111392</c:v>
                </c:pt>
                <c:pt idx="16">
                  <c:v>14.560608214895325</c:v>
                </c:pt>
                <c:pt idx="17">
                  <c:v>15.692027928053632</c:v>
                </c:pt>
                <c:pt idx="18">
                  <c:v>15.191767669972414</c:v>
                </c:pt>
                <c:pt idx="19">
                  <c:v>11.420368626111392</c:v>
                </c:pt>
                <c:pt idx="20">
                  <c:v>#N/A</c:v>
                </c:pt>
                <c:pt idx="21">
                  <c:v>8.9644946873208262</c:v>
                </c:pt>
                <c:pt idx="22">
                  <c:v>11.829603065411572</c:v>
                </c:pt>
                <c:pt idx="23">
                  <c:v>14.033004944618359</c:v>
                </c:pt>
                <c:pt idx="24">
                  <c:v>13.3712984457344</c:v>
                </c:pt>
                <c:pt idx="25">
                  <c:v>8.9644946873208262</c:v>
                </c:pt>
                <c:pt idx="26">
                  <c:v>#N/A</c:v>
                </c:pt>
                <c:pt idx="27">
                  <c:v>8.9644946873208262</c:v>
                </c:pt>
                <c:pt idx="28">
                  <c:v>11.829603065411572</c:v>
                </c:pt>
                <c:pt idx="29">
                  <c:v>14.033004944618359</c:v>
                </c:pt>
                <c:pt idx="30">
                  <c:v>13.3712984457344</c:v>
                </c:pt>
                <c:pt idx="31">
                  <c:v>8.9644946873208262</c:v>
                </c:pt>
                <c:pt idx="32">
                  <c:v>#N/A</c:v>
                </c:pt>
                <c:pt idx="33">
                  <c:v>10.008293593681152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F-4834-A12C-C92B1AF2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3361</xdr:colOff>
      <xdr:row>1</xdr:row>
      <xdr:rowOff>12698</xdr:rowOff>
    </xdr:from>
    <xdr:to>
      <xdr:col>17</xdr:col>
      <xdr:colOff>120650</xdr:colOff>
      <xdr:row>23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FBC0E8-D71C-401F-AE20-A7E6AAEB3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42322</xdr:colOff>
      <xdr:row>8</xdr:row>
      <xdr:rowOff>98852</xdr:rowOff>
    </xdr:from>
    <xdr:to>
      <xdr:col>15</xdr:col>
      <xdr:colOff>363141</xdr:colOff>
      <xdr:row>30</xdr:row>
      <xdr:rowOff>25399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E602BA-6C7F-42B1-BAB6-DDE6EED62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sher\OneDrive\Documents\AE481\NoThaiGrubbin-Repo\Aero\PlanformTrade1\Excel\PlanformTrade1.xlsm" TargetMode="External"/><Relationship Id="rId1" Type="http://schemas.openxmlformats.org/officeDocument/2006/relationships/externalLinkPath" Target="file:///C:\Users\tsher\OneDrive\Documents\AE481\NoThaiGrubbin-Repo\Aero\PlanformTrade1\Excel\PlanformTrad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1_Re200 000_M0 84_N5 0_XtrTop "/>
      <sheetName val="T1_Re160 000_M0 84_N5 0_XtrTop "/>
      <sheetName val="T1_Re120 000_M0 84_N5 0_XtrTop "/>
      <sheetName val="T1_Re100 000_M0 84_N5 0_XtrTop "/>
      <sheetName val="T1_Re80 000_M0 84_N5 0_XtrTop 5"/>
      <sheetName val="T1_Re60 000_M0 84_N5 0_XtrTop 5"/>
      <sheetName val="T1_Re40 000_M0 84_N5 0_XtrTop 5"/>
      <sheetName val="T1_Re20 000_M0 84_N5 0_XtrTop 5"/>
      <sheetName val="T1_Re10 000_M0 84_N5 0_XtrTop 5"/>
      <sheetName val="T1_Re5 000_M0 84_N5 0_XtrTop 5%"/>
      <sheetName val="T1_Re3 000_M0 84_N5 0_XtrTop 5%"/>
      <sheetName val="T1_Re2 000_M0 84_N5 0_XtrTop 5%"/>
      <sheetName val="T1_Re1 000_M0 84_N5 0_XtrTop 5%"/>
      <sheetName val="Study_9"/>
      <sheetName val="CDCL"/>
      <sheetName val="CDCL(Re)"/>
      <sheetName val="Study_1"/>
      <sheetName val="Study_2"/>
      <sheetName val="Study_3"/>
      <sheetName val="Study_4"/>
      <sheetName val="A_CDCL"/>
      <sheetName val="A_CDCL(Re)"/>
      <sheetName val="Study_5"/>
      <sheetName val="CDCL (2)"/>
      <sheetName val="CDCL(Re) XFOIL"/>
      <sheetName val="Study_6"/>
      <sheetName val="Study_7"/>
      <sheetName val="Study_8"/>
      <sheetName val="polar8"/>
      <sheetName val="polar7"/>
      <sheetName val="polar6"/>
      <sheetName val="polar5"/>
      <sheetName val="polar4"/>
      <sheetName val="polar3"/>
      <sheetName val="polar2"/>
      <sheetName val="polar1"/>
      <sheetName val="Study_10A"/>
      <sheetName val="Study_10B"/>
      <sheetName val="Variables"/>
      <sheetName val="BuildAVL"/>
      <sheetName val="CruiseCDCL"/>
      <sheetName val="CruiseST"/>
      <sheetName val="CruiseFS"/>
      <sheetName val="Tail Sizing"/>
      <sheetName val="BuildAVL2"/>
      <sheetName val="Trim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>
        <row r="34">
          <cell r="C34" t="str">
            <v>Y</v>
          </cell>
        </row>
        <row r="35">
          <cell r="B35">
            <v>0</v>
          </cell>
          <cell r="C35">
            <v>0</v>
          </cell>
        </row>
        <row r="36">
          <cell r="B36">
            <v>9.1440000000000001</v>
          </cell>
          <cell r="C36">
            <v>5.9849552708787623</v>
          </cell>
        </row>
        <row r="37">
          <cell r="B37">
            <v>9.1440000000000001</v>
          </cell>
          <cell r="C37">
            <v>7.5558466498410075</v>
          </cell>
        </row>
        <row r="38">
          <cell r="B38">
            <v>0</v>
          </cell>
          <cell r="C38">
            <v>5.2363045965408164</v>
          </cell>
        </row>
        <row r="39">
          <cell r="B39">
            <v>0</v>
          </cell>
          <cell r="C39">
            <v>0</v>
          </cell>
        </row>
        <row r="40">
          <cell r="B40">
            <v>-9.1440000000000001</v>
          </cell>
          <cell r="C40">
            <v>5.9849552708787623</v>
          </cell>
        </row>
        <row r="41">
          <cell r="B41">
            <v>-9.1440000000000001</v>
          </cell>
          <cell r="C41">
            <v>7.5558466498410075</v>
          </cell>
        </row>
        <row r="42">
          <cell r="B42">
            <v>0</v>
          </cell>
          <cell r="C42">
            <v>5.2363045965408164</v>
          </cell>
        </row>
        <row r="43">
          <cell r="B43" t="e">
            <v>#N/A</v>
          </cell>
          <cell r="C43" t="e">
            <v>#N/A</v>
          </cell>
        </row>
        <row r="44">
          <cell r="B44">
            <v>1.6306799999999999</v>
          </cell>
          <cell r="C44">
            <v>6.0867797121748941</v>
          </cell>
        </row>
        <row r="45">
          <cell r="B45">
            <v>5.3347872430760344</v>
          </cell>
          <cell r="C45">
            <v>9.0037519784049973</v>
          </cell>
        </row>
        <row r="46">
          <cell r="B46">
            <v>5.3347872430760344</v>
          </cell>
          <cell r="C46">
            <v>10.143477283966854</v>
          </cell>
        </row>
        <row r="47">
          <cell r="B47">
            <v>1.6306799999999999</v>
          </cell>
          <cell r="C47">
            <v>9.88586406404775</v>
          </cell>
        </row>
        <row r="48">
          <cell r="B48">
            <v>1.6306799999999999</v>
          </cell>
          <cell r="C48">
            <v>6.0867797121748941</v>
          </cell>
        </row>
        <row r="49">
          <cell r="B49" t="e">
            <v>#N/A</v>
          </cell>
          <cell r="C49" t="e">
            <v>#N/A</v>
          </cell>
        </row>
        <row r="50">
          <cell r="B50">
            <v>-1.6306799999999999</v>
          </cell>
          <cell r="C50">
            <v>6.0867797121748941</v>
          </cell>
        </row>
        <row r="51">
          <cell r="B51">
            <v>-5.3347872430760344</v>
          </cell>
          <cell r="C51">
            <v>9.0037519784049973</v>
          </cell>
        </row>
        <row r="52">
          <cell r="B52">
            <v>-5.3347872430760344</v>
          </cell>
          <cell r="C52">
            <v>10.143477283966854</v>
          </cell>
        </row>
        <row r="53">
          <cell r="B53">
            <v>-1.6306799999999999</v>
          </cell>
          <cell r="C53">
            <v>9.88586406404775</v>
          </cell>
        </row>
        <row r="54">
          <cell r="B54">
            <v>-1.6306799999999999</v>
          </cell>
          <cell r="C54">
            <v>6.0867797121748941</v>
          </cell>
        </row>
        <row r="55">
          <cell r="B55" t="e">
            <v>#N/A</v>
          </cell>
          <cell r="C55" t="e">
            <v>#N/A</v>
          </cell>
        </row>
        <row r="56">
          <cell r="B56">
            <v>0.96519999999999995</v>
          </cell>
          <cell r="C56">
            <v>5.1600863079933026</v>
          </cell>
        </row>
        <row r="57">
          <cell r="B57">
            <v>2.1061474785662311</v>
          </cell>
          <cell r="C57">
            <v>7.8005770574773425</v>
          </cell>
        </row>
        <row r="58">
          <cell r="B58">
            <v>2.1061474785662311</v>
          </cell>
          <cell r="C58">
            <v>10.02451522960196</v>
          </cell>
        </row>
        <row r="59">
          <cell r="B59">
            <v>0.96519999999999995</v>
          </cell>
          <cell r="C59">
            <v>9.6079626522425361</v>
          </cell>
        </row>
        <row r="60">
          <cell r="B60">
            <v>0.96519999999999995</v>
          </cell>
          <cell r="C60">
            <v>5.1600863079933026</v>
          </cell>
        </row>
        <row r="61">
          <cell r="B61" t="e">
            <v>#N/A</v>
          </cell>
          <cell r="C61" t="e">
            <v>#N/A</v>
          </cell>
        </row>
        <row r="62">
          <cell r="B62">
            <v>-0.96519999999999995</v>
          </cell>
          <cell r="C62">
            <v>5.1600863079933026</v>
          </cell>
        </row>
        <row r="63">
          <cell r="B63">
            <v>-2.1061474785662311</v>
          </cell>
          <cell r="C63">
            <v>7.8005770574773425</v>
          </cell>
        </row>
        <row r="64">
          <cell r="B64">
            <v>-2.1061474785662311</v>
          </cell>
          <cell r="C64">
            <v>10.02451522960196</v>
          </cell>
        </row>
        <row r="65">
          <cell r="B65">
            <v>-0.96519999999999995</v>
          </cell>
          <cell r="C65">
            <v>9.6079626522425361</v>
          </cell>
        </row>
        <row r="66">
          <cell r="B66">
            <v>-0.96519999999999995</v>
          </cell>
          <cell r="C66">
            <v>5.1600863079933026</v>
          </cell>
        </row>
        <row r="67">
          <cell r="B67" t="e">
            <v>#N/A</v>
          </cell>
          <cell r="C67" t="e">
            <v>#N/A</v>
          </cell>
        </row>
        <row r="68">
          <cell r="B68">
            <v>9.1440000000000001</v>
          </cell>
          <cell r="C68">
            <v>5.9849552708787623</v>
          </cell>
        </row>
      </sheetData>
      <sheetData sheetId="44"/>
      <sheetData sheetId="4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E18" sqref="E18"/>
    </sheetView>
  </sheetViews>
  <sheetFormatPr defaultRowHeight="14.5" x14ac:dyDescent="0.35"/>
  <sheetData>
    <row r="1" spans="1:19" x14ac:dyDescent="0.35">
      <c r="A1" t="s">
        <v>5</v>
      </c>
      <c r="B1" s="1" t="s">
        <v>229</v>
      </c>
    </row>
    <row r="2" spans="1:19" x14ac:dyDescent="0.35">
      <c r="I2" s="2" t="s">
        <v>17</v>
      </c>
      <c r="L2" s="2" t="s">
        <v>18</v>
      </c>
      <c r="M2" s="2"/>
      <c r="O2" s="2" t="s">
        <v>24</v>
      </c>
      <c r="R2" s="2" t="s">
        <v>25</v>
      </c>
    </row>
    <row r="3" spans="1:19" x14ac:dyDescent="0.35">
      <c r="A3" t="s">
        <v>0</v>
      </c>
      <c r="B3" t="s">
        <v>34</v>
      </c>
      <c r="C3" t="s">
        <v>33</v>
      </c>
      <c r="D3" t="s">
        <v>35</v>
      </c>
      <c r="F3" t="s">
        <v>16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t="e" cm="1">
        <f t="array" aca="1" ref="A4" ca="1">_xlfn._xlws.FILTER(INDIRECT("'" &amp; B1 &amp; "'!A2:A1000"),(INDIRECT("'" &amp; B1 &amp; "'!C2:C1000")&lt;G3) * (INDIRECT("'" &amp; B1 &amp; "'!C2:C1000")&lt;&gt;""))</f>
        <v>#REF!</v>
      </c>
      <c r="B4" t="e" cm="1">
        <f t="array" aca="1" ref="B4" ca="1">_xlfn._xlws.FILTER(INDIRECT("'" &amp; B1 &amp; "'!C2:C1000"),(INDIRECT("'" &amp; B1 &amp; "'!C2:C1000")&lt;G3) * (INDIRECT("'" &amp; B1 &amp; "'!C2:C1000")&lt;&gt;""))</f>
        <v>#REF!</v>
      </c>
      <c r="C4" t="e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#REF!</v>
      </c>
      <c r="D4" t="e" cm="1">
        <f t="array" aca="1" ref="D4" ca="1">_xlfn._xlws.FILTER(INDIRECT("'" &amp; B1 &amp; "'!B2:B1000"),(INDIRECT("'" &amp; B1 &amp; "'!C2:C1000")&lt;G3) * (INDIRECT("'" &amp; B1 &amp; "'!C2:C1000")&lt;&gt;""))</f>
        <v>#REF!</v>
      </c>
      <c r="I4" t="e">
        <f ca="1">$G$16 * (J4 - $G$6)^2 + $G$5</f>
        <v>#REF!</v>
      </c>
      <c r="J4" t="e">
        <f ca="1">$G$9 + ($G$6 - $G$9) * (ROW(A1)-1)/99</f>
        <v>#REF!</v>
      </c>
      <c r="L4" t="e">
        <f ca="1">$G$17 * (M4 - $G$6)^2 + $G$5</f>
        <v>#REF!</v>
      </c>
      <c r="M4" t="e">
        <f ca="1">$G$13 + ($G$6 - $G$13) * (ROW(F1)-1)/99</f>
        <v>#REF!</v>
      </c>
      <c r="O4" t="e">
        <f ca="1">$G$10 + $G$19 * ($G$23 * (P4 - $G$9))^2 + $G$21 * (1 - (P4 - $G$6)/($G$9 - $G$6))</f>
        <v>#REF!</v>
      </c>
      <c r="P4" t="e">
        <f ca="1">$G$26 + ($G$9 - $G$26) * (ROW(A1)-1)/99</f>
        <v>#REF!</v>
      </c>
      <c r="R4" t="e">
        <f ca="1">$G$14 + $G$19 * ($G$23 * (S4 - $G$13))^2 - $G$22 * (1 - (S4 - $G$6)/($G$13 - $G$6))</f>
        <v>#REF!</v>
      </c>
      <c r="S4" t="e">
        <f ca="1">$G$13 + ($G$25 - $G$13) * (ROW(A1)-1)/99</f>
        <v>#REF!</v>
      </c>
    </row>
    <row r="5" spans="1:19" x14ac:dyDescent="0.35">
      <c r="C5" t="str">
        <f t="shared" ref="C5:C20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/>
      </c>
      <c r="F5" t="s">
        <v>6</v>
      </c>
      <c r="G5" t="e">
        <f ca="1">MIN(B4:B1000)</f>
        <v>#REF!</v>
      </c>
      <c r="I5" t="e">
        <f t="shared" ref="I5:I68" ca="1" si="1">$G$16 * (J5 - $G$6)^2 + $G$5</f>
        <v>#REF!</v>
      </c>
      <c r="J5" t="e">
        <f t="shared" ref="J5:J36" ca="1" si="2">$G$9 + ($G$6 - $G$9) * (ROW(B2)-1)/99</f>
        <v>#REF!</v>
      </c>
      <c r="L5" t="e">
        <f t="shared" ref="L5:L68" ca="1" si="3">$G$17 * (M5 - $G$6)^2 + $G$5</f>
        <v>#REF!</v>
      </c>
      <c r="M5" t="e">
        <f t="shared" ref="M5:M68" ca="1" si="4">$G$13 + ($G$6 - $G$13) * (ROW(F2)-1)/99</f>
        <v>#REF!</v>
      </c>
      <c r="O5" t="e">
        <f t="shared" ref="O5:O68" ca="1" si="5">$G$10 + $G$19 * ($G$23 * (P5 - $G$9))^2 + $G$21 * (1 - (P5 - $G$6)/($G$9 - $G$6))</f>
        <v>#REF!</v>
      </c>
      <c r="P5" t="e">
        <f t="shared" ref="P5:P36" ca="1" si="6">$G$26 + ($G$9 - $G$26) * (ROW(B2)-1)/99</f>
        <v>#REF!</v>
      </c>
      <c r="R5" t="e">
        <f t="shared" ref="R5:R68" ca="1" si="7">$G$14 + $G$19 * ($G$23 * (S5 - $G$13))^2 - $G$22 * (1 - (S5 - $G$6)/($G$13 - $G$6))</f>
        <v>#REF!</v>
      </c>
      <c r="S5" t="e">
        <f t="shared" ref="S5:S36" ca="1" si="8">$G$13 + ($G$25 - $G$13) * (ROW(B2)-1)/99</f>
        <v>#REF!</v>
      </c>
    </row>
    <row r="6" spans="1:19" x14ac:dyDescent="0.35">
      <c r="C6" t="str">
        <f t="shared" si="0"/>
        <v/>
      </c>
      <c r="F6" t="s">
        <v>7</v>
      </c>
      <c r="G6" t="e">
        <f ca="1">INDEX(D4:D1000, MATCH(G5, B4:B1000, 0))</f>
        <v>#REF!</v>
      </c>
      <c r="I6" t="e">
        <f t="shared" ca="1" si="1"/>
        <v>#REF!</v>
      </c>
      <c r="J6" t="e">
        <f t="shared" ca="1" si="2"/>
        <v>#REF!</v>
      </c>
      <c r="L6" t="e">
        <f t="shared" ca="1" si="3"/>
        <v>#REF!</v>
      </c>
      <c r="M6" t="e">
        <f t="shared" ca="1" si="4"/>
        <v>#REF!</v>
      </c>
      <c r="O6" t="e">
        <f t="shared" ca="1" si="5"/>
        <v>#REF!</v>
      </c>
      <c r="P6" t="e">
        <f t="shared" ca="1" si="6"/>
        <v>#REF!</v>
      </c>
      <c r="R6" t="e">
        <f t="shared" ca="1" si="7"/>
        <v>#REF!</v>
      </c>
      <c r="S6" t="e">
        <f t="shared" ca="1" si="8"/>
        <v>#REF!</v>
      </c>
    </row>
    <row r="7" spans="1:19" x14ac:dyDescent="0.35">
      <c r="C7" t="str">
        <f t="shared" si="0"/>
        <v/>
      </c>
      <c r="I7" t="e">
        <f t="shared" ca="1" si="1"/>
        <v>#REF!</v>
      </c>
      <c r="J7" t="e">
        <f t="shared" ca="1" si="2"/>
        <v>#REF!</v>
      </c>
      <c r="L7" t="e">
        <f t="shared" ca="1" si="3"/>
        <v>#REF!</v>
      </c>
      <c r="M7" t="e">
        <f t="shared" ca="1" si="4"/>
        <v>#REF!</v>
      </c>
      <c r="O7" t="e">
        <f t="shared" ca="1" si="5"/>
        <v>#REF!</v>
      </c>
      <c r="P7" t="e">
        <f t="shared" ca="1" si="6"/>
        <v>#REF!</v>
      </c>
      <c r="R7" t="e">
        <f t="shared" ca="1" si="7"/>
        <v>#REF!</v>
      </c>
      <c r="S7" t="e">
        <f t="shared" ca="1" si="8"/>
        <v>#REF!</v>
      </c>
    </row>
    <row r="8" spans="1:19" x14ac:dyDescent="0.35">
      <c r="C8" t="str">
        <f t="shared" si="0"/>
        <v/>
      </c>
      <c r="F8" t="s">
        <v>8</v>
      </c>
      <c r="G8" s="5">
        <v>9</v>
      </c>
      <c r="I8" t="e">
        <f t="shared" ca="1" si="1"/>
        <v>#REF!</v>
      </c>
      <c r="J8" t="e">
        <f t="shared" ca="1" si="2"/>
        <v>#REF!</v>
      </c>
      <c r="L8" t="e">
        <f t="shared" ca="1" si="3"/>
        <v>#REF!</v>
      </c>
      <c r="M8" t="e">
        <f t="shared" ca="1" si="4"/>
        <v>#REF!</v>
      </c>
      <c r="O8" t="e">
        <f t="shared" ca="1" si="5"/>
        <v>#REF!</v>
      </c>
      <c r="P8" t="e">
        <f t="shared" ca="1" si="6"/>
        <v>#REF!</v>
      </c>
      <c r="R8" t="e">
        <f t="shared" ca="1" si="7"/>
        <v>#REF!</v>
      </c>
      <c r="S8" t="e">
        <f t="shared" ca="1" si="8"/>
        <v>#REF!</v>
      </c>
    </row>
    <row r="9" spans="1:19" x14ac:dyDescent="0.35">
      <c r="C9" t="str">
        <f t="shared" si="0"/>
        <v/>
      </c>
      <c r="F9" t="s">
        <v>10</v>
      </c>
      <c r="G9" cm="1">
        <f t="array" ref="G9">INDEX(D4:D1000, G8)</f>
        <v>0</v>
      </c>
      <c r="I9" t="e">
        <f t="shared" ca="1" si="1"/>
        <v>#REF!</v>
      </c>
      <c r="J9" t="e">
        <f t="shared" ca="1" si="2"/>
        <v>#REF!</v>
      </c>
      <c r="L9" t="e">
        <f t="shared" ca="1" si="3"/>
        <v>#REF!</v>
      </c>
      <c r="M9" t="e">
        <f t="shared" ca="1" si="4"/>
        <v>#REF!</v>
      </c>
      <c r="O9" t="e">
        <f t="shared" ca="1" si="5"/>
        <v>#REF!</v>
      </c>
      <c r="P9" t="e">
        <f t="shared" ca="1" si="6"/>
        <v>#REF!</v>
      </c>
      <c r="R9" t="e">
        <f t="shared" ca="1" si="7"/>
        <v>#REF!</v>
      </c>
      <c r="S9" t="e">
        <f t="shared" ca="1" si="8"/>
        <v>#REF!</v>
      </c>
    </row>
    <row r="10" spans="1:19" x14ac:dyDescent="0.35">
      <c r="C10" t="str">
        <f t="shared" si="0"/>
        <v/>
      </c>
      <c r="F10" t="s">
        <v>11</v>
      </c>
      <c r="G10" cm="1">
        <f t="array" ref="G10">INDEX(B4:B1000, G8)</f>
        <v>0</v>
      </c>
      <c r="I10" t="e">
        <f t="shared" ca="1" si="1"/>
        <v>#REF!</v>
      </c>
      <c r="J10" t="e">
        <f t="shared" ca="1" si="2"/>
        <v>#REF!</v>
      </c>
      <c r="L10" t="e">
        <f t="shared" ca="1" si="3"/>
        <v>#REF!</v>
      </c>
      <c r="M10" t="e">
        <f t="shared" ca="1" si="4"/>
        <v>#REF!</v>
      </c>
      <c r="O10" t="e">
        <f t="shared" ca="1" si="5"/>
        <v>#REF!</v>
      </c>
      <c r="P10" t="e">
        <f t="shared" ca="1" si="6"/>
        <v>#REF!</v>
      </c>
      <c r="R10" t="e">
        <f t="shared" ca="1" si="7"/>
        <v>#REF!</v>
      </c>
      <c r="S10" t="e">
        <f t="shared" ca="1" si="8"/>
        <v>#REF!</v>
      </c>
    </row>
    <row r="11" spans="1:19" x14ac:dyDescent="0.35">
      <c r="C11" t="str">
        <f t="shared" si="0"/>
        <v/>
      </c>
      <c r="I11" t="e">
        <f t="shared" ca="1" si="1"/>
        <v>#REF!</v>
      </c>
      <c r="J11" t="e">
        <f t="shared" ca="1" si="2"/>
        <v>#REF!</v>
      </c>
      <c r="L11" t="e">
        <f t="shared" ca="1" si="3"/>
        <v>#REF!</v>
      </c>
      <c r="M11" t="e">
        <f t="shared" ca="1" si="4"/>
        <v>#REF!</v>
      </c>
      <c r="O11" t="e">
        <f t="shared" ca="1" si="5"/>
        <v>#REF!</v>
      </c>
      <c r="P11" t="e">
        <f t="shared" ca="1" si="6"/>
        <v>#REF!</v>
      </c>
      <c r="R11" t="e">
        <f t="shared" ca="1" si="7"/>
        <v>#REF!</v>
      </c>
      <c r="S11" t="e">
        <f t="shared" ca="1" si="8"/>
        <v>#REF!</v>
      </c>
    </row>
    <row r="12" spans="1:19" x14ac:dyDescent="0.35">
      <c r="C12" t="str">
        <f t="shared" si="0"/>
        <v/>
      </c>
      <c r="F12" t="s">
        <v>9</v>
      </c>
      <c r="G12" s="5">
        <v>31</v>
      </c>
      <c r="I12" t="e">
        <f t="shared" ca="1" si="1"/>
        <v>#REF!</v>
      </c>
      <c r="J12" t="e">
        <f t="shared" ca="1" si="2"/>
        <v>#REF!</v>
      </c>
      <c r="L12" t="e">
        <f t="shared" ca="1" si="3"/>
        <v>#REF!</v>
      </c>
      <c r="M12" t="e">
        <f t="shared" ca="1" si="4"/>
        <v>#REF!</v>
      </c>
      <c r="O12" t="e">
        <f t="shared" ca="1" si="5"/>
        <v>#REF!</v>
      </c>
      <c r="P12" t="e">
        <f t="shared" ca="1" si="6"/>
        <v>#REF!</v>
      </c>
      <c r="R12" t="e">
        <f t="shared" ca="1" si="7"/>
        <v>#REF!</v>
      </c>
      <c r="S12" t="e">
        <f t="shared" ca="1" si="8"/>
        <v>#REF!</v>
      </c>
    </row>
    <row r="13" spans="1:19" x14ac:dyDescent="0.35">
      <c r="C13" t="str">
        <f t="shared" si="0"/>
        <v/>
      </c>
      <c r="F13" t="s">
        <v>12</v>
      </c>
      <c r="G13" cm="1">
        <f t="array" ref="G13">INDEX(D4:D1000, G12)</f>
        <v>0</v>
      </c>
      <c r="I13" t="e">
        <f t="shared" ca="1" si="1"/>
        <v>#REF!</v>
      </c>
      <c r="J13" t="e">
        <f t="shared" ca="1" si="2"/>
        <v>#REF!</v>
      </c>
      <c r="L13" t="e">
        <f t="shared" ca="1" si="3"/>
        <v>#REF!</v>
      </c>
      <c r="M13" t="e">
        <f t="shared" ca="1" si="4"/>
        <v>#REF!</v>
      </c>
      <c r="O13" t="e">
        <f t="shared" ca="1" si="5"/>
        <v>#REF!</v>
      </c>
      <c r="P13" t="e">
        <f t="shared" ca="1" si="6"/>
        <v>#REF!</v>
      </c>
      <c r="R13" t="e">
        <f t="shared" ca="1" si="7"/>
        <v>#REF!</v>
      </c>
      <c r="S13" t="e">
        <f t="shared" ca="1" si="8"/>
        <v>#REF!</v>
      </c>
    </row>
    <row r="14" spans="1:19" x14ac:dyDescent="0.35">
      <c r="C14" t="str">
        <f t="shared" si="0"/>
        <v/>
      </c>
      <c r="F14" t="s">
        <v>13</v>
      </c>
      <c r="G14" cm="1">
        <f t="array" ref="G14">INDEX(B4:B1000, G12)</f>
        <v>0</v>
      </c>
      <c r="I14" t="e">
        <f t="shared" ca="1" si="1"/>
        <v>#REF!</v>
      </c>
      <c r="J14" t="e">
        <f t="shared" ca="1" si="2"/>
        <v>#REF!</v>
      </c>
      <c r="L14" t="e">
        <f t="shared" ca="1" si="3"/>
        <v>#REF!</v>
      </c>
      <c r="M14" t="e">
        <f t="shared" ca="1" si="4"/>
        <v>#REF!</v>
      </c>
      <c r="O14" t="e">
        <f t="shared" ca="1" si="5"/>
        <v>#REF!</v>
      </c>
      <c r="P14" t="e">
        <f t="shared" ca="1" si="6"/>
        <v>#REF!</v>
      </c>
      <c r="R14" t="e">
        <f t="shared" ca="1" si="7"/>
        <v>#REF!</v>
      </c>
      <c r="S14" t="e">
        <f t="shared" ca="1" si="8"/>
        <v>#REF!</v>
      </c>
    </row>
    <row r="15" spans="1:19" x14ac:dyDescent="0.35">
      <c r="C15" t="str">
        <f t="shared" si="0"/>
        <v/>
      </c>
      <c r="I15" t="e">
        <f t="shared" ca="1" si="1"/>
        <v>#REF!</v>
      </c>
      <c r="J15" t="e">
        <f t="shared" ca="1" si="2"/>
        <v>#REF!</v>
      </c>
      <c r="L15" t="e">
        <f t="shared" ca="1" si="3"/>
        <v>#REF!</v>
      </c>
      <c r="M15" t="e">
        <f t="shared" ca="1" si="4"/>
        <v>#REF!</v>
      </c>
      <c r="O15" t="e">
        <f t="shared" ca="1" si="5"/>
        <v>#REF!</v>
      </c>
      <c r="P15" t="e">
        <f t="shared" ca="1" si="6"/>
        <v>#REF!</v>
      </c>
      <c r="R15" t="e">
        <f t="shared" ca="1" si="7"/>
        <v>#REF!</v>
      </c>
      <c r="S15" t="e">
        <f t="shared" ca="1" si="8"/>
        <v>#REF!</v>
      </c>
    </row>
    <row r="16" spans="1:19" x14ac:dyDescent="0.35">
      <c r="C16" t="str">
        <f t="shared" si="0"/>
        <v/>
      </c>
      <c r="F16" t="s">
        <v>14</v>
      </c>
      <c r="G16" t="e">
        <f ca="1">(G10 - G5) / (G9 - G6)^2</f>
        <v>#REF!</v>
      </c>
      <c r="I16" t="e">
        <f t="shared" ca="1" si="1"/>
        <v>#REF!</v>
      </c>
      <c r="J16" t="e">
        <f t="shared" ca="1" si="2"/>
        <v>#REF!</v>
      </c>
      <c r="L16" t="e">
        <f t="shared" ca="1" si="3"/>
        <v>#REF!</v>
      </c>
      <c r="M16" t="e">
        <f t="shared" ca="1" si="4"/>
        <v>#REF!</v>
      </c>
      <c r="O16" t="e">
        <f t="shared" ca="1" si="5"/>
        <v>#REF!</v>
      </c>
      <c r="P16" t="e">
        <f t="shared" ca="1" si="6"/>
        <v>#REF!</v>
      </c>
      <c r="R16" t="e">
        <f t="shared" ca="1" si="7"/>
        <v>#REF!</v>
      </c>
      <c r="S16" t="e">
        <f t="shared" ca="1" si="8"/>
        <v>#REF!</v>
      </c>
    </row>
    <row r="17" spans="3:19" x14ac:dyDescent="0.35">
      <c r="C17" t="str">
        <f t="shared" si="0"/>
        <v/>
      </c>
      <c r="F17" t="s">
        <v>15</v>
      </c>
      <c r="G17" t="e">
        <f ca="1">(G14 - G5) / (G13 - G6)^2</f>
        <v>#REF!</v>
      </c>
      <c r="I17" t="e">
        <f t="shared" ca="1" si="1"/>
        <v>#REF!</v>
      </c>
      <c r="J17" t="e">
        <f t="shared" ca="1" si="2"/>
        <v>#REF!</v>
      </c>
      <c r="L17" t="e">
        <f t="shared" ca="1" si="3"/>
        <v>#REF!</v>
      </c>
      <c r="M17" t="e">
        <f t="shared" ca="1" si="4"/>
        <v>#REF!</v>
      </c>
      <c r="O17" t="e">
        <f t="shared" ca="1" si="5"/>
        <v>#REF!</v>
      </c>
      <c r="P17" t="e">
        <f t="shared" ca="1" si="6"/>
        <v>#REF!</v>
      </c>
      <c r="R17" t="e">
        <f t="shared" ca="1" si="7"/>
        <v>#REF!</v>
      </c>
      <c r="S17" t="e">
        <f t="shared" ca="1" si="8"/>
        <v>#REF!</v>
      </c>
    </row>
    <row r="18" spans="3:19" x14ac:dyDescent="0.35">
      <c r="C18" t="str">
        <f t="shared" si="0"/>
        <v/>
      </c>
      <c r="I18" t="e">
        <f t="shared" ca="1" si="1"/>
        <v>#REF!</v>
      </c>
      <c r="J18" t="e">
        <f t="shared" ca="1" si="2"/>
        <v>#REF!</v>
      </c>
      <c r="L18" t="e">
        <f t="shared" ca="1" si="3"/>
        <v>#REF!</v>
      </c>
      <c r="M18" t="e">
        <f t="shared" ca="1" si="4"/>
        <v>#REF!</v>
      </c>
      <c r="O18" t="e">
        <f t="shared" ca="1" si="5"/>
        <v>#REF!</v>
      </c>
      <c r="P18" t="e">
        <f t="shared" ca="1" si="6"/>
        <v>#REF!</v>
      </c>
      <c r="R18" t="e">
        <f t="shared" ca="1" si="7"/>
        <v>#REF!</v>
      </c>
      <c r="S18" t="e">
        <f t="shared" ca="1" si="8"/>
        <v>#REF!</v>
      </c>
    </row>
    <row r="19" spans="3:19" x14ac:dyDescent="0.35">
      <c r="C19" t="str">
        <f t="shared" si="0"/>
        <v/>
      </c>
      <c r="F19" t="s">
        <v>19</v>
      </c>
      <c r="G19" s="3">
        <v>0.05</v>
      </c>
      <c r="I19" t="e">
        <f t="shared" ca="1" si="1"/>
        <v>#REF!</v>
      </c>
      <c r="J19" t="e">
        <f t="shared" ca="1" si="2"/>
        <v>#REF!</v>
      </c>
      <c r="L19" t="e">
        <f t="shared" ca="1" si="3"/>
        <v>#REF!</v>
      </c>
      <c r="M19" t="e">
        <f t="shared" ca="1" si="4"/>
        <v>#REF!</v>
      </c>
      <c r="O19" t="e">
        <f t="shared" ca="1" si="5"/>
        <v>#REF!</v>
      </c>
      <c r="P19" t="e">
        <f t="shared" ca="1" si="6"/>
        <v>#REF!</v>
      </c>
      <c r="R19" t="e">
        <f t="shared" ca="1" si="7"/>
        <v>#REF!</v>
      </c>
      <c r="S19" t="e">
        <f t="shared" ca="1" si="8"/>
        <v>#REF!</v>
      </c>
    </row>
    <row r="20" spans="3:19" x14ac:dyDescent="0.35">
      <c r="C20" t="str">
        <f t="shared" si="0"/>
        <v/>
      </c>
      <c r="F20" t="s">
        <v>20</v>
      </c>
      <c r="G20" s="3">
        <v>0.2</v>
      </c>
      <c r="I20" t="e">
        <f t="shared" ca="1" si="1"/>
        <v>#REF!</v>
      </c>
      <c r="J20" t="e">
        <f t="shared" ca="1" si="2"/>
        <v>#REF!</v>
      </c>
      <c r="L20" t="e">
        <f t="shared" ca="1" si="3"/>
        <v>#REF!</v>
      </c>
      <c r="M20" t="e">
        <f t="shared" ca="1" si="4"/>
        <v>#REF!</v>
      </c>
      <c r="O20" t="e">
        <f t="shared" ca="1" si="5"/>
        <v>#REF!</v>
      </c>
      <c r="P20" t="e">
        <f t="shared" ca="1" si="6"/>
        <v>#REF!</v>
      </c>
      <c r="R20" t="e">
        <f t="shared" ca="1" si="7"/>
        <v>#REF!</v>
      </c>
      <c r="S20" t="e">
        <f t="shared" ca="1" si="8"/>
        <v>#REF!</v>
      </c>
    </row>
    <row r="21" spans="3:19" x14ac:dyDescent="0.35">
      <c r="C21" t="str">
        <f t="shared" ref="C21:C68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/>
      </c>
      <c r="F21" t="s">
        <v>21</v>
      </c>
      <c r="G21" t="e">
        <f ca="1">2 * (G10 - G5) * (G9 - G6) / (G9 - G6)^2</f>
        <v>#REF!</v>
      </c>
      <c r="I21" t="e">
        <f t="shared" ca="1" si="1"/>
        <v>#REF!</v>
      </c>
      <c r="J21" t="e">
        <f t="shared" ca="1" si="2"/>
        <v>#REF!</v>
      </c>
      <c r="L21" t="e">
        <f t="shared" ca="1" si="3"/>
        <v>#REF!</v>
      </c>
      <c r="M21" t="e">
        <f t="shared" ca="1" si="4"/>
        <v>#REF!</v>
      </c>
      <c r="O21" t="e">
        <f t="shared" ca="1" si="5"/>
        <v>#REF!</v>
      </c>
      <c r="P21" t="e">
        <f t="shared" ca="1" si="6"/>
        <v>#REF!</v>
      </c>
      <c r="R21" t="e">
        <f t="shared" ca="1" si="7"/>
        <v>#REF!</v>
      </c>
      <c r="S21" t="e">
        <f t="shared" ca="1" si="8"/>
        <v>#REF!</v>
      </c>
    </row>
    <row r="22" spans="3:19" x14ac:dyDescent="0.35">
      <c r="C22" t="str">
        <f t="shared" si="9"/>
        <v/>
      </c>
      <c r="F22" t="s">
        <v>22</v>
      </c>
      <c r="G22" t="e">
        <f ca="1">2 * (G14 - G5) * (G13 - G6) / (G13 - G6)^2</f>
        <v>#REF!</v>
      </c>
      <c r="I22" t="e">
        <f t="shared" ca="1" si="1"/>
        <v>#REF!</v>
      </c>
      <c r="J22" t="e">
        <f t="shared" ca="1" si="2"/>
        <v>#REF!</v>
      </c>
      <c r="L22" t="e">
        <f t="shared" ca="1" si="3"/>
        <v>#REF!</v>
      </c>
      <c r="M22" t="e">
        <f t="shared" ca="1" si="4"/>
        <v>#REF!</v>
      </c>
      <c r="O22" t="e">
        <f t="shared" ca="1" si="5"/>
        <v>#REF!</v>
      </c>
      <c r="P22" t="e">
        <f t="shared" ca="1" si="6"/>
        <v>#REF!</v>
      </c>
      <c r="R22" t="e">
        <f t="shared" ca="1" si="7"/>
        <v>#REF!</v>
      </c>
      <c r="S22" t="e">
        <f t="shared" ca="1" si="8"/>
        <v>#REF!</v>
      </c>
    </row>
    <row r="23" spans="3:19" x14ac:dyDescent="0.35">
      <c r="C23" t="str">
        <f t="shared" si="9"/>
        <v/>
      </c>
      <c r="F23" t="s">
        <v>23</v>
      </c>
      <c r="G23">
        <f>1/G20</f>
        <v>5</v>
      </c>
      <c r="I23" t="e">
        <f t="shared" ca="1" si="1"/>
        <v>#REF!</v>
      </c>
      <c r="J23" t="e">
        <f t="shared" ca="1" si="2"/>
        <v>#REF!</v>
      </c>
      <c r="L23" t="e">
        <f t="shared" ca="1" si="3"/>
        <v>#REF!</v>
      </c>
      <c r="M23" t="e">
        <f t="shared" ca="1" si="4"/>
        <v>#REF!</v>
      </c>
      <c r="O23" t="e">
        <f t="shared" ca="1" si="5"/>
        <v>#REF!</v>
      </c>
      <c r="P23" t="e">
        <f t="shared" ca="1" si="6"/>
        <v>#REF!</v>
      </c>
      <c r="R23" t="e">
        <f t="shared" ca="1" si="7"/>
        <v>#REF!</v>
      </c>
      <c r="S23" t="e">
        <f t="shared" ca="1" si="8"/>
        <v>#REF!</v>
      </c>
    </row>
    <row r="24" spans="3:19" x14ac:dyDescent="0.35">
      <c r="C24" t="str">
        <f t="shared" si="9"/>
        <v/>
      </c>
      <c r="I24" t="e">
        <f t="shared" ca="1" si="1"/>
        <v>#REF!</v>
      </c>
      <c r="J24" t="e">
        <f t="shared" ca="1" si="2"/>
        <v>#REF!</v>
      </c>
      <c r="L24" t="e">
        <f t="shared" ca="1" si="3"/>
        <v>#REF!</v>
      </c>
      <c r="M24" t="e">
        <f t="shared" ca="1" si="4"/>
        <v>#REF!</v>
      </c>
      <c r="O24" t="e">
        <f t="shared" ca="1" si="5"/>
        <v>#REF!</v>
      </c>
      <c r="P24" t="e">
        <f t="shared" ca="1" si="6"/>
        <v>#REF!</v>
      </c>
      <c r="R24" t="e">
        <f t="shared" ca="1" si="7"/>
        <v>#REF!</v>
      </c>
      <c r="S24" t="e">
        <f t="shared" ca="1" si="8"/>
        <v>#REF!</v>
      </c>
    </row>
    <row r="25" spans="3:19" x14ac:dyDescent="0.35">
      <c r="C25" t="str">
        <f t="shared" si="9"/>
        <v/>
      </c>
      <c r="F25" t="s">
        <v>26</v>
      </c>
      <c r="G25" t="e">
        <f ca="1">MAX(D4:D1000)</f>
        <v>#REF!</v>
      </c>
      <c r="I25" t="e">
        <f t="shared" ca="1" si="1"/>
        <v>#REF!</v>
      </c>
      <c r="J25" t="e">
        <f t="shared" ca="1" si="2"/>
        <v>#REF!</v>
      </c>
      <c r="L25" t="e">
        <f t="shared" ca="1" si="3"/>
        <v>#REF!</v>
      </c>
      <c r="M25" t="e">
        <f t="shared" ca="1" si="4"/>
        <v>#REF!</v>
      </c>
      <c r="O25" t="e">
        <f t="shared" ca="1" si="5"/>
        <v>#REF!</v>
      </c>
      <c r="P25" t="e">
        <f t="shared" ca="1" si="6"/>
        <v>#REF!</v>
      </c>
      <c r="R25" t="e">
        <f t="shared" ca="1" si="7"/>
        <v>#REF!</v>
      </c>
      <c r="S25" t="e">
        <f t="shared" ca="1" si="8"/>
        <v>#REF!</v>
      </c>
    </row>
    <row r="26" spans="3:19" x14ac:dyDescent="0.35">
      <c r="C26" t="str">
        <f t="shared" si="9"/>
        <v/>
      </c>
      <c r="F26" t="s">
        <v>7</v>
      </c>
      <c r="G26" t="e">
        <f ca="1">MIN(D4:D1000)</f>
        <v>#REF!</v>
      </c>
      <c r="I26" t="e">
        <f t="shared" ca="1" si="1"/>
        <v>#REF!</v>
      </c>
      <c r="J26" t="e">
        <f t="shared" ca="1" si="2"/>
        <v>#REF!</v>
      </c>
      <c r="L26" t="e">
        <f t="shared" ca="1" si="3"/>
        <v>#REF!</v>
      </c>
      <c r="M26" t="e">
        <f t="shared" ca="1" si="4"/>
        <v>#REF!</v>
      </c>
      <c r="O26" t="e">
        <f t="shared" ca="1" si="5"/>
        <v>#REF!</v>
      </c>
      <c r="P26" t="e">
        <f t="shared" ca="1" si="6"/>
        <v>#REF!</v>
      </c>
      <c r="R26" t="e">
        <f t="shared" ca="1" si="7"/>
        <v>#REF!</v>
      </c>
      <c r="S26" t="e">
        <f t="shared" ca="1" si="8"/>
        <v>#REF!</v>
      </c>
    </row>
    <row r="27" spans="3:19" x14ac:dyDescent="0.35">
      <c r="C27" t="str">
        <f t="shared" si="9"/>
        <v/>
      </c>
      <c r="I27" t="e">
        <f t="shared" ca="1" si="1"/>
        <v>#REF!</v>
      </c>
      <c r="J27" t="e">
        <f t="shared" ca="1" si="2"/>
        <v>#REF!</v>
      </c>
      <c r="L27" t="e">
        <f t="shared" ca="1" si="3"/>
        <v>#REF!</v>
      </c>
      <c r="M27" t="e">
        <f t="shared" ca="1" si="4"/>
        <v>#REF!</v>
      </c>
      <c r="O27" t="e">
        <f t="shared" ca="1" si="5"/>
        <v>#REF!</v>
      </c>
      <c r="P27" t="e">
        <f t="shared" ca="1" si="6"/>
        <v>#REF!</v>
      </c>
      <c r="R27" t="e">
        <f t="shared" ca="1" si="7"/>
        <v>#REF!</v>
      </c>
      <c r="S27" t="e">
        <f t="shared" ca="1" si="8"/>
        <v>#REF!</v>
      </c>
    </row>
    <row r="28" spans="3:19" x14ac:dyDescent="0.35">
      <c r="C28" t="str">
        <f t="shared" si="9"/>
        <v/>
      </c>
      <c r="F28" t="s">
        <v>37</v>
      </c>
      <c r="G28">
        <f>COUNTIF(B4:B1000, "&lt;&gt;")</f>
        <v>1</v>
      </c>
      <c r="I28" t="e">
        <f t="shared" ca="1" si="1"/>
        <v>#REF!</v>
      </c>
      <c r="J28" t="e">
        <f t="shared" ca="1" si="2"/>
        <v>#REF!</v>
      </c>
      <c r="L28" t="e">
        <f t="shared" ca="1" si="3"/>
        <v>#REF!</v>
      </c>
      <c r="M28" t="e">
        <f t="shared" ca="1" si="4"/>
        <v>#REF!</v>
      </c>
      <c r="O28" t="e">
        <f t="shared" ca="1" si="5"/>
        <v>#REF!</v>
      </c>
      <c r="P28" t="e">
        <f t="shared" ca="1" si="6"/>
        <v>#REF!</v>
      </c>
      <c r="R28" t="e">
        <f t="shared" ca="1" si="7"/>
        <v>#REF!</v>
      </c>
      <c r="S28" t="e">
        <f t="shared" ca="1" si="8"/>
        <v>#REF!</v>
      </c>
    </row>
    <row r="29" spans="3:19" x14ac:dyDescent="0.35">
      <c r="C29" t="str">
        <f t="shared" si="9"/>
        <v/>
      </c>
      <c r="I29" t="e">
        <f t="shared" ca="1" si="1"/>
        <v>#REF!</v>
      </c>
      <c r="J29" t="e">
        <f t="shared" ca="1" si="2"/>
        <v>#REF!</v>
      </c>
      <c r="L29" t="e">
        <f t="shared" ca="1" si="3"/>
        <v>#REF!</v>
      </c>
      <c r="M29" t="e">
        <f t="shared" ca="1" si="4"/>
        <v>#REF!</v>
      </c>
      <c r="O29" t="e">
        <f t="shared" ca="1" si="5"/>
        <v>#REF!</v>
      </c>
      <c r="P29" t="e">
        <f t="shared" ca="1" si="6"/>
        <v>#REF!</v>
      </c>
      <c r="R29" t="e">
        <f t="shared" ca="1" si="7"/>
        <v>#REF!</v>
      </c>
      <c r="S29" t="e">
        <f t="shared" ca="1" si="8"/>
        <v>#REF!</v>
      </c>
    </row>
    <row r="30" spans="3:19" x14ac:dyDescent="0.35">
      <c r="C30" t="str">
        <f t="shared" si="9"/>
        <v/>
      </c>
      <c r="F30" t="s">
        <v>209</v>
      </c>
      <c r="G30" s="3" t="e">
        <f>(D30-D24)/(A30-A24)</f>
        <v>#DIV/0!</v>
      </c>
      <c r="I30" t="e">
        <f t="shared" ca="1" si="1"/>
        <v>#REF!</v>
      </c>
      <c r="J30" t="e">
        <f t="shared" ca="1" si="2"/>
        <v>#REF!</v>
      </c>
      <c r="L30" t="e">
        <f t="shared" ca="1" si="3"/>
        <v>#REF!</v>
      </c>
      <c r="M30" t="e">
        <f t="shared" ca="1" si="4"/>
        <v>#REF!</v>
      </c>
      <c r="O30" t="e">
        <f t="shared" ca="1" si="5"/>
        <v>#REF!</v>
      </c>
      <c r="P30" t="e">
        <f t="shared" ca="1" si="6"/>
        <v>#REF!</v>
      </c>
      <c r="R30" t="e">
        <f t="shared" ca="1" si="7"/>
        <v>#REF!</v>
      </c>
      <c r="S30" t="e">
        <f t="shared" ca="1" si="8"/>
        <v>#REF!</v>
      </c>
    </row>
    <row r="31" spans="3:19" x14ac:dyDescent="0.35">
      <c r="C31" t="str">
        <f t="shared" si="9"/>
        <v/>
      </c>
      <c r="F31" t="s">
        <v>210</v>
      </c>
      <c r="G31" t="e">
        <f>G30*180/PI()</f>
        <v>#DIV/0!</v>
      </c>
      <c r="I31" t="e">
        <f t="shared" ca="1" si="1"/>
        <v>#REF!</v>
      </c>
      <c r="J31" t="e">
        <f t="shared" ca="1" si="2"/>
        <v>#REF!</v>
      </c>
      <c r="L31" t="e">
        <f t="shared" ca="1" si="3"/>
        <v>#REF!</v>
      </c>
      <c r="M31" t="e">
        <f t="shared" ca="1" si="4"/>
        <v>#REF!</v>
      </c>
      <c r="O31" t="e">
        <f t="shared" ca="1" si="5"/>
        <v>#REF!</v>
      </c>
      <c r="P31" t="e">
        <f t="shared" ca="1" si="6"/>
        <v>#REF!</v>
      </c>
      <c r="R31" t="e">
        <f t="shared" ca="1" si="7"/>
        <v>#REF!</v>
      </c>
      <c r="S31" t="e">
        <f t="shared" ca="1" si="8"/>
        <v>#REF!</v>
      </c>
    </row>
    <row r="32" spans="3:19" x14ac:dyDescent="0.35">
      <c r="C32" t="str">
        <f t="shared" si="9"/>
        <v/>
      </c>
      <c r="F32" t="s">
        <v>39</v>
      </c>
      <c r="G32" t="e">
        <f>G31/(2*PI())</f>
        <v>#DIV/0!</v>
      </c>
      <c r="I32" t="e">
        <f t="shared" ca="1" si="1"/>
        <v>#REF!</v>
      </c>
      <c r="J32" t="e">
        <f t="shared" ca="1" si="2"/>
        <v>#REF!</v>
      </c>
      <c r="L32" t="e">
        <f t="shared" ca="1" si="3"/>
        <v>#REF!</v>
      </c>
      <c r="M32" t="e">
        <f t="shared" ca="1" si="4"/>
        <v>#REF!</v>
      </c>
      <c r="O32" t="e">
        <f t="shared" ca="1" si="5"/>
        <v>#REF!</v>
      </c>
      <c r="P32" t="e">
        <f t="shared" ca="1" si="6"/>
        <v>#REF!</v>
      </c>
      <c r="R32" t="e">
        <f t="shared" ca="1" si="7"/>
        <v>#REF!</v>
      </c>
      <c r="S32" t="e">
        <f t="shared" ca="1" si="8"/>
        <v>#REF!</v>
      </c>
    </row>
    <row r="33" spans="3:29" x14ac:dyDescent="0.35">
      <c r="C33" t="str">
        <f t="shared" si="9"/>
        <v/>
      </c>
      <c r="I33" t="e">
        <f t="shared" ca="1" si="1"/>
        <v>#REF!</v>
      </c>
      <c r="J33" t="e">
        <f t="shared" ca="1" si="2"/>
        <v>#REF!</v>
      </c>
      <c r="L33" t="e">
        <f t="shared" ca="1" si="3"/>
        <v>#REF!</v>
      </c>
      <c r="M33" t="e">
        <f t="shared" ca="1" si="4"/>
        <v>#REF!</v>
      </c>
      <c r="O33" t="e">
        <f t="shared" ca="1" si="5"/>
        <v>#REF!</v>
      </c>
      <c r="P33" t="e">
        <f t="shared" ca="1" si="6"/>
        <v>#REF!</v>
      </c>
      <c r="R33" t="e">
        <f t="shared" ca="1" si="7"/>
        <v>#REF!</v>
      </c>
      <c r="S33" t="e">
        <f t="shared" ca="1" si="8"/>
        <v>#REF!</v>
      </c>
      <c r="U33" t="s">
        <v>36</v>
      </c>
      <c r="W33" t="s">
        <v>27</v>
      </c>
      <c r="X33" t="s">
        <v>28</v>
      </c>
      <c r="Y33" t="s">
        <v>29</v>
      </c>
      <c r="Z33" t="s">
        <v>31</v>
      </c>
      <c r="AA33" t="s">
        <v>30</v>
      </c>
      <c r="AB33" t="s">
        <v>32</v>
      </c>
      <c r="AC33" t="s">
        <v>39</v>
      </c>
    </row>
    <row r="34" spans="3:29" x14ac:dyDescent="0.35">
      <c r="C34" t="str">
        <f t="shared" si="9"/>
        <v/>
      </c>
      <c r="I34" t="e">
        <f t="shared" ca="1" si="1"/>
        <v>#REF!</v>
      </c>
      <c r="J34" t="e">
        <f t="shared" ca="1" si="2"/>
        <v>#REF!</v>
      </c>
      <c r="L34" t="e">
        <f t="shared" ca="1" si="3"/>
        <v>#REF!</v>
      </c>
      <c r="M34" t="e">
        <f t="shared" ca="1" si="4"/>
        <v>#REF!</v>
      </c>
      <c r="O34" t="e">
        <f t="shared" ca="1" si="5"/>
        <v>#REF!</v>
      </c>
      <c r="P34" t="e">
        <f t="shared" ca="1" si="6"/>
        <v>#REF!</v>
      </c>
      <c r="R34" t="e">
        <f t="shared" ca="1" si="7"/>
        <v>#REF!</v>
      </c>
      <c r="S34" t="e">
        <f t="shared" ca="1" si="8"/>
        <v>#REF!</v>
      </c>
      <c r="U34" s="4" t="e">
        <f ca="1">1 - SUMXMY2(B4:B1000, C4:C1000) / DEVSQ(_xlfn.ANCHORARRAY(B4))</f>
        <v>#REF!</v>
      </c>
      <c r="W34">
        <f>G9</f>
        <v>0</v>
      </c>
      <c r="X34">
        <f>G10</f>
        <v>0</v>
      </c>
      <c r="Y34" t="e">
        <f ca="1">G6</f>
        <v>#REF!</v>
      </c>
      <c r="Z34" t="e">
        <f ca="1">G5</f>
        <v>#REF!</v>
      </c>
      <c r="AA34">
        <f>G13</f>
        <v>0</v>
      </c>
      <c r="AB34">
        <f>G14</f>
        <v>0</v>
      </c>
      <c r="AC34" t="e">
        <f>G32</f>
        <v>#DIV/0!</v>
      </c>
    </row>
    <row r="35" spans="3:29" x14ac:dyDescent="0.35">
      <c r="C35" t="str">
        <f t="shared" si="9"/>
        <v/>
      </c>
      <c r="I35" t="e">
        <f t="shared" ca="1" si="1"/>
        <v>#REF!</v>
      </c>
      <c r="J35" t="e">
        <f t="shared" ca="1" si="2"/>
        <v>#REF!</v>
      </c>
      <c r="L35" t="e">
        <f t="shared" ca="1" si="3"/>
        <v>#REF!</v>
      </c>
      <c r="M35" t="e">
        <f t="shared" ca="1" si="4"/>
        <v>#REF!</v>
      </c>
      <c r="O35" t="e">
        <f t="shared" ca="1" si="5"/>
        <v>#REF!</v>
      </c>
      <c r="P35" t="e">
        <f t="shared" ca="1" si="6"/>
        <v>#REF!</v>
      </c>
      <c r="R35" t="e">
        <f t="shared" ca="1" si="7"/>
        <v>#REF!</v>
      </c>
      <c r="S35" t="e">
        <f t="shared" ca="1" si="8"/>
        <v>#REF!</v>
      </c>
    </row>
    <row r="36" spans="3:29" x14ac:dyDescent="0.35">
      <c r="C36" t="str">
        <f t="shared" si="9"/>
        <v/>
      </c>
      <c r="I36" t="e">
        <f t="shared" ca="1" si="1"/>
        <v>#REF!</v>
      </c>
      <c r="J36" t="e">
        <f t="shared" ca="1" si="2"/>
        <v>#REF!</v>
      </c>
      <c r="L36" t="e">
        <f t="shared" ca="1" si="3"/>
        <v>#REF!</v>
      </c>
      <c r="M36" t="e">
        <f t="shared" ca="1" si="4"/>
        <v>#REF!</v>
      </c>
      <c r="O36" t="e">
        <f t="shared" ca="1" si="5"/>
        <v>#REF!</v>
      </c>
      <c r="P36" t="e">
        <f t="shared" ca="1" si="6"/>
        <v>#REF!</v>
      </c>
      <c r="R36" t="e">
        <f t="shared" ca="1" si="7"/>
        <v>#REF!</v>
      </c>
      <c r="S36" t="e">
        <f t="shared" ca="1" si="8"/>
        <v>#REF!</v>
      </c>
    </row>
    <row r="37" spans="3:29" x14ac:dyDescent="0.35">
      <c r="C37" t="str">
        <f t="shared" si="9"/>
        <v/>
      </c>
      <c r="I37" t="e">
        <f t="shared" ca="1" si="1"/>
        <v>#REF!</v>
      </c>
      <c r="J37" t="e">
        <f t="shared" ref="J37:J68" ca="1" si="10">$G$9 + ($G$6 - $G$9) * (ROW(B34)-1)/99</f>
        <v>#REF!</v>
      </c>
      <c r="L37" t="e">
        <f t="shared" ca="1" si="3"/>
        <v>#REF!</v>
      </c>
      <c r="M37" t="e">
        <f t="shared" ca="1" si="4"/>
        <v>#REF!</v>
      </c>
      <c r="O37" t="e">
        <f t="shared" ca="1" si="5"/>
        <v>#REF!</v>
      </c>
      <c r="P37" t="e">
        <f t="shared" ref="P37:P68" ca="1" si="11">$G$26 + ($G$9 - $G$26) * (ROW(B34)-1)/99</f>
        <v>#REF!</v>
      </c>
      <c r="R37" t="e">
        <f t="shared" ca="1" si="7"/>
        <v>#REF!</v>
      </c>
      <c r="S37" t="e">
        <f t="shared" ref="S37:S68" ca="1" si="12">$G$13 + ($G$25 - $G$13) * (ROW(B34)-1)/99</f>
        <v>#REF!</v>
      </c>
    </row>
    <row r="38" spans="3:29" x14ac:dyDescent="0.35">
      <c r="C38" t="str">
        <f t="shared" si="9"/>
        <v/>
      </c>
      <c r="I38" t="e">
        <f t="shared" ca="1" si="1"/>
        <v>#REF!</v>
      </c>
      <c r="J38" t="e">
        <f t="shared" ca="1" si="10"/>
        <v>#REF!</v>
      </c>
      <c r="L38" t="e">
        <f t="shared" ca="1" si="3"/>
        <v>#REF!</v>
      </c>
      <c r="M38" t="e">
        <f t="shared" ca="1" si="4"/>
        <v>#REF!</v>
      </c>
      <c r="O38" t="e">
        <f t="shared" ca="1" si="5"/>
        <v>#REF!</v>
      </c>
      <c r="P38" t="e">
        <f t="shared" ca="1" si="11"/>
        <v>#REF!</v>
      </c>
      <c r="R38" t="e">
        <f t="shared" ca="1" si="7"/>
        <v>#REF!</v>
      </c>
      <c r="S38" t="e">
        <f t="shared" ca="1" si="12"/>
        <v>#REF!</v>
      </c>
    </row>
    <row r="39" spans="3:29" x14ac:dyDescent="0.35">
      <c r="C39" t="str">
        <f t="shared" si="9"/>
        <v/>
      </c>
      <c r="I39" t="e">
        <f t="shared" ca="1" si="1"/>
        <v>#REF!</v>
      </c>
      <c r="J39" t="e">
        <f t="shared" ca="1" si="10"/>
        <v>#REF!</v>
      </c>
      <c r="L39" t="e">
        <f t="shared" ca="1" si="3"/>
        <v>#REF!</v>
      </c>
      <c r="M39" t="e">
        <f t="shared" ca="1" si="4"/>
        <v>#REF!</v>
      </c>
      <c r="O39" t="e">
        <f t="shared" ca="1" si="5"/>
        <v>#REF!</v>
      </c>
      <c r="P39" t="e">
        <f t="shared" ca="1" si="11"/>
        <v>#REF!</v>
      </c>
      <c r="R39" t="e">
        <f t="shared" ca="1" si="7"/>
        <v>#REF!</v>
      </c>
      <c r="S39" t="e">
        <f t="shared" ca="1" si="12"/>
        <v>#REF!</v>
      </c>
    </row>
    <row r="40" spans="3:29" x14ac:dyDescent="0.35">
      <c r="C40" t="str">
        <f t="shared" si="9"/>
        <v/>
      </c>
      <c r="I40" t="e">
        <f t="shared" ca="1" si="1"/>
        <v>#REF!</v>
      </c>
      <c r="J40" t="e">
        <f t="shared" ca="1" si="10"/>
        <v>#REF!</v>
      </c>
      <c r="L40" t="e">
        <f t="shared" ca="1" si="3"/>
        <v>#REF!</v>
      </c>
      <c r="M40" t="e">
        <f t="shared" ca="1" si="4"/>
        <v>#REF!</v>
      </c>
      <c r="O40" t="e">
        <f t="shared" ca="1" si="5"/>
        <v>#REF!</v>
      </c>
      <c r="P40" t="e">
        <f t="shared" ca="1" si="11"/>
        <v>#REF!</v>
      </c>
      <c r="R40" t="e">
        <f t="shared" ca="1" si="7"/>
        <v>#REF!</v>
      </c>
      <c r="S40" t="e">
        <f t="shared" ca="1" si="12"/>
        <v>#REF!</v>
      </c>
    </row>
    <row r="41" spans="3:29" x14ac:dyDescent="0.35">
      <c r="C41" t="str">
        <f t="shared" si="9"/>
        <v/>
      </c>
      <c r="I41" t="e">
        <f t="shared" ca="1" si="1"/>
        <v>#REF!</v>
      </c>
      <c r="J41" t="e">
        <f t="shared" ca="1" si="10"/>
        <v>#REF!</v>
      </c>
      <c r="L41" t="e">
        <f t="shared" ca="1" si="3"/>
        <v>#REF!</v>
      </c>
      <c r="M41" t="e">
        <f t="shared" ca="1" si="4"/>
        <v>#REF!</v>
      </c>
      <c r="O41" t="e">
        <f t="shared" ca="1" si="5"/>
        <v>#REF!</v>
      </c>
      <c r="P41" t="e">
        <f t="shared" ca="1" si="11"/>
        <v>#REF!</v>
      </c>
      <c r="R41" t="e">
        <f t="shared" ca="1" si="7"/>
        <v>#REF!</v>
      </c>
      <c r="S41" t="e">
        <f t="shared" ca="1" si="12"/>
        <v>#REF!</v>
      </c>
    </row>
    <row r="42" spans="3:29" x14ac:dyDescent="0.35">
      <c r="C42" t="str">
        <f t="shared" si="9"/>
        <v/>
      </c>
      <c r="I42" t="e">
        <f t="shared" ca="1" si="1"/>
        <v>#REF!</v>
      </c>
      <c r="J42" t="e">
        <f t="shared" ca="1" si="10"/>
        <v>#REF!</v>
      </c>
      <c r="L42" t="e">
        <f t="shared" ca="1" si="3"/>
        <v>#REF!</v>
      </c>
      <c r="M42" t="e">
        <f t="shared" ca="1" si="4"/>
        <v>#REF!</v>
      </c>
      <c r="O42" t="e">
        <f t="shared" ca="1" si="5"/>
        <v>#REF!</v>
      </c>
      <c r="P42" t="e">
        <f t="shared" ca="1" si="11"/>
        <v>#REF!</v>
      </c>
      <c r="R42" t="e">
        <f t="shared" ca="1" si="7"/>
        <v>#REF!</v>
      </c>
      <c r="S42" t="e">
        <f t="shared" ca="1" si="12"/>
        <v>#REF!</v>
      </c>
    </row>
    <row r="43" spans="3:29" x14ac:dyDescent="0.35">
      <c r="C43" t="str">
        <f t="shared" si="9"/>
        <v/>
      </c>
      <c r="I43" t="e">
        <f t="shared" ca="1" si="1"/>
        <v>#REF!</v>
      </c>
      <c r="J43" t="e">
        <f t="shared" ca="1" si="10"/>
        <v>#REF!</v>
      </c>
      <c r="L43" t="e">
        <f t="shared" ca="1" si="3"/>
        <v>#REF!</v>
      </c>
      <c r="M43" t="e">
        <f t="shared" ca="1" si="4"/>
        <v>#REF!</v>
      </c>
      <c r="O43" t="e">
        <f t="shared" ca="1" si="5"/>
        <v>#REF!</v>
      </c>
      <c r="P43" t="e">
        <f t="shared" ca="1" si="11"/>
        <v>#REF!</v>
      </c>
      <c r="R43" t="e">
        <f t="shared" ca="1" si="7"/>
        <v>#REF!</v>
      </c>
      <c r="S43" t="e">
        <f t="shared" ca="1" si="12"/>
        <v>#REF!</v>
      </c>
    </row>
    <row r="44" spans="3:29" x14ac:dyDescent="0.35">
      <c r="C44" t="str">
        <f t="shared" si="9"/>
        <v/>
      </c>
      <c r="I44" t="e">
        <f t="shared" ca="1" si="1"/>
        <v>#REF!</v>
      </c>
      <c r="J44" t="e">
        <f t="shared" ca="1" si="10"/>
        <v>#REF!</v>
      </c>
      <c r="L44" t="e">
        <f t="shared" ca="1" si="3"/>
        <v>#REF!</v>
      </c>
      <c r="M44" t="e">
        <f t="shared" ca="1" si="4"/>
        <v>#REF!</v>
      </c>
      <c r="O44" t="e">
        <f t="shared" ca="1" si="5"/>
        <v>#REF!</v>
      </c>
      <c r="P44" t="e">
        <f t="shared" ca="1" si="11"/>
        <v>#REF!</v>
      </c>
      <c r="R44" t="e">
        <f t="shared" ca="1" si="7"/>
        <v>#REF!</v>
      </c>
      <c r="S44" t="e">
        <f t="shared" ca="1" si="12"/>
        <v>#REF!</v>
      </c>
    </row>
    <row r="45" spans="3:29" x14ac:dyDescent="0.35">
      <c r="C45" t="str">
        <f t="shared" si="9"/>
        <v/>
      </c>
      <c r="I45" t="e">
        <f t="shared" ca="1" si="1"/>
        <v>#REF!</v>
      </c>
      <c r="J45" t="e">
        <f t="shared" ca="1" si="10"/>
        <v>#REF!</v>
      </c>
      <c r="L45" t="e">
        <f t="shared" ca="1" si="3"/>
        <v>#REF!</v>
      </c>
      <c r="M45" t="e">
        <f t="shared" ca="1" si="4"/>
        <v>#REF!</v>
      </c>
      <c r="O45" t="e">
        <f t="shared" ca="1" si="5"/>
        <v>#REF!</v>
      </c>
      <c r="P45" t="e">
        <f t="shared" ca="1" si="11"/>
        <v>#REF!</v>
      </c>
      <c r="R45" t="e">
        <f t="shared" ca="1" si="7"/>
        <v>#REF!</v>
      </c>
      <c r="S45" t="e">
        <f t="shared" ca="1" si="12"/>
        <v>#REF!</v>
      </c>
    </row>
    <row r="46" spans="3:29" x14ac:dyDescent="0.35">
      <c r="C46" t="str">
        <f t="shared" si="9"/>
        <v/>
      </c>
      <c r="I46" t="e">
        <f t="shared" ca="1" si="1"/>
        <v>#REF!</v>
      </c>
      <c r="J46" t="e">
        <f t="shared" ca="1" si="10"/>
        <v>#REF!</v>
      </c>
      <c r="L46" t="e">
        <f t="shared" ca="1" si="3"/>
        <v>#REF!</v>
      </c>
      <c r="M46" t="e">
        <f t="shared" ca="1" si="4"/>
        <v>#REF!</v>
      </c>
      <c r="O46" t="e">
        <f t="shared" ca="1" si="5"/>
        <v>#REF!</v>
      </c>
      <c r="P46" t="e">
        <f t="shared" ca="1" si="11"/>
        <v>#REF!</v>
      </c>
      <c r="R46" t="e">
        <f t="shared" ca="1" si="7"/>
        <v>#REF!</v>
      </c>
      <c r="S46" t="e">
        <f t="shared" ca="1" si="12"/>
        <v>#REF!</v>
      </c>
    </row>
    <row r="47" spans="3:29" x14ac:dyDescent="0.35">
      <c r="C47" t="str">
        <f t="shared" si="9"/>
        <v/>
      </c>
      <c r="I47" t="e">
        <f t="shared" ca="1" si="1"/>
        <v>#REF!</v>
      </c>
      <c r="J47" t="e">
        <f t="shared" ca="1" si="10"/>
        <v>#REF!</v>
      </c>
      <c r="L47" t="e">
        <f t="shared" ca="1" si="3"/>
        <v>#REF!</v>
      </c>
      <c r="M47" t="e">
        <f t="shared" ca="1" si="4"/>
        <v>#REF!</v>
      </c>
      <c r="O47" t="e">
        <f t="shared" ca="1" si="5"/>
        <v>#REF!</v>
      </c>
      <c r="P47" t="e">
        <f t="shared" ca="1" si="11"/>
        <v>#REF!</v>
      </c>
      <c r="R47" t="e">
        <f t="shared" ca="1" si="7"/>
        <v>#REF!</v>
      </c>
      <c r="S47" t="e">
        <f t="shared" ca="1" si="12"/>
        <v>#REF!</v>
      </c>
    </row>
    <row r="48" spans="3:29" x14ac:dyDescent="0.35">
      <c r="C48" t="str">
        <f t="shared" si="9"/>
        <v/>
      </c>
      <c r="I48" t="e">
        <f t="shared" ca="1" si="1"/>
        <v>#REF!</v>
      </c>
      <c r="J48" t="e">
        <f t="shared" ca="1" si="10"/>
        <v>#REF!</v>
      </c>
      <c r="L48" t="e">
        <f t="shared" ca="1" si="3"/>
        <v>#REF!</v>
      </c>
      <c r="M48" t="e">
        <f t="shared" ca="1" si="4"/>
        <v>#REF!</v>
      </c>
      <c r="O48" t="e">
        <f t="shared" ca="1" si="5"/>
        <v>#REF!</v>
      </c>
      <c r="P48" t="e">
        <f t="shared" ca="1" si="11"/>
        <v>#REF!</v>
      </c>
      <c r="R48" t="e">
        <f t="shared" ca="1" si="7"/>
        <v>#REF!</v>
      </c>
      <c r="S48" t="e">
        <f t="shared" ca="1" si="12"/>
        <v>#REF!</v>
      </c>
    </row>
    <row r="49" spans="3:19" x14ac:dyDescent="0.35">
      <c r="C49" t="str">
        <f t="shared" si="9"/>
        <v/>
      </c>
      <c r="I49" t="e">
        <f t="shared" ca="1" si="1"/>
        <v>#REF!</v>
      </c>
      <c r="J49" t="e">
        <f t="shared" ca="1" si="10"/>
        <v>#REF!</v>
      </c>
      <c r="L49" t="e">
        <f t="shared" ca="1" si="3"/>
        <v>#REF!</v>
      </c>
      <c r="M49" t="e">
        <f t="shared" ca="1" si="4"/>
        <v>#REF!</v>
      </c>
      <c r="O49" t="e">
        <f t="shared" ca="1" si="5"/>
        <v>#REF!</v>
      </c>
      <c r="P49" t="e">
        <f t="shared" ca="1" si="11"/>
        <v>#REF!</v>
      </c>
      <c r="R49" t="e">
        <f t="shared" ca="1" si="7"/>
        <v>#REF!</v>
      </c>
      <c r="S49" t="e">
        <f t="shared" ca="1" si="12"/>
        <v>#REF!</v>
      </c>
    </row>
    <row r="50" spans="3:19" x14ac:dyDescent="0.35">
      <c r="C50" t="str">
        <f t="shared" si="9"/>
        <v/>
      </c>
      <c r="I50" t="e">
        <f t="shared" ca="1" si="1"/>
        <v>#REF!</v>
      </c>
      <c r="J50" t="e">
        <f t="shared" ca="1" si="10"/>
        <v>#REF!</v>
      </c>
      <c r="L50" t="e">
        <f t="shared" ca="1" si="3"/>
        <v>#REF!</v>
      </c>
      <c r="M50" t="e">
        <f t="shared" ca="1" si="4"/>
        <v>#REF!</v>
      </c>
      <c r="O50" t="e">
        <f t="shared" ca="1" si="5"/>
        <v>#REF!</v>
      </c>
      <c r="P50" t="e">
        <f t="shared" ca="1" si="11"/>
        <v>#REF!</v>
      </c>
      <c r="R50" t="e">
        <f t="shared" ca="1" si="7"/>
        <v>#REF!</v>
      </c>
      <c r="S50" t="e">
        <f t="shared" ca="1" si="12"/>
        <v>#REF!</v>
      </c>
    </row>
    <row r="51" spans="3:19" x14ac:dyDescent="0.35">
      <c r="C51" t="str">
        <f t="shared" si="9"/>
        <v/>
      </c>
      <c r="I51" t="e">
        <f t="shared" ca="1" si="1"/>
        <v>#REF!</v>
      </c>
      <c r="J51" t="e">
        <f t="shared" ca="1" si="10"/>
        <v>#REF!</v>
      </c>
      <c r="L51" t="e">
        <f t="shared" ca="1" si="3"/>
        <v>#REF!</v>
      </c>
      <c r="M51" t="e">
        <f t="shared" ca="1" si="4"/>
        <v>#REF!</v>
      </c>
      <c r="O51" t="e">
        <f t="shared" ca="1" si="5"/>
        <v>#REF!</v>
      </c>
      <c r="P51" t="e">
        <f t="shared" ca="1" si="11"/>
        <v>#REF!</v>
      </c>
      <c r="R51" t="e">
        <f t="shared" ca="1" si="7"/>
        <v>#REF!</v>
      </c>
      <c r="S51" t="e">
        <f t="shared" ca="1" si="12"/>
        <v>#REF!</v>
      </c>
    </row>
    <row r="52" spans="3:19" x14ac:dyDescent="0.35">
      <c r="C52" t="str">
        <f t="shared" si="9"/>
        <v/>
      </c>
      <c r="I52" t="e">
        <f t="shared" ca="1" si="1"/>
        <v>#REF!</v>
      </c>
      <c r="J52" t="e">
        <f t="shared" ca="1" si="10"/>
        <v>#REF!</v>
      </c>
      <c r="L52" t="e">
        <f t="shared" ca="1" si="3"/>
        <v>#REF!</v>
      </c>
      <c r="M52" t="e">
        <f t="shared" ca="1" si="4"/>
        <v>#REF!</v>
      </c>
      <c r="O52" t="e">
        <f t="shared" ca="1" si="5"/>
        <v>#REF!</v>
      </c>
      <c r="P52" t="e">
        <f t="shared" ca="1" si="11"/>
        <v>#REF!</v>
      </c>
      <c r="R52" t="e">
        <f t="shared" ca="1" si="7"/>
        <v>#REF!</v>
      </c>
      <c r="S52" t="e">
        <f t="shared" ca="1" si="12"/>
        <v>#REF!</v>
      </c>
    </row>
    <row r="53" spans="3:19" x14ac:dyDescent="0.35">
      <c r="C53" t="str">
        <f t="shared" si="9"/>
        <v/>
      </c>
      <c r="I53" t="e">
        <f t="shared" ca="1" si="1"/>
        <v>#REF!</v>
      </c>
      <c r="J53" t="e">
        <f t="shared" ca="1" si="10"/>
        <v>#REF!</v>
      </c>
      <c r="L53" t="e">
        <f t="shared" ca="1" si="3"/>
        <v>#REF!</v>
      </c>
      <c r="M53" t="e">
        <f t="shared" ca="1" si="4"/>
        <v>#REF!</v>
      </c>
      <c r="O53" t="e">
        <f t="shared" ca="1" si="5"/>
        <v>#REF!</v>
      </c>
      <c r="P53" t="e">
        <f t="shared" ca="1" si="11"/>
        <v>#REF!</v>
      </c>
      <c r="R53" t="e">
        <f t="shared" ca="1" si="7"/>
        <v>#REF!</v>
      </c>
      <c r="S53" t="e">
        <f t="shared" ca="1" si="12"/>
        <v>#REF!</v>
      </c>
    </row>
    <row r="54" spans="3:19" x14ac:dyDescent="0.35">
      <c r="C54" t="str">
        <f t="shared" si="9"/>
        <v/>
      </c>
      <c r="I54" t="e">
        <f t="shared" ca="1" si="1"/>
        <v>#REF!</v>
      </c>
      <c r="J54" t="e">
        <f t="shared" ca="1" si="10"/>
        <v>#REF!</v>
      </c>
      <c r="L54" t="e">
        <f t="shared" ca="1" si="3"/>
        <v>#REF!</v>
      </c>
      <c r="M54" t="e">
        <f t="shared" ca="1" si="4"/>
        <v>#REF!</v>
      </c>
      <c r="O54" t="e">
        <f t="shared" ca="1" si="5"/>
        <v>#REF!</v>
      </c>
      <c r="P54" t="e">
        <f t="shared" ca="1" si="11"/>
        <v>#REF!</v>
      </c>
      <c r="R54" t="e">
        <f t="shared" ca="1" si="7"/>
        <v>#REF!</v>
      </c>
      <c r="S54" t="e">
        <f t="shared" ca="1" si="12"/>
        <v>#REF!</v>
      </c>
    </row>
    <row r="55" spans="3:19" x14ac:dyDescent="0.35">
      <c r="C55" t="str">
        <f t="shared" si="9"/>
        <v/>
      </c>
      <c r="I55" t="e">
        <f t="shared" ca="1" si="1"/>
        <v>#REF!</v>
      </c>
      <c r="J55" t="e">
        <f t="shared" ca="1" si="10"/>
        <v>#REF!</v>
      </c>
      <c r="L55" t="e">
        <f t="shared" ca="1" si="3"/>
        <v>#REF!</v>
      </c>
      <c r="M55" t="e">
        <f t="shared" ca="1" si="4"/>
        <v>#REF!</v>
      </c>
      <c r="O55" t="e">
        <f t="shared" ca="1" si="5"/>
        <v>#REF!</v>
      </c>
      <c r="P55" t="e">
        <f t="shared" ca="1" si="11"/>
        <v>#REF!</v>
      </c>
      <c r="R55" t="e">
        <f t="shared" ca="1" si="7"/>
        <v>#REF!</v>
      </c>
      <c r="S55" t="e">
        <f t="shared" ca="1" si="12"/>
        <v>#REF!</v>
      </c>
    </row>
    <row r="56" spans="3:19" x14ac:dyDescent="0.35">
      <c r="C56" t="str">
        <f t="shared" si="9"/>
        <v/>
      </c>
      <c r="I56" t="e">
        <f t="shared" ca="1" si="1"/>
        <v>#REF!</v>
      </c>
      <c r="J56" t="e">
        <f t="shared" ca="1" si="10"/>
        <v>#REF!</v>
      </c>
      <c r="L56" t="e">
        <f t="shared" ca="1" si="3"/>
        <v>#REF!</v>
      </c>
      <c r="M56" t="e">
        <f t="shared" ca="1" si="4"/>
        <v>#REF!</v>
      </c>
      <c r="O56" t="e">
        <f t="shared" ca="1" si="5"/>
        <v>#REF!</v>
      </c>
      <c r="P56" t="e">
        <f t="shared" ca="1" si="11"/>
        <v>#REF!</v>
      </c>
      <c r="R56" t="e">
        <f t="shared" ca="1" si="7"/>
        <v>#REF!</v>
      </c>
      <c r="S56" t="e">
        <f t="shared" ca="1" si="12"/>
        <v>#REF!</v>
      </c>
    </row>
    <row r="57" spans="3:19" x14ac:dyDescent="0.35">
      <c r="C57" t="str">
        <f t="shared" si="9"/>
        <v/>
      </c>
      <c r="I57" t="e">
        <f t="shared" ca="1" si="1"/>
        <v>#REF!</v>
      </c>
      <c r="J57" t="e">
        <f t="shared" ca="1" si="10"/>
        <v>#REF!</v>
      </c>
      <c r="L57" t="e">
        <f t="shared" ca="1" si="3"/>
        <v>#REF!</v>
      </c>
      <c r="M57" t="e">
        <f t="shared" ca="1" si="4"/>
        <v>#REF!</v>
      </c>
      <c r="O57" t="e">
        <f t="shared" ca="1" si="5"/>
        <v>#REF!</v>
      </c>
      <c r="P57" t="e">
        <f t="shared" ca="1" si="11"/>
        <v>#REF!</v>
      </c>
      <c r="R57" t="e">
        <f t="shared" ca="1" si="7"/>
        <v>#REF!</v>
      </c>
      <c r="S57" t="e">
        <f t="shared" ca="1" si="12"/>
        <v>#REF!</v>
      </c>
    </row>
    <row r="58" spans="3:19" x14ac:dyDescent="0.35">
      <c r="C58" t="str">
        <f t="shared" si="9"/>
        <v/>
      </c>
      <c r="I58" t="e">
        <f t="shared" ca="1" si="1"/>
        <v>#REF!</v>
      </c>
      <c r="J58" t="e">
        <f t="shared" ca="1" si="10"/>
        <v>#REF!</v>
      </c>
      <c r="L58" t="e">
        <f t="shared" ca="1" si="3"/>
        <v>#REF!</v>
      </c>
      <c r="M58" t="e">
        <f t="shared" ca="1" si="4"/>
        <v>#REF!</v>
      </c>
      <c r="O58" t="e">
        <f t="shared" ca="1" si="5"/>
        <v>#REF!</v>
      </c>
      <c r="P58" t="e">
        <f t="shared" ca="1" si="11"/>
        <v>#REF!</v>
      </c>
      <c r="R58" t="e">
        <f t="shared" ca="1" si="7"/>
        <v>#REF!</v>
      </c>
      <c r="S58" t="e">
        <f t="shared" ca="1" si="12"/>
        <v>#REF!</v>
      </c>
    </row>
    <row r="59" spans="3:19" x14ac:dyDescent="0.35">
      <c r="C59" t="str">
        <f t="shared" si="9"/>
        <v/>
      </c>
      <c r="I59" t="e">
        <f t="shared" ca="1" si="1"/>
        <v>#REF!</v>
      </c>
      <c r="J59" t="e">
        <f t="shared" ca="1" si="10"/>
        <v>#REF!</v>
      </c>
      <c r="L59" t="e">
        <f t="shared" ca="1" si="3"/>
        <v>#REF!</v>
      </c>
      <c r="M59" t="e">
        <f t="shared" ca="1" si="4"/>
        <v>#REF!</v>
      </c>
      <c r="O59" t="e">
        <f t="shared" ca="1" si="5"/>
        <v>#REF!</v>
      </c>
      <c r="P59" t="e">
        <f t="shared" ca="1" si="11"/>
        <v>#REF!</v>
      </c>
      <c r="R59" t="e">
        <f t="shared" ca="1" si="7"/>
        <v>#REF!</v>
      </c>
      <c r="S59" t="e">
        <f t="shared" ca="1" si="12"/>
        <v>#REF!</v>
      </c>
    </row>
    <row r="60" spans="3:19" x14ac:dyDescent="0.35">
      <c r="C60" t="str">
        <f t="shared" si="9"/>
        <v/>
      </c>
      <c r="I60" t="e">
        <f t="shared" ca="1" si="1"/>
        <v>#REF!</v>
      </c>
      <c r="J60" t="e">
        <f t="shared" ca="1" si="10"/>
        <v>#REF!</v>
      </c>
      <c r="L60" t="e">
        <f t="shared" ca="1" si="3"/>
        <v>#REF!</v>
      </c>
      <c r="M60" t="e">
        <f t="shared" ca="1" si="4"/>
        <v>#REF!</v>
      </c>
      <c r="O60" t="e">
        <f t="shared" ca="1" si="5"/>
        <v>#REF!</v>
      </c>
      <c r="P60" t="e">
        <f t="shared" ca="1" si="11"/>
        <v>#REF!</v>
      </c>
      <c r="R60" t="e">
        <f t="shared" ca="1" si="7"/>
        <v>#REF!</v>
      </c>
      <c r="S60" t="e">
        <f t="shared" ca="1" si="12"/>
        <v>#REF!</v>
      </c>
    </row>
    <row r="61" spans="3:19" x14ac:dyDescent="0.35">
      <c r="C61" t="str">
        <f t="shared" si="9"/>
        <v/>
      </c>
      <c r="I61" t="e">
        <f t="shared" ca="1" si="1"/>
        <v>#REF!</v>
      </c>
      <c r="J61" t="e">
        <f t="shared" ca="1" si="10"/>
        <v>#REF!</v>
      </c>
      <c r="L61" t="e">
        <f t="shared" ca="1" si="3"/>
        <v>#REF!</v>
      </c>
      <c r="M61" t="e">
        <f t="shared" ca="1" si="4"/>
        <v>#REF!</v>
      </c>
      <c r="O61" t="e">
        <f t="shared" ca="1" si="5"/>
        <v>#REF!</v>
      </c>
      <c r="P61" t="e">
        <f t="shared" ca="1" si="11"/>
        <v>#REF!</v>
      </c>
      <c r="R61" t="e">
        <f t="shared" ca="1" si="7"/>
        <v>#REF!</v>
      </c>
      <c r="S61" t="e">
        <f t="shared" ca="1" si="12"/>
        <v>#REF!</v>
      </c>
    </row>
    <row r="62" spans="3:19" x14ac:dyDescent="0.35">
      <c r="C62" t="str">
        <f t="shared" si="9"/>
        <v/>
      </c>
      <c r="I62" t="e">
        <f t="shared" ca="1" si="1"/>
        <v>#REF!</v>
      </c>
      <c r="J62" t="e">
        <f t="shared" ca="1" si="10"/>
        <v>#REF!</v>
      </c>
      <c r="L62" t="e">
        <f t="shared" ca="1" si="3"/>
        <v>#REF!</v>
      </c>
      <c r="M62" t="e">
        <f t="shared" ca="1" si="4"/>
        <v>#REF!</v>
      </c>
      <c r="O62" t="e">
        <f t="shared" ca="1" si="5"/>
        <v>#REF!</v>
      </c>
      <c r="P62" t="e">
        <f t="shared" ca="1" si="11"/>
        <v>#REF!</v>
      </c>
      <c r="R62" t="e">
        <f t="shared" ca="1" si="7"/>
        <v>#REF!</v>
      </c>
      <c r="S62" t="e">
        <f t="shared" ca="1" si="12"/>
        <v>#REF!</v>
      </c>
    </row>
    <row r="63" spans="3:19" x14ac:dyDescent="0.35">
      <c r="C63" t="str">
        <f t="shared" si="9"/>
        <v/>
      </c>
      <c r="I63" t="e">
        <f t="shared" ca="1" si="1"/>
        <v>#REF!</v>
      </c>
      <c r="J63" t="e">
        <f t="shared" ca="1" si="10"/>
        <v>#REF!</v>
      </c>
      <c r="L63" t="e">
        <f t="shared" ca="1" si="3"/>
        <v>#REF!</v>
      </c>
      <c r="M63" t="e">
        <f t="shared" ca="1" si="4"/>
        <v>#REF!</v>
      </c>
      <c r="O63" t="e">
        <f t="shared" ca="1" si="5"/>
        <v>#REF!</v>
      </c>
      <c r="P63" t="e">
        <f t="shared" ca="1" si="11"/>
        <v>#REF!</v>
      </c>
      <c r="R63" t="e">
        <f t="shared" ca="1" si="7"/>
        <v>#REF!</v>
      </c>
      <c r="S63" t="e">
        <f t="shared" ca="1" si="12"/>
        <v>#REF!</v>
      </c>
    </row>
    <row r="64" spans="3:19" x14ac:dyDescent="0.35">
      <c r="C64" t="str">
        <f t="shared" si="9"/>
        <v/>
      </c>
      <c r="I64" t="e">
        <f t="shared" ca="1" si="1"/>
        <v>#REF!</v>
      </c>
      <c r="J64" t="e">
        <f t="shared" ca="1" si="10"/>
        <v>#REF!</v>
      </c>
      <c r="L64" t="e">
        <f t="shared" ca="1" si="3"/>
        <v>#REF!</v>
      </c>
      <c r="M64" t="e">
        <f t="shared" ca="1" si="4"/>
        <v>#REF!</v>
      </c>
      <c r="O64" t="e">
        <f t="shared" ca="1" si="5"/>
        <v>#REF!</v>
      </c>
      <c r="P64" t="e">
        <f t="shared" ca="1" si="11"/>
        <v>#REF!</v>
      </c>
      <c r="R64" t="e">
        <f t="shared" ca="1" si="7"/>
        <v>#REF!</v>
      </c>
      <c r="S64" t="e">
        <f t="shared" ca="1" si="12"/>
        <v>#REF!</v>
      </c>
    </row>
    <row r="65" spans="3:19" x14ac:dyDescent="0.35">
      <c r="C65" t="str">
        <f t="shared" si="9"/>
        <v/>
      </c>
      <c r="I65" t="e">
        <f t="shared" ca="1" si="1"/>
        <v>#REF!</v>
      </c>
      <c r="J65" t="e">
        <f t="shared" ca="1" si="10"/>
        <v>#REF!</v>
      </c>
      <c r="L65" t="e">
        <f t="shared" ca="1" si="3"/>
        <v>#REF!</v>
      </c>
      <c r="M65" t="e">
        <f t="shared" ca="1" si="4"/>
        <v>#REF!</v>
      </c>
      <c r="O65" t="e">
        <f t="shared" ca="1" si="5"/>
        <v>#REF!</v>
      </c>
      <c r="P65" t="e">
        <f t="shared" ca="1" si="11"/>
        <v>#REF!</v>
      </c>
      <c r="R65" t="e">
        <f t="shared" ca="1" si="7"/>
        <v>#REF!</v>
      </c>
      <c r="S65" t="e">
        <f t="shared" ca="1" si="12"/>
        <v>#REF!</v>
      </c>
    </row>
    <row r="66" spans="3:19" x14ac:dyDescent="0.35">
      <c r="C66" t="str">
        <f t="shared" si="9"/>
        <v/>
      </c>
      <c r="I66" t="e">
        <f t="shared" ca="1" si="1"/>
        <v>#REF!</v>
      </c>
      <c r="J66" t="e">
        <f t="shared" ca="1" si="10"/>
        <v>#REF!</v>
      </c>
      <c r="L66" t="e">
        <f t="shared" ca="1" si="3"/>
        <v>#REF!</v>
      </c>
      <c r="M66" t="e">
        <f t="shared" ca="1" si="4"/>
        <v>#REF!</v>
      </c>
      <c r="O66" t="e">
        <f t="shared" ca="1" si="5"/>
        <v>#REF!</v>
      </c>
      <c r="P66" t="e">
        <f t="shared" ca="1" si="11"/>
        <v>#REF!</v>
      </c>
      <c r="R66" t="e">
        <f t="shared" ca="1" si="7"/>
        <v>#REF!</v>
      </c>
      <c r="S66" t="e">
        <f t="shared" ca="1" si="12"/>
        <v>#REF!</v>
      </c>
    </row>
    <row r="67" spans="3:19" x14ac:dyDescent="0.35">
      <c r="C67" t="str">
        <f t="shared" si="9"/>
        <v/>
      </c>
      <c r="I67" t="e">
        <f t="shared" ca="1" si="1"/>
        <v>#REF!</v>
      </c>
      <c r="J67" t="e">
        <f t="shared" ca="1" si="10"/>
        <v>#REF!</v>
      </c>
      <c r="L67" t="e">
        <f t="shared" ca="1" si="3"/>
        <v>#REF!</v>
      </c>
      <c r="M67" t="e">
        <f t="shared" ca="1" si="4"/>
        <v>#REF!</v>
      </c>
      <c r="O67" t="e">
        <f t="shared" ca="1" si="5"/>
        <v>#REF!</v>
      </c>
      <c r="P67" t="e">
        <f t="shared" ca="1" si="11"/>
        <v>#REF!</v>
      </c>
      <c r="R67" t="e">
        <f t="shared" ca="1" si="7"/>
        <v>#REF!</v>
      </c>
      <c r="S67" t="e">
        <f t="shared" ca="1" si="12"/>
        <v>#REF!</v>
      </c>
    </row>
    <row r="68" spans="3:19" x14ac:dyDescent="0.35">
      <c r="C68" t="str">
        <f t="shared" si="9"/>
        <v/>
      </c>
      <c r="I68" t="e">
        <f t="shared" ca="1" si="1"/>
        <v>#REF!</v>
      </c>
      <c r="J68" t="e">
        <f t="shared" ca="1" si="10"/>
        <v>#REF!</v>
      </c>
      <c r="L68" t="e">
        <f t="shared" ca="1" si="3"/>
        <v>#REF!</v>
      </c>
      <c r="M68" t="e">
        <f t="shared" ca="1" si="4"/>
        <v>#REF!</v>
      </c>
      <c r="O68" t="e">
        <f t="shared" ca="1" si="5"/>
        <v>#REF!</v>
      </c>
      <c r="P68" t="e">
        <f t="shared" ca="1" si="11"/>
        <v>#REF!</v>
      </c>
      <c r="R68" t="e">
        <f t="shared" ca="1" si="7"/>
        <v>#REF!</v>
      </c>
      <c r="S68" t="e">
        <f t="shared" ca="1" si="12"/>
        <v>#REF!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 t="e">
        <f t="shared" ref="I69:I103" ca="1" si="14">$G$16 * (J69 - $G$6)^2 + $G$5</f>
        <v>#REF!</v>
      </c>
      <c r="J69" t="e">
        <f t="shared" ref="J69:J100" ca="1" si="15">$G$9 + ($G$6 - $G$9) * (ROW(B66)-1)/99</f>
        <v>#REF!</v>
      </c>
      <c r="L69" t="e">
        <f t="shared" ref="L69:L103" ca="1" si="16">$G$17 * (M69 - $G$6)^2 + $G$5</f>
        <v>#REF!</v>
      </c>
      <c r="M69" t="e">
        <f t="shared" ref="M69:M103" ca="1" si="17">$G$13 + ($G$6 - $G$13) * (ROW(F66)-1)/99</f>
        <v>#REF!</v>
      </c>
      <c r="O69" t="e">
        <f t="shared" ref="O69:O103" ca="1" si="18">$G$10 + $G$19 * ($G$23 * (P69 - $G$9))^2 + $G$21 * (1 - (P69 - $G$6)/($G$9 - $G$6))</f>
        <v>#REF!</v>
      </c>
      <c r="P69" t="e">
        <f t="shared" ref="P69:P100" ca="1" si="19">$G$26 + ($G$9 - $G$26) * (ROW(B66)-1)/99</f>
        <v>#REF!</v>
      </c>
      <c r="R69" t="e">
        <f t="shared" ref="R69:R103" ca="1" si="20">$G$14 + $G$19 * ($G$23 * (S69 - $G$13))^2 - $G$22 * (1 - (S69 - $G$6)/($G$13 - $G$6))</f>
        <v>#REF!</v>
      </c>
      <c r="S69" t="e">
        <f t="shared" ref="S69:S100" ca="1" si="21">$G$13 + ($G$25 - $G$13) * (ROW(B66)-1)/99</f>
        <v>#REF!</v>
      </c>
    </row>
    <row r="70" spans="3:19" x14ac:dyDescent="0.35">
      <c r="C70" t="str">
        <f t="shared" si="13"/>
        <v/>
      </c>
      <c r="I70" t="e">
        <f t="shared" ca="1" si="14"/>
        <v>#REF!</v>
      </c>
      <c r="J70" t="e">
        <f t="shared" ca="1" si="15"/>
        <v>#REF!</v>
      </c>
      <c r="L70" t="e">
        <f t="shared" ca="1" si="16"/>
        <v>#REF!</v>
      </c>
      <c r="M70" t="e">
        <f t="shared" ca="1" si="17"/>
        <v>#REF!</v>
      </c>
      <c r="O70" t="e">
        <f t="shared" ca="1" si="18"/>
        <v>#REF!</v>
      </c>
      <c r="P70" t="e">
        <f t="shared" ca="1" si="19"/>
        <v>#REF!</v>
      </c>
      <c r="R70" t="e">
        <f t="shared" ca="1" si="20"/>
        <v>#REF!</v>
      </c>
      <c r="S70" t="e">
        <f t="shared" ca="1" si="21"/>
        <v>#REF!</v>
      </c>
    </row>
    <row r="71" spans="3:19" x14ac:dyDescent="0.35">
      <c r="C71" t="str">
        <f t="shared" si="13"/>
        <v/>
      </c>
      <c r="I71" t="e">
        <f t="shared" ca="1" si="14"/>
        <v>#REF!</v>
      </c>
      <c r="J71" t="e">
        <f t="shared" ca="1" si="15"/>
        <v>#REF!</v>
      </c>
      <c r="L71" t="e">
        <f t="shared" ca="1" si="16"/>
        <v>#REF!</v>
      </c>
      <c r="M71" t="e">
        <f t="shared" ca="1" si="17"/>
        <v>#REF!</v>
      </c>
      <c r="O71" t="e">
        <f t="shared" ca="1" si="18"/>
        <v>#REF!</v>
      </c>
      <c r="P71" t="e">
        <f t="shared" ca="1" si="19"/>
        <v>#REF!</v>
      </c>
      <c r="R71" t="e">
        <f t="shared" ca="1" si="20"/>
        <v>#REF!</v>
      </c>
      <c r="S71" t="e">
        <f t="shared" ca="1" si="21"/>
        <v>#REF!</v>
      </c>
    </row>
    <row r="72" spans="3:19" x14ac:dyDescent="0.35">
      <c r="C72" t="str">
        <f t="shared" si="13"/>
        <v/>
      </c>
      <c r="I72" t="e">
        <f t="shared" ca="1" si="14"/>
        <v>#REF!</v>
      </c>
      <c r="J72" t="e">
        <f t="shared" ca="1" si="15"/>
        <v>#REF!</v>
      </c>
      <c r="L72" t="e">
        <f t="shared" ca="1" si="16"/>
        <v>#REF!</v>
      </c>
      <c r="M72" t="e">
        <f t="shared" ca="1" si="17"/>
        <v>#REF!</v>
      </c>
      <c r="O72" t="e">
        <f t="shared" ca="1" si="18"/>
        <v>#REF!</v>
      </c>
      <c r="P72" t="e">
        <f t="shared" ca="1" si="19"/>
        <v>#REF!</v>
      </c>
      <c r="R72" t="e">
        <f t="shared" ca="1" si="20"/>
        <v>#REF!</v>
      </c>
      <c r="S72" t="e">
        <f t="shared" ca="1" si="21"/>
        <v>#REF!</v>
      </c>
    </row>
    <row r="73" spans="3:19" x14ac:dyDescent="0.35">
      <c r="C73" t="str">
        <f t="shared" si="13"/>
        <v/>
      </c>
      <c r="I73" t="e">
        <f t="shared" ca="1" si="14"/>
        <v>#REF!</v>
      </c>
      <c r="J73" t="e">
        <f t="shared" ca="1" si="15"/>
        <v>#REF!</v>
      </c>
      <c r="L73" t="e">
        <f t="shared" ca="1" si="16"/>
        <v>#REF!</v>
      </c>
      <c r="M73" t="e">
        <f t="shared" ca="1" si="17"/>
        <v>#REF!</v>
      </c>
      <c r="O73" t="e">
        <f t="shared" ca="1" si="18"/>
        <v>#REF!</v>
      </c>
      <c r="P73" t="e">
        <f t="shared" ca="1" si="19"/>
        <v>#REF!</v>
      </c>
      <c r="R73" t="e">
        <f t="shared" ca="1" si="20"/>
        <v>#REF!</v>
      </c>
      <c r="S73" t="e">
        <f t="shared" ca="1" si="21"/>
        <v>#REF!</v>
      </c>
    </row>
    <row r="74" spans="3:19" x14ac:dyDescent="0.35">
      <c r="C74" t="str">
        <f t="shared" si="13"/>
        <v/>
      </c>
      <c r="I74" t="e">
        <f t="shared" ca="1" si="14"/>
        <v>#REF!</v>
      </c>
      <c r="J74" t="e">
        <f t="shared" ca="1" si="15"/>
        <v>#REF!</v>
      </c>
      <c r="L74" t="e">
        <f t="shared" ca="1" si="16"/>
        <v>#REF!</v>
      </c>
      <c r="M74" t="e">
        <f t="shared" ca="1" si="17"/>
        <v>#REF!</v>
      </c>
      <c r="O74" t="e">
        <f t="shared" ca="1" si="18"/>
        <v>#REF!</v>
      </c>
      <c r="P74" t="e">
        <f t="shared" ca="1" si="19"/>
        <v>#REF!</v>
      </c>
      <c r="R74" t="e">
        <f t="shared" ca="1" si="20"/>
        <v>#REF!</v>
      </c>
      <c r="S74" t="e">
        <f t="shared" ca="1" si="21"/>
        <v>#REF!</v>
      </c>
    </row>
    <row r="75" spans="3:19" x14ac:dyDescent="0.35">
      <c r="C75" t="str">
        <f t="shared" si="13"/>
        <v/>
      </c>
      <c r="I75" t="e">
        <f t="shared" ca="1" si="14"/>
        <v>#REF!</v>
      </c>
      <c r="J75" t="e">
        <f t="shared" ca="1" si="15"/>
        <v>#REF!</v>
      </c>
      <c r="L75" t="e">
        <f t="shared" ca="1" si="16"/>
        <v>#REF!</v>
      </c>
      <c r="M75" t="e">
        <f t="shared" ca="1" si="17"/>
        <v>#REF!</v>
      </c>
      <c r="O75" t="e">
        <f t="shared" ca="1" si="18"/>
        <v>#REF!</v>
      </c>
      <c r="P75" t="e">
        <f t="shared" ca="1" si="19"/>
        <v>#REF!</v>
      </c>
      <c r="R75" t="e">
        <f t="shared" ca="1" si="20"/>
        <v>#REF!</v>
      </c>
      <c r="S75" t="e">
        <f t="shared" ca="1" si="21"/>
        <v>#REF!</v>
      </c>
    </row>
    <row r="76" spans="3:19" x14ac:dyDescent="0.35">
      <c r="C76" t="str">
        <f t="shared" si="13"/>
        <v/>
      </c>
      <c r="I76" t="e">
        <f t="shared" ca="1" si="14"/>
        <v>#REF!</v>
      </c>
      <c r="J76" t="e">
        <f t="shared" ca="1" si="15"/>
        <v>#REF!</v>
      </c>
      <c r="L76" t="e">
        <f t="shared" ca="1" si="16"/>
        <v>#REF!</v>
      </c>
      <c r="M76" t="e">
        <f t="shared" ca="1" si="17"/>
        <v>#REF!</v>
      </c>
      <c r="O76" t="e">
        <f t="shared" ca="1" si="18"/>
        <v>#REF!</v>
      </c>
      <c r="P76" t="e">
        <f t="shared" ca="1" si="19"/>
        <v>#REF!</v>
      </c>
      <c r="R76" t="e">
        <f t="shared" ca="1" si="20"/>
        <v>#REF!</v>
      </c>
      <c r="S76" t="e">
        <f t="shared" ca="1" si="21"/>
        <v>#REF!</v>
      </c>
    </row>
    <row r="77" spans="3:19" x14ac:dyDescent="0.35">
      <c r="C77" t="str">
        <f t="shared" si="13"/>
        <v/>
      </c>
      <c r="I77" t="e">
        <f t="shared" ca="1" si="14"/>
        <v>#REF!</v>
      </c>
      <c r="J77" t="e">
        <f t="shared" ca="1" si="15"/>
        <v>#REF!</v>
      </c>
      <c r="L77" t="e">
        <f t="shared" ca="1" si="16"/>
        <v>#REF!</v>
      </c>
      <c r="M77" t="e">
        <f t="shared" ca="1" si="17"/>
        <v>#REF!</v>
      </c>
      <c r="O77" t="e">
        <f t="shared" ca="1" si="18"/>
        <v>#REF!</v>
      </c>
      <c r="P77" t="e">
        <f t="shared" ca="1" si="19"/>
        <v>#REF!</v>
      </c>
      <c r="R77" t="e">
        <f t="shared" ca="1" si="20"/>
        <v>#REF!</v>
      </c>
      <c r="S77" t="e">
        <f t="shared" ca="1" si="21"/>
        <v>#REF!</v>
      </c>
    </row>
    <row r="78" spans="3:19" x14ac:dyDescent="0.35">
      <c r="C78" t="str">
        <f t="shared" si="13"/>
        <v/>
      </c>
      <c r="I78" t="e">
        <f t="shared" ca="1" si="14"/>
        <v>#REF!</v>
      </c>
      <c r="J78" t="e">
        <f t="shared" ca="1" si="15"/>
        <v>#REF!</v>
      </c>
      <c r="L78" t="e">
        <f t="shared" ca="1" si="16"/>
        <v>#REF!</v>
      </c>
      <c r="M78" t="e">
        <f t="shared" ca="1" si="17"/>
        <v>#REF!</v>
      </c>
      <c r="O78" t="e">
        <f t="shared" ca="1" si="18"/>
        <v>#REF!</v>
      </c>
      <c r="P78" t="e">
        <f t="shared" ca="1" si="19"/>
        <v>#REF!</v>
      </c>
      <c r="R78" t="e">
        <f t="shared" ca="1" si="20"/>
        <v>#REF!</v>
      </c>
      <c r="S78" t="e">
        <f t="shared" ca="1" si="21"/>
        <v>#REF!</v>
      </c>
    </row>
    <row r="79" spans="3:19" x14ac:dyDescent="0.35">
      <c r="C79" t="str">
        <f t="shared" si="13"/>
        <v/>
      </c>
      <c r="I79" t="e">
        <f t="shared" ca="1" si="14"/>
        <v>#REF!</v>
      </c>
      <c r="J79" t="e">
        <f t="shared" ca="1" si="15"/>
        <v>#REF!</v>
      </c>
      <c r="L79" t="e">
        <f t="shared" ca="1" si="16"/>
        <v>#REF!</v>
      </c>
      <c r="M79" t="e">
        <f t="shared" ca="1" si="17"/>
        <v>#REF!</v>
      </c>
      <c r="O79" t="e">
        <f t="shared" ca="1" si="18"/>
        <v>#REF!</v>
      </c>
      <c r="P79" t="e">
        <f t="shared" ca="1" si="19"/>
        <v>#REF!</v>
      </c>
      <c r="R79" t="e">
        <f t="shared" ca="1" si="20"/>
        <v>#REF!</v>
      </c>
      <c r="S79" t="e">
        <f t="shared" ca="1" si="21"/>
        <v>#REF!</v>
      </c>
    </row>
    <row r="80" spans="3:19" x14ac:dyDescent="0.35">
      <c r="C80" t="str">
        <f t="shared" si="13"/>
        <v/>
      </c>
      <c r="I80" t="e">
        <f t="shared" ca="1" si="14"/>
        <v>#REF!</v>
      </c>
      <c r="J80" t="e">
        <f t="shared" ca="1" si="15"/>
        <v>#REF!</v>
      </c>
      <c r="L80" t="e">
        <f t="shared" ca="1" si="16"/>
        <v>#REF!</v>
      </c>
      <c r="M80" t="e">
        <f t="shared" ca="1" si="17"/>
        <v>#REF!</v>
      </c>
      <c r="O80" t="e">
        <f t="shared" ca="1" si="18"/>
        <v>#REF!</v>
      </c>
      <c r="P80" t="e">
        <f t="shared" ca="1" si="19"/>
        <v>#REF!</v>
      </c>
      <c r="R80" t="e">
        <f t="shared" ca="1" si="20"/>
        <v>#REF!</v>
      </c>
      <c r="S80" t="e">
        <f t="shared" ca="1" si="21"/>
        <v>#REF!</v>
      </c>
    </row>
    <row r="81" spans="3:19" x14ac:dyDescent="0.35">
      <c r="C81" t="str">
        <f t="shared" si="13"/>
        <v/>
      </c>
      <c r="I81" t="e">
        <f t="shared" ca="1" si="14"/>
        <v>#REF!</v>
      </c>
      <c r="J81" t="e">
        <f t="shared" ca="1" si="15"/>
        <v>#REF!</v>
      </c>
      <c r="L81" t="e">
        <f t="shared" ca="1" si="16"/>
        <v>#REF!</v>
      </c>
      <c r="M81" t="e">
        <f t="shared" ca="1" si="17"/>
        <v>#REF!</v>
      </c>
      <c r="O81" t="e">
        <f t="shared" ca="1" si="18"/>
        <v>#REF!</v>
      </c>
      <c r="P81" t="e">
        <f t="shared" ca="1" si="19"/>
        <v>#REF!</v>
      </c>
      <c r="R81" t="e">
        <f t="shared" ca="1" si="20"/>
        <v>#REF!</v>
      </c>
      <c r="S81" t="e">
        <f t="shared" ca="1" si="21"/>
        <v>#REF!</v>
      </c>
    </row>
    <row r="82" spans="3:19" x14ac:dyDescent="0.35">
      <c r="C82" t="str">
        <f t="shared" si="13"/>
        <v/>
      </c>
      <c r="I82" t="e">
        <f t="shared" ca="1" si="14"/>
        <v>#REF!</v>
      </c>
      <c r="J82" t="e">
        <f t="shared" ca="1" si="15"/>
        <v>#REF!</v>
      </c>
      <c r="L82" t="e">
        <f t="shared" ca="1" si="16"/>
        <v>#REF!</v>
      </c>
      <c r="M82" t="e">
        <f t="shared" ca="1" si="17"/>
        <v>#REF!</v>
      </c>
      <c r="O82" t="e">
        <f t="shared" ca="1" si="18"/>
        <v>#REF!</v>
      </c>
      <c r="P82" t="e">
        <f t="shared" ca="1" si="19"/>
        <v>#REF!</v>
      </c>
      <c r="R82" t="e">
        <f t="shared" ca="1" si="20"/>
        <v>#REF!</v>
      </c>
      <c r="S82" t="e">
        <f t="shared" ca="1" si="21"/>
        <v>#REF!</v>
      </c>
    </row>
    <row r="83" spans="3:19" x14ac:dyDescent="0.35">
      <c r="C83" t="str">
        <f t="shared" si="13"/>
        <v/>
      </c>
      <c r="I83" t="e">
        <f t="shared" ca="1" si="14"/>
        <v>#REF!</v>
      </c>
      <c r="J83" t="e">
        <f t="shared" ca="1" si="15"/>
        <v>#REF!</v>
      </c>
      <c r="L83" t="e">
        <f t="shared" ca="1" si="16"/>
        <v>#REF!</v>
      </c>
      <c r="M83" t="e">
        <f t="shared" ca="1" si="17"/>
        <v>#REF!</v>
      </c>
      <c r="O83" t="e">
        <f t="shared" ca="1" si="18"/>
        <v>#REF!</v>
      </c>
      <c r="P83" t="e">
        <f t="shared" ca="1" si="19"/>
        <v>#REF!</v>
      </c>
      <c r="R83" t="e">
        <f t="shared" ca="1" si="20"/>
        <v>#REF!</v>
      </c>
      <c r="S83" t="e">
        <f t="shared" ca="1" si="21"/>
        <v>#REF!</v>
      </c>
    </row>
    <row r="84" spans="3:19" x14ac:dyDescent="0.35">
      <c r="C84" t="str">
        <f t="shared" si="13"/>
        <v/>
      </c>
      <c r="I84" t="e">
        <f t="shared" ca="1" si="14"/>
        <v>#REF!</v>
      </c>
      <c r="J84" t="e">
        <f t="shared" ca="1" si="15"/>
        <v>#REF!</v>
      </c>
      <c r="L84" t="e">
        <f t="shared" ca="1" si="16"/>
        <v>#REF!</v>
      </c>
      <c r="M84" t="e">
        <f t="shared" ca="1" si="17"/>
        <v>#REF!</v>
      </c>
      <c r="O84" t="e">
        <f t="shared" ca="1" si="18"/>
        <v>#REF!</v>
      </c>
      <c r="P84" t="e">
        <f t="shared" ca="1" si="19"/>
        <v>#REF!</v>
      </c>
      <c r="R84" t="e">
        <f t="shared" ca="1" si="20"/>
        <v>#REF!</v>
      </c>
      <c r="S84" t="e">
        <f t="shared" ca="1" si="21"/>
        <v>#REF!</v>
      </c>
    </row>
    <row r="85" spans="3:19" x14ac:dyDescent="0.35">
      <c r="C85" t="str">
        <f t="shared" si="13"/>
        <v/>
      </c>
      <c r="I85" t="e">
        <f t="shared" ca="1" si="14"/>
        <v>#REF!</v>
      </c>
      <c r="J85" t="e">
        <f t="shared" ca="1" si="15"/>
        <v>#REF!</v>
      </c>
      <c r="L85" t="e">
        <f t="shared" ca="1" si="16"/>
        <v>#REF!</v>
      </c>
      <c r="M85" t="e">
        <f t="shared" ca="1" si="17"/>
        <v>#REF!</v>
      </c>
      <c r="O85" t="e">
        <f t="shared" ca="1" si="18"/>
        <v>#REF!</v>
      </c>
      <c r="P85" t="e">
        <f t="shared" ca="1" si="19"/>
        <v>#REF!</v>
      </c>
      <c r="R85" t="e">
        <f t="shared" ca="1" si="20"/>
        <v>#REF!</v>
      </c>
      <c r="S85" t="e">
        <f t="shared" ca="1" si="21"/>
        <v>#REF!</v>
      </c>
    </row>
    <row r="86" spans="3:19" x14ac:dyDescent="0.35">
      <c r="C86" t="str">
        <f t="shared" si="13"/>
        <v/>
      </c>
      <c r="I86" t="e">
        <f t="shared" ca="1" si="14"/>
        <v>#REF!</v>
      </c>
      <c r="J86" t="e">
        <f t="shared" ca="1" si="15"/>
        <v>#REF!</v>
      </c>
      <c r="L86" t="e">
        <f t="shared" ca="1" si="16"/>
        <v>#REF!</v>
      </c>
      <c r="M86" t="e">
        <f t="shared" ca="1" si="17"/>
        <v>#REF!</v>
      </c>
      <c r="O86" t="e">
        <f t="shared" ca="1" si="18"/>
        <v>#REF!</v>
      </c>
      <c r="P86" t="e">
        <f t="shared" ca="1" si="19"/>
        <v>#REF!</v>
      </c>
      <c r="R86" t="e">
        <f t="shared" ca="1" si="20"/>
        <v>#REF!</v>
      </c>
      <c r="S86" t="e">
        <f t="shared" ca="1" si="21"/>
        <v>#REF!</v>
      </c>
    </row>
    <row r="87" spans="3:19" x14ac:dyDescent="0.35">
      <c r="C87" t="str">
        <f t="shared" si="13"/>
        <v/>
      </c>
      <c r="I87" t="e">
        <f t="shared" ca="1" si="14"/>
        <v>#REF!</v>
      </c>
      <c r="J87" t="e">
        <f t="shared" ca="1" si="15"/>
        <v>#REF!</v>
      </c>
      <c r="L87" t="e">
        <f t="shared" ca="1" si="16"/>
        <v>#REF!</v>
      </c>
      <c r="M87" t="e">
        <f t="shared" ca="1" si="17"/>
        <v>#REF!</v>
      </c>
      <c r="O87" t="e">
        <f t="shared" ca="1" si="18"/>
        <v>#REF!</v>
      </c>
      <c r="P87" t="e">
        <f t="shared" ca="1" si="19"/>
        <v>#REF!</v>
      </c>
      <c r="R87" t="e">
        <f t="shared" ca="1" si="20"/>
        <v>#REF!</v>
      </c>
      <c r="S87" t="e">
        <f t="shared" ca="1" si="21"/>
        <v>#REF!</v>
      </c>
    </row>
    <row r="88" spans="3:19" x14ac:dyDescent="0.35">
      <c r="C88" t="str">
        <f t="shared" si="13"/>
        <v/>
      </c>
      <c r="I88" t="e">
        <f t="shared" ca="1" si="14"/>
        <v>#REF!</v>
      </c>
      <c r="J88" t="e">
        <f t="shared" ca="1" si="15"/>
        <v>#REF!</v>
      </c>
      <c r="L88" t="e">
        <f t="shared" ca="1" si="16"/>
        <v>#REF!</v>
      </c>
      <c r="M88" t="e">
        <f t="shared" ca="1" si="17"/>
        <v>#REF!</v>
      </c>
      <c r="O88" t="e">
        <f t="shared" ca="1" si="18"/>
        <v>#REF!</v>
      </c>
      <c r="P88" t="e">
        <f t="shared" ca="1" si="19"/>
        <v>#REF!</v>
      </c>
      <c r="R88" t="e">
        <f t="shared" ca="1" si="20"/>
        <v>#REF!</v>
      </c>
      <c r="S88" t="e">
        <f t="shared" ca="1" si="21"/>
        <v>#REF!</v>
      </c>
    </row>
    <row r="89" spans="3:19" x14ac:dyDescent="0.35">
      <c r="C89" t="str">
        <f t="shared" si="13"/>
        <v/>
      </c>
      <c r="I89" t="e">
        <f t="shared" ca="1" si="14"/>
        <v>#REF!</v>
      </c>
      <c r="J89" t="e">
        <f t="shared" ca="1" si="15"/>
        <v>#REF!</v>
      </c>
      <c r="L89" t="e">
        <f t="shared" ca="1" si="16"/>
        <v>#REF!</v>
      </c>
      <c r="M89" t="e">
        <f t="shared" ca="1" si="17"/>
        <v>#REF!</v>
      </c>
      <c r="O89" t="e">
        <f t="shared" ca="1" si="18"/>
        <v>#REF!</v>
      </c>
      <c r="P89" t="e">
        <f t="shared" ca="1" si="19"/>
        <v>#REF!</v>
      </c>
      <c r="R89" t="e">
        <f t="shared" ca="1" si="20"/>
        <v>#REF!</v>
      </c>
      <c r="S89" t="e">
        <f t="shared" ca="1" si="21"/>
        <v>#REF!</v>
      </c>
    </row>
    <row r="90" spans="3:19" x14ac:dyDescent="0.35">
      <c r="C90" t="str">
        <f t="shared" si="13"/>
        <v/>
      </c>
      <c r="I90" t="e">
        <f t="shared" ca="1" si="14"/>
        <v>#REF!</v>
      </c>
      <c r="J90" t="e">
        <f t="shared" ca="1" si="15"/>
        <v>#REF!</v>
      </c>
      <c r="L90" t="e">
        <f t="shared" ca="1" si="16"/>
        <v>#REF!</v>
      </c>
      <c r="M90" t="e">
        <f t="shared" ca="1" si="17"/>
        <v>#REF!</v>
      </c>
      <c r="O90" t="e">
        <f t="shared" ca="1" si="18"/>
        <v>#REF!</v>
      </c>
      <c r="P90" t="e">
        <f t="shared" ca="1" si="19"/>
        <v>#REF!</v>
      </c>
      <c r="R90" t="e">
        <f t="shared" ca="1" si="20"/>
        <v>#REF!</v>
      </c>
      <c r="S90" t="e">
        <f t="shared" ca="1" si="21"/>
        <v>#REF!</v>
      </c>
    </row>
    <row r="91" spans="3:19" x14ac:dyDescent="0.35">
      <c r="C91" t="str">
        <f t="shared" si="13"/>
        <v/>
      </c>
      <c r="I91" t="e">
        <f t="shared" ca="1" si="14"/>
        <v>#REF!</v>
      </c>
      <c r="J91" t="e">
        <f t="shared" ca="1" si="15"/>
        <v>#REF!</v>
      </c>
      <c r="L91" t="e">
        <f t="shared" ca="1" si="16"/>
        <v>#REF!</v>
      </c>
      <c r="M91" t="e">
        <f t="shared" ca="1" si="17"/>
        <v>#REF!</v>
      </c>
      <c r="O91" t="e">
        <f t="shared" ca="1" si="18"/>
        <v>#REF!</v>
      </c>
      <c r="P91" t="e">
        <f t="shared" ca="1" si="19"/>
        <v>#REF!</v>
      </c>
      <c r="R91" t="e">
        <f t="shared" ca="1" si="20"/>
        <v>#REF!</v>
      </c>
      <c r="S91" t="e">
        <f t="shared" ca="1" si="21"/>
        <v>#REF!</v>
      </c>
    </row>
    <row r="92" spans="3:19" x14ac:dyDescent="0.35">
      <c r="C92" t="str">
        <f t="shared" si="13"/>
        <v/>
      </c>
      <c r="I92" t="e">
        <f t="shared" ca="1" si="14"/>
        <v>#REF!</v>
      </c>
      <c r="J92" t="e">
        <f t="shared" ca="1" si="15"/>
        <v>#REF!</v>
      </c>
      <c r="L92" t="e">
        <f t="shared" ca="1" si="16"/>
        <v>#REF!</v>
      </c>
      <c r="M92" t="e">
        <f t="shared" ca="1" si="17"/>
        <v>#REF!</v>
      </c>
      <c r="O92" t="e">
        <f t="shared" ca="1" si="18"/>
        <v>#REF!</v>
      </c>
      <c r="P92" t="e">
        <f t="shared" ca="1" si="19"/>
        <v>#REF!</v>
      </c>
      <c r="R92" t="e">
        <f t="shared" ca="1" si="20"/>
        <v>#REF!</v>
      </c>
      <c r="S92" t="e">
        <f t="shared" ca="1" si="21"/>
        <v>#REF!</v>
      </c>
    </row>
    <row r="93" spans="3:19" x14ac:dyDescent="0.35">
      <c r="C93" t="str">
        <f t="shared" si="13"/>
        <v/>
      </c>
      <c r="I93" t="e">
        <f t="shared" ca="1" si="14"/>
        <v>#REF!</v>
      </c>
      <c r="J93" t="e">
        <f t="shared" ca="1" si="15"/>
        <v>#REF!</v>
      </c>
      <c r="L93" t="e">
        <f t="shared" ca="1" si="16"/>
        <v>#REF!</v>
      </c>
      <c r="M93" t="e">
        <f t="shared" ca="1" si="17"/>
        <v>#REF!</v>
      </c>
      <c r="O93" t="e">
        <f t="shared" ca="1" si="18"/>
        <v>#REF!</v>
      </c>
      <c r="P93" t="e">
        <f t="shared" ca="1" si="19"/>
        <v>#REF!</v>
      </c>
      <c r="R93" t="e">
        <f t="shared" ca="1" si="20"/>
        <v>#REF!</v>
      </c>
      <c r="S93" t="e">
        <f t="shared" ca="1" si="21"/>
        <v>#REF!</v>
      </c>
    </row>
    <row r="94" spans="3:19" x14ac:dyDescent="0.35">
      <c r="C94" t="str">
        <f t="shared" si="13"/>
        <v/>
      </c>
      <c r="I94" t="e">
        <f t="shared" ca="1" si="14"/>
        <v>#REF!</v>
      </c>
      <c r="J94" t="e">
        <f t="shared" ca="1" si="15"/>
        <v>#REF!</v>
      </c>
      <c r="L94" t="e">
        <f t="shared" ca="1" si="16"/>
        <v>#REF!</v>
      </c>
      <c r="M94" t="e">
        <f t="shared" ca="1" si="17"/>
        <v>#REF!</v>
      </c>
      <c r="O94" t="e">
        <f t="shared" ca="1" si="18"/>
        <v>#REF!</v>
      </c>
      <c r="P94" t="e">
        <f t="shared" ca="1" si="19"/>
        <v>#REF!</v>
      </c>
      <c r="R94" t="e">
        <f t="shared" ca="1" si="20"/>
        <v>#REF!</v>
      </c>
      <c r="S94" t="e">
        <f t="shared" ca="1" si="21"/>
        <v>#REF!</v>
      </c>
    </row>
    <row r="95" spans="3:19" x14ac:dyDescent="0.35">
      <c r="C95" t="str">
        <f t="shared" si="13"/>
        <v/>
      </c>
      <c r="I95" t="e">
        <f t="shared" ca="1" si="14"/>
        <v>#REF!</v>
      </c>
      <c r="J95" t="e">
        <f t="shared" ca="1" si="15"/>
        <v>#REF!</v>
      </c>
      <c r="L95" t="e">
        <f t="shared" ca="1" si="16"/>
        <v>#REF!</v>
      </c>
      <c r="M95" t="e">
        <f t="shared" ca="1" si="17"/>
        <v>#REF!</v>
      </c>
      <c r="O95" t="e">
        <f t="shared" ca="1" si="18"/>
        <v>#REF!</v>
      </c>
      <c r="P95" t="e">
        <f t="shared" ca="1" si="19"/>
        <v>#REF!</v>
      </c>
      <c r="R95" t="e">
        <f t="shared" ca="1" si="20"/>
        <v>#REF!</v>
      </c>
      <c r="S95" t="e">
        <f t="shared" ca="1" si="21"/>
        <v>#REF!</v>
      </c>
    </row>
    <row r="96" spans="3:19" x14ac:dyDescent="0.35">
      <c r="C96" t="str">
        <f t="shared" si="13"/>
        <v/>
      </c>
      <c r="I96" t="e">
        <f t="shared" ca="1" si="14"/>
        <v>#REF!</v>
      </c>
      <c r="J96" t="e">
        <f t="shared" ca="1" si="15"/>
        <v>#REF!</v>
      </c>
      <c r="L96" t="e">
        <f t="shared" ca="1" si="16"/>
        <v>#REF!</v>
      </c>
      <c r="M96" t="e">
        <f t="shared" ca="1" si="17"/>
        <v>#REF!</v>
      </c>
      <c r="O96" t="e">
        <f t="shared" ca="1" si="18"/>
        <v>#REF!</v>
      </c>
      <c r="P96" t="e">
        <f t="shared" ca="1" si="19"/>
        <v>#REF!</v>
      </c>
      <c r="R96" t="e">
        <f t="shared" ca="1" si="20"/>
        <v>#REF!</v>
      </c>
      <c r="S96" t="e">
        <f t="shared" ca="1" si="21"/>
        <v>#REF!</v>
      </c>
    </row>
    <row r="97" spans="3:19" x14ac:dyDescent="0.35">
      <c r="C97" t="str">
        <f t="shared" si="13"/>
        <v/>
      </c>
      <c r="I97" t="e">
        <f t="shared" ca="1" si="14"/>
        <v>#REF!</v>
      </c>
      <c r="J97" t="e">
        <f t="shared" ca="1" si="15"/>
        <v>#REF!</v>
      </c>
      <c r="L97" t="e">
        <f t="shared" ca="1" si="16"/>
        <v>#REF!</v>
      </c>
      <c r="M97" t="e">
        <f t="shared" ca="1" si="17"/>
        <v>#REF!</v>
      </c>
      <c r="O97" t="e">
        <f t="shared" ca="1" si="18"/>
        <v>#REF!</v>
      </c>
      <c r="P97" t="e">
        <f t="shared" ca="1" si="19"/>
        <v>#REF!</v>
      </c>
      <c r="R97" t="e">
        <f t="shared" ca="1" si="20"/>
        <v>#REF!</v>
      </c>
      <c r="S97" t="e">
        <f t="shared" ca="1" si="21"/>
        <v>#REF!</v>
      </c>
    </row>
    <row r="98" spans="3:19" x14ac:dyDescent="0.35">
      <c r="C98" t="str">
        <f t="shared" si="13"/>
        <v/>
      </c>
      <c r="I98" t="e">
        <f t="shared" ca="1" si="14"/>
        <v>#REF!</v>
      </c>
      <c r="J98" t="e">
        <f t="shared" ca="1" si="15"/>
        <v>#REF!</v>
      </c>
      <c r="L98" t="e">
        <f t="shared" ca="1" si="16"/>
        <v>#REF!</v>
      </c>
      <c r="M98" t="e">
        <f t="shared" ca="1" si="17"/>
        <v>#REF!</v>
      </c>
      <c r="O98" t="e">
        <f t="shared" ca="1" si="18"/>
        <v>#REF!</v>
      </c>
      <c r="P98" t="e">
        <f t="shared" ca="1" si="19"/>
        <v>#REF!</v>
      </c>
      <c r="R98" t="e">
        <f t="shared" ca="1" si="20"/>
        <v>#REF!</v>
      </c>
      <c r="S98" t="e">
        <f t="shared" ca="1" si="21"/>
        <v>#REF!</v>
      </c>
    </row>
    <row r="99" spans="3:19" x14ac:dyDescent="0.35">
      <c r="C99" t="str">
        <f t="shared" si="13"/>
        <v/>
      </c>
      <c r="I99" t="e">
        <f t="shared" ca="1" si="14"/>
        <v>#REF!</v>
      </c>
      <c r="J99" t="e">
        <f t="shared" ca="1" si="15"/>
        <v>#REF!</v>
      </c>
      <c r="L99" t="e">
        <f t="shared" ca="1" si="16"/>
        <v>#REF!</v>
      </c>
      <c r="M99" t="e">
        <f t="shared" ca="1" si="17"/>
        <v>#REF!</v>
      </c>
      <c r="O99" t="e">
        <f t="shared" ca="1" si="18"/>
        <v>#REF!</v>
      </c>
      <c r="P99" t="e">
        <f t="shared" ca="1" si="19"/>
        <v>#REF!</v>
      </c>
      <c r="R99" t="e">
        <f t="shared" ca="1" si="20"/>
        <v>#REF!</v>
      </c>
      <c r="S99" t="e">
        <f t="shared" ca="1" si="21"/>
        <v>#REF!</v>
      </c>
    </row>
    <row r="100" spans="3:19" x14ac:dyDescent="0.35">
      <c r="C100" t="str">
        <f t="shared" si="13"/>
        <v/>
      </c>
      <c r="I100" t="e">
        <f t="shared" ca="1" si="14"/>
        <v>#REF!</v>
      </c>
      <c r="J100" t="e">
        <f t="shared" ca="1" si="15"/>
        <v>#REF!</v>
      </c>
      <c r="L100" t="e">
        <f t="shared" ca="1" si="16"/>
        <v>#REF!</v>
      </c>
      <c r="M100" t="e">
        <f t="shared" ca="1" si="17"/>
        <v>#REF!</v>
      </c>
      <c r="O100" t="e">
        <f t="shared" ca="1" si="18"/>
        <v>#REF!</v>
      </c>
      <c r="P100" t="e">
        <f t="shared" ca="1" si="19"/>
        <v>#REF!</v>
      </c>
      <c r="R100" t="e">
        <f t="shared" ca="1" si="20"/>
        <v>#REF!</v>
      </c>
      <c r="S100" t="e">
        <f t="shared" ca="1" si="21"/>
        <v>#REF!</v>
      </c>
    </row>
    <row r="101" spans="3:19" x14ac:dyDescent="0.35">
      <c r="C101" t="str">
        <f t="shared" si="13"/>
        <v/>
      </c>
      <c r="I101" t="e">
        <f t="shared" ca="1" si="14"/>
        <v>#REF!</v>
      </c>
      <c r="J101" t="e">
        <f ca="1">$G$9 + ($G$6 - $G$9) * (ROW(B98)-1)/99</f>
        <v>#REF!</v>
      </c>
      <c r="L101" t="e">
        <f t="shared" ca="1" si="16"/>
        <v>#REF!</v>
      </c>
      <c r="M101" t="e">
        <f t="shared" ca="1" si="17"/>
        <v>#REF!</v>
      </c>
      <c r="O101" t="e">
        <f t="shared" ca="1" si="18"/>
        <v>#REF!</v>
      </c>
      <c r="P101" t="e">
        <f ca="1">$G$26 + ($G$9 - $G$26) * (ROW(B98)-1)/99</f>
        <v>#REF!</v>
      </c>
      <c r="R101" t="e">
        <f t="shared" ca="1" si="20"/>
        <v>#REF!</v>
      </c>
      <c r="S101" t="e">
        <f ca="1">$G$13 + ($G$25 - $G$13) * (ROW(B98)-1)/99</f>
        <v>#REF!</v>
      </c>
    </row>
    <row r="102" spans="3:19" x14ac:dyDescent="0.35">
      <c r="C102" t="str">
        <f t="shared" si="13"/>
        <v/>
      </c>
      <c r="I102" t="e">
        <f t="shared" ca="1" si="14"/>
        <v>#REF!</v>
      </c>
      <c r="J102" t="e">
        <f ca="1">$G$9 + ($G$6 - $G$9) * (ROW(B99)-1)/99</f>
        <v>#REF!</v>
      </c>
      <c r="L102" t="e">
        <f t="shared" ca="1" si="16"/>
        <v>#REF!</v>
      </c>
      <c r="M102" t="e">
        <f t="shared" ca="1" si="17"/>
        <v>#REF!</v>
      </c>
      <c r="O102" t="e">
        <f t="shared" ca="1" si="18"/>
        <v>#REF!</v>
      </c>
      <c r="P102" t="e">
        <f ca="1">$G$26 + ($G$9 - $G$26) * (ROW(B99)-1)/99</f>
        <v>#REF!</v>
      </c>
      <c r="R102" t="e">
        <f t="shared" ca="1" si="20"/>
        <v>#REF!</v>
      </c>
      <c r="S102" t="e">
        <f ca="1">$G$13 + ($G$25 - $G$13) * (ROW(B99)-1)/99</f>
        <v>#REF!</v>
      </c>
    </row>
    <row r="103" spans="3:19" x14ac:dyDescent="0.35">
      <c r="C103" t="str">
        <f t="shared" si="13"/>
        <v/>
      </c>
      <c r="I103" t="e">
        <f t="shared" ca="1" si="14"/>
        <v>#REF!</v>
      </c>
      <c r="J103" t="e">
        <f ca="1">$G$9 + ($G$6 - $G$9) * (ROW(B100)-1)/99</f>
        <v>#REF!</v>
      </c>
      <c r="L103" t="e">
        <f t="shared" ca="1" si="16"/>
        <v>#REF!</v>
      </c>
      <c r="M103" t="e">
        <f t="shared" ca="1" si="17"/>
        <v>#REF!</v>
      </c>
      <c r="O103" t="e">
        <f t="shared" ca="1" si="18"/>
        <v>#REF!</v>
      </c>
      <c r="P103" t="e">
        <f ca="1">$G$26 + ($G$9 - $G$26) * (ROW(B100)-1)/99</f>
        <v>#REF!</v>
      </c>
      <c r="R103" t="e">
        <f t="shared" ca="1" si="20"/>
        <v>#REF!</v>
      </c>
      <c r="S103" t="e">
        <f ca="1">$G$13 + ($G$25 - $G$13) * (ROW(B100)-1)/99</f>
        <v>#REF!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2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2"/>
        <v/>
      </c>
    </row>
    <row r="135" spans="3:3" x14ac:dyDescent="0.35">
      <c r="C135" t="str">
        <f t="shared" si="22"/>
        <v/>
      </c>
    </row>
    <row r="136" spans="3:3" x14ac:dyDescent="0.35">
      <c r="C136" t="str">
        <f t="shared" si="22"/>
        <v/>
      </c>
    </row>
    <row r="137" spans="3:3" x14ac:dyDescent="0.35">
      <c r="C137" t="str">
        <f t="shared" si="22"/>
        <v/>
      </c>
    </row>
    <row r="138" spans="3:3" x14ac:dyDescent="0.35">
      <c r="C138" t="str">
        <f t="shared" si="22"/>
        <v/>
      </c>
    </row>
    <row r="139" spans="3:3" x14ac:dyDescent="0.35">
      <c r="C139" t="str">
        <f t="shared" si="22"/>
        <v/>
      </c>
    </row>
    <row r="140" spans="3:3" x14ac:dyDescent="0.35">
      <c r="C140" t="str">
        <f t="shared" si="22"/>
        <v/>
      </c>
    </row>
    <row r="141" spans="3:3" x14ac:dyDescent="0.35">
      <c r="C141" t="str">
        <f t="shared" si="22"/>
        <v/>
      </c>
    </row>
    <row r="142" spans="3:3" x14ac:dyDescent="0.35">
      <c r="C142" t="str">
        <f t="shared" si="22"/>
        <v/>
      </c>
    </row>
    <row r="143" spans="3:3" x14ac:dyDescent="0.35">
      <c r="C143" t="str">
        <f t="shared" si="22"/>
        <v/>
      </c>
    </row>
    <row r="144" spans="3:3" x14ac:dyDescent="0.35">
      <c r="C144" t="str">
        <f t="shared" si="22"/>
        <v/>
      </c>
    </row>
    <row r="145" spans="3:3" x14ac:dyDescent="0.35">
      <c r="C145" t="str">
        <f t="shared" si="22"/>
        <v/>
      </c>
    </row>
    <row r="146" spans="3:3" x14ac:dyDescent="0.35">
      <c r="C146" t="str">
        <f t="shared" si="22"/>
        <v/>
      </c>
    </row>
    <row r="147" spans="3:3" x14ac:dyDescent="0.35">
      <c r="C147" t="str">
        <f t="shared" si="22"/>
        <v/>
      </c>
    </row>
    <row r="148" spans="3:3" x14ac:dyDescent="0.35">
      <c r="C148" t="str">
        <f t="shared" si="22"/>
        <v/>
      </c>
    </row>
    <row r="149" spans="3:3" x14ac:dyDescent="0.35">
      <c r="C149" t="str">
        <f t="shared" si="22"/>
        <v/>
      </c>
    </row>
    <row r="150" spans="3:3" x14ac:dyDescent="0.35">
      <c r="C150" t="str">
        <f t="shared" si="22"/>
        <v/>
      </c>
    </row>
    <row r="151" spans="3:3" x14ac:dyDescent="0.35">
      <c r="C151" t="str">
        <f t="shared" si="22"/>
        <v/>
      </c>
    </row>
    <row r="152" spans="3:3" x14ac:dyDescent="0.35">
      <c r="C152" t="str">
        <f t="shared" si="22"/>
        <v/>
      </c>
    </row>
    <row r="153" spans="3:3" x14ac:dyDescent="0.35">
      <c r="C153" t="str">
        <f t="shared" si="22"/>
        <v/>
      </c>
    </row>
    <row r="154" spans="3:3" x14ac:dyDescent="0.35">
      <c r="C154" t="str">
        <f t="shared" si="22"/>
        <v/>
      </c>
    </row>
    <row r="155" spans="3:3" x14ac:dyDescent="0.35">
      <c r="C155" t="str">
        <f t="shared" si="22"/>
        <v/>
      </c>
    </row>
    <row r="156" spans="3:3" x14ac:dyDescent="0.35">
      <c r="C156" t="str">
        <f t="shared" si="22"/>
        <v/>
      </c>
    </row>
    <row r="157" spans="3:3" x14ac:dyDescent="0.35">
      <c r="C157" t="str">
        <f t="shared" si="22"/>
        <v/>
      </c>
    </row>
    <row r="158" spans="3:3" x14ac:dyDescent="0.35">
      <c r="C158" t="str">
        <f t="shared" si="22"/>
        <v/>
      </c>
    </row>
    <row r="159" spans="3:3" x14ac:dyDescent="0.35">
      <c r="C159" t="str">
        <f t="shared" si="22"/>
        <v/>
      </c>
    </row>
    <row r="160" spans="3:3" x14ac:dyDescent="0.35">
      <c r="C160" t="str">
        <f t="shared" si="22"/>
        <v/>
      </c>
    </row>
    <row r="161" spans="3:3" x14ac:dyDescent="0.35">
      <c r="C161" t="str">
        <f t="shared" si="22"/>
        <v/>
      </c>
    </row>
    <row r="162" spans="3:3" x14ac:dyDescent="0.35">
      <c r="C162" t="str">
        <f t="shared" si="22"/>
        <v/>
      </c>
    </row>
    <row r="163" spans="3:3" x14ac:dyDescent="0.35">
      <c r="C163" t="str">
        <f t="shared" si="22"/>
        <v/>
      </c>
    </row>
    <row r="164" spans="3:3" x14ac:dyDescent="0.35">
      <c r="C164" t="str">
        <f t="shared" si="22"/>
        <v/>
      </c>
    </row>
    <row r="165" spans="3:3" x14ac:dyDescent="0.35">
      <c r="C165" t="str">
        <f t="shared" si="22"/>
        <v/>
      </c>
    </row>
    <row r="166" spans="3:3" x14ac:dyDescent="0.35">
      <c r="C166" t="str">
        <f t="shared" si="22"/>
        <v/>
      </c>
    </row>
    <row r="167" spans="3:3" x14ac:dyDescent="0.35">
      <c r="C167" t="str">
        <f t="shared" si="22"/>
        <v/>
      </c>
    </row>
    <row r="168" spans="3:3" x14ac:dyDescent="0.35">
      <c r="C168" t="str">
        <f t="shared" si="22"/>
        <v/>
      </c>
    </row>
    <row r="169" spans="3:3" x14ac:dyDescent="0.35">
      <c r="C169" t="str">
        <f t="shared" si="22"/>
        <v/>
      </c>
    </row>
    <row r="170" spans="3:3" x14ac:dyDescent="0.35">
      <c r="C170" t="str">
        <f t="shared" si="22"/>
        <v/>
      </c>
    </row>
    <row r="171" spans="3:3" x14ac:dyDescent="0.35">
      <c r="C171" t="str">
        <f t="shared" si="22"/>
        <v/>
      </c>
    </row>
    <row r="172" spans="3:3" x14ac:dyDescent="0.35">
      <c r="C172" t="str">
        <f t="shared" si="22"/>
        <v/>
      </c>
    </row>
    <row r="173" spans="3:3" x14ac:dyDescent="0.35">
      <c r="C173" t="str">
        <f t="shared" si="22"/>
        <v/>
      </c>
    </row>
    <row r="174" spans="3:3" x14ac:dyDescent="0.35">
      <c r="C174" t="str">
        <f t="shared" si="22"/>
        <v/>
      </c>
    </row>
    <row r="175" spans="3:3" x14ac:dyDescent="0.35">
      <c r="C175" t="str">
        <f t="shared" si="22"/>
        <v/>
      </c>
    </row>
    <row r="176" spans="3:3" x14ac:dyDescent="0.35">
      <c r="C176" t="str">
        <f t="shared" si="22"/>
        <v/>
      </c>
    </row>
    <row r="177" spans="3:3" x14ac:dyDescent="0.35">
      <c r="C177" t="str">
        <f t="shared" si="22"/>
        <v/>
      </c>
    </row>
    <row r="178" spans="3:3" x14ac:dyDescent="0.35">
      <c r="C178" t="str">
        <f t="shared" si="22"/>
        <v/>
      </c>
    </row>
    <row r="179" spans="3:3" x14ac:dyDescent="0.35">
      <c r="C179" t="str">
        <f t="shared" si="22"/>
        <v/>
      </c>
    </row>
    <row r="180" spans="3:3" x14ac:dyDescent="0.35">
      <c r="C180" t="str">
        <f t="shared" si="22"/>
        <v/>
      </c>
    </row>
    <row r="181" spans="3:3" x14ac:dyDescent="0.35">
      <c r="C181" t="str">
        <f t="shared" si="22"/>
        <v/>
      </c>
    </row>
    <row r="182" spans="3:3" x14ac:dyDescent="0.35">
      <c r="C182" t="str">
        <f t="shared" si="22"/>
        <v/>
      </c>
    </row>
    <row r="183" spans="3:3" x14ac:dyDescent="0.35">
      <c r="C183" t="str">
        <f t="shared" si="22"/>
        <v/>
      </c>
    </row>
    <row r="184" spans="3:3" x14ac:dyDescent="0.35">
      <c r="C184" t="str">
        <f t="shared" si="22"/>
        <v/>
      </c>
    </row>
    <row r="185" spans="3:3" x14ac:dyDescent="0.35">
      <c r="C185" t="str">
        <f t="shared" si="22"/>
        <v/>
      </c>
    </row>
    <row r="186" spans="3:3" x14ac:dyDescent="0.35">
      <c r="C186" t="str">
        <f t="shared" si="22"/>
        <v/>
      </c>
    </row>
    <row r="187" spans="3:3" x14ac:dyDescent="0.35">
      <c r="C187" t="str">
        <f t="shared" si="22"/>
        <v/>
      </c>
    </row>
    <row r="188" spans="3:3" x14ac:dyDescent="0.35">
      <c r="C188" t="str">
        <f t="shared" si="22"/>
        <v/>
      </c>
    </row>
    <row r="189" spans="3:3" x14ac:dyDescent="0.35">
      <c r="C189" t="str">
        <f t="shared" si="22"/>
        <v/>
      </c>
    </row>
    <row r="190" spans="3:3" x14ac:dyDescent="0.35">
      <c r="C190" t="str">
        <f t="shared" si="22"/>
        <v/>
      </c>
    </row>
    <row r="191" spans="3:3" x14ac:dyDescent="0.35">
      <c r="C191" t="str">
        <f t="shared" si="22"/>
        <v/>
      </c>
    </row>
    <row r="192" spans="3:3" x14ac:dyDescent="0.35">
      <c r="C192" t="str">
        <f t="shared" si="22"/>
        <v/>
      </c>
    </row>
    <row r="193" spans="3:3" x14ac:dyDescent="0.35">
      <c r="C193" t="str">
        <f t="shared" si="22"/>
        <v/>
      </c>
    </row>
    <row r="194" spans="3:3" x14ac:dyDescent="0.35">
      <c r="C194" t="str">
        <f t="shared" si="22"/>
        <v/>
      </c>
    </row>
    <row r="195" spans="3:3" x14ac:dyDescent="0.35">
      <c r="C195" t="str">
        <f t="shared" si="22"/>
        <v/>
      </c>
    </row>
    <row r="196" spans="3:3" x14ac:dyDescent="0.35">
      <c r="C196" t="str">
        <f t="shared" si="22"/>
        <v/>
      </c>
    </row>
    <row r="197" spans="3:3" x14ac:dyDescent="0.35">
      <c r="C197" t="str">
        <f t="shared" ref="C197:C260" si="23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3"/>
        <v/>
      </c>
    </row>
    <row r="199" spans="3:3" x14ac:dyDescent="0.35">
      <c r="C199" t="str">
        <f t="shared" si="23"/>
        <v/>
      </c>
    </row>
    <row r="200" spans="3:3" x14ac:dyDescent="0.35">
      <c r="C200" t="str">
        <f t="shared" si="23"/>
        <v/>
      </c>
    </row>
    <row r="201" spans="3:3" x14ac:dyDescent="0.35">
      <c r="C201" t="str">
        <f t="shared" si="23"/>
        <v/>
      </c>
    </row>
    <row r="202" spans="3:3" x14ac:dyDescent="0.35">
      <c r="C202" t="str">
        <f t="shared" si="23"/>
        <v/>
      </c>
    </row>
    <row r="203" spans="3:3" x14ac:dyDescent="0.35">
      <c r="C203" t="str">
        <f t="shared" si="23"/>
        <v/>
      </c>
    </row>
    <row r="204" spans="3:3" x14ac:dyDescent="0.35">
      <c r="C204" t="str">
        <f t="shared" si="23"/>
        <v/>
      </c>
    </row>
    <row r="205" spans="3:3" x14ac:dyDescent="0.35">
      <c r="C205" t="str">
        <f t="shared" si="23"/>
        <v/>
      </c>
    </row>
    <row r="206" spans="3:3" x14ac:dyDescent="0.35">
      <c r="C206" t="str">
        <f t="shared" si="23"/>
        <v/>
      </c>
    </row>
    <row r="207" spans="3:3" x14ac:dyDescent="0.35">
      <c r="C207" t="str">
        <f t="shared" si="23"/>
        <v/>
      </c>
    </row>
    <row r="208" spans="3:3" x14ac:dyDescent="0.35">
      <c r="C208" t="str">
        <f t="shared" si="23"/>
        <v/>
      </c>
    </row>
    <row r="209" spans="3:3" x14ac:dyDescent="0.35">
      <c r="C209" t="str">
        <f t="shared" si="23"/>
        <v/>
      </c>
    </row>
    <row r="210" spans="3:3" x14ac:dyDescent="0.35">
      <c r="C210" t="str">
        <f t="shared" si="23"/>
        <v/>
      </c>
    </row>
    <row r="211" spans="3:3" x14ac:dyDescent="0.35">
      <c r="C211" t="str">
        <f t="shared" si="23"/>
        <v/>
      </c>
    </row>
    <row r="212" spans="3:3" x14ac:dyDescent="0.35">
      <c r="C212" t="str">
        <f t="shared" si="23"/>
        <v/>
      </c>
    </row>
    <row r="213" spans="3:3" x14ac:dyDescent="0.35">
      <c r="C213" t="str">
        <f t="shared" si="23"/>
        <v/>
      </c>
    </row>
    <row r="214" spans="3:3" x14ac:dyDescent="0.35">
      <c r="C214" t="str">
        <f t="shared" si="23"/>
        <v/>
      </c>
    </row>
    <row r="215" spans="3:3" x14ac:dyDescent="0.35">
      <c r="C215" t="str">
        <f t="shared" si="23"/>
        <v/>
      </c>
    </row>
    <row r="216" spans="3:3" x14ac:dyDescent="0.35">
      <c r="C216" t="str">
        <f t="shared" si="23"/>
        <v/>
      </c>
    </row>
    <row r="217" spans="3:3" x14ac:dyDescent="0.35">
      <c r="C217" t="str">
        <f t="shared" si="23"/>
        <v/>
      </c>
    </row>
    <row r="218" spans="3:3" x14ac:dyDescent="0.35">
      <c r="C218" t="str">
        <f t="shared" si="23"/>
        <v/>
      </c>
    </row>
    <row r="219" spans="3:3" x14ac:dyDescent="0.35">
      <c r="C219" t="str">
        <f t="shared" si="23"/>
        <v/>
      </c>
    </row>
    <row r="220" spans="3:3" x14ac:dyDescent="0.35">
      <c r="C220" t="str">
        <f t="shared" si="23"/>
        <v/>
      </c>
    </row>
    <row r="221" spans="3:3" x14ac:dyDescent="0.35">
      <c r="C221" t="str">
        <f t="shared" si="23"/>
        <v/>
      </c>
    </row>
    <row r="222" spans="3:3" x14ac:dyDescent="0.35">
      <c r="C222" t="str">
        <f t="shared" si="23"/>
        <v/>
      </c>
    </row>
    <row r="223" spans="3:3" x14ac:dyDescent="0.35">
      <c r="C223" t="str">
        <f t="shared" si="23"/>
        <v/>
      </c>
    </row>
    <row r="224" spans="3:3" x14ac:dyDescent="0.35">
      <c r="C224" t="str">
        <f t="shared" si="23"/>
        <v/>
      </c>
    </row>
    <row r="225" spans="3:3" x14ac:dyDescent="0.35">
      <c r="C225" t="str">
        <f t="shared" si="23"/>
        <v/>
      </c>
    </row>
    <row r="226" spans="3:3" x14ac:dyDescent="0.35">
      <c r="C226" t="str">
        <f t="shared" si="23"/>
        <v/>
      </c>
    </row>
    <row r="227" spans="3:3" x14ac:dyDescent="0.35">
      <c r="C227" t="str">
        <f t="shared" si="23"/>
        <v/>
      </c>
    </row>
    <row r="228" spans="3:3" x14ac:dyDescent="0.35">
      <c r="C228" t="str">
        <f t="shared" si="23"/>
        <v/>
      </c>
    </row>
    <row r="229" spans="3:3" x14ac:dyDescent="0.35">
      <c r="C229" t="str">
        <f t="shared" si="23"/>
        <v/>
      </c>
    </row>
    <row r="230" spans="3:3" x14ac:dyDescent="0.35">
      <c r="C230" t="str">
        <f t="shared" si="23"/>
        <v/>
      </c>
    </row>
    <row r="231" spans="3:3" x14ac:dyDescent="0.35">
      <c r="C231" t="str">
        <f t="shared" si="23"/>
        <v/>
      </c>
    </row>
    <row r="232" spans="3:3" x14ac:dyDescent="0.35">
      <c r="C232" t="str">
        <f t="shared" si="23"/>
        <v/>
      </c>
    </row>
    <row r="233" spans="3:3" x14ac:dyDescent="0.35">
      <c r="C233" t="str">
        <f t="shared" si="23"/>
        <v/>
      </c>
    </row>
    <row r="234" spans="3:3" x14ac:dyDescent="0.35">
      <c r="C234" t="str">
        <f t="shared" si="23"/>
        <v/>
      </c>
    </row>
    <row r="235" spans="3:3" x14ac:dyDescent="0.35">
      <c r="C235" t="str">
        <f t="shared" si="23"/>
        <v/>
      </c>
    </row>
    <row r="236" spans="3:3" x14ac:dyDescent="0.35">
      <c r="C236" t="str">
        <f t="shared" si="23"/>
        <v/>
      </c>
    </row>
    <row r="237" spans="3:3" x14ac:dyDescent="0.35">
      <c r="C237" t="str">
        <f t="shared" si="23"/>
        <v/>
      </c>
    </row>
    <row r="238" spans="3:3" x14ac:dyDescent="0.35">
      <c r="C238" t="str">
        <f t="shared" si="23"/>
        <v/>
      </c>
    </row>
    <row r="239" spans="3:3" x14ac:dyDescent="0.35">
      <c r="C239" t="str">
        <f t="shared" si="23"/>
        <v/>
      </c>
    </row>
    <row r="240" spans="3:3" x14ac:dyDescent="0.35">
      <c r="C240" t="str">
        <f t="shared" si="23"/>
        <v/>
      </c>
    </row>
    <row r="241" spans="3:3" x14ac:dyDescent="0.35">
      <c r="C241" t="str">
        <f t="shared" si="23"/>
        <v/>
      </c>
    </row>
    <row r="242" spans="3:3" x14ac:dyDescent="0.35">
      <c r="C242" t="str">
        <f t="shared" si="23"/>
        <v/>
      </c>
    </row>
    <row r="243" spans="3:3" x14ac:dyDescent="0.35">
      <c r="C243" t="str">
        <f t="shared" si="23"/>
        <v/>
      </c>
    </row>
    <row r="244" spans="3:3" x14ac:dyDescent="0.35">
      <c r="C244" t="str">
        <f t="shared" si="23"/>
        <v/>
      </c>
    </row>
    <row r="245" spans="3:3" x14ac:dyDescent="0.35">
      <c r="C245" t="str">
        <f t="shared" si="23"/>
        <v/>
      </c>
    </row>
    <row r="246" spans="3:3" x14ac:dyDescent="0.35">
      <c r="C246" t="str">
        <f t="shared" si="23"/>
        <v/>
      </c>
    </row>
    <row r="247" spans="3:3" x14ac:dyDescent="0.35">
      <c r="C247" t="str">
        <f t="shared" si="23"/>
        <v/>
      </c>
    </row>
    <row r="248" spans="3:3" x14ac:dyDescent="0.35">
      <c r="C248" t="str">
        <f t="shared" si="23"/>
        <v/>
      </c>
    </row>
    <row r="249" spans="3:3" x14ac:dyDescent="0.35">
      <c r="C249" t="str">
        <f t="shared" si="23"/>
        <v/>
      </c>
    </row>
    <row r="250" spans="3:3" x14ac:dyDescent="0.35">
      <c r="C250" t="str">
        <f t="shared" si="23"/>
        <v/>
      </c>
    </row>
    <row r="251" spans="3:3" x14ac:dyDescent="0.35">
      <c r="C251" t="str">
        <f t="shared" si="23"/>
        <v/>
      </c>
    </row>
    <row r="252" spans="3:3" x14ac:dyDescent="0.35">
      <c r="C252" t="str">
        <f t="shared" si="23"/>
        <v/>
      </c>
    </row>
    <row r="253" spans="3:3" x14ac:dyDescent="0.35">
      <c r="C253" t="str">
        <f t="shared" si="23"/>
        <v/>
      </c>
    </row>
    <row r="254" spans="3:3" x14ac:dyDescent="0.35">
      <c r="C254" t="str">
        <f t="shared" si="23"/>
        <v/>
      </c>
    </row>
    <row r="255" spans="3:3" x14ac:dyDescent="0.35">
      <c r="C255" t="str">
        <f t="shared" si="23"/>
        <v/>
      </c>
    </row>
    <row r="256" spans="3:3" x14ac:dyDescent="0.35">
      <c r="C256" t="str">
        <f t="shared" si="23"/>
        <v/>
      </c>
    </row>
    <row r="257" spans="3:3" x14ac:dyDescent="0.35">
      <c r="C257" t="str">
        <f t="shared" si="23"/>
        <v/>
      </c>
    </row>
    <row r="258" spans="3:3" x14ac:dyDescent="0.35">
      <c r="C258" t="str">
        <f t="shared" si="23"/>
        <v/>
      </c>
    </row>
    <row r="259" spans="3:3" x14ac:dyDescent="0.35">
      <c r="C259" t="str">
        <f t="shared" si="23"/>
        <v/>
      </c>
    </row>
    <row r="260" spans="3:3" x14ac:dyDescent="0.35">
      <c r="C260" t="str">
        <f t="shared" si="23"/>
        <v/>
      </c>
    </row>
    <row r="261" spans="3:3" x14ac:dyDescent="0.35">
      <c r="C261" t="str">
        <f t="shared" ref="C261:C324" si="24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4"/>
        <v/>
      </c>
    </row>
    <row r="263" spans="3:3" x14ac:dyDescent="0.35">
      <c r="C263" t="str">
        <f t="shared" si="24"/>
        <v/>
      </c>
    </row>
    <row r="264" spans="3:3" x14ac:dyDescent="0.35">
      <c r="C264" t="str">
        <f t="shared" si="24"/>
        <v/>
      </c>
    </row>
    <row r="265" spans="3:3" x14ac:dyDescent="0.35">
      <c r="C265" t="str">
        <f t="shared" si="24"/>
        <v/>
      </c>
    </row>
    <row r="266" spans="3:3" x14ac:dyDescent="0.35">
      <c r="C266" t="str">
        <f t="shared" si="24"/>
        <v/>
      </c>
    </row>
    <row r="267" spans="3:3" x14ac:dyDescent="0.35">
      <c r="C267" t="str">
        <f t="shared" si="24"/>
        <v/>
      </c>
    </row>
    <row r="268" spans="3:3" x14ac:dyDescent="0.35">
      <c r="C268" t="str">
        <f t="shared" si="24"/>
        <v/>
      </c>
    </row>
    <row r="269" spans="3:3" x14ac:dyDescent="0.35">
      <c r="C269" t="str">
        <f t="shared" si="24"/>
        <v/>
      </c>
    </row>
    <row r="270" spans="3:3" x14ac:dyDescent="0.35">
      <c r="C270" t="str">
        <f t="shared" si="24"/>
        <v/>
      </c>
    </row>
    <row r="271" spans="3:3" x14ac:dyDescent="0.35">
      <c r="C271" t="str">
        <f t="shared" si="24"/>
        <v/>
      </c>
    </row>
    <row r="272" spans="3:3" x14ac:dyDescent="0.35">
      <c r="C272" t="str">
        <f t="shared" si="24"/>
        <v/>
      </c>
    </row>
    <row r="273" spans="3:3" x14ac:dyDescent="0.35">
      <c r="C273" t="str">
        <f t="shared" si="24"/>
        <v/>
      </c>
    </row>
    <row r="274" spans="3:3" x14ac:dyDescent="0.35">
      <c r="C274" t="str">
        <f t="shared" si="24"/>
        <v/>
      </c>
    </row>
    <row r="275" spans="3:3" x14ac:dyDescent="0.35">
      <c r="C275" t="str">
        <f t="shared" si="24"/>
        <v/>
      </c>
    </row>
    <row r="276" spans="3:3" x14ac:dyDescent="0.35">
      <c r="C276" t="str">
        <f t="shared" si="24"/>
        <v/>
      </c>
    </row>
    <row r="277" spans="3:3" x14ac:dyDescent="0.35">
      <c r="C277" t="str">
        <f t="shared" si="24"/>
        <v/>
      </c>
    </row>
    <row r="278" spans="3:3" x14ac:dyDescent="0.35">
      <c r="C278" t="str">
        <f t="shared" si="24"/>
        <v/>
      </c>
    </row>
    <row r="279" spans="3:3" x14ac:dyDescent="0.35">
      <c r="C279" t="str">
        <f t="shared" si="24"/>
        <v/>
      </c>
    </row>
    <row r="280" spans="3:3" x14ac:dyDescent="0.35">
      <c r="C280" t="str">
        <f t="shared" si="24"/>
        <v/>
      </c>
    </row>
    <row r="281" spans="3:3" x14ac:dyDescent="0.35">
      <c r="C281" t="str">
        <f t="shared" si="24"/>
        <v/>
      </c>
    </row>
    <row r="282" spans="3:3" x14ac:dyDescent="0.35">
      <c r="C282" t="str">
        <f t="shared" si="24"/>
        <v/>
      </c>
    </row>
    <row r="283" spans="3:3" x14ac:dyDescent="0.35">
      <c r="C283" t="str">
        <f t="shared" si="24"/>
        <v/>
      </c>
    </row>
    <row r="284" spans="3:3" x14ac:dyDescent="0.35">
      <c r="C284" t="str">
        <f t="shared" si="24"/>
        <v/>
      </c>
    </row>
    <row r="285" spans="3:3" x14ac:dyDescent="0.35">
      <c r="C285" t="str">
        <f t="shared" si="24"/>
        <v/>
      </c>
    </row>
    <row r="286" spans="3:3" x14ac:dyDescent="0.35">
      <c r="C286" t="str">
        <f t="shared" si="24"/>
        <v/>
      </c>
    </row>
    <row r="287" spans="3:3" x14ac:dyDescent="0.35">
      <c r="C287" t="str">
        <f t="shared" si="24"/>
        <v/>
      </c>
    </row>
    <row r="288" spans="3:3" x14ac:dyDescent="0.35">
      <c r="C288" t="str">
        <f t="shared" si="24"/>
        <v/>
      </c>
    </row>
    <row r="289" spans="3:3" x14ac:dyDescent="0.35">
      <c r="C289" t="str">
        <f t="shared" si="24"/>
        <v/>
      </c>
    </row>
    <row r="290" spans="3:3" x14ac:dyDescent="0.35">
      <c r="C290" t="str">
        <f t="shared" si="24"/>
        <v/>
      </c>
    </row>
    <row r="291" spans="3:3" x14ac:dyDescent="0.35">
      <c r="C291" t="str">
        <f t="shared" si="24"/>
        <v/>
      </c>
    </row>
    <row r="292" spans="3:3" x14ac:dyDescent="0.35">
      <c r="C292" t="str">
        <f t="shared" si="24"/>
        <v/>
      </c>
    </row>
    <row r="293" spans="3:3" x14ac:dyDescent="0.35">
      <c r="C293" t="str">
        <f t="shared" si="24"/>
        <v/>
      </c>
    </row>
    <row r="294" spans="3:3" x14ac:dyDescent="0.35">
      <c r="C294" t="str">
        <f t="shared" si="24"/>
        <v/>
      </c>
    </row>
    <row r="295" spans="3:3" x14ac:dyDescent="0.35">
      <c r="C295" t="str">
        <f t="shared" si="24"/>
        <v/>
      </c>
    </row>
    <row r="296" spans="3:3" x14ac:dyDescent="0.35">
      <c r="C296" t="str">
        <f t="shared" si="24"/>
        <v/>
      </c>
    </row>
    <row r="297" spans="3:3" x14ac:dyDescent="0.35">
      <c r="C297" t="str">
        <f t="shared" si="24"/>
        <v/>
      </c>
    </row>
    <row r="298" spans="3:3" x14ac:dyDescent="0.35">
      <c r="C298" t="str">
        <f t="shared" si="24"/>
        <v/>
      </c>
    </row>
    <row r="299" spans="3:3" x14ac:dyDescent="0.35">
      <c r="C299" t="str">
        <f t="shared" si="24"/>
        <v/>
      </c>
    </row>
    <row r="300" spans="3:3" x14ac:dyDescent="0.35">
      <c r="C300" t="str">
        <f t="shared" si="24"/>
        <v/>
      </c>
    </row>
    <row r="301" spans="3:3" x14ac:dyDescent="0.35">
      <c r="C301" t="str">
        <f t="shared" si="24"/>
        <v/>
      </c>
    </row>
    <row r="302" spans="3:3" x14ac:dyDescent="0.35">
      <c r="C302" t="str">
        <f t="shared" si="24"/>
        <v/>
      </c>
    </row>
    <row r="303" spans="3:3" x14ac:dyDescent="0.35">
      <c r="C303" t="str">
        <f t="shared" si="24"/>
        <v/>
      </c>
    </row>
    <row r="304" spans="3:3" x14ac:dyDescent="0.35">
      <c r="C304" t="str">
        <f t="shared" si="24"/>
        <v/>
      </c>
    </row>
    <row r="305" spans="3:3" x14ac:dyDescent="0.35">
      <c r="C305" t="str">
        <f t="shared" si="24"/>
        <v/>
      </c>
    </row>
    <row r="306" spans="3:3" x14ac:dyDescent="0.35">
      <c r="C306" t="str">
        <f t="shared" si="24"/>
        <v/>
      </c>
    </row>
    <row r="307" spans="3:3" x14ac:dyDescent="0.35">
      <c r="C307" t="str">
        <f t="shared" si="24"/>
        <v/>
      </c>
    </row>
    <row r="308" spans="3:3" x14ac:dyDescent="0.35">
      <c r="C308" t="str">
        <f t="shared" si="24"/>
        <v/>
      </c>
    </row>
    <row r="309" spans="3:3" x14ac:dyDescent="0.35">
      <c r="C309" t="str">
        <f t="shared" si="24"/>
        <v/>
      </c>
    </row>
    <row r="310" spans="3:3" x14ac:dyDescent="0.35">
      <c r="C310" t="str">
        <f t="shared" si="24"/>
        <v/>
      </c>
    </row>
    <row r="311" spans="3:3" x14ac:dyDescent="0.35">
      <c r="C311" t="str">
        <f t="shared" si="24"/>
        <v/>
      </c>
    </row>
    <row r="312" spans="3:3" x14ac:dyDescent="0.35">
      <c r="C312" t="str">
        <f t="shared" si="24"/>
        <v/>
      </c>
    </row>
    <row r="313" spans="3:3" x14ac:dyDescent="0.35">
      <c r="C313" t="str">
        <f t="shared" si="24"/>
        <v/>
      </c>
    </row>
    <row r="314" spans="3:3" x14ac:dyDescent="0.35">
      <c r="C314" t="str">
        <f t="shared" si="24"/>
        <v/>
      </c>
    </row>
    <row r="315" spans="3:3" x14ac:dyDescent="0.35">
      <c r="C315" t="str">
        <f t="shared" si="24"/>
        <v/>
      </c>
    </row>
    <row r="316" spans="3:3" x14ac:dyDescent="0.35">
      <c r="C316" t="str">
        <f t="shared" si="24"/>
        <v/>
      </c>
    </row>
    <row r="317" spans="3:3" x14ac:dyDescent="0.35">
      <c r="C317" t="str">
        <f t="shared" si="24"/>
        <v/>
      </c>
    </row>
    <row r="318" spans="3:3" x14ac:dyDescent="0.35">
      <c r="C318" t="str">
        <f t="shared" si="24"/>
        <v/>
      </c>
    </row>
    <row r="319" spans="3:3" x14ac:dyDescent="0.35">
      <c r="C319" t="str">
        <f t="shared" si="24"/>
        <v/>
      </c>
    </row>
    <row r="320" spans="3:3" x14ac:dyDescent="0.35">
      <c r="C320" t="str">
        <f t="shared" si="24"/>
        <v/>
      </c>
    </row>
    <row r="321" spans="3:3" x14ac:dyDescent="0.35">
      <c r="C321" t="str">
        <f t="shared" si="24"/>
        <v/>
      </c>
    </row>
    <row r="322" spans="3:3" x14ac:dyDescent="0.35">
      <c r="C322" t="str">
        <f t="shared" si="24"/>
        <v/>
      </c>
    </row>
    <row r="323" spans="3:3" x14ac:dyDescent="0.35">
      <c r="C323" t="str">
        <f t="shared" si="24"/>
        <v/>
      </c>
    </row>
    <row r="324" spans="3:3" x14ac:dyDescent="0.35">
      <c r="C324" t="str">
        <f t="shared" si="24"/>
        <v/>
      </c>
    </row>
    <row r="325" spans="3:3" x14ac:dyDescent="0.35">
      <c r="C325" t="str">
        <f t="shared" ref="C325:C388" si="25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5"/>
        <v/>
      </c>
    </row>
    <row r="327" spans="3:3" x14ac:dyDescent="0.35">
      <c r="C327" t="str">
        <f t="shared" si="25"/>
        <v/>
      </c>
    </row>
    <row r="328" spans="3:3" x14ac:dyDescent="0.35">
      <c r="C328" t="str">
        <f t="shared" si="25"/>
        <v/>
      </c>
    </row>
    <row r="329" spans="3:3" x14ac:dyDescent="0.35">
      <c r="C329" t="str">
        <f t="shared" si="25"/>
        <v/>
      </c>
    </row>
    <row r="330" spans="3:3" x14ac:dyDescent="0.35">
      <c r="C330" t="str">
        <f t="shared" si="25"/>
        <v/>
      </c>
    </row>
    <row r="331" spans="3:3" x14ac:dyDescent="0.35">
      <c r="C331" t="str">
        <f t="shared" si="25"/>
        <v/>
      </c>
    </row>
    <row r="332" spans="3:3" x14ac:dyDescent="0.35">
      <c r="C332" t="str">
        <f t="shared" si="25"/>
        <v/>
      </c>
    </row>
    <row r="333" spans="3:3" x14ac:dyDescent="0.35">
      <c r="C333" t="str">
        <f t="shared" si="25"/>
        <v/>
      </c>
    </row>
    <row r="334" spans="3:3" x14ac:dyDescent="0.35">
      <c r="C334" t="str">
        <f t="shared" si="25"/>
        <v/>
      </c>
    </row>
    <row r="335" spans="3:3" x14ac:dyDescent="0.35">
      <c r="C335" t="str">
        <f t="shared" si="25"/>
        <v/>
      </c>
    </row>
    <row r="336" spans="3:3" x14ac:dyDescent="0.35">
      <c r="C336" t="str">
        <f t="shared" si="25"/>
        <v/>
      </c>
    </row>
    <row r="337" spans="3:3" x14ac:dyDescent="0.35">
      <c r="C337" t="str">
        <f t="shared" si="25"/>
        <v/>
      </c>
    </row>
    <row r="338" spans="3:3" x14ac:dyDescent="0.35">
      <c r="C338" t="str">
        <f t="shared" si="25"/>
        <v/>
      </c>
    </row>
    <row r="339" spans="3:3" x14ac:dyDescent="0.35">
      <c r="C339" t="str">
        <f t="shared" si="25"/>
        <v/>
      </c>
    </row>
    <row r="340" spans="3:3" x14ac:dyDescent="0.35">
      <c r="C340" t="str">
        <f t="shared" si="25"/>
        <v/>
      </c>
    </row>
    <row r="341" spans="3:3" x14ac:dyDescent="0.35">
      <c r="C341" t="str">
        <f t="shared" si="25"/>
        <v/>
      </c>
    </row>
    <row r="342" spans="3:3" x14ac:dyDescent="0.35">
      <c r="C342" t="str">
        <f t="shared" si="25"/>
        <v/>
      </c>
    </row>
    <row r="343" spans="3:3" x14ac:dyDescent="0.35">
      <c r="C343" t="str">
        <f t="shared" si="25"/>
        <v/>
      </c>
    </row>
    <row r="344" spans="3:3" x14ac:dyDescent="0.35">
      <c r="C344" t="str">
        <f t="shared" si="25"/>
        <v/>
      </c>
    </row>
    <row r="345" spans="3:3" x14ac:dyDescent="0.35">
      <c r="C345" t="str">
        <f t="shared" si="25"/>
        <v/>
      </c>
    </row>
    <row r="346" spans="3:3" x14ac:dyDescent="0.35">
      <c r="C346" t="str">
        <f t="shared" si="25"/>
        <v/>
      </c>
    </row>
    <row r="347" spans="3:3" x14ac:dyDescent="0.35">
      <c r="C347" t="str">
        <f t="shared" si="25"/>
        <v/>
      </c>
    </row>
    <row r="348" spans="3:3" x14ac:dyDescent="0.35">
      <c r="C348" t="str">
        <f t="shared" si="25"/>
        <v/>
      </c>
    </row>
    <row r="349" spans="3:3" x14ac:dyDescent="0.35">
      <c r="C349" t="str">
        <f t="shared" si="25"/>
        <v/>
      </c>
    </row>
    <row r="350" spans="3:3" x14ac:dyDescent="0.35">
      <c r="C350" t="str">
        <f t="shared" si="25"/>
        <v/>
      </c>
    </row>
    <row r="351" spans="3:3" x14ac:dyDescent="0.35">
      <c r="C351" t="str">
        <f t="shared" si="25"/>
        <v/>
      </c>
    </row>
    <row r="352" spans="3:3" x14ac:dyDescent="0.35">
      <c r="C352" t="str">
        <f t="shared" si="25"/>
        <v/>
      </c>
    </row>
    <row r="353" spans="3:3" x14ac:dyDescent="0.35">
      <c r="C353" t="str">
        <f t="shared" si="25"/>
        <v/>
      </c>
    </row>
    <row r="354" spans="3:3" x14ac:dyDescent="0.35">
      <c r="C354" t="str">
        <f t="shared" si="25"/>
        <v/>
      </c>
    </row>
    <row r="355" spans="3:3" x14ac:dyDescent="0.35">
      <c r="C355" t="str">
        <f t="shared" si="25"/>
        <v/>
      </c>
    </row>
    <row r="356" spans="3:3" x14ac:dyDescent="0.35">
      <c r="C356" t="str">
        <f t="shared" si="25"/>
        <v/>
      </c>
    </row>
    <row r="357" spans="3:3" x14ac:dyDescent="0.35">
      <c r="C357" t="str">
        <f t="shared" si="25"/>
        <v/>
      </c>
    </row>
    <row r="358" spans="3:3" x14ac:dyDescent="0.35">
      <c r="C358" t="str">
        <f t="shared" si="25"/>
        <v/>
      </c>
    </row>
    <row r="359" spans="3:3" x14ac:dyDescent="0.35">
      <c r="C359" t="str">
        <f t="shared" si="25"/>
        <v/>
      </c>
    </row>
    <row r="360" spans="3:3" x14ac:dyDescent="0.35">
      <c r="C360" t="str">
        <f t="shared" si="25"/>
        <v/>
      </c>
    </row>
    <row r="361" spans="3:3" x14ac:dyDescent="0.35">
      <c r="C361" t="str">
        <f t="shared" si="25"/>
        <v/>
      </c>
    </row>
    <row r="362" spans="3:3" x14ac:dyDescent="0.35">
      <c r="C362" t="str">
        <f t="shared" si="25"/>
        <v/>
      </c>
    </row>
    <row r="363" spans="3:3" x14ac:dyDescent="0.35">
      <c r="C363" t="str">
        <f t="shared" si="25"/>
        <v/>
      </c>
    </row>
    <row r="364" spans="3:3" x14ac:dyDescent="0.35">
      <c r="C364" t="str">
        <f t="shared" si="25"/>
        <v/>
      </c>
    </row>
    <row r="365" spans="3:3" x14ac:dyDescent="0.35">
      <c r="C365" t="str">
        <f t="shared" si="25"/>
        <v/>
      </c>
    </row>
    <row r="366" spans="3:3" x14ac:dyDescent="0.35">
      <c r="C366" t="str">
        <f t="shared" si="25"/>
        <v/>
      </c>
    </row>
    <row r="367" spans="3:3" x14ac:dyDescent="0.35">
      <c r="C367" t="str">
        <f t="shared" si="25"/>
        <v/>
      </c>
    </row>
    <row r="368" spans="3:3" x14ac:dyDescent="0.35">
      <c r="C368" t="str">
        <f t="shared" si="25"/>
        <v/>
      </c>
    </row>
    <row r="369" spans="3:3" x14ac:dyDescent="0.35">
      <c r="C369" t="str">
        <f t="shared" si="25"/>
        <v/>
      </c>
    </row>
    <row r="370" spans="3:3" x14ac:dyDescent="0.35">
      <c r="C370" t="str">
        <f t="shared" si="25"/>
        <v/>
      </c>
    </row>
    <row r="371" spans="3:3" x14ac:dyDescent="0.35">
      <c r="C371" t="str">
        <f t="shared" si="25"/>
        <v/>
      </c>
    </row>
    <row r="372" spans="3:3" x14ac:dyDescent="0.35">
      <c r="C372" t="str">
        <f t="shared" si="25"/>
        <v/>
      </c>
    </row>
    <row r="373" spans="3:3" x14ac:dyDescent="0.35">
      <c r="C373" t="str">
        <f t="shared" si="25"/>
        <v/>
      </c>
    </row>
    <row r="374" spans="3:3" x14ac:dyDescent="0.35">
      <c r="C374" t="str">
        <f t="shared" si="25"/>
        <v/>
      </c>
    </row>
    <row r="375" spans="3:3" x14ac:dyDescent="0.35">
      <c r="C375" t="str">
        <f t="shared" si="25"/>
        <v/>
      </c>
    </row>
    <row r="376" spans="3:3" x14ac:dyDescent="0.35">
      <c r="C376" t="str">
        <f t="shared" si="25"/>
        <v/>
      </c>
    </row>
    <row r="377" spans="3:3" x14ac:dyDescent="0.35">
      <c r="C377" t="str">
        <f t="shared" si="25"/>
        <v/>
      </c>
    </row>
    <row r="378" spans="3:3" x14ac:dyDescent="0.35">
      <c r="C378" t="str">
        <f t="shared" si="25"/>
        <v/>
      </c>
    </row>
    <row r="379" spans="3:3" x14ac:dyDescent="0.35">
      <c r="C379" t="str">
        <f t="shared" si="25"/>
        <v/>
      </c>
    </row>
    <row r="380" spans="3:3" x14ac:dyDescent="0.35">
      <c r="C380" t="str">
        <f t="shared" si="25"/>
        <v/>
      </c>
    </row>
    <row r="381" spans="3:3" x14ac:dyDescent="0.35">
      <c r="C381" t="str">
        <f t="shared" si="25"/>
        <v/>
      </c>
    </row>
    <row r="382" spans="3:3" x14ac:dyDescent="0.35">
      <c r="C382" t="str">
        <f t="shared" si="25"/>
        <v/>
      </c>
    </row>
    <row r="383" spans="3:3" x14ac:dyDescent="0.35">
      <c r="C383" t="str">
        <f t="shared" si="25"/>
        <v/>
      </c>
    </row>
    <row r="384" spans="3:3" x14ac:dyDescent="0.35">
      <c r="C384" t="str">
        <f t="shared" si="25"/>
        <v/>
      </c>
    </row>
    <row r="385" spans="3:3" x14ac:dyDescent="0.35">
      <c r="C385" t="str">
        <f t="shared" si="25"/>
        <v/>
      </c>
    </row>
    <row r="386" spans="3:3" x14ac:dyDescent="0.35">
      <c r="C386" t="str">
        <f t="shared" si="25"/>
        <v/>
      </c>
    </row>
    <row r="387" spans="3:3" x14ac:dyDescent="0.35">
      <c r="C387" t="str">
        <f t="shared" si="25"/>
        <v/>
      </c>
    </row>
    <row r="388" spans="3:3" x14ac:dyDescent="0.35">
      <c r="C388" t="str">
        <f t="shared" si="25"/>
        <v/>
      </c>
    </row>
    <row r="389" spans="3:3" x14ac:dyDescent="0.35">
      <c r="C389" t="str">
        <f t="shared" ref="C389:C452" si="26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6"/>
        <v/>
      </c>
    </row>
    <row r="391" spans="3:3" x14ac:dyDescent="0.35">
      <c r="C391" t="str">
        <f t="shared" si="26"/>
        <v/>
      </c>
    </row>
    <row r="392" spans="3:3" x14ac:dyDescent="0.35">
      <c r="C392" t="str">
        <f t="shared" si="26"/>
        <v/>
      </c>
    </row>
    <row r="393" spans="3:3" x14ac:dyDescent="0.35">
      <c r="C393" t="str">
        <f t="shared" si="26"/>
        <v/>
      </c>
    </row>
    <row r="394" spans="3:3" x14ac:dyDescent="0.35">
      <c r="C394" t="str">
        <f t="shared" si="26"/>
        <v/>
      </c>
    </row>
    <row r="395" spans="3:3" x14ac:dyDescent="0.35">
      <c r="C395" t="str">
        <f t="shared" si="26"/>
        <v/>
      </c>
    </row>
    <row r="396" spans="3:3" x14ac:dyDescent="0.35">
      <c r="C396" t="str">
        <f t="shared" si="26"/>
        <v/>
      </c>
    </row>
    <row r="397" spans="3:3" x14ac:dyDescent="0.35">
      <c r="C397" t="str">
        <f t="shared" si="26"/>
        <v/>
      </c>
    </row>
    <row r="398" spans="3:3" x14ac:dyDescent="0.35">
      <c r="C398" t="str">
        <f t="shared" si="26"/>
        <v/>
      </c>
    </row>
    <row r="399" spans="3:3" x14ac:dyDescent="0.35">
      <c r="C399" t="str">
        <f t="shared" si="26"/>
        <v/>
      </c>
    </row>
    <row r="400" spans="3:3" x14ac:dyDescent="0.35">
      <c r="C400" t="str">
        <f t="shared" si="26"/>
        <v/>
      </c>
    </row>
    <row r="401" spans="3:3" x14ac:dyDescent="0.35">
      <c r="C401" t="str">
        <f t="shared" si="26"/>
        <v/>
      </c>
    </row>
    <row r="402" spans="3:3" x14ac:dyDescent="0.35">
      <c r="C402" t="str">
        <f t="shared" si="26"/>
        <v/>
      </c>
    </row>
    <row r="403" spans="3:3" x14ac:dyDescent="0.35">
      <c r="C403" t="str">
        <f t="shared" si="26"/>
        <v/>
      </c>
    </row>
    <row r="404" spans="3:3" x14ac:dyDescent="0.35">
      <c r="C404" t="str">
        <f t="shared" si="26"/>
        <v/>
      </c>
    </row>
    <row r="405" spans="3:3" x14ac:dyDescent="0.35">
      <c r="C405" t="str">
        <f t="shared" si="26"/>
        <v/>
      </c>
    </row>
    <row r="406" spans="3:3" x14ac:dyDescent="0.35">
      <c r="C406" t="str">
        <f t="shared" si="26"/>
        <v/>
      </c>
    </row>
    <row r="407" spans="3:3" x14ac:dyDescent="0.35">
      <c r="C407" t="str">
        <f t="shared" si="26"/>
        <v/>
      </c>
    </row>
    <row r="408" spans="3:3" x14ac:dyDescent="0.35">
      <c r="C408" t="str">
        <f t="shared" si="26"/>
        <v/>
      </c>
    </row>
    <row r="409" spans="3:3" x14ac:dyDescent="0.35">
      <c r="C409" t="str">
        <f t="shared" si="26"/>
        <v/>
      </c>
    </row>
    <row r="410" spans="3:3" x14ac:dyDescent="0.35">
      <c r="C410" t="str">
        <f t="shared" si="26"/>
        <v/>
      </c>
    </row>
    <row r="411" spans="3:3" x14ac:dyDescent="0.35">
      <c r="C411" t="str">
        <f t="shared" si="26"/>
        <v/>
      </c>
    </row>
    <row r="412" spans="3:3" x14ac:dyDescent="0.35">
      <c r="C412" t="str">
        <f t="shared" si="26"/>
        <v/>
      </c>
    </row>
    <row r="413" spans="3:3" x14ac:dyDescent="0.35">
      <c r="C413" t="str">
        <f t="shared" si="26"/>
        <v/>
      </c>
    </row>
    <row r="414" spans="3:3" x14ac:dyDescent="0.35">
      <c r="C414" t="str">
        <f t="shared" si="26"/>
        <v/>
      </c>
    </row>
    <row r="415" spans="3:3" x14ac:dyDescent="0.35">
      <c r="C415" t="str">
        <f t="shared" si="26"/>
        <v/>
      </c>
    </row>
    <row r="416" spans="3:3" x14ac:dyDescent="0.35">
      <c r="C416" t="str">
        <f t="shared" si="26"/>
        <v/>
      </c>
    </row>
    <row r="417" spans="3:3" x14ac:dyDescent="0.35">
      <c r="C417" t="str">
        <f t="shared" si="26"/>
        <v/>
      </c>
    </row>
    <row r="418" spans="3:3" x14ac:dyDescent="0.35">
      <c r="C418" t="str">
        <f t="shared" si="26"/>
        <v/>
      </c>
    </row>
    <row r="419" spans="3:3" x14ac:dyDescent="0.35">
      <c r="C419" t="str">
        <f t="shared" si="26"/>
        <v/>
      </c>
    </row>
    <row r="420" spans="3:3" x14ac:dyDescent="0.35">
      <c r="C420" t="str">
        <f t="shared" si="26"/>
        <v/>
      </c>
    </row>
    <row r="421" spans="3:3" x14ac:dyDescent="0.35">
      <c r="C421" t="str">
        <f t="shared" si="26"/>
        <v/>
      </c>
    </row>
    <row r="422" spans="3:3" x14ac:dyDescent="0.35">
      <c r="C422" t="str">
        <f t="shared" si="26"/>
        <v/>
      </c>
    </row>
    <row r="423" spans="3:3" x14ac:dyDescent="0.35">
      <c r="C423" t="str">
        <f t="shared" si="26"/>
        <v/>
      </c>
    </row>
    <row r="424" spans="3:3" x14ac:dyDescent="0.35">
      <c r="C424" t="str">
        <f t="shared" si="26"/>
        <v/>
      </c>
    </row>
    <row r="425" spans="3:3" x14ac:dyDescent="0.35">
      <c r="C425" t="str">
        <f t="shared" si="26"/>
        <v/>
      </c>
    </row>
    <row r="426" spans="3:3" x14ac:dyDescent="0.35">
      <c r="C426" t="str">
        <f t="shared" si="26"/>
        <v/>
      </c>
    </row>
    <row r="427" spans="3:3" x14ac:dyDescent="0.35">
      <c r="C427" t="str">
        <f t="shared" si="26"/>
        <v/>
      </c>
    </row>
    <row r="428" spans="3:3" x14ac:dyDescent="0.35">
      <c r="C428" t="str">
        <f t="shared" si="26"/>
        <v/>
      </c>
    </row>
    <row r="429" spans="3:3" x14ac:dyDescent="0.35">
      <c r="C429" t="str">
        <f t="shared" si="26"/>
        <v/>
      </c>
    </row>
    <row r="430" spans="3:3" x14ac:dyDescent="0.35">
      <c r="C430" t="str">
        <f t="shared" si="26"/>
        <v/>
      </c>
    </row>
    <row r="431" spans="3:3" x14ac:dyDescent="0.35">
      <c r="C431" t="str">
        <f t="shared" si="26"/>
        <v/>
      </c>
    </row>
    <row r="432" spans="3:3" x14ac:dyDescent="0.35">
      <c r="C432" t="str">
        <f t="shared" si="26"/>
        <v/>
      </c>
    </row>
    <row r="433" spans="3:3" x14ac:dyDescent="0.35">
      <c r="C433" t="str">
        <f t="shared" si="26"/>
        <v/>
      </c>
    </row>
    <row r="434" spans="3:3" x14ac:dyDescent="0.35">
      <c r="C434" t="str">
        <f t="shared" si="26"/>
        <v/>
      </c>
    </row>
    <row r="435" spans="3:3" x14ac:dyDescent="0.35">
      <c r="C435" t="str">
        <f t="shared" si="26"/>
        <v/>
      </c>
    </row>
    <row r="436" spans="3:3" x14ac:dyDescent="0.35">
      <c r="C436" t="str">
        <f t="shared" si="26"/>
        <v/>
      </c>
    </row>
    <row r="437" spans="3:3" x14ac:dyDescent="0.35">
      <c r="C437" t="str">
        <f t="shared" si="26"/>
        <v/>
      </c>
    </row>
    <row r="438" spans="3:3" x14ac:dyDescent="0.35">
      <c r="C438" t="str">
        <f t="shared" si="26"/>
        <v/>
      </c>
    </row>
    <row r="439" spans="3:3" x14ac:dyDescent="0.35">
      <c r="C439" t="str">
        <f t="shared" si="26"/>
        <v/>
      </c>
    </row>
    <row r="440" spans="3:3" x14ac:dyDescent="0.35">
      <c r="C440" t="str">
        <f t="shared" si="26"/>
        <v/>
      </c>
    </row>
    <row r="441" spans="3:3" x14ac:dyDescent="0.35">
      <c r="C441" t="str">
        <f t="shared" si="26"/>
        <v/>
      </c>
    </row>
    <row r="442" spans="3:3" x14ac:dyDescent="0.35">
      <c r="C442" t="str">
        <f t="shared" si="26"/>
        <v/>
      </c>
    </row>
    <row r="443" spans="3:3" x14ac:dyDescent="0.35">
      <c r="C443" t="str">
        <f t="shared" si="26"/>
        <v/>
      </c>
    </row>
    <row r="444" spans="3:3" x14ac:dyDescent="0.35">
      <c r="C444" t="str">
        <f t="shared" si="26"/>
        <v/>
      </c>
    </row>
    <row r="445" spans="3:3" x14ac:dyDescent="0.35">
      <c r="C445" t="str">
        <f t="shared" si="26"/>
        <v/>
      </c>
    </row>
    <row r="446" spans="3:3" x14ac:dyDescent="0.35">
      <c r="C446" t="str">
        <f t="shared" si="26"/>
        <v/>
      </c>
    </row>
    <row r="447" spans="3:3" x14ac:dyDescent="0.35">
      <c r="C447" t="str">
        <f t="shared" si="26"/>
        <v/>
      </c>
    </row>
    <row r="448" spans="3:3" x14ac:dyDescent="0.35">
      <c r="C448" t="str">
        <f t="shared" si="26"/>
        <v/>
      </c>
    </row>
    <row r="449" spans="3:3" x14ac:dyDescent="0.35">
      <c r="C449" t="str">
        <f t="shared" si="26"/>
        <v/>
      </c>
    </row>
    <row r="450" spans="3:3" x14ac:dyDescent="0.35">
      <c r="C450" t="str">
        <f t="shared" si="26"/>
        <v/>
      </c>
    </row>
    <row r="451" spans="3:3" x14ac:dyDescent="0.35">
      <c r="C451" t="str">
        <f t="shared" si="26"/>
        <v/>
      </c>
    </row>
    <row r="452" spans="3:3" x14ac:dyDescent="0.35">
      <c r="C452" t="str">
        <f t="shared" si="26"/>
        <v/>
      </c>
    </row>
    <row r="453" spans="3:3" x14ac:dyDescent="0.35">
      <c r="C453" t="str">
        <f t="shared" ref="C453:C516" si="27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7"/>
        <v/>
      </c>
    </row>
    <row r="455" spans="3:3" x14ac:dyDescent="0.35">
      <c r="C455" t="str">
        <f t="shared" si="27"/>
        <v/>
      </c>
    </row>
    <row r="456" spans="3:3" x14ac:dyDescent="0.35">
      <c r="C456" t="str">
        <f t="shared" si="27"/>
        <v/>
      </c>
    </row>
    <row r="457" spans="3:3" x14ac:dyDescent="0.35">
      <c r="C457" t="str">
        <f t="shared" si="27"/>
        <v/>
      </c>
    </row>
    <row r="458" spans="3:3" x14ac:dyDescent="0.35">
      <c r="C458" t="str">
        <f t="shared" si="27"/>
        <v/>
      </c>
    </row>
    <row r="459" spans="3:3" x14ac:dyDescent="0.35">
      <c r="C459" t="str">
        <f t="shared" si="27"/>
        <v/>
      </c>
    </row>
    <row r="460" spans="3:3" x14ac:dyDescent="0.35">
      <c r="C460" t="str">
        <f t="shared" si="27"/>
        <v/>
      </c>
    </row>
    <row r="461" spans="3:3" x14ac:dyDescent="0.35">
      <c r="C461" t="str">
        <f t="shared" si="27"/>
        <v/>
      </c>
    </row>
    <row r="462" spans="3:3" x14ac:dyDescent="0.35">
      <c r="C462" t="str">
        <f t="shared" si="27"/>
        <v/>
      </c>
    </row>
    <row r="463" spans="3:3" x14ac:dyDescent="0.35">
      <c r="C463" t="str">
        <f t="shared" si="27"/>
        <v/>
      </c>
    </row>
    <row r="464" spans="3:3" x14ac:dyDescent="0.35">
      <c r="C464" t="str">
        <f t="shared" si="27"/>
        <v/>
      </c>
    </row>
    <row r="465" spans="3:3" x14ac:dyDescent="0.35">
      <c r="C465" t="str">
        <f t="shared" si="27"/>
        <v/>
      </c>
    </row>
    <row r="466" spans="3:3" x14ac:dyDescent="0.35">
      <c r="C466" t="str">
        <f t="shared" si="27"/>
        <v/>
      </c>
    </row>
    <row r="467" spans="3:3" x14ac:dyDescent="0.35">
      <c r="C467" t="str">
        <f t="shared" si="27"/>
        <v/>
      </c>
    </row>
    <row r="468" spans="3:3" x14ac:dyDescent="0.35">
      <c r="C468" t="str">
        <f t="shared" si="27"/>
        <v/>
      </c>
    </row>
    <row r="469" spans="3:3" x14ac:dyDescent="0.35">
      <c r="C469" t="str">
        <f t="shared" si="27"/>
        <v/>
      </c>
    </row>
    <row r="470" spans="3:3" x14ac:dyDescent="0.35">
      <c r="C470" t="str">
        <f t="shared" si="27"/>
        <v/>
      </c>
    </row>
    <row r="471" spans="3:3" x14ac:dyDescent="0.35">
      <c r="C471" t="str">
        <f t="shared" si="27"/>
        <v/>
      </c>
    </row>
    <row r="472" spans="3:3" x14ac:dyDescent="0.35">
      <c r="C472" t="str">
        <f t="shared" si="27"/>
        <v/>
      </c>
    </row>
    <row r="473" spans="3:3" x14ac:dyDescent="0.35">
      <c r="C473" t="str">
        <f t="shared" si="27"/>
        <v/>
      </c>
    </row>
    <row r="474" spans="3:3" x14ac:dyDescent="0.35">
      <c r="C474" t="str">
        <f t="shared" si="27"/>
        <v/>
      </c>
    </row>
    <row r="475" spans="3:3" x14ac:dyDescent="0.35">
      <c r="C475" t="str">
        <f t="shared" si="27"/>
        <v/>
      </c>
    </row>
    <row r="476" spans="3:3" x14ac:dyDescent="0.35">
      <c r="C476" t="str">
        <f t="shared" si="27"/>
        <v/>
      </c>
    </row>
    <row r="477" spans="3:3" x14ac:dyDescent="0.35">
      <c r="C477" t="str">
        <f t="shared" si="27"/>
        <v/>
      </c>
    </row>
    <row r="478" spans="3:3" x14ac:dyDescent="0.35">
      <c r="C478" t="str">
        <f t="shared" si="27"/>
        <v/>
      </c>
    </row>
    <row r="479" spans="3:3" x14ac:dyDescent="0.35">
      <c r="C479" t="str">
        <f t="shared" si="27"/>
        <v/>
      </c>
    </row>
    <row r="480" spans="3:3" x14ac:dyDescent="0.35">
      <c r="C480" t="str">
        <f t="shared" si="27"/>
        <v/>
      </c>
    </row>
    <row r="481" spans="3:3" x14ac:dyDescent="0.35">
      <c r="C481" t="str">
        <f t="shared" si="27"/>
        <v/>
      </c>
    </row>
    <row r="482" spans="3:3" x14ac:dyDescent="0.35">
      <c r="C482" t="str">
        <f t="shared" si="27"/>
        <v/>
      </c>
    </row>
    <row r="483" spans="3:3" x14ac:dyDescent="0.35">
      <c r="C483" t="str">
        <f t="shared" si="27"/>
        <v/>
      </c>
    </row>
    <row r="484" spans="3:3" x14ac:dyDescent="0.35">
      <c r="C484" t="str">
        <f t="shared" si="27"/>
        <v/>
      </c>
    </row>
    <row r="485" spans="3:3" x14ac:dyDescent="0.35">
      <c r="C485" t="str">
        <f t="shared" si="27"/>
        <v/>
      </c>
    </row>
    <row r="486" spans="3:3" x14ac:dyDescent="0.35">
      <c r="C486" t="str">
        <f t="shared" si="27"/>
        <v/>
      </c>
    </row>
    <row r="487" spans="3:3" x14ac:dyDescent="0.35">
      <c r="C487" t="str">
        <f t="shared" si="27"/>
        <v/>
      </c>
    </row>
    <row r="488" spans="3:3" x14ac:dyDescent="0.35">
      <c r="C488" t="str">
        <f t="shared" si="27"/>
        <v/>
      </c>
    </row>
    <row r="489" spans="3:3" x14ac:dyDescent="0.35">
      <c r="C489" t="str">
        <f t="shared" si="27"/>
        <v/>
      </c>
    </row>
    <row r="490" spans="3:3" x14ac:dyDescent="0.35">
      <c r="C490" t="str">
        <f t="shared" si="27"/>
        <v/>
      </c>
    </row>
    <row r="491" spans="3:3" x14ac:dyDescent="0.35">
      <c r="C491" t="str">
        <f t="shared" si="27"/>
        <v/>
      </c>
    </row>
    <row r="492" spans="3:3" x14ac:dyDescent="0.35">
      <c r="C492" t="str">
        <f t="shared" si="27"/>
        <v/>
      </c>
    </row>
    <row r="493" spans="3:3" x14ac:dyDescent="0.35">
      <c r="C493" t="str">
        <f t="shared" si="27"/>
        <v/>
      </c>
    </row>
    <row r="494" spans="3:3" x14ac:dyDescent="0.35">
      <c r="C494" t="str">
        <f t="shared" si="27"/>
        <v/>
      </c>
    </row>
    <row r="495" spans="3:3" x14ac:dyDescent="0.35">
      <c r="C495" t="str">
        <f t="shared" si="27"/>
        <v/>
      </c>
    </row>
    <row r="496" spans="3:3" x14ac:dyDescent="0.35">
      <c r="C496" t="str">
        <f t="shared" si="27"/>
        <v/>
      </c>
    </row>
    <row r="497" spans="3:3" x14ac:dyDescent="0.35">
      <c r="C497" t="str">
        <f t="shared" si="27"/>
        <v/>
      </c>
    </row>
    <row r="498" spans="3:3" x14ac:dyDescent="0.35">
      <c r="C498" t="str">
        <f t="shared" si="27"/>
        <v/>
      </c>
    </row>
    <row r="499" spans="3:3" x14ac:dyDescent="0.35">
      <c r="C499" t="str">
        <f t="shared" si="27"/>
        <v/>
      </c>
    </row>
    <row r="500" spans="3:3" x14ac:dyDescent="0.35">
      <c r="C500" t="str">
        <f t="shared" si="27"/>
        <v/>
      </c>
    </row>
    <row r="501" spans="3:3" x14ac:dyDescent="0.35">
      <c r="C501" t="str">
        <f t="shared" si="27"/>
        <v/>
      </c>
    </row>
    <row r="502" spans="3:3" x14ac:dyDescent="0.35">
      <c r="C502" t="str">
        <f t="shared" si="27"/>
        <v/>
      </c>
    </row>
    <row r="503" spans="3:3" x14ac:dyDescent="0.35">
      <c r="C503" t="str">
        <f t="shared" si="27"/>
        <v/>
      </c>
    </row>
    <row r="504" spans="3:3" x14ac:dyDescent="0.35">
      <c r="C504" t="str">
        <f t="shared" si="27"/>
        <v/>
      </c>
    </row>
    <row r="505" spans="3:3" x14ac:dyDescent="0.35">
      <c r="C505" t="str">
        <f t="shared" si="27"/>
        <v/>
      </c>
    </row>
    <row r="506" spans="3:3" x14ac:dyDescent="0.35">
      <c r="C506" t="str">
        <f t="shared" si="27"/>
        <v/>
      </c>
    </row>
    <row r="507" spans="3:3" x14ac:dyDescent="0.35">
      <c r="C507" t="str">
        <f t="shared" si="27"/>
        <v/>
      </c>
    </row>
    <row r="508" spans="3:3" x14ac:dyDescent="0.35">
      <c r="C508" t="str">
        <f t="shared" si="27"/>
        <v/>
      </c>
    </row>
    <row r="509" spans="3:3" x14ac:dyDescent="0.35">
      <c r="C509" t="str">
        <f t="shared" si="27"/>
        <v/>
      </c>
    </row>
    <row r="510" spans="3:3" x14ac:dyDescent="0.35">
      <c r="C510" t="str">
        <f t="shared" si="27"/>
        <v/>
      </c>
    </row>
    <row r="511" spans="3:3" x14ac:dyDescent="0.35">
      <c r="C511" t="str">
        <f t="shared" si="27"/>
        <v/>
      </c>
    </row>
    <row r="512" spans="3:3" x14ac:dyDescent="0.35">
      <c r="C512" t="str">
        <f t="shared" si="27"/>
        <v/>
      </c>
    </row>
    <row r="513" spans="3:3" x14ac:dyDescent="0.35">
      <c r="C513" t="str">
        <f t="shared" si="27"/>
        <v/>
      </c>
    </row>
    <row r="514" spans="3:3" x14ac:dyDescent="0.35">
      <c r="C514" t="str">
        <f t="shared" si="27"/>
        <v/>
      </c>
    </row>
    <row r="515" spans="3:3" x14ac:dyDescent="0.35">
      <c r="C515" t="str">
        <f t="shared" si="27"/>
        <v/>
      </c>
    </row>
    <row r="516" spans="3:3" x14ac:dyDescent="0.35">
      <c r="C516" t="str">
        <f t="shared" si="27"/>
        <v/>
      </c>
    </row>
    <row r="517" spans="3:3" x14ac:dyDescent="0.35">
      <c r="C517" t="str">
        <f t="shared" ref="C517:C580" si="28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8"/>
        <v/>
      </c>
    </row>
    <row r="519" spans="3:3" x14ac:dyDescent="0.35">
      <c r="C519" t="str">
        <f t="shared" si="28"/>
        <v/>
      </c>
    </row>
    <row r="520" spans="3:3" x14ac:dyDescent="0.35">
      <c r="C520" t="str">
        <f t="shared" si="28"/>
        <v/>
      </c>
    </row>
    <row r="521" spans="3:3" x14ac:dyDescent="0.35">
      <c r="C521" t="str">
        <f t="shared" si="28"/>
        <v/>
      </c>
    </row>
    <row r="522" spans="3:3" x14ac:dyDescent="0.35">
      <c r="C522" t="str">
        <f t="shared" si="28"/>
        <v/>
      </c>
    </row>
    <row r="523" spans="3:3" x14ac:dyDescent="0.35">
      <c r="C523" t="str">
        <f t="shared" si="28"/>
        <v/>
      </c>
    </row>
    <row r="524" spans="3:3" x14ac:dyDescent="0.35">
      <c r="C524" t="str">
        <f t="shared" si="28"/>
        <v/>
      </c>
    </row>
    <row r="525" spans="3:3" x14ac:dyDescent="0.35">
      <c r="C525" t="str">
        <f t="shared" si="28"/>
        <v/>
      </c>
    </row>
    <row r="526" spans="3:3" x14ac:dyDescent="0.35">
      <c r="C526" t="str">
        <f t="shared" si="28"/>
        <v/>
      </c>
    </row>
    <row r="527" spans="3:3" x14ac:dyDescent="0.35">
      <c r="C527" t="str">
        <f t="shared" si="28"/>
        <v/>
      </c>
    </row>
    <row r="528" spans="3:3" x14ac:dyDescent="0.35">
      <c r="C528" t="str">
        <f t="shared" si="28"/>
        <v/>
      </c>
    </row>
    <row r="529" spans="3:3" x14ac:dyDescent="0.35">
      <c r="C529" t="str">
        <f t="shared" si="28"/>
        <v/>
      </c>
    </row>
    <row r="530" spans="3:3" x14ac:dyDescent="0.35">
      <c r="C530" t="str">
        <f t="shared" si="28"/>
        <v/>
      </c>
    </row>
    <row r="531" spans="3:3" x14ac:dyDescent="0.35">
      <c r="C531" t="str">
        <f t="shared" si="28"/>
        <v/>
      </c>
    </row>
    <row r="532" spans="3:3" x14ac:dyDescent="0.35">
      <c r="C532" t="str">
        <f t="shared" si="28"/>
        <v/>
      </c>
    </row>
    <row r="533" spans="3:3" x14ac:dyDescent="0.35">
      <c r="C533" t="str">
        <f t="shared" si="28"/>
        <v/>
      </c>
    </row>
    <row r="534" spans="3:3" x14ac:dyDescent="0.35">
      <c r="C534" t="str">
        <f t="shared" si="28"/>
        <v/>
      </c>
    </row>
    <row r="535" spans="3:3" x14ac:dyDescent="0.35">
      <c r="C535" t="str">
        <f t="shared" si="28"/>
        <v/>
      </c>
    </row>
    <row r="536" spans="3:3" x14ac:dyDescent="0.35">
      <c r="C536" t="str">
        <f t="shared" si="28"/>
        <v/>
      </c>
    </row>
    <row r="537" spans="3:3" x14ac:dyDescent="0.35">
      <c r="C537" t="str">
        <f t="shared" si="28"/>
        <v/>
      </c>
    </row>
    <row r="538" spans="3:3" x14ac:dyDescent="0.35">
      <c r="C538" t="str">
        <f t="shared" si="28"/>
        <v/>
      </c>
    </row>
    <row r="539" spans="3:3" x14ac:dyDescent="0.35">
      <c r="C539" t="str">
        <f t="shared" si="28"/>
        <v/>
      </c>
    </row>
    <row r="540" spans="3:3" x14ac:dyDescent="0.35">
      <c r="C540" t="str">
        <f t="shared" si="28"/>
        <v/>
      </c>
    </row>
    <row r="541" spans="3:3" x14ac:dyDescent="0.35">
      <c r="C541" t="str">
        <f t="shared" si="28"/>
        <v/>
      </c>
    </row>
    <row r="542" spans="3:3" x14ac:dyDescent="0.35">
      <c r="C542" t="str">
        <f t="shared" si="28"/>
        <v/>
      </c>
    </row>
    <row r="543" spans="3:3" x14ac:dyDescent="0.35">
      <c r="C543" t="str">
        <f t="shared" si="28"/>
        <v/>
      </c>
    </row>
    <row r="544" spans="3:3" x14ac:dyDescent="0.35">
      <c r="C544" t="str">
        <f t="shared" si="28"/>
        <v/>
      </c>
    </row>
    <row r="545" spans="3:3" x14ac:dyDescent="0.35">
      <c r="C545" t="str">
        <f t="shared" si="28"/>
        <v/>
      </c>
    </row>
    <row r="546" spans="3:3" x14ac:dyDescent="0.35">
      <c r="C546" t="str">
        <f t="shared" si="28"/>
        <v/>
      </c>
    </row>
    <row r="547" spans="3:3" x14ac:dyDescent="0.35">
      <c r="C547" t="str">
        <f t="shared" si="28"/>
        <v/>
      </c>
    </row>
    <row r="548" spans="3:3" x14ac:dyDescent="0.35">
      <c r="C548" t="str">
        <f t="shared" si="28"/>
        <v/>
      </c>
    </row>
    <row r="549" spans="3:3" x14ac:dyDescent="0.35">
      <c r="C549" t="str">
        <f t="shared" si="28"/>
        <v/>
      </c>
    </row>
    <row r="550" spans="3:3" x14ac:dyDescent="0.35">
      <c r="C550" t="str">
        <f t="shared" si="28"/>
        <v/>
      </c>
    </row>
    <row r="551" spans="3:3" x14ac:dyDescent="0.35">
      <c r="C551" t="str">
        <f t="shared" si="28"/>
        <v/>
      </c>
    </row>
    <row r="552" spans="3:3" x14ac:dyDescent="0.35">
      <c r="C552" t="str">
        <f t="shared" si="28"/>
        <v/>
      </c>
    </row>
    <row r="553" spans="3:3" x14ac:dyDescent="0.35">
      <c r="C553" t="str">
        <f t="shared" si="28"/>
        <v/>
      </c>
    </row>
    <row r="554" spans="3:3" x14ac:dyDescent="0.35">
      <c r="C554" t="str">
        <f t="shared" si="28"/>
        <v/>
      </c>
    </row>
    <row r="555" spans="3:3" x14ac:dyDescent="0.35">
      <c r="C555" t="str">
        <f t="shared" si="28"/>
        <v/>
      </c>
    </row>
    <row r="556" spans="3:3" x14ac:dyDescent="0.35">
      <c r="C556" t="str">
        <f t="shared" si="28"/>
        <v/>
      </c>
    </row>
    <row r="557" spans="3:3" x14ac:dyDescent="0.35">
      <c r="C557" t="str">
        <f t="shared" si="28"/>
        <v/>
      </c>
    </row>
    <row r="558" spans="3:3" x14ac:dyDescent="0.35">
      <c r="C558" t="str">
        <f t="shared" si="28"/>
        <v/>
      </c>
    </row>
    <row r="559" spans="3:3" x14ac:dyDescent="0.35">
      <c r="C559" t="str">
        <f t="shared" si="28"/>
        <v/>
      </c>
    </row>
    <row r="560" spans="3:3" x14ac:dyDescent="0.35">
      <c r="C560" t="str">
        <f t="shared" si="28"/>
        <v/>
      </c>
    </row>
    <row r="561" spans="3:3" x14ac:dyDescent="0.35">
      <c r="C561" t="str">
        <f t="shared" si="28"/>
        <v/>
      </c>
    </row>
    <row r="562" spans="3:3" x14ac:dyDescent="0.35">
      <c r="C562" t="str">
        <f t="shared" si="28"/>
        <v/>
      </c>
    </row>
    <row r="563" spans="3:3" x14ac:dyDescent="0.35">
      <c r="C563" t="str">
        <f t="shared" si="28"/>
        <v/>
      </c>
    </row>
    <row r="564" spans="3:3" x14ac:dyDescent="0.35">
      <c r="C564" t="str">
        <f t="shared" si="28"/>
        <v/>
      </c>
    </row>
    <row r="565" spans="3:3" x14ac:dyDescent="0.35">
      <c r="C565" t="str">
        <f t="shared" si="28"/>
        <v/>
      </c>
    </row>
    <row r="566" spans="3:3" x14ac:dyDescent="0.35">
      <c r="C566" t="str">
        <f t="shared" si="28"/>
        <v/>
      </c>
    </row>
    <row r="567" spans="3:3" x14ac:dyDescent="0.35">
      <c r="C567" t="str">
        <f t="shared" si="28"/>
        <v/>
      </c>
    </row>
    <row r="568" spans="3:3" x14ac:dyDescent="0.35">
      <c r="C568" t="str">
        <f t="shared" si="28"/>
        <v/>
      </c>
    </row>
    <row r="569" spans="3:3" x14ac:dyDescent="0.35">
      <c r="C569" t="str">
        <f t="shared" si="28"/>
        <v/>
      </c>
    </row>
    <row r="570" spans="3:3" x14ac:dyDescent="0.35">
      <c r="C570" t="str">
        <f t="shared" si="28"/>
        <v/>
      </c>
    </row>
    <row r="571" spans="3:3" x14ac:dyDescent="0.35">
      <c r="C571" t="str">
        <f t="shared" si="28"/>
        <v/>
      </c>
    </row>
    <row r="572" spans="3:3" x14ac:dyDescent="0.35">
      <c r="C572" t="str">
        <f t="shared" si="28"/>
        <v/>
      </c>
    </row>
    <row r="573" spans="3:3" x14ac:dyDescent="0.35">
      <c r="C573" t="str">
        <f t="shared" si="28"/>
        <v/>
      </c>
    </row>
    <row r="574" spans="3:3" x14ac:dyDescent="0.35">
      <c r="C574" t="str">
        <f t="shared" si="28"/>
        <v/>
      </c>
    </row>
    <row r="575" spans="3:3" x14ac:dyDescent="0.35">
      <c r="C575" t="str">
        <f t="shared" si="28"/>
        <v/>
      </c>
    </row>
    <row r="576" spans="3:3" x14ac:dyDescent="0.35">
      <c r="C576" t="str">
        <f t="shared" si="28"/>
        <v/>
      </c>
    </row>
    <row r="577" spans="3:3" x14ac:dyDescent="0.35">
      <c r="C577" t="str">
        <f t="shared" si="28"/>
        <v/>
      </c>
    </row>
    <row r="578" spans="3:3" x14ac:dyDescent="0.35">
      <c r="C578" t="str">
        <f t="shared" si="28"/>
        <v/>
      </c>
    </row>
    <row r="579" spans="3:3" x14ac:dyDescent="0.35">
      <c r="C579" t="str">
        <f t="shared" si="28"/>
        <v/>
      </c>
    </row>
    <row r="580" spans="3:3" x14ac:dyDescent="0.35">
      <c r="C580" t="str">
        <f t="shared" si="28"/>
        <v/>
      </c>
    </row>
    <row r="581" spans="3:3" x14ac:dyDescent="0.35">
      <c r="C581" t="str">
        <f t="shared" ref="C581:C644" si="29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9"/>
        <v/>
      </c>
    </row>
    <row r="583" spans="3:3" x14ac:dyDescent="0.35">
      <c r="C583" t="str">
        <f t="shared" si="29"/>
        <v/>
      </c>
    </row>
    <row r="584" spans="3:3" x14ac:dyDescent="0.35">
      <c r="C584" t="str">
        <f t="shared" si="29"/>
        <v/>
      </c>
    </row>
    <row r="585" spans="3:3" x14ac:dyDescent="0.35">
      <c r="C585" t="str">
        <f t="shared" si="29"/>
        <v/>
      </c>
    </row>
    <row r="586" spans="3:3" x14ac:dyDescent="0.35">
      <c r="C586" t="str">
        <f t="shared" si="29"/>
        <v/>
      </c>
    </row>
    <row r="587" spans="3:3" x14ac:dyDescent="0.35">
      <c r="C587" t="str">
        <f t="shared" si="29"/>
        <v/>
      </c>
    </row>
    <row r="588" spans="3:3" x14ac:dyDescent="0.35">
      <c r="C588" t="str">
        <f t="shared" si="29"/>
        <v/>
      </c>
    </row>
    <row r="589" spans="3:3" x14ac:dyDescent="0.35">
      <c r="C589" t="str">
        <f t="shared" si="29"/>
        <v/>
      </c>
    </row>
    <row r="590" spans="3:3" x14ac:dyDescent="0.35">
      <c r="C590" t="str">
        <f t="shared" si="29"/>
        <v/>
      </c>
    </row>
    <row r="591" spans="3:3" x14ac:dyDescent="0.35">
      <c r="C591" t="str">
        <f t="shared" si="29"/>
        <v/>
      </c>
    </row>
    <row r="592" spans="3:3" x14ac:dyDescent="0.35">
      <c r="C592" t="str">
        <f t="shared" si="29"/>
        <v/>
      </c>
    </row>
    <row r="593" spans="3:3" x14ac:dyDescent="0.35">
      <c r="C593" t="str">
        <f t="shared" si="29"/>
        <v/>
      </c>
    </row>
    <row r="594" spans="3:3" x14ac:dyDescent="0.35">
      <c r="C594" t="str">
        <f t="shared" si="29"/>
        <v/>
      </c>
    </row>
    <row r="595" spans="3:3" x14ac:dyDescent="0.35">
      <c r="C595" t="str">
        <f t="shared" si="29"/>
        <v/>
      </c>
    </row>
    <row r="596" spans="3:3" x14ac:dyDescent="0.35">
      <c r="C596" t="str">
        <f t="shared" si="29"/>
        <v/>
      </c>
    </row>
    <row r="597" spans="3:3" x14ac:dyDescent="0.35">
      <c r="C597" t="str">
        <f t="shared" si="29"/>
        <v/>
      </c>
    </row>
    <row r="598" spans="3:3" x14ac:dyDescent="0.35">
      <c r="C598" t="str">
        <f t="shared" si="29"/>
        <v/>
      </c>
    </row>
    <row r="599" spans="3:3" x14ac:dyDescent="0.35">
      <c r="C599" t="str">
        <f t="shared" si="29"/>
        <v/>
      </c>
    </row>
    <row r="600" spans="3:3" x14ac:dyDescent="0.35">
      <c r="C600" t="str">
        <f t="shared" si="29"/>
        <v/>
      </c>
    </row>
    <row r="601" spans="3:3" x14ac:dyDescent="0.35">
      <c r="C601" t="str">
        <f t="shared" si="29"/>
        <v/>
      </c>
    </row>
    <row r="602" spans="3:3" x14ac:dyDescent="0.35">
      <c r="C602" t="str">
        <f t="shared" si="29"/>
        <v/>
      </c>
    </row>
    <row r="603" spans="3:3" x14ac:dyDescent="0.35">
      <c r="C603" t="str">
        <f t="shared" si="29"/>
        <v/>
      </c>
    </row>
    <row r="604" spans="3:3" x14ac:dyDescent="0.35">
      <c r="C604" t="str">
        <f t="shared" si="29"/>
        <v/>
      </c>
    </row>
    <row r="605" spans="3:3" x14ac:dyDescent="0.35">
      <c r="C605" t="str">
        <f t="shared" si="29"/>
        <v/>
      </c>
    </row>
    <row r="606" spans="3:3" x14ac:dyDescent="0.35">
      <c r="C606" t="str">
        <f t="shared" si="29"/>
        <v/>
      </c>
    </row>
    <row r="607" spans="3:3" x14ac:dyDescent="0.35">
      <c r="C607" t="str">
        <f t="shared" si="29"/>
        <v/>
      </c>
    </row>
    <row r="608" spans="3:3" x14ac:dyDescent="0.35">
      <c r="C608" t="str">
        <f t="shared" si="29"/>
        <v/>
      </c>
    </row>
    <row r="609" spans="3:3" x14ac:dyDescent="0.35">
      <c r="C609" t="str">
        <f t="shared" si="29"/>
        <v/>
      </c>
    </row>
    <row r="610" spans="3:3" x14ac:dyDescent="0.35">
      <c r="C610" t="str">
        <f t="shared" si="29"/>
        <v/>
      </c>
    </row>
    <row r="611" spans="3:3" x14ac:dyDescent="0.35">
      <c r="C611" t="str">
        <f t="shared" si="29"/>
        <v/>
      </c>
    </row>
    <row r="612" spans="3:3" x14ac:dyDescent="0.35">
      <c r="C612" t="str">
        <f t="shared" si="29"/>
        <v/>
      </c>
    </row>
    <row r="613" spans="3:3" x14ac:dyDescent="0.35">
      <c r="C613" t="str">
        <f t="shared" si="29"/>
        <v/>
      </c>
    </row>
    <row r="614" spans="3:3" x14ac:dyDescent="0.35">
      <c r="C614" t="str">
        <f t="shared" si="29"/>
        <v/>
      </c>
    </row>
    <row r="615" spans="3:3" x14ac:dyDescent="0.35">
      <c r="C615" t="str">
        <f t="shared" si="29"/>
        <v/>
      </c>
    </row>
    <row r="616" spans="3:3" x14ac:dyDescent="0.35">
      <c r="C616" t="str">
        <f t="shared" si="29"/>
        <v/>
      </c>
    </row>
    <row r="617" spans="3:3" x14ac:dyDescent="0.35">
      <c r="C617" t="str">
        <f t="shared" si="29"/>
        <v/>
      </c>
    </row>
    <row r="618" spans="3:3" x14ac:dyDescent="0.35">
      <c r="C618" t="str">
        <f t="shared" si="29"/>
        <v/>
      </c>
    </row>
    <row r="619" spans="3:3" x14ac:dyDescent="0.35">
      <c r="C619" t="str">
        <f t="shared" si="29"/>
        <v/>
      </c>
    </row>
    <row r="620" spans="3:3" x14ac:dyDescent="0.35">
      <c r="C620" t="str">
        <f t="shared" si="29"/>
        <v/>
      </c>
    </row>
    <row r="621" spans="3:3" x14ac:dyDescent="0.35">
      <c r="C621" t="str">
        <f t="shared" si="29"/>
        <v/>
      </c>
    </row>
    <row r="622" spans="3:3" x14ac:dyDescent="0.35">
      <c r="C622" t="str">
        <f t="shared" si="29"/>
        <v/>
      </c>
    </row>
    <row r="623" spans="3:3" x14ac:dyDescent="0.35">
      <c r="C623" t="str">
        <f t="shared" si="29"/>
        <v/>
      </c>
    </row>
    <row r="624" spans="3:3" x14ac:dyDescent="0.35">
      <c r="C624" t="str">
        <f t="shared" si="29"/>
        <v/>
      </c>
    </row>
    <row r="625" spans="3:3" x14ac:dyDescent="0.35">
      <c r="C625" t="str">
        <f t="shared" si="29"/>
        <v/>
      </c>
    </row>
    <row r="626" spans="3:3" x14ac:dyDescent="0.35">
      <c r="C626" t="str">
        <f t="shared" si="29"/>
        <v/>
      </c>
    </row>
    <row r="627" spans="3:3" x14ac:dyDescent="0.35">
      <c r="C627" t="str">
        <f t="shared" si="29"/>
        <v/>
      </c>
    </row>
    <row r="628" spans="3:3" x14ac:dyDescent="0.35">
      <c r="C628" t="str">
        <f t="shared" si="29"/>
        <v/>
      </c>
    </row>
    <row r="629" spans="3:3" x14ac:dyDescent="0.35">
      <c r="C629" t="str">
        <f t="shared" si="29"/>
        <v/>
      </c>
    </row>
    <row r="630" spans="3:3" x14ac:dyDescent="0.35">
      <c r="C630" t="str">
        <f t="shared" si="29"/>
        <v/>
      </c>
    </row>
    <row r="631" spans="3:3" x14ac:dyDescent="0.35">
      <c r="C631" t="str">
        <f t="shared" si="29"/>
        <v/>
      </c>
    </row>
    <row r="632" spans="3:3" x14ac:dyDescent="0.35">
      <c r="C632" t="str">
        <f t="shared" si="29"/>
        <v/>
      </c>
    </row>
    <row r="633" spans="3:3" x14ac:dyDescent="0.35">
      <c r="C633" t="str">
        <f t="shared" si="29"/>
        <v/>
      </c>
    </row>
    <row r="634" spans="3:3" x14ac:dyDescent="0.35">
      <c r="C634" t="str">
        <f t="shared" si="29"/>
        <v/>
      </c>
    </row>
    <row r="635" spans="3:3" x14ac:dyDescent="0.35">
      <c r="C635" t="str">
        <f t="shared" si="29"/>
        <v/>
      </c>
    </row>
    <row r="636" spans="3:3" x14ac:dyDescent="0.35">
      <c r="C636" t="str">
        <f t="shared" si="29"/>
        <v/>
      </c>
    </row>
    <row r="637" spans="3:3" x14ac:dyDescent="0.35">
      <c r="C637" t="str">
        <f t="shared" si="29"/>
        <v/>
      </c>
    </row>
    <row r="638" spans="3:3" x14ac:dyDescent="0.35">
      <c r="C638" t="str">
        <f t="shared" si="29"/>
        <v/>
      </c>
    </row>
    <row r="639" spans="3:3" x14ac:dyDescent="0.35">
      <c r="C639" t="str">
        <f t="shared" si="29"/>
        <v/>
      </c>
    </row>
    <row r="640" spans="3:3" x14ac:dyDescent="0.35">
      <c r="C640" t="str">
        <f t="shared" si="29"/>
        <v/>
      </c>
    </row>
    <row r="641" spans="3:3" x14ac:dyDescent="0.35">
      <c r="C641" t="str">
        <f t="shared" si="29"/>
        <v/>
      </c>
    </row>
    <row r="642" spans="3:3" x14ac:dyDescent="0.35">
      <c r="C642" t="str">
        <f t="shared" si="29"/>
        <v/>
      </c>
    </row>
    <row r="643" spans="3:3" x14ac:dyDescent="0.35">
      <c r="C643" t="str">
        <f t="shared" si="29"/>
        <v/>
      </c>
    </row>
    <row r="644" spans="3:3" x14ac:dyDescent="0.35">
      <c r="C644" t="str">
        <f t="shared" si="29"/>
        <v/>
      </c>
    </row>
    <row r="645" spans="3:3" x14ac:dyDescent="0.35">
      <c r="C645" t="str">
        <f t="shared" ref="C645:C708" si="30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0"/>
        <v/>
      </c>
    </row>
    <row r="647" spans="3:3" x14ac:dyDescent="0.35">
      <c r="C647" t="str">
        <f t="shared" si="30"/>
        <v/>
      </c>
    </row>
    <row r="648" spans="3:3" x14ac:dyDescent="0.35">
      <c r="C648" t="str">
        <f t="shared" si="30"/>
        <v/>
      </c>
    </row>
    <row r="649" spans="3:3" x14ac:dyDescent="0.35">
      <c r="C649" t="str">
        <f t="shared" si="30"/>
        <v/>
      </c>
    </row>
    <row r="650" spans="3:3" x14ac:dyDescent="0.35">
      <c r="C650" t="str">
        <f t="shared" si="30"/>
        <v/>
      </c>
    </row>
    <row r="651" spans="3:3" x14ac:dyDescent="0.35">
      <c r="C651" t="str">
        <f t="shared" si="30"/>
        <v/>
      </c>
    </row>
    <row r="652" spans="3:3" x14ac:dyDescent="0.35">
      <c r="C652" t="str">
        <f t="shared" si="30"/>
        <v/>
      </c>
    </row>
    <row r="653" spans="3:3" x14ac:dyDescent="0.35">
      <c r="C653" t="str">
        <f t="shared" si="30"/>
        <v/>
      </c>
    </row>
    <row r="654" spans="3:3" x14ac:dyDescent="0.35">
      <c r="C654" t="str">
        <f t="shared" si="30"/>
        <v/>
      </c>
    </row>
    <row r="655" spans="3:3" x14ac:dyDescent="0.35">
      <c r="C655" t="str">
        <f t="shared" si="30"/>
        <v/>
      </c>
    </row>
    <row r="656" spans="3:3" x14ac:dyDescent="0.35">
      <c r="C656" t="str">
        <f t="shared" si="30"/>
        <v/>
      </c>
    </row>
    <row r="657" spans="3:3" x14ac:dyDescent="0.35">
      <c r="C657" t="str">
        <f t="shared" si="30"/>
        <v/>
      </c>
    </row>
    <row r="658" spans="3:3" x14ac:dyDescent="0.35">
      <c r="C658" t="str">
        <f t="shared" si="30"/>
        <v/>
      </c>
    </row>
    <row r="659" spans="3:3" x14ac:dyDescent="0.35">
      <c r="C659" t="str">
        <f t="shared" si="30"/>
        <v/>
      </c>
    </row>
    <row r="660" spans="3:3" x14ac:dyDescent="0.35">
      <c r="C660" t="str">
        <f t="shared" si="30"/>
        <v/>
      </c>
    </row>
    <row r="661" spans="3:3" x14ac:dyDescent="0.35">
      <c r="C661" t="str">
        <f t="shared" si="30"/>
        <v/>
      </c>
    </row>
    <row r="662" spans="3:3" x14ac:dyDescent="0.35">
      <c r="C662" t="str">
        <f t="shared" si="30"/>
        <v/>
      </c>
    </row>
    <row r="663" spans="3:3" x14ac:dyDescent="0.35">
      <c r="C663" t="str">
        <f t="shared" si="30"/>
        <v/>
      </c>
    </row>
    <row r="664" spans="3:3" x14ac:dyDescent="0.35">
      <c r="C664" t="str">
        <f t="shared" si="30"/>
        <v/>
      </c>
    </row>
    <row r="665" spans="3:3" x14ac:dyDescent="0.35">
      <c r="C665" t="str">
        <f t="shared" si="30"/>
        <v/>
      </c>
    </row>
    <row r="666" spans="3:3" x14ac:dyDescent="0.35">
      <c r="C666" t="str">
        <f t="shared" si="30"/>
        <v/>
      </c>
    </row>
    <row r="667" spans="3:3" x14ac:dyDescent="0.35">
      <c r="C667" t="str">
        <f t="shared" si="30"/>
        <v/>
      </c>
    </row>
    <row r="668" spans="3:3" x14ac:dyDescent="0.35">
      <c r="C668" t="str">
        <f t="shared" si="30"/>
        <v/>
      </c>
    </row>
    <row r="669" spans="3:3" x14ac:dyDescent="0.35">
      <c r="C669" t="str">
        <f t="shared" si="30"/>
        <v/>
      </c>
    </row>
    <row r="670" spans="3:3" x14ac:dyDescent="0.35">
      <c r="C670" t="str">
        <f t="shared" si="30"/>
        <v/>
      </c>
    </row>
    <row r="671" spans="3:3" x14ac:dyDescent="0.35">
      <c r="C671" t="str">
        <f t="shared" si="30"/>
        <v/>
      </c>
    </row>
    <row r="672" spans="3:3" x14ac:dyDescent="0.35">
      <c r="C672" t="str">
        <f t="shared" si="30"/>
        <v/>
      </c>
    </row>
    <row r="673" spans="3:3" x14ac:dyDescent="0.35">
      <c r="C673" t="str">
        <f t="shared" si="30"/>
        <v/>
      </c>
    </row>
    <row r="674" spans="3:3" x14ac:dyDescent="0.35">
      <c r="C674" t="str">
        <f t="shared" si="30"/>
        <v/>
      </c>
    </row>
    <row r="675" spans="3:3" x14ac:dyDescent="0.35">
      <c r="C675" t="str">
        <f t="shared" si="30"/>
        <v/>
      </c>
    </row>
    <row r="676" spans="3:3" x14ac:dyDescent="0.35">
      <c r="C676" t="str">
        <f t="shared" si="30"/>
        <v/>
      </c>
    </row>
    <row r="677" spans="3:3" x14ac:dyDescent="0.35">
      <c r="C677" t="str">
        <f t="shared" si="30"/>
        <v/>
      </c>
    </row>
    <row r="678" spans="3:3" x14ac:dyDescent="0.35">
      <c r="C678" t="str">
        <f t="shared" si="30"/>
        <v/>
      </c>
    </row>
    <row r="679" spans="3:3" x14ac:dyDescent="0.35">
      <c r="C679" t="str">
        <f t="shared" si="30"/>
        <v/>
      </c>
    </row>
    <row r="680" spans="3:3" x14ac:dyDescent="0.35">
      <c r="C680" t="str">
        <f t="shared" si="30"/>
        <v/>
      </c>
    </row>
    <row r="681" spans="3:3" x14ac:dyDescent="0.35">
      <c r="C681" t="str">
        <f t="shared" si="30"/>
        <v/>
      </c>
    </row>
    <row r="682" spans="3:3" x14ac:dyDescent="0.35">
      <c r="C682" t="str">
        <f t="shared" si="30"/>
        <v/>
      </c>
    </row>
    <row r="683" spans="3:3" x14ac:dyDescent="0.35">
      <c r="C683" t="str">
        <f t="shared" si="30"/>
        <v/>
      </c>
    </row>
    <row r="684" spans="3:3" x14ac:dyDescent="0.35">
      <c r="C684" t="str">
        <f t="shared" si="30"/>
        <v/>
      </c>
    </row>
    <row r="685" spans="3:3" x14ac:dyDescent="0.35">
      <c r="C685" t="str">
        <f t="shared" si="30"/>
        <v/>
      </c>
    </row>
    <row r="686" spans="3:3" x14ac:dyDescent="0.35">
      <c r="C686" t="str">
        <f t="shared" si="30"/>
        <v/>
      </c>
    </row>
    <row r="687" spans="3:3" x14ac:dyDescent="0.35">
      <c r="C687" t="str">
        <f t="shared" si="30"/>
        <v/>
      </c>
    </row>
    <row r="688" spans="3:3" x14ac:dyDescent="0.35">
      <c r="C688" t="str">
        <f t="shared" si="30"/>
        <v/>
      </c>
    </row>
    <row r="689" spans="3:3" x14ac:dyDescent="0.35">
      <c r="C689" t="str">
        <f t="shared" si="30"/>
        <v/>
      </c>
    </row>
    <row r="690" spans="3:3" x14ac:dyDescent="0.35">
      <c r="C690" t="str">
        <f t="shared" si="30"/>
        <v/>
      </c>
    </row>
    <row r="691" spans="3:3" x14ac:dyDescent="0.35">
      <c r="C691" t="str">
        <f t="shared" si="30"/>
        <v/>
      </c>
    </row>
    <row r="692" spans="3:3" x14ac:dyDescent="0.35">
      <c r="C692" t="str">
        <f t="shared" si="30"/>
        <v/>
      </c>
    </row>
    <row r="693" spans="3:3" x14ac:dyDescent="0.35">
      <c r="C693" t="str">
        <f t="shared" si="30"/>
        <v/>
      </c>
    </row>
    <row r="694" spans="3:3" x14ac:dyDescent="0.35">
      <c r="C694" t="str">
        <f t="shared" si="30"/>
        <v/>
      </c>
    </row>
    <row r="695" spans="3:3" x14ac:dyDescent="0.35">
      <c r="C695" t="str">
        <f t="shared" si="30"/>
        <v/>
      </c>
    </row>
    <row r="696" spans="3:3" x14ac:dyDescent="0.35">
      <c r="C696" t="str">
        <f t="shared" si="30"/>
        <v/>
      </c>
    </row>
    <row r="697" spans="3:3" x14ac:dyDescent="0.35">
      <c r="C697" t="str">
        <f t="shared" si="30"/>
        <v/>
      </c>
    </row>
    <row r="698" spans="3:3" x14ac:dyDescent="0.35">
      <c r="C698" t="str">
        <f t="shared" si="30"/>
        <v/>
      </c>
    </row>
    <row r="699" spans="3:3" x14ac:dyDescent="0.35">
      <c r="C699" t="str">
        <f t="shared" si="30"/>
        <v/>
      </c>
    </row>
    <row r="700" spans="3:3" x14ac:dyDescent="0.35">
      <c r="C700" t="str">
        <f t="shared" si="30"/>
        <v/>
      </c>
    </row>
    <row r="701" spans="3:3" x14ac:dyDescent="0.35">
      <c r="C701" t="str">
        <f t="shared" si="30"/>
        <v/>
      </c>
    </row>
    <row r="702" spans="3:3" x14ac:dyDescent="0.35">
      <c r="C702" t="str">
        <f t="shared" si="30"/>
        <v/>
      </c>
    </row>
    <row r="703" spans="3:3" x14ac:dyDescent="0.35">
      <c r="C703" t="str">
        <f t="shared" si="30"/>
        <v/>
      </c>
    </row>
    <row r="704" spans="3:3" x14ac:dyDescent="0.35">
      <c r="C704" t="str">
        <f t="shared" si="30"/>
        <v/>
      </c>
    </row>
    <row r="705" spans="3:3" x14ac:dyDescent="0.35">
      <c r="C705" t="str">
        <f t="shared" si="30"/>
        <v/>
      </c>
    </row>
    <row r="706" spans="3:3" x14ac:dyDescent="0.35">
      <c r="C706" t="str">
        <f t="shared" si="30"/>
        <v/>
      </c>
    </row>
    <row r="707" spans="3:3" x14ac:dyDescent="0.35">
      <c r="C707" t="str">
        <f t="shared" si="30"/>
        <v/>
      </c>
    </row>
    <row r="708" spans="3:3" x14ac:dyDescent="0.35">
      <c r="C708" t="str">
        <f t="shared" si="30"/>
        <v/>
      </c>
    </row>
    <row r="709" spans="3:3" x14ac:dyDescent="0.35">
      <c r="C709" t="str">
        <f t="shared" ref="C709:C772" si="31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1"/>
        <v/>
      </c>
    </row>
    <row r="711" spans="3:3" x14ac:dyDescent="0.35">
      <c r="C711" t="str">
        <f t="shared" si="31"/>
        <v/>
      </c>
    </row>
    <row r="712" spans="3:3" x14ac:dyDescent="0.35">
      <c r="C712" t="str">
        <f t="shared" si="31"/>
        <v/>
      </c>
    </row>
    <row r="713" spans="3:3" x14ac:dyDescent="0.35">
      <c r="C713" t="str">
        <f t="shared" si="31"/>
        <v/>
      </c>
    </row>
    <row r="714" spans="3:3" x14ac:dyDescent="0.35">
      <c r="C714" t="str">
        <f t="shared" si="31"/>
        <v/>
      </c>
    </row>
    <row r="715" spans="3:3" x14ac:dyDescent="0.35">
      <c r="C715" t="str">
        <f t="shared" si="31"/>
        <v/>
      </c>
    </row>
    <row r="716" spans="3:3" x14ac:dyDescent="0.35">
      <c r="C716" t="str">
        <f t="shared" si="31"/>
        <v/>
      </c>
    </row>
    <row r="717" spans="3:3" x14ac:dyDescent="0.35">
      <c r="C717" t="str">
        <f t="shared" si="31"/>
        <v/>
      </c>
    </row>
    <row r="718" spans="3:3" x14ac:dyDescent="0.35">
      <c r="C718" t="str">
        <f t="shared" si="31"/>
        <v/>
      </c>
    </row>
    <row r="719" spans="3:3" x14ac:dyDescent="0.35">
      <c r="C719" t="str">
        <f t="shared" si="31"/>
        <v/>
      </c>
    </row>
    <row r="720" spans="3:3" x14ac:dyDescent="0.35">
      <c r="C720" t="str">
        <f t="shared" si="31"/>
        <v/>
      </c>
    </row>
    <row r="721" spans="3:3" x14ac:dyDescent="0.35">
      <c r="C721" t="str">
        <f t="shared" si="31"/>
        <v/>
      </c>
    </row>
    <row r="722" spans="3:3" x14ac:dyDescent="0.35">
      <c r="C722" t="str">
        <f t="shared" si="31"/>
        <v/>
      </c>
    </row>
    <row r="723" spans="3:3" x14ac:dyDescent="0.35">
      <c r="C723" t="str">
        <f t="shared" si="31"/>
        <v/>
      </c>
    </row>
    <row r="724" spans="3:3" x14ac:dyDescent="0.35">
      <c r="C724" t="str">
        <f t="shared" si="31"/>
        <v/>
      </c>
    </row>
    <row r="725" spans="3:3" x14ac:dyDescent="0.35">
      <c r="C725" t="str">
        <f t="shared" si="31"/>
        <v/>
      </c>
    </row>
    <row r="726" spans="3:3" x14ac:dyDescent="0.35">
      <c r="C726" t="str">
        <f t="shared" si="31"/>
        <v/>
      </c>
    </row>
    <row r="727" spans="3:3" x14ac:dyDescent="0.35">
      <c r="C727" t="str">
        <f t="shared" si="31"/>
        <v/>
      </c>
    </row>
    <row r="728" spans="3:3" x14ac:dyDescent="0.35">
      <c r="C728" t="str">
        <f t="shared" si="31"/>
        <v/>
      </c>
    </row>
    <row r="729" spans="3:3" x14ac:dyDescent="0.35">
      <c r="C729" t="str">
        <f t="shared" si="31"/>
        <v/>
      </c>
    </row>
    <row r="730" spans="3:3" x14ac:dyDescent="0.35">
      <c r="C730" t="str">
        <f t="shared" si="31"/>
        <v/>
      </c>
    </row>
    <row r="731" spans="3:3" x14ac:dyDescent="0.35">
      <c r="C731" t="str">
        <f t="shared" si="31"/>
        <v/>
      </c>
    </row>
    <row r="732" spans="3:3" x14ac:dyDescent="0.35">
      <c r="C732" t="str">
        <f t="shared" si="31"/>
        <v/>
      </c>
    </row>
    <row r="733" spans="3:3" x14ac:dyDescent="0.35">
      <c r="C733" t="str">
        <f t="shared" si="31"/>
        <v/>
      </c>
    </row>
    <row r="734" spans="3:3" x14ac:dyDescent="0.35">
      <c r="C734" t="str">
        <f t="shared" si="31"/>
        <v/>
      </c>
    </row>
    <row r="735" spans="3:3" x14ac:dyDescent="0.35">
      <c r="C735" t="str">
        <f t="shared" si="31"/>
        <v/>
      </c>
    </row>
    <row r="736" spans="3:3" x14ac:dyDescent="0.35">
      <c r="C736" t="str">
        <f t="shared" si="31"/>
        <v/>
      </c>
    </row>
    <row r="737" spans="3:3" x14ac:dyDescent="0.35">
      <c r="C737" t="str">
        <f t="shared" si="31"/>
        <v/>
      </c>
    </row>
    <row r="738" spans="3:3" x14ac:dyDescent="0.35">
      <c r="C738" t="str">
        <f t="shared" si="31"/>
        <v/>
      </c>
    </row>
    <row r="739" spans="3:3" x14ac:dyDescent="0.35">
      <c r="C739" t="str">
        <f t="shared" si="31"/>
        <v/>
      </c>
    </row>
    <row r="740" spans="3:3" x14ac:dyDescent="0.35">
      <c r="C740" t="str">
        <f t="shared" si="31"/>
        <v/>
      </c>
    </row>
    <row r="741" spans="3:3" x14ac:dyDescent="0.35">
      <c r="C741" t="str">
        <f t="shared" si="31"/>
        <v/>
      </c>
    </row>
    <row r="742" spans="3:3" x14ac:dyDescent="0.35">
      <c r="C742" t="str">
        <f t="shared" si="31"/>
        <v/>
      </c>
    </row>
    <row r="743" spans="3:3" x14ac:dyDescent="0.35">
      <c r="C743" t="str">
        <f t="shared" si="31"/>
        <v/>
      </c>
    </row>
    <row r="744" spans="3:3" x14ac:dyDescent="0.35">
      <c r="C744" t="str">
        <f t="shared" si="31"/>
        <v/>
      </c>
    </row>
    <row r="745" spans="3:3" x14ac:dyDescent="0.35">
      <c r="C745" t="str">
        <f t="shared" si="31"/>
        <v/>
      </c>
    </row>
    <row r="746" spans="3:3" x14ac:dyDescent="0.35">
      <c r="C746" t="str">
        <f t="shared" si="31"/>
        <v/>
      </c>
    </row>
    <row r="747" spans="3:3" x14ac:dyDescent="0.35">
      <c r="C747" t="str">
        <f t="shared" si="31"/>
        <v/>
      </c>
    </row>
    <row r="748" spans="3:3" x14ac:dyDescent="0.35">
      <c r="C748" t="str">
        <f t="shared" si="31"/>
        <v/>
      </c>
    </row>
    <row r="749" spans="3:3" x14ac:dyDescent="0.35">
      <c r="C749" t="str">
        <f t="shared" si="31"/>
        <v/>
      </c>
    </row>
    <row r="750" spans="3:3" x14ac:dyDescent="0.35">
      <c r="C750" t="str">
        <f t="shared" si="31"/>
        <v/>
      </c>
    </row>
    <row r="751" spans="3:3" x14ac:dyDescent="0.35">
      <c r="C751" t="str">
        <f t="shared" si="31"/>
        <v/>
      </c>
    </row>
    <row r="752" spans="3:3" x14ac:dyDescent="0.35">
      <c r="C752" t="str">
        <f t="shared" si="31"/>
        <v/>
      </c>
    </row>
    <row r="753" spans="3:3" x14ac:dyDescent="0.35">
      <c r="C753" t="str">
        <f t="shared" si="31"/>
        <v/>
      </c>
    </row>
    <row r="754" spans="3:3" x14ac:dyDescent="0.35">
      <c r="C754" t="str">
        <f t="shared" si="31"/>
        <v/>
      </c>
    </row>
    <row r="755" spans="3:3" x14ac:dyDescent="0.35">
      <c r="C755" t="str">
        <f t="shared" si="31"/>
        <v/>
      </c>
    </row>
    <row r="756" spans="3:3" x14ac:dyDescent="0.35">
      <c r="C756" t="str">
        <f t="shared" si="31"/>
        <v/>
      </c>
    </row>
    <row r="757" spans="3:3" x14ac:dyDescent="0.35">
      <c r="C757" t="str">
        <f t="shared" si="31"/>
        <v/>
      </c>
    </row>
    <row r="758" spans="3:3" x14ac:dyDescent="0.35">
      <c r="C758" t="str">
        <f t="shared" si="31"/>
        <v/>
      </c>
    </row>
    <row r="759" spans="3:3" x14ac:dyDescent="0.35">
      <c r="C759" t="str">
        <f t="shared" si="31"/>
        <v/>
      </c>
    </row>
    <row r="760" spans="3:3" x14ac:dyDescent="0.35">
      <c r="C760" t="str">
        <f t="shared" si="31"/>
        <v/>
      </c>
    </row>
    <row r="761" spans="3:3" x14ac:dyDescent="0.35">
      <c r="C761" t="str">
        <f t="shared" si="31"/>
        <v/>
      </c>
    </row>
    <row r="762" spans="3:3" x14ac:dyDescent="0.35">
      <c r="C762" t="str">
        <f t="shared" si="31"/>
        <v/>
      </c>
    </row>
    <row r="763" spans="3:3" x14ac:dyDescent="0.35">
      <c r="C763" t="str">
        <f t="shared" si="31"/>
        <v/>
      </c>
    </row>
    <row r="764" spans="3:3" x14ac:dyDescent="0.35">
      <c r="C764" t="str">
        <f t="shared" si="31"/>
        <v/>
      </c>
    </row>
    <row r="765" spans="3:3" x14ac:dyDescent="0.35">
      <c r="C765" t="str">
        <f t="shared" si="31"/>
        <v/>
      </c>
    </row>
    <row r="766" spans="3:3" x14ac:dyDescent="0.35">
      <c r="C766" t="str">
        <f t="shared" si="31"/>
        <v/>
      </c>
    </row>
    <row r="767" spans="3:3" x14ac:dyDescent="0.35">
      <c r="C767" t="str">
        <f t="shared" si="31"/>
        <v/>
      </c>
    </row>
    <row r="768" spans="3:3" x14ac:dyDescent="0.35">
      <c r="C768" t="str">
        <f t="shared" si="31"/>
        <v/>
      </c>
    </row>
    <row r="769" spans="3:3" x14ac:dyDescent="0.35">
      <c r="C769" t="str">
        <f t="shared" si="31"/>
        <v/>
      </c>
    </row>
    <row r="770" spans="3:3" x14ac:dyDescent="0.35">
      <c r="C770" t="str">
        <f t="shared" si="31"/>
        <v/>
      </c>
    </row>
    <row r="771" spans="3:3" x14ac:dyDescent="0.35">
      <c r="C771" t="str">
        <f t="shared" si="31"/>
        <v/>
      </c>
    </row>
    <row r="772" spans="3:3" x14ac:dyDescent="0.35">
      <c r="C772" t="str">
        <f t="shared" si="31"/>
        <v/>
      </c>
    </row>
    <row r="773" spans="3:3" x14ac:dyDescent="0.35">
      <c r="C773" t="str">
        <f t="shared" ref="C773:C836" si="32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2"/>
        <v/>
      </c>
    </row>
    <row r="775" spans="3:3" x14ac:dyDescent="0.35">
      <c r="C775" t="str">
        <f t="shared" si="32"/>
        <v/>
      </c>
    </row>
    <row r="776" spans="3:3" x14ac:dyDescent="0.35">
      <c r="C776" t="str">
        <f t="shared" si="32"/>
        <v/>
      </c>
    </row>
    <row r="777" spans="3:3" x14ac:dyDescent="0.35">
      <c r="C777" t="str">
        <f t="shared" si="32"/>
        <v/>
      </c>
    </row>
    <row r="778" spans="3:3" x14ac:dyDescent="0.35">
      <c r="C778" t="str">
        <f t="shared" si="32"/>
        <v/>
      </c>
    </row>
    <row r="779" spans="3:3" x14ac:dyDescent="0.35">
      <c r="C779" t="str">
        <f t="shared" si="32"/>
        <v/>
      </c>
    </row>
    <row r="780" spans="3:3" x14ac:dyDescent="0.35">
      <c r="C780" t="str">
        <f t="shared" si="32"/>
        <v/>
      </c>
    </row>
    <row r="781" spans="3:3" x14ac:dyDescent="0.35">
      <c r="C781" t="str">
        <f t="shared" si="32"/>
        <v/>
      </c>
    </row>
    <row r="782" spans="3:3" x14ac:dyDescent="0.35">
      <c r="C782" t="str">
        <f t="shared" si="32"/>
        <v/>
      </c>
    </row>
    <row r="783" spans="3:3" x14ac:dyDescent="0.35">
      <c r="C783" t="str">
        <f t="shared" si="32"/>
        <v/>
      </c>
    </row>
    <row r="784" spans="3:3" x14ac:dyDescent="0.35">
      <c r="C784" t="str">
        <f t="shared" si="32"/>
        <v/>
      </c>
    </row>
    <row r="785" spans="3:3" x14ac:dyDescent="0.35">
      <c r="C785" t="str">
        <f t="shared" si="32"/>
        <v/>
      </c>
    </row>
    <row r="786" spans="3:3" x14ac:dyDescent="0.35">
      <c r="C786" t="str">
        <f t="shared" si="32"/>
        <v/>
      </c>
    </row>
    <row r="787" spans="3:3" x14ac:dyDescent="0.35">
      <c r="C787" t="str">
        <f t="shared" si="32"/>
        <v/>
      </c>
    </row>
    <row r="788" spans="3:3" x14ac:dyDescent="0.35">
      <c r="C788" t="str">
        <f t="shared" si="32"/>
        <v/>
      </c>
    </row>
    <row r="789" spans="3:3" x14ac:dyDescent="0.35">
      <c r="C789" t="str">
        <f t="shared" si="32"/>
        <v/>
      </c>
    </row>
    <row r="790" spans="3:3" x14ac:dyDescent="0.35">
      <c r="C790" t="str">
        <f t="shared" si="32"/>
        <v/>
      </c>
    </row>
    <row r="791" spans="3:3" x14ac:dyDescent="0.35">
      <c r="C791" t="str">
        <f t="shared" si="32"/>
        <v/>
      </c>
    </row>
    <row r="792" spans="3:3" x14ac:dyDescent="0.35">
      <c r="C792" t="str">
        <f t="shared" si="32"/>
        <v/>
      </c>
    </row>
    <row r="793" spans="3:3" x14ac:dyDescent="0.35">
      <c r="C793" t="str">
        <f t="shared" si="32"/>
        <v/>
      </c>
    </row>
    <row r="794" spans="3:3" x14ac:dyDescent="0.35">
      <c r="C794" t="str">
        <f t="shared" si="32"/>
        <v/>
      </c>
    </row>
    <row r="795" spans="3:3" x14ac:dyDescent="0.35">
      <c r="C795" t="str">
        <f t="shared" si="32"/>
        <v/>
      </c>
    </row>
    <row r="796" spans="3:3" x14ac:dyDescent="0.35">
      <c r="C796" t="str">
        <f t="shared" si="32"/>
        <v/>
      </c>
    </row>
    <row r="797" spans="3:3" x14ac:dyDescent="0.35">
      <c r="C797" t="str">
        <f t="shared" si="32"/>
        <v/>
      </c>
    </row>
    <row r="798" spans="3:3" x14ac:dyDescent="0.35">
      <c r="C798" t="str">
        <f t="shared" si="32"/>
        <v/>
      </c>
    </row>
    <row r="799" spans="3:3" x14ac:dyDescent="0.35">
      <c r="C799" t="str">
        <f t="shared" si="32"/>
        <v/>
      </c>
    </row>
    <row r="800" spans="3:3" x14ac:dyDescent="0.35">
      <c r="C800" t="str">
        <f t="shared" si="32"/>
        <v/>
      </c>
    </row>
    <row r="801" spans="3:3" x14ac:dyDescent="0.35">
      <c r="C801" t="str">
        <f t="shared" si="32"/>
        <v/>
      </c>
    </row>
    <row r="802" spans="3:3" x14ac:dyDescent="0.35">
      <c r="C802" t="str">
        <f t="shared" si="32"/>
        <v/>
      </c>
    </row>
    <row r="803" spans="3:3" x14ac:dyDescent="0.35">
      <c r="C803" t="str">
        <f t="shared" si="32"/>
        <v/>
      </c>
    </row>
    <row r="804" spans="3:3" x14ac:dyDescent="0.35">
      <c r="C804" t="str">
        <f t="shared" si="32"/>
        <v/>
      </c>
    </row>
    <row r="805" spans="3:3" x14ac:dyDescent="0.35">
      <c r="C805" t="str">
        <f t="shared" si="32"/>
        <v/>
      </c>
    </row>
    <row r="806" spans="3:3" x14ac:dyDescent="0.35">
      <c r="C806" t="str">
        <f t="shared" si="32"/>
        <v/>
      </c>
    </row>
    <row r="807" spans="3:3" x14ac:dyDescent="0.35">
      <c r="C807" t="str">
        <f t="shared" si="32"/>
        <v/>
      </c>
    </row>
    <row r="808" spans="3:3" x14ac:dyDescent="0.35">
      <c r="C808" t="str">
        <f t="shared" si="32"/>
        <v/>
      </c>
    </row>
    <row r="809" spans="3:3" x14ac:dyDescent="0.35">
      <c r="C809" t="str">
        <f t="shared" si="32"/>
        <v/>
      </c>
    </row>
    <row r="810" spans="3:3" x14ac:dyDescent="0.35">
      <c r="C810" t="str">
        <f t="shared" si="32"/>
        <v/>
      </c>
    </row>
    <row r="811" spans="3:3" x14ac:dyDescent="0.35">
      <c r="C811" t="str">
        <f t="shared" si="32"/>
        <v/>
      </c>
    </row>
    <row r="812" spans="3:3" x14ac:dyDescent="0.35">
      <c r="C812" t="str">
        <f t="shared" si="32"/>
        <v/>
      </c>
    </row>
    <row r="813" spans="3:3" x14ac:dyDescent="0.35">
      <c r="C813" t="str">
        <f t="shared" si="32"/>
        <v/>
      </c>
    </row>
    <row r="814" spans="3:3" x14ac:dyDescent="0.35">
      <c r="C814" t="str">
        <f t="shared" si="32"/>
        <v/>
      </c>
    </row>
    <row r="815" spans="3:3" x14ac:dyDescent="0.35">
      <c r="C815" t="str">
        <f t="shared" si="32"/>
        <v/>
      </c>
    </row>
    <row r="816" spans="3:3" x14ac:dyDescent="0.35">
      <c r="C816" t="str">
        <f t="shared" si="32"/>
        <v/>
      </c>
    </row>
    <row r="817" spans="3:3" x14ac:dyDescent="0.35">
      <c r="C817" t="str">
        <f t="shared" si="32"/>
        <v/>
      </c>
    </row>
    <row r="818" spans="3:3" x14ac:dyDescent="0.35">
      <c r="C818" t="str">
        <f t="shared" si="32"/>
        <v/>
      </c>
    </row>
    <row r="819" spans="3:3" x14ac:dyDescent="0.35">
      <c r="C819" t="str">
        <f t="shared" si="32"/>
        <v/>
      </c>
    </row>
    <row r="820" spans="3:3" x14ac:dyDescent="0.35">
      <c r="C820" t="str">
        <f t="shared" si="32"/>
        <v/>
      </c>
    </row>
    <row r="821" spans="3:3" x14ac:dyDescent="0.35">
      <c r="C821" t="str">
        <f t="shared" si="32"/>
        <v/>
      </c>
    </row>
    <row r="822" spans="3:3" x14ac:dyDescent="0.35">
      <c r="C822" t="str">
        <f t="shared" si="32"/>
        <v/>
      </c>
    </row>
    <row r="823" spans="3:3" x14ac:dyDescent="0.35">
      <c r="C823" t="str">
        <f t="shared" si="32"/>
        <v/>
      </c>
    </row>
    <row r="824" spans="3:3" x14ac:dyDescent="0.35">
      <c r="C824" t="str">
        <f t="shared" si="32"/>
        <v/>
      </c>
    </row>
    <row r="825" spans="3:3" x14ac:dyDescent="0.35">
      <c r="C825" t="str">
        <f t="shared" si="32"/>
        <v/>
      </c>
    </row>
    <row r="826" spans="3:3" x14ac:dyDescent="0.35">
      <c r="C826" t="str">
        <f t="shared" si="32"/>
        <v/>
      </c>
    </row>
    <row r="827" spans="3:3" x14ac:dyDescent="0.35">
      <c r="C827" t="str">
        <f t="shared" si="32"/>
        <v/>
      </c>
    </row>
    <row r="828" spans="3:3" x14ac:dyDescent="0.35">
      <c r="C828" t="str">
        <f t="shared" si="32"/>
        <v/>
      </c>
    </row>
    <row r="829" spans="3:3" x14ac:dyDescent="0.35">
      <c r="C829" t="str">
        <f t="shared" si="32"/>
        <v/>
      </c>
    </row>
    <row r="830" spans="3:3" x14ac:dyDescent="0.35">
      <c r="C830" t="str">
        <f t="shared" si="32"/>
        <v/>
      </c>
    </row>
    <row r="831" spans="3:3" x14ac:dyDescent="0.35">
      <c r="C831" t="str">
        <f t="shared" si="32"/>
        <v/>
      </c>
    </row>
    <row r="832" spans="3:3" x14ac:dyDescent="0.35">
      <c r="C832" t="str">
        <f t="shared" si="32"/>
        <v/>
      </c>
    </row>
    <row r="833" spans="3:3" x14ac:dyDescent="0.35">
      <c r="C833" t="str">
        <f t="shared" si="32"/>
        <v/>
      </c>
    </row>
    <row r="834" spans="3:3" x14ac:dyDescent="0.35">
      <c r="C834" t="str">
        <f t="shared" si="32"/>
        <v/>
      </c>
    </row>
    <row r="835" spans="3:3" x14ac:dyDescent="0.35">
      <c r="C835" t="str">
        <f t="shared" si="32"/>
        <v/>
      </c>
    </row>
    <row r="836" spans="3:3" x14ac:dyDescent="0.35">
      <c r="C836" t="str">
        <f t="shared" si="32"/>
        <v/>
      </c>
    </row>
    <row r="837" spans="3:3" x14ac:dyDescent="0.35">
      <c r="C837" t="str">
        <f t="shared" ref="C837:C900" si="33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3"/>
        <v/>
      </c>
    </row>
    <row r="839" spans="3:3" x14ac:dyDescent="0.35">
      <c r="C839" t="str">
        <f t="shared" si="33"/>
        <v/>
      </c>
    </row>
    <row r="840" spans="3:3" x14ac:dyDescent="0.35">
      <c r="C840" t="str">
        <f t="shared" si="33"/>
        <v/>
      </c>
    </row>
    <row r="841" spans="3:3" x14ac:dyDescent="0.35">
      <c r="C841" t="str">
        <f t="shared" si="33"/>
        <v/>
      </c>
    </row>
    <row r="842" spans="3:3" x14ac:dyDescent="0.35">
      <c r="C842" t="str">
        <f t="shared" si="33"/>
        <v/>
      </c>
    </row>
    <row r="843" spans="3:3" x14ac:dyDescent="0.35">
      <c r="C843" t="str">
        <f t="shared" si="33"/>
        <v/>
      </c>
    </row>
    <row r="844" spans="3:3" x14ac:dyDescent="0.35">
      <c r="C844" t="str">
        <f t="shared" si="33"/>
        <v/>
      </c>
    </row>
    <row r="845" spans="3:3" x14ac:dyDescent="0.35">
      <c r="C845" t="str">
        <f t="shared" si="33"/>
        <v/>
      </c>
    </row>
    <row r="846" spans="3:3" x14ac:dyDescent="0.35">
      <c r="C846" t="str">
        <f t="shared" si="33"/>
        <v/>
      </c>
    </row>
    <row r="847" spans="3:3" x14ac:dyDescent="0.35">
      <c r="C847" t="str">
        <f t="shared" si="33"/>
        <v/>
      </c>
    </row>
    <row r="848" spans="3:3" x14ac:dyDescent="0.35">
      <c r="C848" t="str">
        <f t="shared" si="33"/>
        <v/>
      </c>
    </row>
    <row r="849" spans="3:3" x14ac:dyDescent="0.35">
      <c r="C849" t="str">
        <f t="shared" si="33"/>
        <v/>
      </c>
    </row>
    <row r="850" spans="3:3" x14ac:dyDescent="0.35">
      <c r="C850" t="str">
        <f t="shared" si="33"/>
        <v/>
      </c>
    </row>
    <row r="851" spans="3:3" x14ac:dyDescent="0.35">
      <c r="C851" t="str">
        <f t="shared" si="33"/>
        <v/>
      </c>
    </row>
    <row r="852" spans="3:3" x14ac:dyDescent="0.35">
      <c r="C852" t="str">
        <f t="shared" si="33"/>
        <v/>
      </c>
    </row>
    <row r="853" spans="3:3" x14ac:dyDescent="0.35">
      <c r="C853" t="str">
        <f t="shared" si="33"/>
        <v/>
      </c>
    </row>
    <row r="854" spans="3:3" x14ac:dyDescent="0.35">
      <c r="C854" t="str">
        <f t="shared" si="33"/>
        <v/>
      </c>
    </row>
    <row r="855" spans="3:3" x14ac:dyDescent="0.35">
      <c r="C855" t="str">
        <f t="shared" si="33"/>
        <v/>
      </c>
    </row>
    <row r="856" spans="3:3" x14ac:dyDescent="0.35">
      <c r="C856" t="str">
        <f t="shared" si="33"/>
        <v/>
      </c>
    </row>
    <row r="857" spans="3:3" x14ac:dyDescent="0.35">
      <c r="C857" t="str">
        <f t="shared" si="33"/>
        <v/>
      </c>
    </row>
    <row r="858" spans="3:3" x14ac:dyDescent="0.35">
      <c r="C858" t="str">
        <f t="shared" si="33"/>
        <v/>
      </c>
    </row>
    <row r="859" spans="3:3" x14ac:dyDescent="0.35">
      <c r="C859" t="str">
        <f t="shared" si="33"/>
        <v/>
      </c>
    </row>
    <row r="860" spans="3:3" x14ac:dyDescent="0.35">
      <c r="C860" t="str">
        <f t="shared" si="33"/>
        <v/>
      </c>
    </row>
    <row r="861" spans="3:3" x14ac:dyDescent="0.35">
      <c r="C861" t="str">
        <f t="shared" si="33"/>
        <v/>
      </c>
    </row>
    <row r="862" spans="3:3" x14ac:dyDescent="0.35">
      <c r="C862" t="str">
        <f t="shared" si="33"/>
        <v/>
      </c>
    </row>
    <row r="863" spans="3:3" x14ac:dyDescent="0.35">
      <c r="C863" t="str">
        <f t="shared" si="33"/>
        <v/>
      </c>
    </row>
    <row r="864" spans="3:3" x14ac:dyDescent="0.35">
      <c r="C864" t="str">
        <f t="shared" si="33"/>
        <v/>
      </c>
    </row>
    <row r="865" spans="3:3" x14ac:dyDescent="0.35">
      <c r="C865" t="str">
        <f t="shared" si="33"/>
        <v/>
      </c>
    </row>
    <row r="866" spans="3:3" x14ac:dyDescent="0.35">
      <c r="C866" t="str">
        <f t="shared" si="33"/>
        <v/>
      </c>
    </row>
    <row r="867" spans="3:3" x14ac:dyDescent="0.35">
      <c r="C867" t="str">
        <f t="shared" si="33"/>
        <v/>
      </c>
    </row>
    <row r="868" spans="3:3" x14ac:dyDescent="0.35">
      <c r="C868" t="str">
        <f t="shared" si="33"/>
        <v/>
      </c>
    </row>
    <row r="869" spans="3:3" x14ac:dyDescent="0.35">
      <c r="C869" t="str">
        <f t="shared" si="33"/>
        <v/>
      </c>
    </row>
    <row r="870" spans="3:3" x14ac:dyDescent="0.35">
      <c r="C870" t="str">
        <f t="shared" si="33"/>
        <v/>
      </c>
    </row>
    <row r="871" spans="3:3" x14ac:dyDescent="0.35">
      <c r="C871" t="str">
        <f t="shared" si="33"/>
        <v/>
      </c>
    </row>
    <row r="872" spans="3:3" x14ac:dyDescent="0.35">
      <c r="C872" t="str">
        <f t="shared" si="33"/>
        <v/>
      </c>
    </row>
    <row r="873" spans="3:3" x14ac:dyDescent="0.35">
      <c r="C873" t="str">
        <f t="shared" si="33"/>
        <v/>
      </c>
    </row>
    <row r="874" spans="3:3" x14ac:dyDescent="0.35">
      <c r="C874" t="str">
        <f t="shared" si="33"/>
        <v/>
      </c>
    </row>
    <row r="875" spans="3:3" x14ac:dyDescent="0.35">
      <c r="C875" t="str">
        <f t="shared" si="33"/>
        <v/>
      </c>
    </row>
    <row r="876" spans="3:3" x14ac:dyDescent="0.35">
      <c r="C876" t="str">
        <f t="shared" si="33"/>
        <v/>
      </c>
    </row>
    <row r="877" spans="3:3" x14ac:dyDescent="0.35">
      <c r="C877" t="str">
        <f t="shared" si="33"/>
        <v/>
      </c>
    </row>
    <row r="878" spans="3:3" x14ac:dyDescent="0.35">
      <c r="C878" t="str">
        <f t="shared" si="33"/>
        <v/>
      </c>
    </row>
    <row r="879" spans="3:3" x14ac:dyDescent="0.35">
      <c r="C879" t="str">
        <f t="shared" si="33"/>
        <v/>
      </c>
    </row>
    <row r="880" spans="3:3" x14ac:dyDescent="0.35">
      <c r="C880" t="str">
        <f t="shared" si="33"/>
        <v/>
      </c>
    </row>
    <row r="881" spans="3:3" x14ac:dyDescent="0.35">
      <c r="C881" t="str">
        <f t="shared" si="33"/>
        <v/>
      </c>
    </row>
    <row r="882" spans="3:3" x14ac:dyDescent="0.35">
      <c r="C882" t="str">
        <f t="shared" si="33"/>
        <v/>
      </c>
    </row>
    <row r="883" spans="3:3" x14ac:dyDescent="0.35">
      <c r="C883" t="str">
        <f t="shared" si="33"/>
        <v/>
      </c>
    </row>
    <row r="884" spans="3:3" x14ac:dyDescent="0.35">
      <c r="C884" t="str">
        <f t="shared" si="33"/>
        <v/>
      </c>
    </row>
    <row r="885" spans="3:3" x14ac:dyDescent="0.35">
      <c r="C885" t="str">
        <f t="shared" si="33"/>
        <v/>
      </c>
    </row>
    <row r="886" spans="3:3" x14ac:dyDescent="0.35">
      <c r="C886" t="str">
        <f t="shared" si="33"/>
        <v/>
      </c>
    </row>
    <row r="887" spans="3:3" x14ac:dyDescent="0.35">
      <c r="C887" t="str">
        <f t="shared" si="33"/>
        <v/>
      </c>
    </row>
    <row r="888" spans="3:3" x14ac:dyDescent="0.35">
      <c r="C888" t="str">
        <f t="shared" si="33"/>
        <v/>
      </c>
    </row>
    <row r="889" spans="3:3" x14ac:dyDescent="0.35">
      <c r="C889" t="str">
        <f t="shared" si="33"/>
        <v/>
      </c>
    </row>
    <row r="890" spans="3:3" x14ac:dyDescent="0.35">
      <c r="C890" t="str">
        <f t="shared" si="33"/>
        <v/>
      </c>
    </row>
    <row r="891" spans="3:3" x14ac:dyDescent="0.35">
      <c r="C891" t="str">
        <f t="shared" si="33"/>
        <v/>
      </c>
    </row>
    <row r="892" spans="3:3" x14ac:dyDescent="0.35">
      <c r="C892" t="str">
        <f t="shared" si="33"/>
        <v/>
      </c>
    </row>
    <row r="893" spans="3:3" x14ac:dyDescent="0.35">
      <c r="C893" t="str">
        <f t="shared" si="33"/>
        <v/>
      </c>
    </row>
    <row r="894" spans="3:3" x14ac:dyDescent="0.35">
      <c r="C894" t="str">
        <f t="shared" si="33"/>
        <v/>
      </c>
    </row>
    <row r="895" spans="3:3" x14ac:dyDescent="0.35">
      <c r="C895" t="str">
        <f t="shared" si="33"/>
        <v/>
      </c>
    </row>
    <row r="896" spans="3:3" x14ac:dyDescent="0.35">
      <c r="C896" t="str">
        <f t="shared" si="33"/>
        <v/>
      </c>
    </row>
    <row r="897" spans="3:3" x14ac:dyDescent="0.35">
      <c r="C897" t="str">
        <f t="shared" si="33"/>
        <v/>
      </c>
    </row>
    <row r="898" spans="3:3" x14ac:dyDescent="0.35">
      <c r="C898" t="str">
        <f t="shared" si="33"/>
        <v/>
      </c>
    </row>
    <row r="899" spans="3:3" x14ac:dyDescent="0.35">
      <c r="C899" t="str">
        <f t="shared" si="33"/>
        <v/>
      </c>
    </row>
    <row r="900" spans="3:3" x14ac:dyDescent="0.35">
      <c r="C900" t="str">
        <f t="shared" si="33"/>
        <v/>
      </c>
    </row>
    <row r="901" spans="3:3" x14ac:dyDescent="0.35">
      <c r="C901" t="str">
        <f t="shared" ref="C901:C964" si="34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4"/>
        <v/>
      </c>
    </row>
    <row r="903" spans="3:3" x14ac:dyDescent="0.35">
      <c r="C903" t="str">
        <f t="shared" si="34"/>
        <v/>
      </c>
    </row>
    <row r="904" spans="3:3" x14ac:dyDescent="0.35">
      <c r="C904" t="str">
        <f t="shared" si="34"/>
        <v/>
      </c>
    </row>
    <row r="905" spans="3:3" x14ac:dyDescent="0.35">
      <c r="C905" t="str">
        <f t="shared" si="34"/>
        <v/>
      </c>
    </row>
    <row r="906" spans="3:3" x14ac:dyDescent="0.35">
      <c r="C906" t="str">
        <f t="shared" si="34"/>
        <v/>
      </c>
    </row>
    <row r="907" spans="3:3" x14ac:dyDescent="0.35">
      <c r="C907" t="str">
        <f t="shared" si="34"/>
        <v/>
      </c>
    </row>
    <row r="908" spans="3:3" x14ac:dyDescent="0.35">
      <c r="C908" t="str">
        <f t="shared" si="34"/>
        <v/>
      </c>
    </row>
    <row r="909" spans="3:3" x14ac:dyDescent="0.35">
      <c r="C909" t="str">
        <f t="shared" si="34"/>
        <v/>
      </c>
    </row>
    <row r="910" spans="3:3" x14ac:dyDescent="0.35">
      <c r="C910" t="str">
        <f t="shared" si="34"/>
        <v/>
      </c>
    </row>
    <row r="911" spans="3:3" x14ac:dyDescent="0.35">
      <c r="C911" t="str">
        <f t="shared" si="34"/>
        <v/>
      </c>
    </row>
    <row r="912" spans="3:3" x14ac:dyDescent="0.35">
      <c r="C912" t="str">
        <f t="shared" si="34"/>
        <v/>
      </c>
    </row>
    <row r="913" spans="3:3" x14ac:dyDescent="0.35">
      <c r="C913" t="str">
        <f t="shared" si="34"/>
        <v/>
      </c>
    </row>
    <row r="914" spans="3:3" x14ac:dyDescent="0.35">
      <c r="C914" t="str">
        <f t="shared" si="34"/>
        <v/>
      </c>
    </row>
    <row r="915" spans="3:3" x14ac:dyDescent="0.35">
      <c r="C915" t="str">
        <f t="shared" si="34"/>
        <v/>
      </c>
    </row>
    <row r="916" spans="3:3" x14ac:dyDescent="0.35">
      <c r="C916" t="str">
        <f t="shared" si="34"/>
        <v/>
      </c>
    </row>
    <row r="917" spans="3:3" x14ac:dyDescent="0.35">
      <c r="C917" t="str">
        <f t="shared" si="34"/>
        <v/>
      </c>
    </row>
    <row r="918" spans="3:3" x14ac:dyDescent="0.35">
      <c r="C918" t="str">
        <f t="shared" si="34"/>
        <v/>
      </c>
    </row>
    <row r="919" spans="3:3" x14ac:dyDescent="0.35">
      <c r="C919" t="str">
        <f t="shared" si="34"/>
        <v/>
      </c>
    </row>
    <row r="920" spans="3:3" x14ac:dyDescent="0.35">
      <c r="C920" t="str">
        <f t="shared" si="34"/>
        <v/>
      </c>
    </row>
    <row r="921" spans="3:3" x14ac:dyDescent="0.35">
      <c r="C921" t="str">
        <f t="shared" si="34"/>
        <v/>
      </c>
    </row>
    <row r="922" spans="3:3" x14ac:dyDescent="0.35">
      <c r="C922" t="str">
        <f t="shared" si="34"/>
        <v/>
      </c>
    </row>
    <row r="923" spans="3:3" x14ac:dyDescent="0.35">
      <c r="C923" t="str">
        <f t="shared" si="34"/>
        <v/>
      </c>
    </row>
    <row r="924" spans="3:3" x14ac:dyDescent="0.35">
      <c r="C924" t="str">
        <f t="shared" si="34"/>
        <v/>
      </c>
    </row>
    <row r="925" spans="3:3" x14ac:dyDescent="0.35">
      <c r="C925" t="str">
        <f t="shared" si="34"/>
        <v/>
      </c>
    </row>
    <row r="926" spans="3:3" x14ac:dyDescent="0.35">
      <c r="C926" t="str">
        <f t="shared" si="34"/>
        <v/>
      </c>
    </row>
    <row r="927" spans="3:3" x14ac:dyDescent="0.35">
      <c r="C927" t="str">
        <f t="shared" si="34"/>
        <v/>
      </c>
    </row>
    <row r="928" spans="3:3" x14ac:dyDescent="0.35">
      <c r="C928" t="str">
        <f t="shared" si="34"/>
        <v/>
      </c>
    </row>
    <row r="929" spans="3:3" x14ac:dyDescent="0.35">
      <c r="C929" t="str">
        <f t="shared" si="34"/>
        <v/>
      </c>
    </row>
    <row r="930" spans="3:3" x14ac:dyDescent="0.35">
      <c r="C930" t="str">
        <f t="shared" si="34"/>
        <v/>
      </c>
    </row>
    <row r="931" spans="3:3" x14ac:dyDescent="0.35">
      <c r="C931" t="str">
        <f t="shared" si="34"/>
        <v/>
      </c>
    </row>
    <row r="932" spans="3:3" x14ac:dyDescent="0.35">
      <c r="C932" t="str">
        <f t="shared" si="34"/>
        <v/>
      </c>
    </row>
    <row r="933" spans="3:3" x14ac:dyDescent="0.35">
      <c r="C933" t="str">
        <f t="shared" si="34"/>
        <v/>
      </c>
    </row>
    <row r="934" spans="3:3" x14ac:dyDescent="0.35">
      <c r="C934" t="str">
        <f t="shared" si="34"/>
        <v/>
      </c>
    </row>
    <row r="935" spans="3:3" x14ac:dyDescent="0.35">
      <c r="C935" t="str">
        <f t="shared" si="34"/>
        <v/>
      </c>
    </row>
    <row r="936" spans="3:3" x14ac:dyDescent="0.35">
      <c r="C936" t="str">
        <f t="shared" si="34"/>
        <v/>
      </c>
    </row>
    <row r="937" spans="3:3" x14ac:dyDescent="0.35">
      <c r="C937" t="str">
        <f t="shared" si="34"/>
        <v/>
      </c>
    </row>
    <row r="938" spans="3:3" x14ac:dyDescent="0.35">
      <c r="C938" t="str">
        <f t="shared" si="34"/>
        <v/>
      </c>
    </row>
    <row r="939" spans="3:3" x14ac:dyDescent="0.35">
      <c r="C939" t="str">
        <f t="shared" si="34"/>
        <v/>
      </c>
    </row>
    <row r="940" spans="3:3" x14ac:dyDescent="0.35">
      <c r="C940" t="str">
        <f t="shared" si="34"/>
        <v/>
      </c>
    </row>
    <row r="941" spans="3:3" x14ac:dyDescent="0.35">
      <c r="C941" t="str">
        <f t="shared" si="34"/>
        <v/>
      </c>
    </row>
    <row r="942" spans="3:3" x14ac:dyDescent="0.35">
      <c r="C942" t="str">
        <f t="shared" si="34"/>
        <v/>
      </c>
    </row>
    <row r="943" spans="3:3" x14ac:dyDescent="0.35">
      <c r="C943" t="str">
        <f t="shared" si="34"/>
        <v/>
      </c>
    </row>
    <row r="944" spans="3:3" x14ac:dyDescent="0.35">
      <c r="C944" t="str">
        <f t="shared" si="34"/>
        <v/>
      </c>
    </row>
    <row r="945" spans="3:3" x14ac:dyDescent="0.35">
      <c r="C945" t="str">
        <f t="shared" si="34"/>
        <v/>
      </c>
    </row>
    <row r="946" spans="3:3" x14ac:dyDescent="0.35">
      <c r="C946" t="str">
        <f t="shared" si="34"/>
        <v/>
      </c>
    </row>
    <row r="947" spans="3:3" x14ac:dyDescent="0.35">
      <c r="C947" t="str">
        <f t="shared" si="34"/>
        <v/>
      </c>
    </row>
    <row r="948" spans="3:3" x14ac:dyDescent="0.35">
      <c r="C948" t="str">
        <f t="shared" si="34"/>
        <v/>
      </c>
    </row>
    <row r="949" spans="3:3" x14ac:dyDescent="0.35">
      <c r="C949" t="str">
        <f t="shared" si="34"/>
        <v/>
      </c>
    </row>
    <row r="950" spans="3:3" x14ac:dyDescent="0.35">
      <c r="C950" t="str">
        <f t="shared" si="34"/>
        <v/>
      </c>
    </row>
    <row r="951" spans="3:3" x14ac:dyDescent="0.35">
      <c r="C951" t="str">
        <f t="shared" si="34"/>
        <v/>
      </c>
    </row>
    <row r="952" spans="3:3" x14ac:dyDescent="0.35">
      <c r="C952" t="str">
        <f t="shared" si="34"/>
        <v/>
      </c>
    </row>
    <row r="953" spans="3:3" x14ac:dyDescent="0.35">
      <c r="C953" t="str">
        <f t="shared" si="34"/>
        <v/>
      </c>
    </row>
    <row r="954" spans="3:3" x14ac:dyDescent="0.35">
      <c r="C954" t="str">
        <f t="shared" si="34"/>
        <v/>
      </c>
    </row>
    <row r="955" spans="3:3" x14ac:dyDescent="0.35">
      <c r="C955" t="str">
        <f t="shared" si="34"/>
        <v/>
      </c>
    </row>
    <row r="956" spans="3:3" x14ac:dyDescent="0.35">
      <c r="C956" t="str">
        <f t="shared" si="34"/>
        <v/>
      </c>
    </row>
    <row r="957" spans="3:3" x14ac:dyDescent="0.35">
      <c r="C957" t="str">
        <f t="shared" si="34"/>
        <v/>
      </c>
    </row>
    <row r="958" spans="3:3" x14ac:dyDescent="0.35">
      <c r="C958" t="str">
        <f t="shared" si="34"/>
        <v/>
      </c>
    </row>
    <row r="959" spans="3:3" x14ac:dyDescent="0.35">
      <c r="C959" t="str">
        <f t="shared" si="34"/>
        <v/>
      </c>
    </row>
    <row r="960" spans="3:3" x14ac:dyDescent="0.35">
      <c r="C960" t="str">
        <f t="shared" si="34"/>
        <v/>
      </c>
    </row>
    <row r="961" spans="3:3" x14ac:dyDescent="0.35">
      <c r="C961" t="str">
        <f t="shared" si="34"/>
        <v/>
      </c>
    </row>
    <row r="962" spans="3:3" x14ac:dyDescent="0.35">
      <c r="C962" t="str">
        <f t="shared" si="34"/>
        <v/>
      </c>
    </row>
    <row r="963" spans="3:3" x14ac:dyDescent="0.35">
      <c r="C963" t="str">
        <f t="shared" si="34"/>
        <v/>
      </c>
    </row>
    <row r="964" spans="3:3" x14ac:dyDescent="0.35">
      <c r="C964" t="str">
        <f t="shared" si="34"/>
        <v/>
      </c>
    </row>
    <row r="965" spans="3:3" x14ac:dyDescent="0.35">
      <c r="C965" t="str">
        <f t="shared" ref="C965:C1000" si="35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5"/>
        <v/>
      </c>
    </row>
    <row r="967" spans="3:3" x14ac:dyDescent="0.35">
      <c r="C967" t="str">
        <f t="shared" si="35"/>
        <v/>
      </c>
    </row>
    <row r="968" spans="3:3" x14ac:dyDescent="0.35">
      <c r="C968" t="str">
        <f t="shared" si="35"/>
        <v/>
      </c>
    </row>
    <row r="969" spans="3:3" x14ac:dyDescent="0.35">
      <c r="C969" t="str">
        <f t="shared" si="35"/>
        <v/>
      </c>
    </row>
    <row r="970" spans="3:3" x14ac:dyDescent="0.35">
      <c r="C970" t="str">
        <f t="shared" si="35"/>
        <v/>
      </c>
    </row>
    <row r="971" spans="3:3" x14ac:dyDescent="0.35">
      <c r="C971" t="str">
        <f t="shared" si="35"/>
        <v/>
      </c>
    </row>
    <row r="972" spans="3:3" x14ac:dyDescent="0.35">
      <c r="C972" t="str">
        <f t="shared" si="35"/>
        <v/>
      </c>
    </row>
    <row r="973" spans="3:3" x14ac:dyDescent="0.35">
      <c r="C973" t="str">
        <f t="shared" si="35"/>
        <v/>
      </c>
    </row>
    <row r="974" spans="3:3" x14ac:dyDescent="0.35">
      <c r="C974" t="str">
        <f t="shared" si="35"/>
        <v/>
      </c>
    </row>
    <row r="975" spans="3:3" x14ac:dyDescent="0.35">
      <c r="C975" t="str">
        <f t="shared" si="35"/>
        <v/>
      </c>
    </row>
    <row r="976" spans="3:3" x14ac:dyDescent="0.35">
      <c r="C976" t="str">
        <f t="shared" si="35"/>
        <v/>
      </c>
    </row>
    <row r="977" spans="3:3" x14ac:dyDescent="0.35">
      <c r="C977" t="str">
        <f t="shared" si="35"/>
        <v/>
      </c>
    </row>
    <row r="978" spans="3:3" x14ac:dyDescent="0.35">
      <c r="C978" t="str">
        <f t="shared" si="35"/>
        <v/>
      </c>
    </row>
    <row r="979" spans="3:3" x14ac:dyDescent="0.35">
      <c r="C979" t="str">
        <f t="shared" si="35"/>
        <v/>
      </c>
    </row>
    <row r="980" spans="3:3" x14ac:dyDescent="0.35">
      <c r="C980" t="str">
        <f t="shared" si="35"/>
        <v/>
      </c>
    </row>
    <row r="981" spans="3:3" x14ac:dyDescent="0.35">
      <c r="C981" t="str">
        <f t="shared" si="35"/>
        <v/>
      </c>
    </row>
    <row r="982" spans="3:3" x14ac:dyDescent="0.35">
      <c r="C982" t="str">
        <f t="shared" si="35"/>
        <v/>
      </c>
    </row>
    <row r="983" spans="3:3" x14ac:dyDescent="0.35">
      <c r="C983" t="str">
        <f t="shared" si="35"/>
        <v/>
      </c>
    </row>
    <row r="984" spans="3:3" x14ac:dyDescent="0.35">
      <c r="C984" t="str">
        <f t="shared" si="35"/>
        <v/>
      </c>
    </row>
    <row r="985" spans="3:3" x14ac:dyDescent="0.35">
      <c r="C985" t="str">
        <f t="shared" si="35"/>
        <v/>
      </c>
    </row>
    <row r="986" spans="3:3" x14ac:dyDescent="0.35">
      <c r="C986" t="str">
        <f t="shared" si="35"/>
        <v/>
      </c>
    </row>
    <row r="987" spans="3:3" x14ac:dyDescent="0.35">
      <c r="C987" t="str">
        <f t="shared" si="35"/>
        <v/>
      </c>
    </row>
    <row r="988" spans="3:3" x14ac:dyDescent="0.35">
      <c r="C988" t="str">
        <f t="shared" si="35"/>
        <v/>
      </c>
    </row>
    <row r="989" spans="3:3" x14ac:dyDescent="0.35">
      <c r="C989" t="str">
        <f t="shared" si="35"/>
        <v/>
      </c>
    </row>
    <row r="990" spans="3:3" x14ac:dyDescent="0.35">
      <c r="C990" t="str">
        <f t="shared" si="35"/>
        <v/>
      </c>
    </row>
    <row r="991" spans="3:3" x14ac:dyDescent="0.35">
      <c r="C991" t="str">
        <f t="shared" si="35"/>
        <v/>
      </c>
    </row>
    <row r="992" spans="3:3" x14ac:dyDescent="0.35">
      <c r="C992" t="str">
        <f t="shared" si="35"/>
        <v/>
      </c>
    </row>
    <row r="993" spans="3:3" x14ac:dyDescent="0.35">
      <c r="C993" t="str">
        <f t="shared" si="35"/>
        <v/>
      </c>
    </row>
    <row r="994" spans="3:3" x14ac:dyDescent="0.35">
      <c r="C994" t="str">
        <f t="shared" si="35"/>
        <v/>
      </c>
    </row>
    <row r="995" spans="3:3" x14ac:dyDescent="0.35">
      <c r="C995" t="str">
        <f t="shared" si="35"/>
        <v/>
      </c>
    </row>
    <row r="996" spans="3:3" x14ac:dyDescent="0.35">
      <c r="C996" t="str">
        <f t="shared" si="35"/>
        <v/>
      </c>
    </row>
    <row r="997" spans="3:3" x14ac:dyDescent="0.35">
      <c r="C997" t="str">
        <f t="shared" si="35"/>
        <v/>
      </c>
    </row>
    <row r="998" spans="3:3" x14ac:dyDescent="0.35">
      <c r="C998" t="str">
        <f t="shared" si="35"/>
        <v/>
      </c>
    </row>
    <row r="999" spans="3:3" x14ac:dyDescent="0.35">
      <c r="C999" t="str">
        <f t="shared" si="35"/>
        <v/>
      </c>
    </row>
    <row r="1000" spans="3:3" x14ac:dyDescent="0.35">
      <c r="C1000" t="str">
        <f t="shared" si="35"/>
        <v/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DAB0-0009-4AAA-9B86-F7E237D2EDC6}">
  <sheetPr codeName="Sheet1"/>
  <dimension ref="A1:H26"/>
  <sheetViews>
    <sheetView tabSelected="1" zoomScaleNormal="100" workbookViewId="0">
      <selection activeCell="G13" sqref="G13"/>
    </sheetView>
  </sheetViews>
  <sheetFormatPr defaultRowHeight="14.5" x14ac:dyDescent="0.35"/>
  <cols>
    <col min="6" max="6" width="11.81640625" bestFit="1" customWidth="1"/>
  </cols>
  <sheetData>
    <row r="1" spans="1:8" x14ac:dyDescent="0.35">
      <c r="A1" s="29" t="s">
        <v>291</v>
      </c>
      <c r="B1" s="29"/>
      <c r="C1" s="29"/>
      <c r="E1" s="29" t="s">
        <v>371</v>
      </c>
      <c r="F1" s="29"/>
      <c r="G1" s="29"/>
    </row>
    <row r="2" spans="1:8" x14ac:dyDescent="0.35">
      <c r="A2" t="s">
        <v>1</v>
      </c>
      <c r="B2" s="9">
        <v>0.43230000000000002</v>
      </c>
      <c r="E2" t="s">
        <v>211</v>
      </c>
      <c r="F2">
        <f>B18</f>
        <v>29</v>
      </c>
      <c r="H2" t="s">
        <v>381</v>
      </c>
    </row>
    <row r="3" spans="1:8" x14ac:dyDescent="0.35">
      <c r="A3" t="s">
        <v>99</v>
      </c>
      <c r="B3" s="9">
        <v>0.84</v>
      </c>
      <c r="E3" t="s">
        <v>223</v>
      </c>
      <c r="F3">
        <v>0.95</v>
      </c>
      <c r="H3" s="3">
        <v>1</v>
      </c>
    </row>
    <row r="4" spans="1:8" x14ac:dyDescent="0.35">
      <c r="A4" t="s">
        <v>49</v>
      </c>
      <c r="B4" s="9">
        <v>0.30159999999999998</v>
      </c>
      <c r="C4" t="s">
        <v>50</v>
      </c>
      <c r="E4" t="s">
        <v>224</v>
      </c>
      <c r="F4">
        <v>5.7000000000000002E-2</v>
      </c>
    </row>
    <row r="5" spans="1:8" x14ac:dyDescent="0.35">
      <c r="A5" t="s">
        <v>213</v>
      </c>
      <c r="B5" s="9">
        <v>247.85849999999999</v>
      </c>
      <c r="C5" t="s">
        <v>51</v>
      </c>
      <c r="E5" t="s">
        <v>222</v>
      </c>
      <c r="F5">
        <f>(F3/COS(F2*PI()/180))-(F4/(COS(F2*PI()/180)^2))-(B2/(10*COS(F2*PI()/180)^3))</f>
        <v>0.94705850480464704</v>
      </c>
    </row>
    <row r="6" spans="1:8" x14ac:dyDescent="0.35">
      <c r="A6" t="s">
        <v>212</v>
      </c>
      <c r="B6" s="15">
        <v>1.4209999999999999E-5</v>
      </c>
      <c r="C6" t="s">
        <v>66</v>
      </c>
      <c r="E6" t="s">
        <v>225</v>
      </c>
      <c r="F6">
        <f>F5-(0.1/80)^(1/3)</f>
        <v>0.83933677030305287</v>
      </c>
    </row>
    <row r="7" spans="1:8" x14ac:dyDescent="0.35">
      <c r="E7" t="s">
        <v>226</v>
      </c>
      <c r="F7">
        <f>B3</f>
        <v>0.84</v>
      </c>
    </row>
    <row r="8" spans="1:8" x14ac:dyDescent="0.35">
      <c r="A8" s="29" t="s">
        <v>290</v>
      </c>
      <c r="B8" s="29"/>
      <c r="C8" s="29"/>
      <c r="E8" t="s">
        <v>227</v>
      </c>
      <c r="F8">
        <f>IF(F7&gt;F6, 1, 0)</f>
        <v>1</v>
      </c>
    </row>
    <row r="9" spans="1:8" x14ac:dyDescent="0.35">
      <c r="A9" t="s">
        <v>292</v>
      </c>
      <c r="B9" s="9">
        <v>14.859</v>
      </c>
      <c r="C9" t="s">
        <v>45</v>
      </c>
      <c r="E9" t="s">
        <v>372</v>
      </c>
      <c r="F9">
        <f>20*(F7-F6)^4*F8</f>
        <v>3.8697762234436326E-12</v>
      </c>
    </row>
    <row r="10" spans="1:8" x14ac:dyDescent="0.35">
      <c r="A10" t="s">
        <v>285</v>
      </c>
      <c r="B10" s="9">
        <v>3.67</v>
      </c>
      <c r="E10" t="s">
        <v>230</v>
      </c>
      <c r="F10">
        <v>1.8411048358099493E-3</v>
      </c>
    </row>
    <row r="11" spans="1:8" x14ac:dyDescent="0.35">
      <c r="A11" t="s">
        <v>293</v>
      </c>
      <c r="B11" s="37">
        <f>B9^2/B10</f>
        <v>60.160730517711173</v>
      </c>
      <c r="C11" t="s">
        <v>44</v>
      </c>
    </row>
    <row r="12" spans="1:8" x14ac:dyDescent="0.35">
      <c r="B12" s="32"/>
      <c r="E12" s="29" t="s">
        <v>373</v>
      </c>
      <c r="F12" s="29"/>
      <c r="G12" s="29"/>
    </row>
    <row r="13" spans="1:8" x14ac:dyDescent="0.35">
      <c r="A13" s="29" t="s">
        <v>297</v>
      </c>
      <c r="B13" s="29"/>
      <c r="C13" s="29"/>
      <c r="E13" t="s">
        <v>374</v>
      </c>
      <c r="F13">
        <f>CruiseST!F27</f>
        <v>1.5997000000000001E-2</v>
      </c>
    </row>
    <row r="14" spans="1:8" x14ac:dyDescent="0.35">
      <c r="A14" t="s">
        <v>298</v>
      </c>
      <c r="B14" s="37">
        <v>8.7872507261999999</v>
      </c>
      <c r="C14" t="s">
        <v>45</v>
      </c>
      <c r="E14" t="s">
        <v>375</v>
      </c>
      <c r="F14">
        <f>CruiseST!C26</f>
        <v>6.2199999999999998E-3</v>
      </c>
    </row>
    <row r="16" spans="1:8" x14ac:dyDescent="0.35">
      <c r="A16" s="29" t="s">
        <v>295</v>
      </c>
      <c r="B16" s="29"/>
      <c r="C16" s="29"/>
      <c r="E16" s="29" t="s">
        <v>376</v>
      </c>
      <c r="F16" s="29"/>
      <c r="G16" s="29"/>
    </row>
    <row r="17" spans="1:8" x14ac:dyDescent="0.35">
      <c r="A17" t="s">
        <v>208</v>
      </c>
      <c r="B17" s="3">
        <v>0.3</v>
      </c>
      <c r="E17" t="s">
        <v>377</v>
      </c>
      <c r="F17" s="14">
        <f>'Tail Drag'!C10</f>
        <v>8.5189156985030125E-3</v>
      </c>
    </row>
    <row r="18" spans="1:8" x14ac:dyDescent="0.35">
      <c r="A18" t="s">
        <v>211</v>
      </c>
      <c r="B18" s="3">
        <v>29</v>
      </c>
      <c r="C18" t="s">
        <v>65</v>
      </c>
    </row>
    <row r="19" spans="1:8" x14ac:dyDescent="0.35">
      <c r="A19" t="s">
        <v>228</v>
      </c>
      <c r="B19" s="3">
        <v>-2.7</v>
      </c>
      <c r="C19" t="s">
        <v>65</v>
      </c>
      <c r="E19" s="29" t="s">
        <v>221</v>
      </c>
      <c r="F19" s="29"/>
      <c r="G19" s="29"/>
    </row>
    <row r="20" spans="1:8" x14ac:dyDescent="0.35">
      <c r="A20" t="s">
        <v>296</v>
      </c>
      <c r="B20" s="3">
        <v>4.8</v>
      </c>
      <c r="C20" t="s">
        <v>45</v>
      </c>
      <c r="E20" t="s">
        <v>34</v>
      </c>
      <c r="F20" s="44">
        <f>F9-F10+F13+F14+F17</f>
        <v>2.8894810866562842E-2</v>
      </c>
    </row>
    <row r="21" spans="1:8" x14ac:dyDescent="0.35">
      <c r="A21" t="s">
        <v>307</v>
      </c>
      <c r="B21" s="3">
        <v>0.35</v>
      </c>
      <c r="E21" t="s">
        <v>287</v>
      </c>
      <c r="F21" s="19">
        <f>-CruiseST!G45/CruiseST!G41</f>
        <v>-2.7077589935704496E-2</v>
      </c>
      <c r="H21" s="45" t="s">
        <v>379</v>
      </c>
    </row>
    <row r="22" spans="1:8" x14ac:dyDescent="0.35">
      <c r="A22" t="s">
        <v>308</v>
      </c>
      <c r="B22" s="3">
        <v>0.2</v>
      </c>
      <c r="E22" t="s">
        <v>378</v>
      </c>
      <c r="F22">
        <f>MAX('Tail Sizing'!C44:C48)</f>
        <v>15.692027928053632</v>
      </c>
      <c r="G22" t="s">
        <v>45</v>
      </c>
      <c r="H22" s="45" t="s">
        <v>380</v>
      </c>
    </row>
    <row r="24" spans="1:8" x14ac:dyDescent="0.35">
      <c r="A24" s="29" t="s">
        <v>299</v>
      </c>
      <c r="B24" s="20"/>
      <c r="C24" s="20"/>
    </row>
    <row r="25" spans="1:8" x14ac:dyDescent="0.35">
      <c r="A25" s="38" t="s">
        <v>300</v>
      </c>
      <c r="B25" s="17">
        <f>(2*B11)/(B9*(1+B17))</f>
        <v>6.2288828337874653</v>
      </c>
      <c r="C25" t="s">
        <v>45</v>
      </c>
    </row>
    <row r="26" spans="1:8" x14ac:dyDescent="0.35">
      <c r="A26" t="s">
        <v>301</v>
      </c>
      <c r="B26" s="18">
        <f>B25*B17</f>
        <v>1.8686648501362395</v>
      </c>
      <c r="C26" t="s">
        <v>45</v>
      </c>
    </row>
  </sheetData>
  <mergeCells count="9">
    <mergeCell ref="A24:C24"/>
    <mergeCell ref="E1:G1"/>
    <mergeCell ref="E19:G19"/>
    <mergeCell ref="E16:G16"/>
    <mergeCell ref="E12:G12"/>
    <mergeCell ref="A1:C1"/>
    <mergeCell ref="A16:C16"/>
    <mergeCell ref="A8:C8"/>
    <mergeCell ref="A13:C1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435-9049-4C8F-B854-4BB16348E7B0}">
  <sheetPr codeName="Sheet2"/>
  <dimension ref="A1:O68"/>
  <sheetViews>
    <sheetView topLeftCell="D4" zoomScaleNormal="100" workbookViewId="0">
      <selection activeCell="R14" sqref="Q14:R15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15" x14ac:dyDescent="0.35">
      <c r="A1" t="s">
        <v>238</v>
      </c>
      <c r="B1" s="32">
        <f>Main!B11</f>
        <v>60.160730517711173</v>
      </c>
      <c r="C1" t="s">
        <v>44</v>
      </c>
      <c r="E1" t="s">
        <v>240</v>
      </c>
      <c r="F1">
        <v>15.24</v>
      </c>
      <c r="G1" t="s">
        <v>45</v>
      </c>
    </row>
    <row r="2" spans="1:15" x14ac:dyDescent="0.35">
      <c r="A2" t="s">
        <v>236</v>
      </c>
      <c r="B2">
        <f>BuildAVL!B4</f>
        <v>4.4400754558792705</v>
      </c>
      <c r="C2" t="s">
        <v>45</v>
      </c>
      <c r="E2" t="s">
        <v>270</v>
      </c>
      <c r="F2">
        <f>(B3/6)*((1+2*Main!B17)/(1+Main!B17))</f>
        <v>3.0480000000000005</v>
      </c>
      <c r="G2" t="s">
        <v>45</v>
      </c>
    </row>
    <row r="3" spans="1:15" x14ac:dyDescent="0.35">
      <c r="A3" t="s">
        <v>237</v>
      </c>
      <c r="B3">
        <f>Main!B9</f>
        <v>14.859</v>
      </c>
      <c r="C3" t="s">
        <v>45</v>
      </c>
      <c r="E3" t="s">
        <v>271</v>
      </c>
      <c r="F3">
        <f>0.25*Main!B25+F2*TAN(Main!B18*PI()/180)</f>
        <v>3.2467546972749064</v>
      </c>
      <c r="G3" t="s">
        <v>45</v>
      </c>
    </row>
    <row r="5" spans="1:15" x14ac:dyDescent="0.35">
      <c r="A5" t="s">
        <v>232</v>
      </c>
      <c r="B5">
        <v>7.0000000000000007E-2</v>
      </c>
      <c r="E5" t="s">
        <v>231</v>
      </c>
      <c r="F5">
        <v>0.36</v>
      </c>
      <c r="I5" t="s">
        <v>231</v>
      </c>
      <c r="J5">
        <v>0.36000000000000004</v>
      </c>
      <c r="M5" t="s">
        <v>282</v>
      </c>
      <c r="O5">
        <f>ATAN((C36-C35)/B36)*180/PI()</f>
        <v>35.03156272748442</v>
      </c>
    </row>
    <row r="6" spans="1:15" x14ac:dyDescent="0.35">
      <c r="A6" t="s">
        <v>241</v>
      </c>
      <c r="B6">
        <f>Main!B22</f>
        <v>0.2</v>
      </c>
      <c r="E6" t="s">
        <v>242</v>
      </c>
      <c r="F6">
        <f>Main!B21</f>
        <v>0.35</v>
      </c>
      <c r="I6" t="s">
        <v>241</v>
      </c>
      <c r="J6">
        <v>0.36099999999999999</v>
      </c>
      <c r="M6" t="s">
        <v>283</v>
      </c>
      <c r="O6">
        <f>ATAN((C45-C44)/(B45-B44))*180/PI()</f>
        <v>40.497184242209237</v>
      </c>
    </row>
    <row r="7" spans="1:15" x14ac:dyDescent="0.35">
      <c r="A7" t="s">
        <v>234</v>
      </c>
      <c r="B7">
        <f>B6*F1</f>
        <v>3.048</v>
      </c>
      <c r="C7" t="s">
        <v>45</v>
      </c>
      <c r="E7" t="s">
        <v>233</v>
      </c>
      <c r="F7">
        <f>F1*F6</f>
        <v>5.3339999999999996</v>
      </c>
      <c r="G7" t="s">
        <v>45</v>
      </c>
      <c r="I7" t="s">
        <v>242</v>
      </c>
      <c r="J7">
        <v>0.44600000000000001</v>
      </c>
      <c r="M7" t="s">
        <v>284</v>
      </c>
      <c r="O7">
        <f>ATAN(B24/B16)*180/PI()</f>
        <v>40.921173104516498</v>
      </c>
    </row>
    <row r="8" spans="1:15" x14ac:dyDescent="0.35">
      <c r="A8" t="s">
        <v>239</v>
      </c>
      <c r="B8">
        <f>B5*B3*B1/B7</f>
        <v>20.529849289168936</v>
      </c>
      <c r="C8" t="s">
        <v>44</v>
      </c>
      <c r="E8" t="s">
        <v>235</v>
      </c>
      <c r="F8">
        <f>F5*B2*B1/F7</f>
        <v>18.028223823135413</v>
      </c>
      <c r="G8" t="s">
        <v>44</v>
      </c>
    </row>
    <row r="10" spans="1:15" x14ac:dyDescent="0.35">
      <c r="A10" t="s">
        <v>243</v>
      </c>
      <c r="B10">
        <v>70</v>
      </c>
      <c r="C10" t="s">
        <v>65</v>
      </c>
      <c r="E10" t="s">
        <v>245</v>
      </c>
      <c r="F10">
        <f>F8/2</f>
        <v>9.0141119115677064</v>
      </c>
    </row>
    <row r="11" spans="1:15" x14ac:dyDescent="0.35">
      <c r="A11" t="s">
        <v>244</v>
      </c>
      <c r="B11">
        <f>(B8/SIN(B10*PI()/180)/2)</f>
        <v>10.923704642906994</v>
      </c>
      <c r="C11" t="s">
        <v>44</v>
      </c>
    </row>
    <row r="13" spans="1:15" x14ac:dyDescent="0.35">
      <c r="A13" t="s">
        <v>248</v>
      </c>
      <c r="B13">
        <v>1</v>
      </c>
      <c r="E13" t="s">
        <v>249</v>
      </c>
      <c r="F13">
        <v>3</v>
      </c>
    </row>
    <row r="14" spans="1:15" x14ac:dyDescent="0.35">
      <c r="A14" t="s">
        <v>246</v>
      </c>
      <c r="B14">
        <v>0.5</v>
      </c>
      <c r="E14" t="s">
        <v>247</v>
      </c>
      <c r="F14">
        <v>0.3</v>
      </c>
    </row>
    <row r="16" spans="1:15" x14ac:dyDescent="0.35">
      <c r="A16" t="s">
        <v>250</v>
      </c>
      <c r="B16">
        <f>SQRT(B13*B11)</f>
        <v>3.3051028188101794</v>
      </c>
      <c r="C16" t="s">
        <v>45</v>
      </c>
      <c r="E16" t="s">
        <v>251</v>
      </c>
      <c r="F16">
        <f>SQRT(F13*F8)</f>
        <v>7.3542281355289925</v>
      </c>
      <c r="G16" t="s">
        <v>45</v>
      </c>
    </row>
    <row r="17" spans="1:7" x14ac:dyDescent="0.35">
      <c r="E17" t="s">
        <v>252</v>
      </c>
      <c r="F17">
        <f>F16/2</f>
        <v>3.6771140677644962</v>
      </c>
      <c r="G17" t="s">
        <v>45</v>
      </c>
    </row>
    <row r="19" spans="1:7" x14ac:dyDescent="0.35">
      <c r="A19" t="s">
        <v>255</v>
      </c>
      <c r="B19">
        <f>(2*B11)/(B16*(1+B14))</f>
        <v>4.4068037584135729</v>
      </c>
      <c r="C19" t="s">
        <v>45</v>
      </c>
      <c r="E19" t="s">
        <v>253</v>
      </c>
      <c r="F19">
        <f>(2*F10)/(F17*(1+F14))</f>
        <v>3.7713990438610216</v>
      </c>
      <c r="G19" t="s">
        <v>45</v>
      </c>
    </row>
    <row r="20" spans="1:7" x14ac:dyDescent="0.35">
      <c r="A20" t="s">
        <v>256</v>
      </c>
      <c r="B20">
        <f>B19*B14</f>
        <v>2.2034018792067864</v>
      </c>
      <c r="C20" t="s">
        <v>45</v>
      </c>
      <c r="E20" t="s">
        <v>254</v>
      </c>
      <c r="F20">
        <f>F19*F14</f>
        <v>1.1314197131583064</v>
      </c>
      <c r="G20" t="s">
        <v>45</v>
      </c>
    </row>
    <row r="22" spans="1:7" x14ac:dyDescent="0.35">
      <c r="A22" t="s">
        <v>257</v>
      </c>
      <c r="B22">
        <v>35</v>
      </c>
      <c r="C22" t="s">
        <v>65</v>
      </c>
      <c r="E22" t="s">
        <v>258</v>
      </c>
      <c r="F22">
        <v>34</v>
      </c>
      <c r="G22" t="s">
        <v>65</v>
      </c>
    </row>
    <row r="24" spans="1:7" x14ac:dyDescent="0.35">
      <c r="A24" t="s">
        <v>266</v>
      </c>
      <c r="B24">
        <f>0.25*(B19-B20)+B16*TAN(B22*PI()/180)</f>
        <v>2.8651083780907447</v>
      </c>
      <c r="C24" t="s">
        <v>45</v>
      </c>
      <c r="E24" t="s">
        <v>267</v>
      </c>
      <c r="F24">
        <f>0.25*(F19-F20)+(F17)*TAN(F22*PI()/180)</f>
        <v>3.1402395887839321</v>
      </c>
      <c r="G24" t="s">
        <v>45</v>
      </c>
    </row>
    <row r="26" spans="1:7" x14ac:dyDescent="0.35">
      <c r="A26" t="s">
        <v>274</v>
      </c>
      <c r="B26">
        <v>0.96519999999999995</v>
      </c>
      <c r="C26" t="s">
        <v>45</v>
      </c>
      <c r="E26" t="s">
        <v>269</v>
      </c>
      <c r="F26">
        <v>2.0066000000000002</v>
      </c>
      <c r="G26" t="s">
        <v>45</v>
      </c>
    </row>
    <row r="28" spans="1:7" x14ac:dyDescent="0.35">
      <c r="A28" t="s">
        <v>275</v>
      </c>
      <c r="B28">
        <f>(2/3)*((1+B14+B14^2)/(1+B14))*B19</f>
        <v>3.4275140343216677</v>
      </c>
      <c r="C28" t="s">
        <v>45</v>
      </c>
      <c r="E28" t="s">
        <v>272</v>
      </c>
      <c r="F28">
        <f>(2/3)*((1+F14+F14^2)/(1+F14))*F19</f>
        <v>2.6883306004958047</v>
      </c>
      <c r="G28" t="s">
        <v>45</v>
      </c>
    </row>
    <row r="29" spans="1:7" x14ac:dyDescent="0.35">
      <c r="A29" t="s">
        <v>276</v>
      </c>
      <c r="B29">
        <f>(B16/3)*((1+2*B14)/(1+B14))</f>
        <v>1.4689345861378575</v>
      </c>
      <c r="C29" t="s">
        <v>45</v>
      </c>
      <c r="E29" t="s">
        <v>273</v>
      </c>
      <c r="F29">
        <f>(F16/6)*((1+2*F14)/(1+F14))</f>
        <v>1.5085596175444087</v>
      </c>
      <c r="G29" t="s">
        <v>45</v>
      </c>
    </row>
    <row r="32" spans="1:7" x14ac:dyDescent="0.35">
      <c r="D32" s="39"/>
      <c r="E32" s="39"/>
      <c r="F32" s="39"/>
      <c r="G32" s="39"/>
    </row>
    <row r="33" spans="1:7" x14ac:dyDescent="0.35">
      <c r="A33" s="23" t="s">
        <v>268</v>
      </c>
      <c r="B33" s="23"/>
      <c r="C33" s="23"/>
      <c r="D33" s="40"/>
      <c r="E33" s="40"/>
      <c r="F33" s="40"/>
      <c r="G33" s="40"/>
    </row>
    <row r="34" spans="1:7" x14ac:dyDescent="0.35">
      <c r="A34" t="s">
        <v>46</v>
      </c>
      <c r="B34" t="s">
        <v>48</v>
      </c>
      <c r="C34" t="s">
        <v>47</v>
      </c>
    </row>
    <row r="35" spans="1:7" x14ac:dyDescent="0.35">
      <c r="A35">
        <v>1</v>
      </c>
      <c r="B35">
        <v>0</v>
      </c>
      <c r="C35">
        <f>Main!B20</f>
        <v>4.8</v>
      </c>
    </row>
    <row r="36" spans="1:7" x14ac:dyDescent="0.35">
      <c r="A36">
        <v>2</v>
      </c>
      <c r="B36">
        <f>BuildAVL!F27</f>
        <v>7.4295</v>
      </c>
      <c r="C36">
        <f>BuildAVL!F26</f>
        <v>10.008293593681152</v>
      </c>
    </row>
    <row r="37" spans="1:7" x14ac:dyDescent="0.35">
      <c r="A37">
        <v>3</v>
      </c>
      <c r="B37">
        <f>B36</f>
        <v>7.4295</v>
      </c>
      <c r="C37">
        <f>C36+BuildAVL!F29</f>
        <v>11.876958443817392</v>
      </c>
    </row>
    <row r="38" spans="1:7" x14ac:dyDescent="0.35">
      <c r="A38">
        <v>4</v>
      </c>
      <c r="B38">
        <v>0</v>
      </c>
      <c r="C38">
        <f>C35+Main!B25</f>
        <v>11.028882833787465</v>
      </c>
    </row>
    <row r="39" spans="1:7" x14ac:dyDescent="0.35">
      <c r="A39">
        <v>5</v>
      </c>
      <c r="B39">
        <v>0</v>
      </c>
      <c r="C39">
        <f>C35</f>
        <v>4.8</v>
      </c>
    </row>
    <row r="40" spans="1:7" x14ac:dyDescent="0.35">
      <c r="A40">
        <v>6</v>
      </c>
      <c r="B40">
        <f>-B36</f>
        <v>-7.4295</v>
      </c>
      <c r="C40">
        <f>C36</f>
        <v>10.008293593681152</v>
      </c>
    </row>
    <row r="41" spans="1:7" x14ac:dyDescent="0.35">
      <c r="A41">
        <v>7</v>
      </c>
      <c r="B41">
        <f>-B37</f>
        <v>-7.4295</v>
      </c>
      <c r="C41">
        <f>C37</f>
        <v>11.876958443817392</v>
      </c>
    </row>
    <row r="42" spans="1:7" x14ac:dyDescent="0.35">
      <c r="A42">
        <v>8</v>
      </c>
      <c r="B42">
        <v>0</v>
      </c>
      <c r="C42">
        <f>C38</f>
        <v>11.028882833787465</v>
      </c>
    </row>
    <row r="43" spans="1:7" x14ac:dyDescent="0.35">
      <c r="B43" t="e">
        <f>NA()</f>
        <v>#N/A</v>
      </c>
      <c r="C43" t="e">
        <f>NA()</f>
        <v>#N/A</v>
      </c>
    </row>
    <row r="44" spans="1:7" x14ac:dyDescent="0.35">
      <c r="A44">
        <v>9</v>
      </c>
      <c r="B44">
        <f>F26</f>
        <v>2.0066000000000002</v>
      </c>
      <c r="C44">
        <f>F3+F7-F29*TAN(F22*PI()/180)-0.25*F19+Main!B20</f>
        <v>11.420368626111392</v>
      </c>
    </row>
    <row r="45" spans="1:7" x14ac:dyDescent="0.35">
      <c r="A45">
        <v>10</v>
      </c>
      <c r="B45">
        <f>B44+F17</f>
        <v>5.6837140677644964</v>
      </c>
      <c r="C45">
        <f>C44+0.25*(F19-F20)+F17*TAN(F22*PI()/180)</f>
        <v>14.560608214895325</v>
      </c>
    </row>
    <row r="46" spans="1:7" x14ac:dyDescent="0.35">
      <c r="A46">
        <v>11</v>
      </c>
      <c r="B46">
        <f>B45</f>
        <v>5.6837140677644964</v>
      </c>
      <c r="C46">
        <f>C45+F20</f>
        <v>15.692027928053632</v>
      </c>
    </row>
    <row r="47" spans="1:7" x14ac:dyDescent="0.35">
      <c r="A47">
        <v>12</v>
      </c>
      <c r="B47">
        <f>F26</f>
        <v>2.0066000000000002</v>
      </c>
      <c r="C47">
        <f>C44+F19</f>
        <v>15.191767669972414</v>
      </c>
    </row>
    <row r="48" spans="1:7" x14ac:dyDescent="0.35">
      <c r="A48">
        <v>13</v>
      </c>
      <c r="B48">
        <f>B44</f>
        <v>2.0066000000000002</v>
      </c>
      <c r="C48">
        <f>C44</f>
        <v>11.420368626111392</v>
      </c>
    </row>
    <row r="49" spans="1:3" x14ac:dyDescent="0.35">
      <c r="B49" t="e">
        <f>NA()</f>
        <v>#N/A</v>
      </c>
      <c r="C49" t="e">
        <f>NA()</f>
        <v>#N/A</v>
      </c>
    </row>
    <row r="50" spans="1:3" x14ac:dyDescent="0.35">
      <c r="A50">
        <v>14</v>
      </c>
      <c r="B50">
        <f>-1*B44</f>
        <v>-2.0066000000000002</v>
      </c>
      <c r="C50">
        <f>C44</f>
        <v>11.420368626111392</v>
      </c>
    </row>
    <row r="51" spans="1:3" x14ac:dyDescent="0.35">
      <c r="A51">
        <v>15</v>
      </c>
      <c r="B51">
        <f>-1*B45</f>
        <v>-5.6837140677644964</v>
      </c>
      <c r="C51">
        <f>C45</f>
        <v>14.560608214895325</v>
      </c>
    </row>
    <row r="52" spans="1:3" x14ac:dyDescent="0.35">
      <c r="A52">
        <v>16</v>
      </c>
      <c r="B52">
        <f>-1*B46</f>
        <v>-5.6837140677644964</v>
      </c>
      <c r="C52">
        <f>C46</f>
        <v>15.692027928053632</v>
      </c>
    </row>
    <row r="53" spans="1:3" x14ac:dyDescent="0.35">
      <c r="A53">
        <v>17</v>
      </c>
      <c r="B53">
        <f>-1*B47</f>
        <v>-2.0066000000000002</v>
      </c>
      <c r="C53">
        <f>C47</f>
        <v>15.191767669972414</v>
      </c>
    </row>
    <row r="54" spans="1:3" x14ac:dyDescent="0.35">
      <c r="A54">
        <v>18</v>
      </c>
      <c r="B54">
        <f>-1*B48</f>
        <v>-2.0066000000000002</v>
      </c>
      <c r="C54">
        <f>C48</f>
        <v>11.420368626111392</v>
      </c>
    </row>
    <row r="55" spans="1:3" x14ac:dyDescent="0.35">
      <c r="B55" t="e">
        <f>NA()</f>
        <v>#N/A</v>
      </c>
      <c r="C55" t="e">
        <f>NA()</f>
        <v>#N/A</v>
      </c>
    </row>
    <row r="56" spans="1:3" x14ac:dyDescent="0.35">
      <c r="A56">
        <v>19</v>
      </c>
      <c r="B56">
        <f>B26</f>
        <v>0.96519999999999995</v>
      </c>
      <c r="C56">
        <f>F3+B7-B29*TAN(B22*PI()/180)-0.25*B19+Main!B20</f>
        <v>8.9644946873208262</v>
      </c>
    </row>
    <row r="57" spans="1:3" x14ac:dyDescent="0.35">
      <c r="A57">
        <v>20</v>
      </c>
      <c r="B57">
        <f>B56+B16*COS(B10*PI()/180)</f>
        <v>2.0956117397955296</v>
      </c>
      <c r="C57">
        <f>C56+0.25*(B19-B20)+B16*TAN(B22*PI()/180)</f>
        <v>11.829603065411572</v>
      </c>
    </row>
    <row r="58" spans="1:3" x14ac:dyDescent="0.35">
      <c r="A58">
        <v>21</v>
      </c>
      <c r="B58">
        <f>B57</f>
        <v>2.0956117397955296</v>
      </c>
      <c r="C58">
        <f>C57+B20</f>
        <v>14.033004944618359</v>
      </c>
    </row>
    <row r="59" spans="1:3" x14ac:dyDescent="0.35">
      <c r="A59">
        <v>22</v>
      </c>
      <c r="B59">
        <f>B56</f>
        <v>0.96519999999999995</v>
      </c>
      <c r="C59">
        <f>C56+B19</f>
        <v>13.3712984457344</v>
      </c>
    </row>
    <row r="60" spans="1:3" x14ac:dyDescent="0.35">
      <c r="A60">
        <v>23</v>
      </c>
      <c r="B60">
        <f>B56</f>
        <v>0.96519999999999995</v>
      </c>
      <c r="C60">
        <f>C56</f>
        <v>8.9644946873208262</v>
      </c>
    </row>
    <row r="61" spans="1:3" x14ac:dyDescent="0.35">
      <c r="B61" t="e">
        <f>NA()</f>
        <v>#N/A</v>
      </c>
      <c r="C61" t="e">
        <f>NA()</f>
        <v>#N/A</v>
      </c>
    </row>
    <row r="62" spans="1:3" x14ac:dyDescent="0.35">
      <c r="A62">
        <v>24</v>
      </c>
      <c r="B62">
        <f>-1*B56</f>
        <v>-0.96519999999999995</v>
      </c>
      <c r="C62">
        <f>C56</f>
        <v>8.9644946873208262</v>
      </c>
    </row>
    <row r="63" spans="1:3" x14ac:dyDescent="0.35">
      <c r="A63">
        <v>25</v>
      </c>
      <c r="B63">
        <f>-1*B57</f>
        <v>-2.0956117397955296</v>
      </c>
      <c r="C63">
        <f>C57</f>
        <v>11.829603065411572</v>
      </c>
    </row>
    <row r="64" spans="1:3" x14ac:dyDescent="0.35">
      <c r="A64">
        <v>26</v>
      </c>
      <c r="B64">
        <f>-1*B58</f>
        <v>-2.0956117397955296</v>
      </c>
      <c r="C64">
        <f>C58</f>
        <v>14.033004944618359</v>
      </c>
    </row>
    <row r="65" spans="1:3" x14ac:dyDescent="0.35">
      <c r="A65">
        <v>27</v>
      </c>
      <c r="B65">
        <f>-1*B59</f>
        <v>-0.96519999999999995</v>
      </c>
      <c r="C65">
        <f>C59</f>
        <v>13.3712984457344</v>
      </c>
    </row>
    <row r="66" spans="1:3" x14ac:dyDescent="0.35">
      <c r="A66">
        <v>28</v>
      </c>
      <c r="B66">
        <f>-1*B60</f>
        <v>-0.96519999999999995</v>
      </c>
      <c r="C66">
        <f>C60</f>
        <v>8.9644946873208262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7.4295</v>
      </c>
      <c r="C68">
        <f>C36</f>
        <v>10.008293593681152</v>
      </c>
    </row>
  </sheetData>
  <mergeCells count="1">
    <mergeCell ref="A33:C3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S30"/>
  <sheetViews>
    <sheetView zoomScale="85" zoomScaleNormal="85" workbookViewId="0">
      <selection activeCell="J20" sqref="J20"/>
    </sheetView>
  </sheetViews>
  <sheetFormatPr defaultRowHeight="14.5" x14ac:dyDescent="0.35"/>
  <cols>
    <col min="1" max="1" width="9.1796875" style="6"/>
    <col min="3" max="3" width="9.1796875" style="6"/>
    <col min="5" max="5" width="9.1796875" style="7"/>
    <col min="7" max="7" width="9.1796875" style="6"/>
    <col min="9" max="10" width="8.7265625" style="8"/>
    <col min="11" max="11" width="8.7265625" style="6"/>
    <col min="13" max="13" width="8.7265625" style="7"/>
    <col min="15" max="15" width="8.7265625" style="6"/>
    <col min="17" max="17" width="8.7265625" style="7"/>
    <col min="19" max="19" width="8.7265625" style="6"/>
  </cols>
  <sheetData>
    <row r="1" spans="1:19" x14ac:dyDescent="0.35">
      <c r="A1" s="23" t="s">
        <v>52</v>
      </c>
      <c r="B1" s="23"/>
      <c r="C1" s="24"/>
      <c r="D1" s="7"/>
      <c r="E1" s="22" t="s">
        <v>53</v>
      </c>
      <c r="F1" s="23"/>
      <c r="G1" s="23"/>
      <c r="H1" s="8"/>
      <c r="I1" s="22" t="s">
        <v>294</v>
      </c>
      <c r="J1" s="23"/>
      <c r="K1" s="24"/>
      <c r="M1" s="22" t="s">
        <v>288</v>
      </c>
      <c r="N1" s="23"/>
      <c r="O1" s="24"/>
      <c r="Q1" s="22" t="s">
        <v>289</v>
      </c>
      <c r="R1" s="23"/>
      <c r="S1" s="24"/>
    </row>
    <row r="2" spans="1:19" x14ac:dyDescent="0.35">
      <c r="A2" s="10" t="s">
        <v>41</v>
      </c>
      <c r="B2" s="11" t="s">
        <v>42</v>
      </c>
      <c r="C2" s="10" t="s">
        <v>43</v>
      </c>
      <c r="E2" s="13" t="s">
        <v>41</v>
      </c>
      <c r="F2" s="11" t="s">
        <v>42</v>
      </c>
      <c r="G2" s="10" t="s">
        <v>43</v>
      </c>
      <c r="I2" s="33" t="s">
        <v>41</v>
      </c>
      <c r="J2" s="33" t="s">
        <v>42</v>
      </c>
      <c r="K2" s="10" t="s">
        <v>43</v>
      </c>
      <c r="M2" s="13" t="s">
        <v>41</v>
      </c>
      <c r="N2" s="11" t="s">
        <v>42</v>
      </c>
      <c r="O2" s="10" t="s">
        <v>43</v>
      </c>
      <c r="Q2" s="13" t="s">
        <v>41</v>
      </c>
      <c r="R2" s="11" t="s">
        <v>42</v>
      </c>
      <c r="S2" s="10" t="s">
        <v>43</v>
      </c>
    </row>
    <row r="3" spans="1:19" x14ac:dyDescent="0.35">
      <c r="A3" s="6" t="s">
        <v>56</v>
      </c>
      <c r="B3" s="17">
        <f>Main!B11</f>
        <v>60.160730517711173</v>
      </c>
      <c r="C3" s="6" t="s">
        <v>44</v>
      </c>
    </row>
    <row r="4" spans="1:19" x14ac:dyDescent="0.35">
      <c r="A4" s="6" t="s">
        <v>57</v>
      </c>
      <c r="B4" s="18">
        <f>(2/3)*Main!B25*(1+Main!B17+Main!B17^2)/(1+Main!B17)</f>
        <v>4.4400754558792705</v>
      </c>
      <c r="C4" s="6" t="s">
        <v>45</v>
      </c>
      <c r="E4" s="12" t="s">
        <v>54</v>
      </c>
      <c r="I4" s="31" t="s">
        <v>54</v>
      </c>
      <c r="M4" s="12" t="s">
        <v>54</v>
      </c>
      <c r="Q4" s="12" t="s">
        <v>54</v>
      </c>
    </row>
    <row r="5" spans="1:19" x14ac:dyDescent="0.35">
      <c r="A5" s="6" t="s">
        <v>58</v>
      </c>
      <c r="B5">
        <f>Main!B9</f>
        <v>14.859</v>
      </c>
      <c r="C5" s="6" t="s">
        <v>45</v>
      </c>
      <c r="E5" s="7" t="s">
        <v>59</v>
      </c>
      <c r="F5" s="18">
        <f>_xlfn.FORECAST.LINEAR(F6,C21:C22,B21:B22)</f>
        <v>6.2066844235925176</v>
      </c>
      <c r="G5" s="6" t="s">
        <v>45</v>
      </c>
      <c r="I5" s="8" t="s">
        <v>59</v>
      </c>
      <c r="J5" s="8">
        <v>0</v>
      </c>
      <c r="K5" s="6" t="s">
        <v>45</v>
      </c>
      <c r="M5" s="7" t="s">
        <v>59</v>
      </c>
      <c r="N5">
        <f>'Tail Sizing'!C44</f>
        <v>11.420368626111392</v>
      </c>
      <c r="Q5" s="7" t="s">
        <v>59</v>
      </c>
      <c r="R5">
        <f>'Tail Sizing'!C56</f>
        <v>8.9644946873208262</v>
      </c>
    </row>
    <row r="6" spans="1:19" x14ac:dyDescent="0.35">
      <c r="E6" s="7" t="s">
        <v>60</v>
      </c>
      <c r="F6">
        <v>2.0066000000000002</v>
      </c>
      <c r="G6" s="6" t="s">
        <v>45</v>
      </c>
      <c r="I6" s="8" t="s">
        <v>60</v>
      </c>
      <c r="J6" s="8">
        <v>0</v>
      </c>
      <c r="K6" s="6" t="s">
        <v>45</v>
      </c>
      <c r="M6" s="7" t="s">
        <v>60</v>
      </c>
      <c r="N6">
        <f>'Tail Sizing'!B44</f>
        <v>2.0066000000000002</v>
      </c>
      <c r="Q6" s="7" t="s">
        <v>60</v>
      </c>
      <c r="R6">
        <f>'Tail Sizing'!B56</f>
        <v>0.96519999999999995</v>
      </c>
    </row>
    <row r="7" spans="1:19" x14ac:dyDescent="0.35">
      <c r="A7" s="6" t="s">
        <v>82</v>
      </c>
      <c r="B7" s="18">
        <f>Main!B14</f>
        <v>8.7872507261999999</v>
      </c>
      <c r="C7" s="6" t="s">
        <v>45</v>
      </c>
      <c r="E7" s="7" t="s">
        <v>61</v>
      </c>
      <c r="F7">
        <v>0</v>
      </c>
      <c r="G7" s="6" t="s">
        <v>45</v>
      </c>
      <c r="I7" s="8" t="s">
        <v>61</v>
      </c>
      <c r="J7" s="8">
        <v>0</v>
      </c>
      <c r="K7" s="6" t="s">
        <v>45</v>
      </c>
      <c r="M7" s="7" t="s">
        <v>61</v>
      </c>
      <c r="N7">
        <v>-0.1</v>
      </c>
      <c r="Q7" s="7" t="s">
        <v>61</v>
      </c>
      <c r="R7">
        <v>0</v>
      </c>
    </row>
    <row r="8" spans="1:19" x14ac:dyDescent="0.35">
      <c r="A8" s="6" t="s">
        <v>83</v>
      </c>
      <c r="B8">
        <v>0</v>
      </c>
      <c r="C8" s="6" t="s">
        <v>45</v>
      </c>
      <c r="E8" s="7" t="s">
        <v>63</v>
      </c>
      <c r="F8" s="18">
        <f>_xlfn.FORECAST.LINEAR(F6,C13:C14,B13:B14)</f>
        <v>5.0512513099979026</v>
      </c>
      <c r="G8" s="6" t="s">
        <v>45</v>
      </c>
      <c r="I8" s="8" t="s">
        <v>63</v>
      </c>
      <c r="J8" s="36">
        <v>12.954000000000001</v>
      </c>
      <c r="K8" s="6" t="s">
        <v>45</v>
      </c>
      <c r="M8" s="7" t="s">
        <v>63</v>
      </c>
      <c r="N8">
        <f>'Tail Sizing'!F19</f>
        <v>3.7713990438610216</v>
      </c>
      <c r="Q8" s="7" t="s">
        <v>63</v>
      </c>
      <c r="R8">
        <f>'Tail Sizing'!B19</f>
        <v>4.4068037584135729</v>
      </c>
    </row>
    <row r="9" spans="1:19" x14ac:dyDescent="0.35">
      <c r="A9" s="28" t="s">
        <v>84</v>
      </c>
      <c r="B9">
        <v>0</v>
      </c>
      <c r="C9" s="6" t="s">
        <v>45</v>
      </c>
      <c r="E9" s="7" t="s">
        <v>64</v>
      </c>
      <c r="F9">
        <v>0</v>
      </c>
      <c r="G9" s="6" t="s">
        <v>65</v>
      </c>
      <c r="I9" s="8" t="s">
        <v>64</v>
      </c>
      <c r="J9" s="8">
        <v>0</v>
      </c>
      <c r="K9" s="6" t="s">
        <v>65</v>
      </c>
      <c r="M9" s="7" t="s">
        <v>64</v>
      </c>
      <c r="N9">
        <v>0</v>
      </c>
      <c r="Q9" s="7" t="s">
        <v>64</v>
      </c>
      <c r="R9">
        <v>0</v>
      </c>
    </row>
    <row r="11" spans="1:19" x14ac:dyDescent="0.35">
      <c r="A11" s="25" t="s">
        <v>306</v>
      </c>
      <c r="B11" s="26"/>
      <c r="C11" s="27"/>
      <c r="E11" s="12" t="s">
        <v>55</v>
      </c>
      <c r="I11" s="31" t="s">
        <v>55</v>
      </c>
      <c r="M11" s="12" t="s">
        <v>55</v>
      </c>
      <c r="Q11" s="12" t="s">
        <v>55</v>
      </c>
    </row>
    <row r="12" spans="1:19" x14ac:dyDescent="0.35">
      <c r="B12" t="s">
        <v>129</v>
      </c>
      <c r="C12" s="6" t="s">
        <v>62</v>
      </c>
      <c r="E12" s="7" t="s">
        <v>59</v>
      </c>
      <c r="F12" s="18">
        <f>_xlfn.FORECAST.LINEAR(F13,C21:C22,B21:B22)</f>
        <v>8.5392877082839043</v>
      </c>
      <c r="G12" s="6" t="s">
        <v>45</v>
      </c>
      <c r="I12" s="8" t="s">
        <v>59</v>
      </c>
      <c r="J12" s="8">
        <v>4.9276</v>
      </c>
      <c r="K12" s="6" t="s">
        <v>45</v>
      </c>
      <c r="M12" s="7" t="s">
        <v>59</v>
      </c>
      <c r="N12">
        <f>'Tail Sizing'!C45</f>
        <v>14.560608214895325</v>
      </c>
      <c r="Q12" s="7" t="s">
        <v>59</v>
      </c>
      <c r="R12">
        <f>'Tail Sizing'!C57</f>
        <v>11.829603065411572</v>
      </c>
    </row>
    <row r="13" spans="1:19" x14ac:dyDescent="0.35">
      <c r="A13" s="6" t="s">
        <v>302</v>
      </c>
      <c r="B13">
        <v>0</v>
      </c>
      <c r="C13" s="6">
        <f>Main!B25</f>
        <v>6.2288828337874653</v>
      </c>
      <c r="E13" s="7" t="s">
        <v>60</v>
      </c>
      <c r="F13" s="18">
        <v>5.3339999999999996</v>
      </c>
      <c r="G13" s="6" t="s">
        <v>45</v>
      </c>
      <c r="I13" s="8" t="s">
        <v>60</v>
      </c>
      <c r="J13" s="35">
        <v>0.97536</v>
      </c>
      <c r="K13" s="6" t="s">
        <v>45</v>
      </c>
      <c r="M13" s="7" t="s">
        <v>60</v>
      </c>
      <c r="N13">
        <f>'Tail Sizing'!B45</f>
        <v>5.6837140677644964</v>
      </c>
      <c r="Q13" s="7" t="s">
        <v>60</v>
      </c>
      <c r="R13">
        <f>'Tail Sizing'!B57</f>
        <v>2.0956117397955296</v>
      </c>
    </row>
    <row r="14" spans="1:19" x14ac:dyDescent="0.35">
      <c r="A14" s="6" t="s">
        <v>303</v>
      </c>
      <c r="B14">
        <f>Main!B9/2</f>
        <v>7.4295</v>
      </c>
      <c r="C14" s="6">
        <f>Main!B26</f>
        <v>1.8686648501362395</v>
      </c>
      <c r="E14" s="7" t="s">
        <v>61</v>
      </c>
      <c r="F14">
        <v>0</v>
      </c>
      <c r="G14" s="6" t="s">
        <v>45</v>
      </c>
      <c r="I14" s="8" t="s">
        <v>61</v>
      </c>
      <c r="J14" s="8">
        <v>0</v>
      </c>
      <c r="K14" s="6" t="s">
        <v>45</v>
      </c>
      <c r="M14" s="7" t="s">
        <v>61</v>
      </c>
      <c r="N14">
        <v>-0.1</v>
      </c>
      <c r="Q14" s="7" t="s">
        <v>61</v>
      </c>
      <c r="R14">
        <f>('Tail Sizing'!B57-'Tail Sizing'!B56)/TAN((90-'Tail Sizing'!B10)*PI()/180)</f>
        <v>3.1057807297746325</v>
      </c>
    </row>
    <row r="15" spans="1:19" x14ac:dyDescent="0.35">
      <c r="E15" s="7" t="s">
        <v>63</v>
      </c>
      <c r="F15" s="18">
        <f>_xlfn.FORECAST.LINEAR(F13,C13:C14,B13:B14)</f>
        <v>3.0984699224481234</v>
      </c>
      <c r="G15" s="6" t="s">
        <v>45</v>
      </c>
      <c r="I15" s="8" t="s">
        <v>63</v>
      </c>
      <c r="J15" s="35">
        <v>8.0262729999999998</v>
      </c>
      <c r="K15" s="6" t="s">
        <v>45</v>
      </c>
      <c r="M15" s="7" t="s">
        <v>63</v>
      </c>
      <c r="N15">
        <f>'Tail Sizing'!F20</f>
        <v>1.1314197131583064</v>
      </c>
      <c r="Q15" s="7" t="s">
        <v>63</v>
      </c>
      <c r="R15">
        <f>'Tail Sizing'!B20</f>
        <v>2.2034018792067864</v>
      </c>
    </row>
    <row r="16" spans="1:19" x14ac:dyDescent="0.35">
      <c r="B16" t="s">
        <v>129</v>
      </c>
      <c r="C16" s="6" t="s">
        <v>304</v>
      </c>
      <c r="E16" s="7" t="s">
        <v>64</v>
      </c>
      <c r="F16" s="18">
        <f>_xlfn.FORECAST.LINEAR(F13,C17:C18,B17:B18)</f>
        <v>-1.6566744730679157</v>
      </c>
      <c r="G16" s="6" t="s">
        <v>65</v>
      </c>
      <c r="I16" s="8" t="s">
        <v>64</v>
      </c>
      <c r="J16" s="8">
        <v>0</v>
      </c>
      <c r="K16" s="6" t="s">
        <v>65</v>
      </c>
      <c r="M16" s="7" t="s">
        <v>64</v>
      </c>
      <c r="N16">
        <v>0</v>
      </c>
      <c r="Q16" s="7" t="s">
        <v>64</v>
      </c>
      <c r="R16">
        <v>0</v>
      </c>
    </row>
    <row r="17" spans="1:11" x14ac:dyDescent="0.35">
      <c r="A17" s="6" t="s">
        <v>305</v>
      </c>
      <c r="B17">
        <f>F6</f>
        <v>2.0066000000000002</v>
      </c>
      <c r="C17" s="6">
        <v>0</v>
      </c>
    </row>
    <row r="18" spans="1:11" x14ac:dyDescent="0.35">
      <c r="A18" s="6" t="s">
        <v>303</v>
      </c>
      <c r="B18" s="17">
        <f>F27</f>
        <v>7.4295</v>
      </c>
      <c r="C18" s="6">
        <f>F30</f>
        <v>-2.7</v>
      </c>
      <c r="E18" s="12" t="s">
        <v>277</v>
      </c>
      <c r="I18" s="31" t="s">
        <v>277</v>
      </c>
    </row>
    <row r="19" spans="1:11" x14ac:dyDescent="0.35">
      <c r="E19" s="7" t="s">
        <v>59</v>
      </c>
      <c r="F19" s="17">
        <f>_xlfn.FORECAST.LINEAR(F20,C21:C22,B21:B22)</f>
        <v>9.7478789139970949</v>
      </c>
      <c r="G19" s="6" t="s">
        <v>45</v>
      </c>
      <c r="I19" s="8" t="s">
        <v>59</v>
      </c>
      <c r="J19" s="35">
        <v>4.0716200000000002</v>
      </c>
      <c r="K19" s="6" t="s">
        <v>45</v>
      </c>
    </row>
    <row r="20" spans="1:11" x14ac:dyDescent="0.35">
      <c r="B20" t="s">
        <v>129</v>
      </c>
      <c r="C20" s="6" t="s">
        <v>259</v>
      </c>
      <c r="E20" s="7" t="s">
        <v>60</v>
      </c>
      <c r="F20" s="18">
        <f>0.95*Main!B9/2</f>
        <v>7.0580249999999998</v>
      </c>
      <c r="G20" s="6" t="s">
        <v>45</v>
      </c>
      <c r="I20" s="8" t="s">
        <v>60</v>
      </c>
      <c r="J20" s="8">
        <v>2.0066000000000002</v>
      </c>
      <c r="K20" s="6" t="s">
        <v>45</v>
      </c>
    </row>
    <row r="21" spans="1:11" x14ac:dyDescent="0.35">
      <c r="A21" s="6" t="s">
        <v>302</v>
      </c>
      <c r="B21">
        <v>0</v>
      </c>
      <c r="C21" s="6">
        <f>Main!B20</f>
        <v>4.8</v>
      </c>
      <c r="E21" s="7" t="s">
        <v>61</v>
      </c>
      <c r="F21">
        <v>0</v>
      </c>
      <c r="G21" s="6" t="s">
        <v>45</v>
      </c>
      <c r="I21" s="8" t="s">
        <v>61</v>
      </c>
      <c r="J21" s="8">
        <v>0</v>
      </c>
      <c r="K21" s="6" t="s">
        <v>45</v>
      </c>
    </row>
    <row r="22" spans="1:11" x14ac:dyDescent="0.35">
      <c r="A22" s="6" t="s">
        <v>303</v>
      </c>
      <c r="B22">
        <f>Main!B9/2</f>
        <v>7.4295</v>
      </c>
      <c r="C22" s="6">
        <f>C21+0.25*(Main!B25-Main!B26)+(Main!B9/2)*TAN(Main!B18*PI()/180)</f>
        <v>10.008293593681152</v>
      </c>
      <c r="E22" s="7" t="s">
        <v>63</v>
      </c>
      <c r="F22" s="18">
        <f>_xlfn.FORECAST.LINEAR(F20,C13:C14,B13:B14)</f>
        <v>2.0866757493188004</v>
      </c>
      <c r="G22" s="6" t="s">
        <v>45</v>
      </c>
      <c r="I22" s="8" t="s">
        <v>63</v>
      </c>
      <c r="J22" s="8">
        <v>10.922000000000001</v>
      </c>
      <c r="K22" s="6" t="s">
        <v>45</v>
      </c>
    </row>
    <row r="23" spans="1:11" x14ac:dyDescent="0.35">
      <c r="E23" s="7" t="s">
        <v>64</v>
      </c>
      <c r="F23" s="18">
        <f>_xlfn.FORECAST.LINEAR(F20,C17:C18,B17:B18)</f>
        <v>-2.5150468384074944</v>
      </c>
      <c r="G23" s="6" t="s">
        <v>65</v>
      </c>
      <c r="I23" s="8" t="s">
        <v>64</v>
      </c>
      <c r="J23" s="8">
        <v>0</v>
      </c>
      <c r="K23" s="6" t="s">
        <v>65</v>
      </c>
    </row>
    <row r="25" spans="1:11" x14ac:dyDescent="0.35">
      <c r="E25" s="12" t="s">
        <v>278</v>
      </c>
    </row>
    <row r="26" spans="1:11" x14ac:dyDescent="0.35">
      <c r="E26" s="7" t="s">
        <v>59</v>
      </c>
      <c r="F26" s="17">
        <f>C22</f>
        <v>10.008293593681152</v>
      </c>
      <c r="G26" s="6" t="s">
        <v>45</v>
      </c>
    </row>
    <row r="27" spans="1:11" x14ac:dyDescent="0.35">
      <c r="E27" s="7" t="s">
        <v>60</v>
      </c>
      <c r="F27" s="18">
        <f>Main!B9/2</f>
        <v>7.4295</v>
      </c>
      <c r="G27" s="6" t="s">
        <v>45</v>
      </c>
    </row>
    <row r="28" spans="1:11" x14ac:dyDescent="0.35">
      <c r="E28" s="7" t="s">
        <v>61</v>
      </c>
      <c r="F28">
        <v>0</v>
      </c>
      <c r="G28" s="6" t="s">
        <v>45</v>
      </c>
    </row>
    <row r="29" spans="1:11" x14ac:dyDescent="0.35">
      <c r="E29" s="7" t="s">
        <v>63</v>
      </c>
      <c r="F29" s="18">
        <f>Main!B26</f>
        <v>1.8686648501362395</v>
      </c>
      <c r="G29" s="6" t="s">
        <v>45</v>
      </c>
    </row>
    <row r="30" spans="1:11" x14ac:dyDescent="0.35">
      <c r="E30" s="7" t="s">
        <v>64</v>
      </c>
      <c r="F30">
        <f>Main!B19</f>
        <v>-2.7</v>
      </c>
      <c r="G30" s="6" t="s">
        <v>65</v>
      </c>
    </row>
  </sheetData>
  <mergeCells count="6">
    <mergeCell ref="A11:C11"/>
    <mergeCell ref="A1:C1"/>
    <mergeCell ref="E1:G1"/>
    <mergeCell ref="I1:K1"/>
    <mergeCell ref="M1:O1"/>
    <mergeCell ref="Q1:S1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Normal="100" workbookViewId="0">
      <selection activeCell="A2" sqref="A2"/>
    </sheetView>
  </sheetViews>
  <sheetFormatPr defaultRowHeight="14.5" x14ac:dyDescent="0.35"/>
  <sheetData>
    <row r="1" spans="1:9" x14ac:dyDescent="0.35">
      <c r="A1" t="s">
        <v>38</v>
      </c>
      <c r="B1" t="s">
        <v>27</v>
      </c>
      <c r="C1" t="s">
        <v>28</v>
      </c>
      <c r="D1" t="s">
        <v>29</v>
      </c>
      <c r="E1" t="s">
        <v>31</v>
      </c>
      <c r="F1" t="s">
        <v>30</v>
      </c>
      <c r="G1" t="s">
        <v>40</v>
      </c>
      <c r="I1" t="s">
        <v>39</v>
      </c>
    </row>
    <row r="2" spans="1:9" x14ac:dyDescent="0.35">
      <c r="A2" s="14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4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4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4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4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4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4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4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280</v>
      </c>
      <c r="C15" t="s">
        <v>280</v>
      </c>
      <c r="D15" t="s">
        <v>281</v>
      </c>
      <c r="E15" t="s">
        <v>280</v>
      </c>
      <c r="F15" t="s">
        <v>281</v>
      </c>
      <c r="G15" t="s">
        <v>281</v>
      </c>
      <c r="I15" t="s">
        <v>281</v>
      </c>
    </row>
    <row r="17" spans="1:9" x14ac:dyDescent="0.35">
      <c r="B17" t="s">
        <v>27</v>
      </c>
      <c r="C17" t="s">
        <v>28</v>
      </c>
      <c r="D17" t="s">
        <v>29</v>
      </c>
      <c r="E17" t="s">
        <v>31</v>
      </c>
      <c r="F17" t="s">
        <v>30</v>
      </c>
      <c r="G17" t="s">
        <v>40</v>
      </c>
      <c r="I17" t="s">
        <v>39</v>
      </c>
    </row>
    <row r="18" spans="1:9" x14ac:dyDescent="0.35">
      <c r="A18" t="s">
        <v>67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I18" s="14">
        <v>0</v>
      </c>
    </row>
    <row r="19" spans="1:9" x14ac:dyDescent="0.35">
      <c r="A19" t="s">
        <v>279</v>
      </c>
      <c r="B19" s="14">
        <v>7.6E-3</v>
      </c>
      <c r="C19" s="14">
        <v>-1E-3</v>
      </c>
      <c r="D19" s="14">
        <v>0</v>
      </c>
      <c r="E19" s="14">
        <v>-8.9999999999999998E-4</v>
      </c>
      <c r="F19" s="14">
        <v>2.0000000000000001E-9</v>
      </c>
      <c r="G19" s="14">
        <v>3E-11</v>
      </c>
      <c r="I19" s="14">
        <v>0</v>
      </c>
    </row>
    <row r="20" spans="1:9" x14ac:dyDescent="0.35">
      <c r="A20" t="s">
        <v>68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981A-988A-405D-BC2A-FAD796EA5D70}">
  <sheetPr codeName="Sheet6"/>
  <dimension ref="B2:F10"/>
  <sheetViews>
    <sheetView workbookViewId="0">
      <selection activeCell="C6" sqref="C6"/>
    </sheetView>
  </sheetViews>
  <sheetFormatPr defaultRowHeight="14.5" x14ac:dyDescent="0.35"/>
  <cols>
    <col min="3" max="3" width="9" bestFit="1" customWidth="1"/>
    <col min="6" max="6" width="8.7265625" customWidth="1"/>
  </cols>
  <sheetData>
    <row r="2" spans="2:6" x14ac:dyDescent="0.35">
      <c r="B2" t="s">
        <v>359</v>
      </c>
      <c r="C2" s="14">
        <f>Main!B4*Main!B5*'Tail Sizing'!B28/Main!B6</f>
        <v>18031020.954427626</v>
      </c>
      <c r="E2" t="s">
        <v>365</v>
      </c>
      <c r="F2" s="14">
        <f>Main!B4*Main!B5*'Tail Sizing'!F28/Main!B6</f>
        <v>14142420.688749161</v>
      </c>
    </row>
    <row r="3" spans="2:6" x14ac:dyDescent="0.35">
      <c r="B3" t="s">
        <v>360</v>
      </c>
      <c r="C3">
        <v>0.84</v>
      </c>
      <c r="E3" t="s">
        <v>366</v>
      </c>
      <c r="F3">
        <v>0.84</v>
      </c>
    </row>
    <row r="4" spans="2:6" x14ac:dyDescent="0.35">
      <c r="B4" t="s">
        <v>361</v>
      </c>
      <c r="C4" s="14">
        <f>0.455/(LOG10(C2)^2.58*(1+0.44*C3^2)^0.65)</f>
        <v>2.2965874138711176E-3</v>
      </c>
      <c r="E4" t="s">
        <v>367</v>
      </c>
      <c r="F4" s="14">
        <f>0.455/(LOG10(F2)^2.58*(1+0.44*F3^2)^0.65)</f>
        <v>2.3850276747709237E-3</v>
      </c>
    </row>
    <row r="5" spans="2:6" x14ac:dyDescent="0.35">
      <c r="B5" t="s">
        <v>362</v>
      </c>
      <c r="C5">
        <f>(1+0.6/0.5*0.04+100*0.04^4)*(1.34*C3^0.18*(COS(2*('Tail Sizing'!O7-'Tail Sizing'!B22)*PI()/180))^0.28)</f>
        <v>1.3530887937807647</v>
      </c>
      <c r="E5" t="s">
        <v>368</v>
      </c>
      <c r="F5">
        <f>(1+0.6/0.5*0.04+100*0.04^4)*(1.34*F3^0.18*(COS(2*('Tail Sizing'!O6-'Tail Sizing'!B22)*PI()/180))^0.28)</f>
        <v>1.3542217691391196</v>
      </c>
    </row>
    <row r="6" spans="2:6" x14ac:dyDescent="0.35">
      <c r="B6" t="s">
        <v>363</v>
      </c>
      <c r="C6">
        <v>1.05</v>
      </c>
      <c r="E6" t="s">
        <v>369</v>
      </c>
      <c r="F6">
        <v>1.05</v>
      </c>
    </row>
    <row r="7" spans="2:6" x14ac:dyDescent="0.35">
      <c r="B7" t="s">
        <v>364</v>
      </c>
      <c r="C7">
        <f>2*'Tail Sizing'!B8</f>
        <v>41.059698578337873</v>
      </c>
      <c r="E7" t="s">
        <v>370</v>
      </c>
      <c r="F7">
        <f>2*'Tail Sizing'!F8</f>
        <v>36.056447646270826</v>
      </c>
    </row>
    <row r="8" spans="2:6" x14ac:dyDescent="0.35">
      <c r="B8" t="s">
        <v>356</v>
      </c>
      <c r="C8" s="14">
        <f>(1/BuildAVL!B3)*(C4*C5*C6*C7)</f>
        <v>2.2269026518347505E-3</v>
      </c>
      <c r="E8" t="s">
        <v>357</v>
      </c>
      <c r="F8" s="14">
        <f>(1/BuildAVL!B3)*(F4*F5*F6*F7)</f>
        <v>2.0325551974167558E-3</v>
      </c>
    </row>
    <row r="10" spans="2:6" x14ac:dyDescent="0.35">
      <c r="B10" t="s">
        <v>358</v>
      </c>
      <c r="C10" s="14">
        <f>2*C8+2*F8</f>
        <v>8.5189156985030125E-3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Z19"/>
  <sheetViews>
    <sheetView workbookViewId="0">
      <selection activeCell="A13" sqref="A13"/>
    </sheetView>
  </sheetViews>
  <sheetFormatPr defaultRowHeight="14.5" x14ac:dyDescent="0.35"/>
  <cols>
    <col min="2" max="2" width="9.1796875" customWidth="1"/>
    <col min="8" max="8" width="9.1796875" style="6"/>
    <col min="10" max="26" width="8.7265625" style="39"/>
  </cols>
  <sheetData>
    <row r="1" spans="1:9" x14ac:dyDescent="0.35">
      <c r="A1" s="21" t="s">
        <v>53</v>
      </c>
      <c r="B1" s="20"/>
      <c r="C1" s="20"/>
      <c r="D1" s="20"/>
      <c r="E1" s="20"/>
      <c r="F1" s="20"/>
      <c r="G1" s="20"/>
      <c r="H1" s="20"/>
      <c r="I1" s="8"/>
    </row>
    <row r="3" spans="1:9" x14ac:dyDescent="0.35">
      <c r="A3" s="29" t="s">
        <v>54</v>
      </c>
      <c r="B3" s="29"/>
      <c r="C3" s="29"/>
      <c r="D3" s="29"/>
      <c r="E3" s="29"/>
      <c r="F3" s="29"/>
      <c r="G3" s="29"/>
      <c r="H3" s="30"/>
    </row>
    <row r="4" spans="1:9" x14ac:dyDescent="0.35">
      <c r="A4" t="s">
        <v>38</v>
      </c>
      <c r="B4" t="s">
        <v>27</v>
      </c>
      <c r="C4" t="s">
        <v>28</v>
      </c>
      <c r="D4" t="s">
        <v>29</v>
      </c>
      <c r="E4" t="s">
        <v>31</v>
      </c>
      <c r="F4" t="s">
        <v>30</v>
      </c>
      <c r="G4" t="s">
        <v>40</v>
      </c>
      <c r="H4" s="6" t="s">
        <v>39</v>
      </c>
    </row>
    <row r="5" spans="1:9" x14ac:dyDescent="0.35">
      <c r="A5" s="14">
        <f>Main!B4*Main!B5*BuildAVL!F8/Main!B6</f>
        <v>26572967.259834275</v>
      </c>
      <c r="B5" s="14">
        <f>'CDCL(Re)'!$B$19*LN(CruiseCDCL!A5)+'CDCL(Re)'!$B$20</f>
        <v>-0.2607749220868395</v>
      </c>
      <c r="C5" s="14">
        <f>'CDCL(Re)'!$C$19*LN(CruiseCDCL!A5)+'CDCL(Re)'!$C$20</f>
        <v>1.2404595011426246E-2</v>
      </c>
      <c r="D5" s="14">
        <f>'CDCL(Re)'!$D$20</f>
        <v>-1.3083465385194809E-2</v>
      </c>
      <c r="E5" s="14">
        <f>'CDCL(Re)'!$E$19*LN(CruiseCDCL!A5)+'CDCL(Re)'!$E$20</f>
        <v>6.5141355102836234E-3</v>
      </c>
      <c r="F5" s="14">
        <f>'CDCL(Re)'!$F$19*CruiseCDCL!A5+'CDCL(Re)'!$F$20</f>
        <v>0.64284593451966854</v>
      </c>
      <c r="G5" s="14">
        <f>'CDCL(Re)'!$G$19*CruiseCDCL!A5+'CDCL(Re)'!$G$20</f>
        <v>1.3597189017795028E-2</v>
      </c>
      <c r="H5" s="16">
        <v>1</v>
      </c>
    </row>
    <row r="6" spans="1:9" x14ac:dyDescent="0.35">
      <c r="A6" s="14"/>
      <c r="B6" s="14"/>
      <c r="C6" s="14"/>
      <c r="D6" s="14"/>
      <c r="E6" s="14"/>
      <c r="F6" s="14"/>
      <c r="G6" s="14"/>
      <c r="H6" s="16"/>
    </row>
    <row r="7" spans="1:9" x14ac:dyDescent="0.35">
      <c r="A7" s="42" t="s">
        <v>55</v>
      </c>
      <c r="B7" s="42"/>
      <c r="C7" s="42"/>
      <c r="D7" s="42"/>
      <c r="E7" s="42"/>
      <c r="F7" s="42"/>
      <c r="G7" s="42"/>
      <c r="H7" s="43"/>
    </row>
    <row r="8" spans="1:9" x14ac:dyDescent="0.35">
      <c r="A8" s="14" t="s">
        <v>38</v>
      </c>
      <c r="B8" s="14" t="s">
        <v>27</v>
      </c>
      <c r="C8" s="14" t="s">
        <v>28</v>
      </c>
      <c r="D8" s="14" t="s">
        <v>29</v>
      </c>
      <c r="E8" s="14" t="s">
        <v>31</v>
      </c>
      <c r="F8" s="14" t="s">
        <v>30</v>
      </c>
      <c r="G8" s="14" t="s">
        <v>40</v>
      </c>
      <c r="H8" s="16" t="s">
        <v>39</v>
      </c>
    </row>
    <row r="9" spans="1:9" x14ac:dyDescent="0.35">
      <c r="A9" s="14">
        <f>Main!B4*Main!B5*BuildAVL!F15/Main!B6</f>
        <v>16300028.399265967</v>
      </c>
      <c r="B9" s="14">
        <f>'CDCL(Re)'!$B$19*LN(CruiseCDCL!A9)+'CDCL(Re)'!$B$20</f>
        <v>-0.26448925169873083</v>
      </c>
      <c r="C9" s="14">
        <f>'CDCL(Re)'!$C$19*LN(CruiseCDCL!A9)+'CDCL(Re)'!$C$20</f>
        <v>1.2893322591938271E-2</v>
      </c>
      <c r="D9" s="14">
        <f>'CDCL(Re)'!$D$20</f>
        <v>-1.3083465385194809E-2</v>
      </c>
      <c r="E9" s="14">
        <f>'CDCL(Re)'!$E$19*LN(CruiseCDCL!A9)+'CDCL(Re)'!$E$20</f>
        <v>6.953990332744445E-3</v>
      </c>
      <c r="F9" s="14">
        <f>'CDCL(Re)'!$F$19*CruiseCDCL!A9+'CDCL(Re)'!$F$20</f>
        <v>0.62230005679853195</v>
      </c>
      <c r="G9" s="14">
        <f>'CDCL(Re)'!$G$19*CruiseCDCL!A9+'CDCL(Re)'!$G$20</f>
        <v>1.328900085197798E-2</v>
      </c>
      <c r="H9" s="16">
        <v>1</v>
      </c>
    </row>
    <row r="10" spans="1:9" x14ac:dyDescent="0.35">
      <c r="A10" s="14"/>
      <c r="B10" s="14"/>
      <c r="C10" s="14"/>
      <c r="D10" s="14"/>
      <c r="E10" s="14"/>
      <c r="F10" s="14"/>
      <c r="G10" s="14"/>
      <c r="H10" s="16"/>
    </row>
    <row r="11" spans="1:9" x14ac:dyDescent="0.35">
      <c r="A11" s="42" t="s">
        <v>277</v>
      </c>
      <c r="B11" s="42"/>
      <c r="C11" s="42"/>
      <c r="D11" s="42"/>
      <c r="E11" s="42"/>
      <c r="F11" s="42"/>
      <c r="G11" s="42"/>
      <c r="H11" s="43"/>
    </row>
    <row r="12" spans="1:9" x14ac:dyDescent="0.35">
      <c r="A12" s="14" t="s">
        <v>38</v>
      </c>
      <c r="B12" s="14" t="s">
        <v>27</v>
      </c>
      <c r="C12" s="14" t="s">
        <v>28</v>
      </c>
      <c r="D12" s="14" t="s">
        <v>29</v>
      </c>
      <c r="E12" s="14" t="s">
        <v>31</v>
      </c>
      <c r="F12" s="14" t="s">
        <v>30</v>
      </c>
      <c r="G12" s="14" t="s">
        <v>40</v>
      </c>
      <c r="H12" s="16" t="s">
        <v>39</v>
      </c>
    </row>
    <row r="13" spans="1:9" x14ac:dyDescent="0.35">
      <c r="A13" s="14">
        <f>Main!B4*Main!B5*BuildAVL!F22/Main!B6</f>
        <v>10977312.940021126</v>
      </c>
      <c r="B13" s="14">
        <f>'CDCL(Re)'!$B$19*LN(CruiseCDCL!A13)+'CDCL(Re)'!$B$20</f>
        <v>-0.26749380656866584</v>
      </c>
      <c r="C13" s="14">
        <f>'CDCL(Re)'!$C$19*LN(CruiseCDCL!A13)+'CDCL(Re)'!$C$20</f>
        <v>1.3288658759034976E-2</v>
      </c>
      <c r="D13" s="14">
        <f>'CDCL(Re)'!$D$20</f>
        <v>-1.3083465385194809E-2</v>
      </c>
      <c r="E13" s="14">
        <f>'CDCL(Re)'!$E$19*LN(CruiseCDCL!A13)+'CDCL(Re)'!$E$20</f>
        <v>7.3097928831314784E-3</v>
      </c>
      <c r="F13" s="14">
        <f>'CDCL(Re)'!$F$19*CruiseCDCL!A13+'CDCL(Re)'!$F$20</f>
        <v>0.61165462588004227</v>
      </c>
      <c r="G13" s="14">
        <f>'CDCL(Re)'!$G$19*CruiseCDCL!A13+'CDCL(Re)'!$G$20</f>
        <v>1.3129319388200635E-2</v>
      </c>
      <c r="H13" s="16">
        <v>1</v>
      </c>
    </row>
    <row r="14" spans="1:9" x14ac:dyDescent="0.35">
      <c r="A14" s="14"/>
      <c r="B14" s="14"/>
      <c r="C14" s="14"/>
      <c r="D14" s="14"/>
      <c r="E14" s="14"/>
      <c r="F14" s="14"/>
      <c r="G14" s="14"/>
      <c r="H14" s="16"/>
    </row>
    <row r="15" spans="1:9" x14ac:dyDescent="0.35">
      <c r="A15" s="42" t="s">
        <v>278</v>
      </c>
      <c r="B15" s="42"/>
      <c r="C15" s="42"/>
      <c r="D15" s="42"/>
      <c r="E15" s="42"/>
      <c r="F15" s="42"/>
      <c r="G15" s="42"/>
      <c r="H15" s="43"/>
    </row>
    <row r="16" spans="1:9" x14ac:dyDescent="0.35">
      <c r="A16" s="14" t="s">
        <v>38</v>
      </c>
      <c r="B16" s="14" t="s">
        <v>27</v>
      </c>
      <c r="C16" s="14" t="s">
        <v>28</v>
      </c>
      <c r="D16" s="14" t="s">
        <v>29</v>
      </c>
      <c r="E16" s="14" t="s">
        <v>31</v>
      </c>
      <c r="F16" s="14" t="s">
        <v>30</v>
      </c>
      <c r="G16" s="14" t="s">
        <v>40</v>
      </c>
      <c r="H16" s="16" t="s">
        <v>39</v>
      </c>
    </row>
    <row r="17" spans="1:8" x14ac:dyDescent="0.35">
      <c r="A17" s="14">
        <f>Main!B4*Main!B5*BuildAVL!F29/Main!B6</f>
        <v>9830429.4985263832</v>
      </c>
      <c r="B17" s="14">
        <f>'CDCL(Re)'!$B$19*LN(CruiseCDCL!A17)+'CDCL(Re)'!$B$20</f>
        <v>-0.26833245180314924</v>
      </c>
      <c r="C17" s="14">
        <f>'CDCL(Re)'!$C$19*LN(CruiseCDCL!A17)+'CDCL(Re)'!$C$20</f>
        <v>1.3399006816203842E-2</v>
      </c>
      <c r="D17" s="14">
        <f>'CDCL(Re)'!$D$20</f>
        <v>-1.3083465385194809E-2</v>
      </c>
      <c r="E17" s="14">
        <f>'CDCL(Re)'!$E$19*LN(CruiseCDCL!A17)+'CDCL(Re)'!$E$20</f>
        <v>7.4091061345834593E-3</v>
      </c>
      <c r="F17" s="14">
        <f>'CDCL(Re)'!$F$19*CruiseCDCL!A17+'CDCL(Re)'!$F$20</f>
        <v>0.60936085899705272</v>
      </c>
      <c r="G17" s="14">
        <f>'CDCL(Re)'!$G$19*CruiseCDCL!A17+'CDCL(Re)'!$G$20</f>
        <v>1.3094912884955793E-2</v>
      </c>
      <c r="H17" s="16">
        <v>1</v>
      </c>
    </row>
    <row r="19" spans="1:8" x14ac:dyDescent="0.35">
      <c r="A19" s="34"/>
      <c r="B19" s="34"/>
      <c r="C19" s="34"/>
      <c r="D19" s="34"/>
      <c r="E19" s="34"/>
      <c r="F19" s="34"/>
      <c r="G19" s="34"/>
      <c r="H19" s="41"/>
    </row>
  </sheetData>
  <mergeCells count="5">
    <mergeCell ref="A15:H15"/>
    <mergeCell ref="A1:H1"/>
    <mergeCell ref="A3:H3"/>
    <mergeCell ref="A7:H7"/>
    <mergeCell ref="A11:H1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P72"/>
  <sheetViews>
    <sheetView topLeftCell="A31" workbookViewId="0">
      <selection activeCell="I26" sqref="I26"/>
    </sheetView>
  </sheetViews>
  <sheetFormatPr defaultRowHeight="14.5" x14ac:dyDescent="0.35"/>
  <sheetData>
    <row r="1" spans="1:9" x14ac:dyDescent="0.35">
      <c r="A1" t="s">
        <v>69</v>
      </c>
    </row>
    <row r="2" spans="1:9" x14ac:dyDescent="0.35">
      <c r="A2" t="s">
        <v>70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</row>
    <row r="4" spans="1:9" x14ac:dyDescent="0.35">
      <c r="A4" t="s">
        <v>76</v>
      </c>
      <c r="B4" t="s">
        <v>309</v>
      </c>
    </row>
    <row r="5" spans="1:9" x14ac:dyDescent="0.35">
      <c r="A5" t="s">
        <v>77</v>
      </c>
      <c r="B5" t="s">
        <v>78</v>
      </c>
      <c r="C5" t="s">
        <v>79</v>
      </c>
      <c r="D5">
        <v>8</v>
      </c>
    </row>
    <row r="6" spans="1:9" x14ac:dyDescent="0.35">
      <c r="A6" t="s">
        <v>77</v>
      </c>
      <c r="B6" t="s">
        <v>80</v>
      </c>
      <c r="C6" t="s">
        <v>79</v>
      </c>
      <c r="D6">
        <v>140</v>
      </c>
    </row>
    <row r="7" spans="1:9" x14ac:dyDescent="0.35">
      <c r="A7" t="s">
        <v>77</v>
      </c>
      <c r="B7" t="s">
        <v>81</v>
      </c>
      <c r="C7">
        <f>1600</f>
        <v>1600</v>
      </c>
    </row>
    <row r="9" spans="1:9" x14ac:dyDescent="0.35">
      <c r="A9" t="s">
        <v>56</v>
      </c>
      <c r="B9" t="s">
        <v>79</v>
      </c>
      <c r="C9" s="14">
        <v>60.161000000000001</v>
      </c>
      <c r="D9" t="s">
        <v>57</v>
      </c>
      <c r="E9" t="s">
        <v>79</v>
      </c>
      <c r="F9" s="14">
        <v>4.4401000000000002</v>
      </c>
      <c r="G9" t="s">
        <v>58</v>
      </c>
      <c r="H9" t="s">
        <v>79</v>
      </c>
      <c r="I9">
        <v>14.859</v>
      </c>
    </row>
    <row r="10" spans="1:9" x14ac:dyDescent="0.35">
      <c r="A10" t="s">
        <v>82</v>
      </c>
      <c r="B10" t="s">
        <v>79</v>
      </c>
      <c r="C10">
        <v>8.7873000000000001</v>
      </c>
      <c r="D10" t="s">
        <v>83</v>
      </c>
      <c r="E10" t="s">
        <v>79</v>
      </c>
      <c r="F10">
        <v>0</v>
      </c>
      <c r="G10" t="s">
        <v>84</v>
      </c>
      <c r="H10" t="s">
        <v>79</v>
      </c>
      <c r="I10">
        <v>0</v>
      </c>
    </row>
    <row r="12" spans="1:9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4" spans="1:9" x14ac:dyDescent="0.35">
      <c r="A14" t="s">
        <v>91</v>
      </c>
      <c r="B14" t="s">
        <v>92</v>
      </c>
      <c r="C14" t="s">
        <v>93</v>
      </c>
    </row>
    <row r="16" spans="1:9" x14ac:dyDescent="0.35">
      <c r="A16" t="s">
        <v>94</v>
      </c>
      <c r="B16" t="s">
        <v>79</v>
      </c>
      <c r="C16">
        <v>4.8227399999999996</v>
      </c>
      <c r="D16" t="s">
        <v>95</v>
      </c>
      <c r="E16" t="s">
        <v>79</v>
      </c>
      <c r="F16">
        <v>0</v>
      </c>
      <c r="G16" t="s">
        <v>96</v>
      </c>
      <c r="H16" t="s">
        <v>79</v>
      </c>
      <c r="I16">
        <v>0</v>
      </c>
    </row>
    <row r="17" spans="1:9" x14ac:dyDescent="0.35">
      <c r="A17" t="s">
        <v>97</v>
      </c>
      <c r="B17" t="s">
        <v>79</v>
      </c>
      <c r="C17">
        <v>0</v>
      </c>
      <c r="D17" t="s">
        <v>98</v>
      </c>
      <c r="E17" t="s">
        <v>79</v>
      </c>
      <c r="F17">
        <v>0</v>
      </c>
    </row>
    <row r="18" spans="1:9" x14ac:dyDescent="0.35">
      <c r="A18" t="s">
        <v>99</v>
      </c>
      <c r="B18" t="s">
        <v>79</v>
      </c>
      <c r="C18">
        <v>0.84</v>
      </c>
      <c r="D18" t="s">
        <v>100</v>
      </c>
      <c r="E18" t="s">
        <v>79</v>
      </c>
      <c r="F18">
        <v>0</v>
      </c>
      <c r="G18" t="s">
        <v>101</v>
      </c>
      <c r="H18" t="s">
        <v>79</v>
      </c>
      <c r="I18">
        <v>0</v>
      </c>
    </row>
    <row r="20" spans="1:9" x14ac:dyDescent="0.35">
      <c r="A20" t="s">
        <v>102</v>
      </c>
      <c r="B20" t="s">
        <v>79</v>
      </c>
      <c r="C20">
        <v>1.0240000000000001E-2</v>
      </c>
      <c r="D20" t="s">
        <v>103</v>
      </c>
      <c r="E20" t="s">
        <v>79</v>
      </c>
      <c r="F20">
        <v>0</v>
      </c>
      <c r="G20" t="s">
        <v>104</v>
      </c>
      <c r="H20" t="s">
        <v>79</v>
      </c>
      <c r="I20">
        <v>0</v>
      </c>
    </row>
    <row r="21" spans="1:9" x14ac:dyDescent="0.35">
      <c r="A21" t="s">
        <v>105</v>
      </c>
      <c r="B21" t="s">
        <v>79</v>
      </c>
      <c r="C21">
        <v>0</v>
      </c>
      <c r="D21" t="s">
        <v>106</v>
      </c>
      <c r="E21" t="s">
        <v>79</v>
      </c>
      <c r="F21">
        <v>0</v>
      </c>
    </row>
    <row r="22" spans="1:9" x14ac:dyDescent="0.35">
      <c r="A22" t="s">
        <v>107</v>
      </c>
      <c r="B22" t="s">
        <v>79</v>
      </c>
      <c r="C22">
        <v>-0.43297000000000002</v>
      </c>
      <c r="D22" t="s">
        <v>108</v>
      </c>
      <c r="E22" t="s">
        <v>79</v>
      </c>
      <c r="F22">
        <v>0</v>
      </c>
      <c r="G22" t="s">
        <v>109</v>
      </c>
      <c r="H22" t="s">
        <v>79</v>
      </c>
      <c r="I22">
        <v>0</v>
      </c>
    </row>
    <row r="24" spans="1:9" x14ac:dyDescent="0.35">
      <c r="A24" t="s">
        <v>110</v>
      </c>
      <c r="B24" t="s">
        <v>79</v>
      </c>
      <c r="C24">
        <v>0.43230000000000002</v>
      </c>
    </row>
    <row r="25" spans="1:9" x14ac:dyDescent="0.35">
      <c r="A25" t="s">
        <v>111</v>
      </c>
      <c r="B25" t="s">
        <v>79</v>
      </c>
      <c r="C25">
        <v>2.6200000000000001E-2</v>
      </c>
    </row>
    <row r="26" spans="1:9" x14ac:dyDescent="0.35">
      <c r="A26" t="s">
        <v>112</v>
      </c>
      <c r="B26" t="s">
        <v>79</v>
      </c>
      <c r="C26">
        <v>6.2199999999999998E-3</v>
      </c>
      <c r="D26" t="s">
        <v>113</v>
      </c>
      <c r="E26" t="s">
        <v>79</v>
      </c>
      <c r="F26">
        <v>1.9978300000000001E-2</v>
      </c>
    </row>
    <row r="27" spans="1:9" x14ac:dyDescent="0.35">
      <c r="A27" t="s">
        <v>114</v>
      </c>
      <c r="B27" t="s">
        <v>79</v>
      </c>
      <c r="C27">
        <v>0.43376999999999999</v>
      </c>
      <c r="D27" t="s">
        <v>115</v>
      </c>
      <c r="E27" t="s">
        <v>79</v>
      </c>
      <c r="F27">
        <v>1.5997000000000001E-2</v>
      </c>
      <c r="G27" t="s">
        <v>116</v>
      </c>
      <c r="H27" t="s">
        <v>117</v>
      </c>
    </row>
    <row r="28" spans="1:9" x14ac:dyDescent="0.35">
      <c r="A28" t="s">
        <v>118</v>
      </c>
      <c r="B28" t="s">
        <v>79</v>
      </c>
      <c r="C28">
        <v>0</v>
      </c>
      <c r="D28" t="s">
        <v>119</v>
      </c>
      <c r="E28" t="s">
        <v>79</v>
      </c>
      <c r="F28">
        <v>1.0202</v>
      </c>
      <c r="G28" t="s">
        <v>116</v>
      </c>
      <c r="H28" t="s">
        <v>120</v>
      </c>
    </row>
    <row r="30" spans="1:9" x14ac:dyDescent="0.35">
      <c r="A30" t="s">
        <v>310</v>
      </c>
      <c r="B30" t="s">
        <v>79</v>
      </c>
      <c r="C30">
        <v>0</v>
      </c>
    </row>
    <row r="31" spans="1:9" x14ac:dyDescent="0.35">
      <c r="A31" t="s">
        <v>311</v>
      </c>
      <c r="B31" t="s">
        <v>79</v>
      </c>
      <c r="C31">
        <v>0</v>
      </c>
    </row>
    <row r="32" spans="1:9" x14ac:dyDescent="0.35">
      <c r="A32" t="s">
        <v>312</v>
      </c>
      <c r="B32" t="s">
        <v>79</v>
      </c>
      <c r="C32">
        <v>0</v>
      </c>
    </row>
    <row r="33" spans="1:10" x14ac:dyDescent="0.35">
      <c r="A33" t="s">
        <v>286</v>
      </c>
      <c r="B33" t="s">
        <v>79</v>
      </c>
      <c r="C33">
        <v>-0.67820000000000003</v>
      </c>
    </row>
    <row r="35" spans="1:10" x14ac:dyDescent="0.35">
      <c r="A35" t="s">
        <v>69</v>
      </c>
    </row>
    <row r="37" spans="1:10" x14ac:dyDescent="0.35">
      <c r="A37" t="s">
        <v>121</v>
      </c>
      <c r="B37" t="s">
        <v>122</v>
      </c>
    </row>
    <row r="39" spans="1:10" x14ac:dyDescent="0.35">
      <c r="A39" t="s">
        <v>0</v>
      </c>
      <c r="B39" t="s">
        <v>123</v>
      </c>
    </row>
    <row r="40" spans="1:10" x14ac:dyDescent="0.35">
      <c r="A40" t="s">
        <v>124</v>
      </c>
      <c r="B40" t="s">
        <v>124</v>
      </c>
    </row>
    <row r="41" spans="1:10" x14ac:dyDescent="0.35">
      <c r="A41" t="s">
        <v>125</v>
      </c>
      <c r="B41" t="s">
        <v>126</v>
      </c>
      <c r="C41" t="s">
        <v>1</v>
      </c>
      <c r="D41" t="s">
        <v>116</v>
      </c>
      <c r="E41" t="s">
        <v>127</v>
      </c>
      <c r="F41" t="s">
        <v>79</v>
      </c>
      <c r="G41">
        <v>5.0191689999999998</v>
      </c>
      <c r="H41" t="s">
        <v>128</v>
      </c>
      <c r="I41" t="s">
        <v>79</v>
      </c>
      <c r="J41">
        <v>0</v>
      </c>
    </row>
    <row r="42" spans="1:10" x14ac:dyDescent="0.35">
      <c r="A42" t="s">
        <v>129</v>
      </c>
      <c r="B42" t="s">
        <v>126</v>
      </c>
      <c r="C42" t="s">
        <v>130</v>
      </c>
      <c r="D42" t="s">
        <v>116</v>
      </c>
      <c r="E42" t="s">
        <v>131</v>
      </c>
      <c r="F42" t="s">
        <v>79</v>
      </c>
      <c r="G42">
        <v>0</v>
      </c>
      <c r="H42" t="s">
        <v>132</v>
      </c>
      <c r="I42" t="s">
        <v>79</v>
      </c>
      <c r="J42">
        <v>-0.52018200000000003</v>
      </c>
    </row>
    <row r="43" spans="1:10" x14ac:dyDescent="0.35">
      <c r="A43" t="s">
        <v>259</v>
      </c>
      <c r="B43" t="s">
        <v>126</v>
      </c>
      <c r="C43" t="s">
        <v>2</v>
      </c>
      <c r="D43" t="s">
        <v>116</v>
      </c>
      <c r="E43" t="s">
        <v>260</v>
      </c>
      <c r="F43" t="s">
        <v>79</v>
      </c>
      <c r="G43">
        <v>0.50599300000000003</v>
      </c>
      <c r="H43" t="s">
        <v>261</v>
      </c>
      <c r="I43" t="s">
        <v>79</v>
      </c>
      <c r="J43">
        <v>0</v>
      </c>
    </row>
    <row r="44" spans="1:10" x14ac:dyDescent="0.35">
      <c r="A44" t="s">
        <v>133</v>
      </c>
      <c r="B44" t="s">
        <v>134</v>
      </c>
      <c r="C44" t="s">
        <v>135</v>
      </c>
      <c r="D44" t="s">
        <v>136</v>
      </c>
      <c r="E44" t="s">
        <v>79</v>
      </c>
      <c r="F44">
        <v>0</v>
      </c>
      <c r="G44" t="s">
        <v>137</v>
      </c>
      <c r="H44" t="s">
        <v>79</v>
      </c>
      <c r="I44">
        <v>-4.7279000000000002E-2</v>
      </c>
    </row>
    <row r="45" spans="1:10" x14ac:dyDescent="0.35">
      <c r="A45" t="s">
        <v>129</v>
      </c>
      <c r="B45" t="s">
        <v>134</v>
      </c>
      <c r="C45" t="s">
        <v>4</v>
      </c>
      <c r="D45" t="s">
        <v>116</v>
      </c>
      <c r="E45" t="s">
        <v>138</v>
      </c>
      <c r="F45" t="s">
        <v>79</v>
      </c>
      <c r="G45">
        <v>0.135907</v>
      </c>
      <c r="H45" t="s">
        <v>139</v>
      </c>
      <c r="I45" t="s">
        <v>79</v>
      </c>
      <c r="J45">
        <v>0</v>
      </c>
    </row>
    <row r="46" spans="1:10" x14ac:dyDescent="0.35">
      <c r="A46" t="s">
        <v>125</v>
      </c>
      <c r="B46" t="s">
        <v>134</v>
      </c>
      <c r="C46" t="s">
        <v>140</v>
      </c>
      <c r="D46" t="s">
        <v>141</v>
      </c>
      <c r="E46" t="s">
        <v>79</v>
      </c>
      <c r="F46">
        <v>0</v>
      </c>
      <c r="G46" t="s">
        <v>142</v>
      </c>
      <c r="H46" t="s">
        <v>79</v>
      </c>
      <c r="I46">
        <v>8.0896999999999997E-2</v>
      </c>
    </row>
    <row r="48" spans="1:10" x14ac:dyDescent="0.35">
      <c r="A48" t="s">
        <v>143</v>
      </c>
      <c r="B48" t="s">
        <v>144</v>
      </c>
      <c r="C48" t="s">
        <v>145</v>
      </c>
      <c r="D48" t="s">
        <v>146</v>
      </c>
      <c r="E48" t="s">
        <v>144</v>
      </c>
      <c r="F48" t="s">
        <v>147</v>
      </c>
      <c r="G48" t="s">
        <v>148</v>
      </c>
      <c r="H48" t="s">
        <v>144</v>
      </c>
      <c r="I48" t="s">
        <v>149</v>
      </c>
    </row>
    <row r="49" spans="1:16" x14ac:dyDescent="0.35">
      <c r="A49" t="s">
        <v>124</v>
      </c>
      <c r="B49" t="s">
        <v>124</v>
      </c>
      <c r="C49" t="s">
        <v>124</v>
      </c>
    </row>
    <row r="50" spans="1:16" x14ac:dyDescent="0.35">
      <c r="A50" t="s">
        <v>125</v>
      </c>
      <c r="B50" t="s">
        <v>126</v>
      </c>
      <c r="C50" t="s">
        <v>1</v>
      </c>
      <c r="D50" t="s">
        <v>116</v>
      </c>
      <c r="E50" t="s">
        <v>150</v>
      </c>
      <c r="F50" t="s">
        <v>79</v>
      </c>
      <c r="G50">
        <v>0</v>
      </c>
      <c r="H50" t="s">
        <v>151</v>
      </c>
      <c r="I50" t="s">
        <v>79</v>
      </c>
      <c r="J50">
        <v>6.5897160000000001</v>
      </c>
      <c r="K50" t="s">
        <v>152</v>
      </c>
      <c r="L50" t="s">
        <v>79</v>
      </c>
      <c r="M50">
        <v>0</v>
      </c>
    </row>
    <row r="51" spans="1:16" x14ac:dyDescent="0.35">
      <c r="A51" t="s">
        <v>129</v>
      </c>
      <c r="B51" t="s">
        <v>126</v>
      </c>
      <c r="C51" t="s">
        <v>130</v>
      </c>
      <c r="D51" t="s">
        <v>116</v>
      </c>
      <c r="E51" t="s">
        <v>153</v>
      </c>
      <c r="F51" t="s">
        <v>79</v>
      </c>
      <c r="G51">
        <v>0.13766400000000001</v>
      </c>
      <c r="H51" t="s">
        <v>154</v>
      </c>
      <c r="I51" t="s">
        <v>79</v>
      </c>
      <c r="J51">
        <v>0</v>
      </c>
      <c r="K51" t="s">
        <v>155</v>
      </c>
      <c r="L51" t="s">
        <v>79</v>
      </c>
      <c r="M51">
        <v>0.29679</v>
      </c>
    </row>
    <row r="52" spans="1:16" x14ac:dyDescent="0.35">
      <c r="A52" t="s">
        <v>259</v>
      </c>
      <c r="B52" t="s">
        <v>126</v>
      </c>
      <c r="C52" t="s">
        <v>2</v>
      </c>
      <c r="D52" t="s">
        <v>116</v>
      </c>
      <c r="E52" t="s">
        <v>3</v>
      </c>
      <c r="F52" t="s">
        <v>79</v>
      </c>
      <c r="G52">
        <v>0</v>
      </c>
      <c r="H52" t="s">
        <v>262</v>
      </c>
      <c r="I52" t="s">
        <v>79</v>
      </c>
      <c r="J52">
        <v>0.51370400000000005</v>
      </c>
      <c r="K52" t="s">
        <v>263</v>
      </c>
      <c r="L52" t="s">
        <v>79</v>
      </c>
      <c r="M52">
        <v>0</v>
      </c>
    </row>
    <row r="53" spans="1:16" x14ac:dyDescent="0.35">
      <c r="A53" t="s">
        <v>133</v>
      </c>
      <c r="B53" t="s">
        <v>134</v>
      </c>
      <c r="C53" t="s">
        <v>135</v>
      </c>
      <c r="D53" t="s">
        <v>156</v>
      </c>
      <c r="E53" t="s">
        <v>79</v>
      </c>
      <c r="F53">
        <v>-0.36432799999999999</v>
      </c>
      <c r="G53" t="s">
        <v>157</v>
      </c>
      <c r="H53" t="s">
        <v>79</v>
      </c>
      <c r="I53">
        <v>0</v>
      </c>
      <c r="J53" t="s">
        <v>158</v>
      </c>
      <c r="K53" t="s">
        <v>79</v>
      </c>
      <c r="L53">
        <v>9.1300999999999993E-2</v>
      </c>
    </row>
    <row r="54" spans="1:16" x14ac:dyDescent="0.35">
      <c r="A54" t="s">
        <v>129</v>
      </c>
      <c r="B54" t="s">
        <v>134</v>
      </c>
      <c r="C54" t="s">
        <v>4</v>
      </c>
      <c r="D54" t="s">
        <v>116</v>
      </c>
      <c r="E54" t="s">
        <v>159</v>
      </c>
      <c r="F54" t="s">
        <v>79</v>
      </c>
      <c r="G54">
        <v>0</v>
      </c>
      <c r="H54" t="s">
        <v>160</v>
      </c>
      <c r="I54" t="s">
        <v>79</v>
      </c>
      <c r="J54">
        <v>-3.5721780000000001</v>
      </c>
      <c r="K54" t="s">
        <v>161</v>
      </c>
      <c r="L54" t="s">
        <v>79</v>
      </c>
      <c r="M54">
        <v>0</v>
      </c>
    </row>
    <row r="55" spans="1:16" x14ac:dyDescent="0.35">
      <c r="A55" t="s">
        <v>125</v>
      </c>
      <c r="B55" t="s">
        <v>134</v>
      </c>
      <c r="C55" t="s">
        <v>140</v>
      </c>
      <c r="D55" t="s">
        <v>162</v>
      </c>
      <c r="E55" t="s">
        <v>79</v>
      </c>
      <c r="F55">
        <v>-2.4313999999999999E-2</v>
      </c>
      <c r="G55" t="s">
        <v>163</v>
      </c>
      <c r="H55" t="s">
        <v>79</v>
      </c>
      <c r="I55">
        <v>0</v>
      </c>
      <c r="J55" t="s">
        <v>164</v>
      </c>
      <c r="K55" t="s">
        <v>79</v>
      </c>
      <c r="L55">
        <v>-6.4936999999999995E-2</v>
      </c>
    </row>
    <row r="57" spans="1:16" x14ac:dyDescent="0.35">
      <c r="A57" t="s">
        <v>310</v>
      </c>
      <c r="B57" t="s">
        <v>313</v>
      </c>
      <c r="C57" t="s">
        <v>311</v>
      </c>
      <c r="D57" t="s">
        <v>314</v>
      </c>
      <c r="E57" t="s">
        <v>312</v>
      </c>
      <c r="F57" t="s">
        <v>315</v>
      </c>
      <c r="G57" t="s">
        <v>286</v>
      </c>
      <c r="H57" t="s">
        <v>316</v>
      </c>
    </row>
    <row r="58" spans="1:16" x14ac:dyDescent="0.35">
      <c r="A58" t="s">
        <v>124</v>
      </c>
      <c r="B58" t="s">
        <v>124</v>
      </c>
      <c r="C58" t="s">
        <v>124</v>
      </c>
      <c r="D58" t="s">
        <v>124</v>
      </c>
    </row>
    <row r="59" spans="1:16" x14ac:dyDescent="0.35">
      <c r="A59" t="s">
        <v>125</v>
      </c>
      <c r="B59" t="s">
        <v>126</v>
      </c>
      <c r="C59" t="s">
        <v>1</v>
      </c>
      <c r="D59" t="s">
        <v>116</v>
      </c>
      <c r="E59" t="s">
        <v>317</v>
      </c>
      <c r="F59" t="s">
        <v>79</v>
      </c>
      <c r="G59">
        <v>-7.3899999999999997E-4</v>
      </c>
      <c r="H59" t="s">
        <v>318</v>
      </c>
      <c r="I59" t="s">
        <v>79</v>
      </c>
      <c r="J59">
        <v>1.8384000000000001E-2</v>
      </c>
      <c r="K59" t="s">
        <v>319</v>
      </c>
      <c r="L59" t="s">
        <v>79</v>
      </c>
      <c r="M59">
        <v>7.2750000000000002E-3</v>
      </c>
      <c r="N59" t="s">
        <v>320</v>
      </c>
      <c r="O59" t="s">
        <v>79</v>
      </c>
      <c r="P59">
        <v>1.5259999999999999E-2</v>
      </c>
    </row>
    <row r="60" spans="1:16" x14ac:dyDescent="0.35">
      <c r="A60" t="s">
        <v>129</v>
      </c>
      <c r="B60" t="s">
        <v>126</v>
      </c>
      <c r="C60" t="s">
        <v>130</v>
      </c>
      <c r="D60" t="s">
        <v>116</v>
      </c>
      <c r="E60" t="s">
        <v>321</v>
      </c>
      <c r="F60" t="s">
        <v>79</v>
      </c>
      <c r="G60">
        <v>0</v>
      </c>
      <c r="H60" t="s">
        <v>322</v>
      </c>
      <c r="I60" t="s">
        <v>79</v>
      </c>
      <c r="J60">
        <v>0</v>
      </c>
      <c r="K60" t="s">
        <v>323</v>
      </c>
      <c r="L60" t="s">
        <v>79</v>
      </c>
      <c r="M60">
        <v>0</v>
      </c>
      <c r="N60" t="s">
        <v>324</v>
      </c>
      <c r="O60" t="s">
        <v>79</v>
      </c>
      <c r="P60">
        <v>0</v>
      </c>
    </row>
    <row r="61" spans="1:16" x14ac:dyDescent="0.35">
      <c r="A61" t="s">
        <v>259</v>
      </c>
      <c r="B61" t="s">
        <v>126</v>
      </c>
      <c r="C61" t="s">
        <v>2</v>
      </c>
      <c r="D61" t="s">
        <v>116</v>
      </c>
      <c r="E61" t="s">
        <v>325</v>
      </c>
      <c r="F61" t="s">
        <v>79</v>
      </c>
      <c r="G61">
        <v>-4.7460000000000002E-3</v>
      </c>
      <c r="H61" t="s">
        <v>326</v>
      </c>
      <c r="I61" t="s">
        <v>79</v>
      </c>
      <c r="J61">
        <v>-2.4393999999999999E-2</v>
      </c>
      <c r="K61" t="s">
        <v>327</v>
      </c>
      <c r="L61" t="s">
        <v>79</v>
      </c>
      <c r="M61">
        <v>-4.1908000000000001E-2</v>
      </c>
      <c r="N61" t="s">
        <v>328</v>
      </c>
      <c r="O61" t="s">
        <v>79</v>
      </c>
      <c r="P61">
        <v>-4.7711999999999997E-2</v>
      </c>
    </row>
    <row r="62" spans="1:16" x14ac:dyDescent="0.35">
      <c r="A62" t="s">
        <v>133</v>
      </c>
      <c r="B62" t="s">
        <v>134</v>
      </c>
      <c r="C62" t="s">
        <v>135</v>
      </c>
      <c r="D62" t="s">
        <v>329</v>
      </c>
      <c r="E62" t="s">
        <v>79</v>
      </c>
      <c r="F62">
        <v>0</v>
      </c>
      <c r="G62" t="s">
        <v>330</v>
      </c>
      <c r="H62" t="s">
        <v>79</v>
      </c>
      <c r="I62">
        <v>0</v>
      </c>
      <c r="J62" t="s">
        <v>331</v>
      </c>
      <c r="K62" t="s">
        <v>79</v>
      </c>
      <c r="L62">
        <v>0</v>
      </c>
      <c r="M62" t="s">
        <v>332</v>
      </c>
      <c r="N62" t="s">
        <v>79</v>
      </c>
      <c r="O62">
        <v>0</v>
      </c>
    </row>
    <row r="63" spans="1:16" x14ac:dyDescent="0.35">
      <c r="A63" t="s">
        <v>129</v>
      </c>
      <c r="B63" t="s">
        <v>134</v>
      </c>
      <c r="C63" t="s">
        <v>4</v>
      </c>
      <c r="D63" t="s">
        <v>116</v>
      </c>
      <c r="E63" t="s">
        <v>333</v>
      </c>
      <c r="F63" t="s">
        <v>79</v>
      </c>
      <c r="G63">
        <v>-1.498E-3</v>
      </c>
      <c r="H63" t="s">
        <v>334</v>
      </c>
      <c r="I63" t="s">
        <v>79</v>
      </c>
      <c r="J63">
        <v>-9.1699999999999995E-4</v>
      </c>
      <c r="K63" t="s">
        <v>335</v>
      </c>
      <c r="L63" t="s">
        <v>79</v>
      </c>
      <c r="M63">
        <v>-2.653E-3</v>
      </c>
      <c r="N63" t="s">
        <v>336</v>
      </c>
      <c r="O63" t="s">
        <v>79</v>
      </c>
      <c r="P63">
        <v>-1.3384E-2</v>
      </c>
    </row>
    <row r="64" spans="1:16" x14ac:dyDescent="0.35">
      <c r="A64" t="s">
        <v>125</v>
      </c>
      <c r="B64" t="s">
        <v>134</v>
      </c>
      <c r="C64" t="s">
        <v>140</v>
      </c>
      <c r="D64" t="s">
        <v>337</v>
      </c>
      <c r="E64" t="s">
        <v>79</v>
      </c>
      <c r="F64">
        <v>4.8999999999999998E-5</v>
      </c>
      <c r="G64" t="s">
        <v>338</v>
      </c>
      <c r="H64" t="s">
        <v>79</v>
      </c>
      <c r="I64">
        <v>-2.22E-4</v>
      </c>
      <c r="J64" t="s">
        <v>339</v>
      </c>
      <c r="K64" t="s">
        <v>79</v>
      </c>
      <c r="L64">
        <v>-4.5199999999999998E-4</v>
      </c>
      <c r="M64" t="s">
        <v>340</v>
      </c>
      <c r="N64" t="s">
        <v>79</v>
      </c>
      <c r="O64">
        <v>-5.6999999999999998E-4</v>
      </c>
    </row>
    <row r="65" spans="1:15" x14ac:dyDescent="0.35">
      <c r="A65" t="s">
        <v>117</v>
      </c>
      <c r="B65" t="s">
        <v>341</v>
      </c>
      <c r="C65" t="s">
        <v>342</v>
      </c>
      <c r="D65" t="s">
        <v>79</v>
      </c>
      <c r="E65">
        <v>-5.5000000000000002E-5</v>
      </c>
      <c r="F65" t="s">
        <v>343</v>
      </c>
      <c r="G65" t="s">
        <v>79</v>
      </c>
      <c r="H65">
        <v>1.433E-3</v>
      </c>
      <c r="I65" t="s">
        <v>344</v>
      </c>
      <c r="J65" t="s">
        <v>79</v>
      </c>
      <c r="K65">
        <v>5.0500000000000002E-4</v>
      </c>
      <c r="L65" t="s">
        <v>345</v>
      </c>
      <c r="M65" t="s">
        <v>79</v>
      </c>
      <c r="N65">
        <v>1.2290000000000001E-3</v>
      </c>
    </row>
    <row r="66" spans="1:15" x14ac:dyDescent="0.35">
      <c r="A66" t="s">
        <v>346</v>
      </c>
      <c r="B66" t="s">
        <v>347</v>
      </c>
      <c r="C66" t="s">
        <v>116</v>
      </c>
      <c r="D66" t="s">
        <v>348</v>
      </c>
      <c r="E66" t="s">
        <v>79</v>
      </c>
      <c r="F66">
        <v>6.9999999999999999E-6</v>
      </c>
      <c r="G66" t="s">
        <v>349</v>
      </c>
      <c r="H66" t="s">
        <v>79</v>
      </c>
      <c r="I66">
        <v>-4.9919999999999999E-3</v>
      </c>
      <c r="J66" t="s">
        <v>350</v>
      </c>
      <c r="K66" t="s">
        <v>79</v>
      </c>
      <c r="L66">
        <v>2.2399999999999998E-3</v>
      </c>
      <c r="M66" t="s">
        <v>351</v>
      </c>
      <c r="N66" t="s">
        <v>79</v>
      </c>
      <c r="O66">
        <v>-4.5840000000000004E-3</v>
      </c>
    </row>
    <row r="70" spans="1:15" x14ac:dyDescent="0.35">
      <c r="A70" t="s">
        <v>165</v>
      </c>
      <c r="B70" t="s">
        <v>166</v>
      </c>
      <c r="C70" t="s">
        <v>167</v>
      </c>
      <c r="D70" t="s">
        <v>79</v>
      </c>
      <c r="E70">
        <v>8.6670730000000002</v>
      </c>
    </row>
    <row r="72" spans="1:15" x14ac:dyDescent="0.35">
      <c r="A72" t="s">
        <v>137</v>
      </c>
      <c r="B72" t="s">
        <v>164</v>
      </c>
      <c r="C72" t="s">
        <v>214</v>
      </c>
      <c r="D72" t="s">
        <v>158</v>
      </c>
      <c r="E72" t="s">
        <v>142</v>
      </c>
      <c r="F72" t="s">
        <v>79</v>
      </c>
      <c r="G72">
        <v>0.41567300000000001</v>
      </c>
      <c r="H72" t="s">
        <v>215</v>
      </c>
      <c r="I72" t="s">
        <v>216</v>
      </c>
      <c r="J72">
        <v>1</v>
      </c>
      <c r="K72" t="s">
        <v>217</v>
      </c>
      <c r="L72" t="s">
        <v>218</v>
      </c>
      <c r="M72" t="s">
        <v>219</v>
      </c>
      <c r="N72" t="s">
        <v>220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282"/>
  <sheetViews>
    <sheetView workbookViewId="0">
      <selection activeCell="C4" sqref="C4"/>
    </sheetView>
  </sheetViews>
  <sheetFormatPr defaultRowHeight="14.5" x14ac:dyDescent="0.35"/>
  <sheetData>
    <row r="1" spans="1:12" x14ac:dyDescent="0.35">
      <c r="A1" t="s">
        <v>69</v>
      </c>
    </row>
    <row r="2" spans="1:12" x14ac:dyDescent="0.35">
      <c r="A2" t="s">
        <v>168</v>
      </c>
      <c r="B2" t="s">
        <v>169</v>
      </c>
      <c r="C2" t="s">
        <v>170</v>
      </c>
      <c r="D2" t="s">
        <v>75</v>
      </c>
      <c r="E2" t="s">
        <v>171</v>
      </c>
      <c r="F2" t="s">
        <v>172</v>
      </c>
    </row>
    <row r="4" spans="1:12" x14ac:dyDescent="0.35">
      <c r="A4" t="s">
        <v>56</v>
      </c>
      <c r="B4" t="s">
        <v>79</v>
      </c>
      <c r="C4">
        <v>60.161000000000001</v>
      </c>
      <c r="D4" t="s">
        <v>57</v>
      </c>
      <c r="E4" t="s">
        <v>79</v>
      </c>
      <c r="F4">
        <v>4.4401000000000002</v>
      </c>
      <c r="G4" t="s">
        <v>58</v>
      </c>
      <c r="H4" t="s">
        <v>79</v>
      </c>
      <c r="I4">
        <v>14.859</v>
      </c>
    </row>
    <row r="5" spans="1:12" x14ac:dyDescent="0.35">
      <c r="A5" t="s">
        <v>82</v>
      </c>
      <c r="B5" t="s">
        <v>79</v>
      </c>
      <c r="C5">
        <v>8.7873000000000001</v>
      </c>
      <c r="D5" t="s">
        <v>83</v>
      </c>
      <c r="E5" t="s">
        <v>79</v>
      </c>
      <c r="F5">
        <v>0</v>
      </c>
      <c r="G5" t="s">
        <v>84</v>
      </c>
      <c r="H5" t="s">
        <v>79</v>
      </c>
      <c r="I5">
        <v>0</v>
      </c>
    </row>
    <row r="7" spans="1:12" x14ac:dyDescent="0.35">
      <c r="A7" t="s">
        <v>168</v>
      </c>
      <c r="B7" t="s">
        <v>77</v>
      </c>
      <c r="C7">
        <v>1</v>
      </c>
      <c r="D7" t="s">
        <v>53</v>
      </c>
    </row>
    <row r="8" spans="1:12" x14ac:dyDescent="0.35">
      <c r="A8" t="s">
        <v>77</v>
      </c>
      <c r="B8" t="s">
        <v>180</v>
      </c>
      <c r="C8" t="s">
        <v>79</v>
      </c>
      <c r="D8">
        <v>10</v>
      </c>
      <c r="E8" t="s">
        <v>77</v>
      </c>
      <c r="F8" t="s">
        <v>181</v>
      </c>
      <c r="G8" t="s">
        <v>79</v>
      </c>
      <c r="H8">
        <v>20</v>
      </c>
      <c r="I8" t="s">
        <v>182</v>
      </c>
      <c r="J8" t="s">
        <v>183</v>
      </c>
      <c r="K8" t="s">
        <v>79</v>
      </c>
      <c r="L8">
        <v>1</v>
      </c>
    </row>
    <row r="9" spans="1:12" x14ac:dyDescent="0.35">
      <c r="A9" t="s">
        <v>168</v>
      </c>
      <c r="B9" t="s">
        <v>184</v>
      </c>
      <c r="C9" t="s">
        <v>264</v>
      </c>
      <c r="D9" t="s">
        <v>79</v>
      </c>
      <c r="E9">
        <v>18.764489999999999</v>
      </c>
      <c r="F9" t="s">
        <v>185</v>
      </c>
      <c r="G9" t="s">
        <v>62</v>
      </c>
      <c r="H9" t="s">
        <v>195</v>
      </c>
      <c r="I9" t="s">
        <v>79</v>
      </c>
      <c r="J9">
        <v>3.460232</v>
      </c>
    </row>
    <row r="11" spans="1:12" x14ac:dyDescent="0.35">
      <c r="A11" t="s">
        <v>75</v>
      </c>
      <c r="B11" t="s">
        <v>173</v>
      </c>
      <c r="C11" t="s">
        <v>174</v>
      </c>
      <c r="D11" t="s">
        <v>175</v>
      </c>
      <c r="E11" t="s">
        <v>176</v>
      </c>
      <c r="F11" t="s">
        <v>58</v>
      </c>
      <c r="G11" t="s">
        <v>177</v>
      </c>
      <c r="H11" t="s">
        <v>178</v>
      </c>
      <c r="I11" t="s">
        <v>179</v>
      </c>
      <c r="J11" t="s">
        <v>84</v>
      </c>
    </row>
    <row r="12" spans="1:12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3" spans="1:12" x14ac:dyDescent="0.35">
      <c r="A13" t="s">
        <v>186</v>
      </c>
      <c r="B13" t="s">
        <v>79</v>
      </c>
      <c r="C13">
        <v>0.13319</v>
      </c>
      <c r="D13" t="s">
        <v>187</v>
      </c>
      <c r="E13" t="s">
        <v>79</v>
      </c>
      <c r="F13">
        <v>-3.8059999999999997E-2</v>
      </c>
    </row>
    <row r="14" spans="1:12" x14ac:dyDescent="0.35">
      <c r="A14" t="s">
        <v>188</v>
      </c>
      <c r="B14" t="s">
        <v>79</v>
      </c>
      <c r="C14">
        <v>4.2300000000000003E-3</v>
      </c>
      <c r="D14" t="s">
        <v>189</v>
      </c>
      <c r="E14" t="s">
        <v>79</v>
      </c>
      <c r="F14">
        <v>-8.4899999999999993E-3</v>
      </c>
    </row>
    <row r="15" spans="1:12" x14ac:dyDescent="0.35">
      <c r="A15" t="s">
        <v>190</v>
      </c>
      <c r="B15" t="s">
        <v>79</v>
      </c>
      <c r="C15">
        <v>7.8499999999999993E-3</v>
      </c>
      <c r="D15" t="s">
        <v>191</v>
      </c>
      <c r="E15" t="s">
        <v>79</v>
      </c>
      <c r="F15">
        <v>-1.48E-3</v>
      </c>
    </row>
    <row r="16" spans="1:12" x14ac:dyDescent="0.35">
      <c r="A16" t="s">
        <v>192</v>
      </c>
      <c r="B16" t="s">
        <v>79</v>
      </c>
      <c r="C16">
        <v>4.7400000000000003E-3</v>
      </c>
      <c r="D16" t="s">
        <v>193</v>
      </c>
      <c r="E16" t="s">
        <v>79</v>
      </c>
      <c r="F16">
        <v>3.1099999999999999E-3</v>
      </c>
    </row>
    <row r="18" spans="1:15" x14ac:dyDescent="0.35">
      <c r="A18" t="s">
        <v>75</v>
      </c>
      <c r="B18" t="s">
        <v>173</v>
      </c>
      <c r="C18" t="s">
        <v>174</v>
      </c>
      <c r="D18" t="s">
        <v>194</v>
      </c>
      <c r="E18" t="s">
        <v>195</v>
      </c>
    </row>
    <row r="19" spans="1:15" x14ac:dyDescent="0.35">
      <c r="A19" t="s">
        <v>186</v>
      </c>
      <c r="B19" t="s">
        <v>79</v>
      </c>
      <c r="C19">
        <v>0.42703000000000002</v>
      </c>
      <c r="D19" t="s">
        <v>190</v>
      </c>
      <c r="E19" t="s">
        <v>79</v>
      </c>
      <c r="F19">
        <v>2.5180000000000001E-2</v>
      </c>
    </row>
    <row r="21" spans="1:15" x14ac:dyDescent="0.35">
      <c r="A21" t="s">
        <v>170</v>
      </c>
      <c r="B21" t="s">
        <v>75</v>
      </c>
      <c r="C21" t="s">
        <v>173</v>
      </c>
      <c r="D21" t="s">
        <v>174</v>
      </c>
      <c r="E21" t="s">
        <v>170</v>
      </c>
      <c r="F21" t="s">
        <v>196</v>
      </c>
      <c r="G21" t="s">
        <v>63</v>
      </c>
    </row>
    <row r="22" spans="1:15" x14ac:dyDescent="0.35">
      <c r="A22" t="s">
        <v>197</v>
      </c>
      <c r="B22" t="s">
        <v>59</v>
      </c>
      <c r="C22" t="s">
        <v>60</v>
      </c>
      <c r="D22" t="s">
        <v>61</v>
      </c>
      <c r="E22" t="s">
        <v>63</v>
      </c>
      <c r="F22" t="s">
        <v>198</v>
      </c>
      <c r="G22" t="s">
        <v>265</v>
      </c>
      <c r="H22" t="s">
        <v>200</v>
      </c>
      <c r="I22" t="s">
        <v>201</v>
      </c>
      <c r="J22" t="s">
        <v>199</v>
      </c>
      <c r="K22" t="s">
        <v>202</v>
      </c>
      <c r="L22" t="s">
        <v>203</v>
      </c>
      <c r="M22" t="s">
        <v>204</v>
      </c>
      <c r="N22" t="s">
        <v>205</v>
      </c>
      <c r="O22" t="s">
        <v>206</v>
      </c>
    </row>
    <row r="23" spans="1:15" x14ac:dyDescent="0.35">
      <c r="A23">
        <v>1</v>
      </c>
      <c r="B23">
        <v>6.2129000000000003</v>
      </c>
      <c r="C23">
        <v>2.0154999999999998</v>
      </c>
      <c r="D23">
        <v>0</v>
      </c>
      <c r="E23">
        <v>5.0461</v>
      </c>
      <c r="F23">
        <v>0.17879999999999999</v>
      </c>
      <c r="G23">
        <v>1.8917999999999999</v>
      </c>
      <c r="H23">
        <v>-0.73770000000000002</v>
      </c>
      <c r="I23">
        <v>0.42149999999999999</v>
      </c>
      <c r="J23">
        <v>0.32290000000000002</v>
      </c>
      <c r="K23">
        <v>0.64080000000000004</v>
      </c>
      <c r="L23">
        <v>8.3999999999999995E-3</v>
      </c>
      <c r="M23">
        <v>-0.02</v>
      </c>
      <c r="N23">
        <v>-9.3200000000000005E-2</v>
      </c>
      <c r="O23">
        <v>0.312</v>
      </c>
    </row>
    <row r="24" spans="1:15" x14ac:dyDescent="0.35">
      <c r="A24">
        <v>2</v>
      </c>
      <c r="B24">
        <v>6.2624000000000004</v>
      </c>
      <c r="C24">
        <v>2.0861000000000001</v>
      </c>
      <c r="D24">
        <v>0</v>
      </c>
      <c r="E24">
        <v>5.0045999999999999</v>
      </c>
      <c r="F24">
        <v>0.52749999999999997</v>
      </c>
      <c r="G24">
        <v>1.9406000000000001</v>
      </c>
      <c r="H24">
        <v>-9.4399999999999998E-2</v>
      </c>
      <c r="I24">
        <v>0.50349999999999995</v>
      </c>
      <c r="J24">
        <v>0.38569999999999999</v>
      </c>
      <c r="K24">
        <v>4.9299999999999997E-2</v>
      </c>
      <c r="L24">
        <v>9.1000000000000004E-3</v>
      </c>
      <c r="M24">
        <v>-2.8299999999999999E-2</v>
      </c>
      <c r="N24">
        <v>-0.1027</v>
      </c>
      <c r="O24">
        <v>0.32300000000000001</v>
      </c>
    </row>
    <row r="25" spans="1:15" x14ac:dyDescent="0.35">
      <c r="A25">
        <v>3</v>
      </c>
      <c r="B25">
        <v>6.3601999999999999</v>
      </c>
      <c r="C25">
        <v>2.2256</v>
      </c>
      <c r="D25">
        <v>0</v>
      </c>
      <c r="E25">
        <v>4.9227999999999996</v>
      </c>
      <c r="F25">
        <v>0.85060000000000002</v>
      </c>
      <c r="G25">
        <v>1.9710000000000001</v>
      </c>
      <c r="H25">
        <v>5.0200000000000002E-2</v>
      </c>
      <c r="I25">
        <v>0.52229999999999999</v>
      </c>
      <c r="J25">
        <v>0.40010000000000001</v>
      </c>
      <c r="K25">
        <v>2.9000000000000001E-2</v>
      </c>
      <c r="L25">
        <v>9.2999999999999992E-3</v>
      </c>
      <c r="M25">
        <v>-3.4500000000000003E-2</v>
      </c>
      <c r="N25">
        <v>-0.1104</v>
      </c>
      <c r="O25">
        <v>0.33600000000000002</v>
      </c>
    </row>
    <row r="26" spans="1:15" x14ac:dyDescent="0.35">
      <c r="A26">
        <v>4</v>
      </c>
      <c r="B26">
        <v>6.5038999999999998</v>
      </c>
      <c r="C26">
        <v>2.4306000000000001</v>
      </c>
      <c r="D26">
        <v>0</v>
      </c>
      <c r="E26">
        <v>4.8025000000000002</v>
      </c>
      <c r="F26">
        <v>1.1329</v>
      </c>
      <c r="G26">
        <v>1.9816</v>
      </c>
      <c r="H26">
        <v>0.11310000000000001</v>
      </c>
      <c r="I26">
        <v>0.53859999999999997</v>
      </c>
      <c r="J26">
        <v>0.41260000000000002</v>
      </c>
      <c r="K26">
        <v>2.7099999999999999E-2</v>
      </c>
      <c r="L26">
        <v>9.4999999999999998E-3</v>
      </c>
      <c r="M26">
        <v>-3.9199999999999999E-2</v>
      </c>
      <c r="N26">
        <v>-0.1168</v>
      </c>
      <c r="O26">
        <v>0.34499999999999997</v>
      </c>
    </row>
    <row r="27" spans="1:15" x14ac:dyDescent="0.35">
      <c r="A27">
        <v>5</v>
      </c>
      <c r="B27">
        <v>6.69</v>
      </c>
      <c r="C27">
        <v>2.6960000000000002</v>
      </c>
      <c r="D27">
        <v>0</v>
      </c>
      <c r="E27">
        <v>4.6467000000000001</v>
      </c>
      <c r="F27">
        <v>1.3625</v>
      </c>
      <c r="G27">
        <v>1.9726999999999999</v>
      </c>
      <c r="H27">
        <v>0.1249</v>
      </c>
      <c r="I27">
        <v>0.55430000000000001</v>
      </c>
      <c r="J27">
        <v>0.42459999999999998</v>
      </c>
      <c r="K27">
        <v>2.64E-2</v>
      </c>
      <c r="L27">
        <v>9.7000000000000003E-3</v>
      </c>
      <c r="M27">
        <v>-4.2700000000000002E-2</v>
      </c>
      <c r="N27">
        <v>-0.122</v>
      </c>
      <c r="O27">
        <v>0.35</v>
      </c>
    </row>
    <row r="28" spans="1:15" x14ac:dyDescent="0.35">
      <c r="A28">
        <v>6</v>
      </c>
      <c r="B28">
        <v>6.9138000000000002</v>
      </c>
      <c r="C28">
        <v>3.0152000000000001</v>
      </c>
      <c r="D28">
        <v>0</v>
      </c>
      <c r="E28">
        <v>4.4592999999999998</v>
      </c>
      <c r="F28">
        <v>1.5309999999999999</v>
      </c>
      <c r="G28">
        <v>1.9439</v>
      </c>
      <c r="H28">
        <v>0.11899999999999999</v>
      </c>
      <c r="I28">
        <v>0.56930000000000003</v>
      </c>
      <c r="J28">
        <v>0.43609999999999999</v>
      </c>
      <c r="K28">
        <v>2.58E-2</v>
      </c>
      <c r="L28">
        <v>9.9000000000000008E-3</v>
      </c>
      <c r="M28">
        <v>-4.4999999999999998E-2</v>
      </c>
      <c r="N28">
        <v>-0.1263</v>
      </c>
      <c r="O28">
        <v>0.35299999999999998</v>
      </c>
    </row>
    <row r="29" spans="1:15" x14ac:dyDescent="0.35">
      <c r="A29">
        <v>7</v>
      </c>
      <c r="B29">
        <v>7.1698000000000004</v>
      </c>
      <c r="C29">
        <v>3.3805000000000001</v>
      </c>
      <c r="D29">
        <v>0</v>
      </c>
      <c r="E29">
        <v>4.2450000000000001</v>
      </c>
      <c r="F29">
        <v>1.6342000000000001</v>
      </c>
      <c r="G29">
        <v>1.8947000000000001</v>
      </c>
      <c r="H29">
        <v>0.11070000000000001</v>
      </c>
      <c r="I29">
        <v>0.58309999999999995</v>
      </c>
      <c r="J29">
        <v>0.44669999999999999</v>
      </c>
      <c r="K29">
        <v>2.46E-2</v>
      </c>
      <c r="L29">
        <v>1.01E-2</v>
      </c>
      <c r="M29">
        <v>-4.6600000000000003E-2</v>
      </c>
      <c r="N29">
        <v>-0.12970000000000001</v>
      </c>
      <c r="O29">
        <v>0.35399999999999998</v>
      </c>
    </row>
    <row r="30" spans="1:15" x14ac:dyDescent="0.35">
      <c r="A30">
        <v>8</v>
      </c>
      <c r="B30">
        <v>7.4519000000000002</v>
      </c>
      <c r="C30">
        <v>3.7827999999999999</v>
      </c>
      <c r="D30">
        <v>0</v>
      </c>
      <c r="E30">
        <v>4.0088999999999997</v>
      </c>
      <c r="F30">
        <v>1.6721999999999999</v>
      </c>
      <c r="G30">
        <v>1.8249</v>
      </c>
      <c r="H30">
        <v>0.10440000000000001</v>
      </c>
      <c r="I30">
        <v>0.59489999999999998</v>
      </c>
      <c r="J30">
        <v>0.45579999999999998</v>
      </c>
      <c r="K30">
        <v>2.2800000000000001E-2</v>
      </c>
      <c r="L30">
        <v>1.03E-2</v>
      </c>
      <c r="M30">
        <v>-4.7500000000000001E-2</v>
      </c>
      <c r="N30">
        <v>-0.13220000000000001</v>
      </c>
      <c r="O30">
        <v>0.35399999999999998</v>
      </c>
    </row>
    <row r="31" spans="1:15" x14ac:dyDescent="0.35">
      <c r="A31">
        <v>9</v>
      </c>
      <c r="B31">
        <v>7.7529000000000003</v>
      </c>
      <c r="C31">
        <v>4.2122000000000002</v>
      </c>
      <c r="D31">
        <v>0</v>
      </c>
      <c r="E31">
        <v>3.7568999999999999</v>
      </c>
      <c r="F31">
        <v>1.6494</v>
      </c>
      <c r="G31">
        <v>1.7345999999999999</v>
      </c>
      <c r="H31">
        <v>0.10100000000000001</v>
      </c>
      <c r="I31">
        <v>0.60370000000000001</v>
      </c>
      <c r="J31">
        <v>0.46250000000000002</v>
      </c>
      <c r="K31">
        <v>2.07E-2</v>
      </c>
      <c r="L31">
        <v>1.04E-2</v>
      </c>
      <c r="M31">
        <v>-4.7699999999999999E-2</v>
      </c>
      <c r="N31">
        <v>-0.1338</v>
      </c>
      <c r="O31">
        <v>0.35299999999999998</v>
      </c>
    </row>
    <row r="32" spans="1:15" x14ac:dyDescent="0.35">
      <c r="A32">
        <v>10</v>
      </c>
      <c r="B32">
        <v>8.0655000000000001</v>
      </c>
      <c r="C32">
        <v>4.6581000000000001</v>
      </c>
      <c r="D32">
        <v>0</v>
      </c>
      <c r="E32">
        <v>3.4952000000000001</v>
      </c>
      <c r="F32">
        <v>1.5731999999999999</v>
      </c>
      <c r="G32">
        <v>1.6253</v>
      </c>
      <c r="H32">
        <v>9.9199999999999997E-2</v>
      </c>
      <c r="I32">
        <v>0.60829999999999995</v>
      </c>
      <c r="J32">
        <v>0.46600000000000003</v>
      </c>
      <c r="K32">
        <v>1.8100000000000002E-2</v>
      </c>
      <c r="L32">
        <v>1.0500000000000001E-2</v>
      </c>
      <c r="M32">
        <v>-4.7300000000000002E-2</v>
      </c>
      <c r="N32">
        <v>-0.1341</v>
      </c>
      <c r="O32">
        <v>0.35099999999999998</v>
      </c>
    </row>
    <row r="33" spans="1:15" x14ac:dyDescent="0.35">
      <c r="A33">
        <v>11</v>
      </c>
      <c r="B33">
        <v>8.3819999999999997</v>
      </c>
      <c r="C33">
        <v>5.1096000000000004</v>
      </c>
      <c r="D33">
        <v>0</v>
      </c>
      <c r="E33">
        <v>3.2302</v>
      </c>
      <c r="F33">
        <v>1.4539</v>
      </c>
      <c r="G33">
        <v>1.4995000000000001</v>
      </c>
      <c r="H33">
        <v>9.2499999999999999E-2</v>
      </c>
      <c r="I33">
        <v>0.60760000000000003</v>
      </c>
      <c r="J33">
        <v>0.46550000000000002</v>
      </c>
      <c r="K33">
        <v>1.52E-2</v>
      </c>
      <c r="L33">
        <v>1.06E-2</v>
      </c>
      <c r="M33">
        <v>-4.6100000000000002E-2</v>
      </c>
      <c r="N33">
        <v>-0.13289999999999999</v>
      </c>
      <c r="O33">
        <v>0.34899999999999998</v>
      </c>
    </row>
    <row r="34" spans="1:15" x14ac:dyDescent="0.35">
      <c r="A34">
        <v>12</v>
      </c>
      <c r="B34">
        <v>8.6660000000000004</v>
      </c>
      <c r="C34">
        <v>5.5147000000000004</v>
      </c>
      <c r="D34">
        <v>0</v>
      </c>
      <c r="E34">
        <v>2.9923999999999999</v>
      </c>
      <c r="F34">
        <v>1.0716000000000001</v>
      </c>
      <c r="G34">
        <v>1.3712</v>
      </c>
      <c r="H34">
        <v>7.9799999999999996E-2</v>
      </c>
      <c r="I34">
        <v>0.60009999999999997</v>
      </c>
      <c r="J34">
        <v>0.4597</v>
      </c>
      <c r="K34">
        <v>1.24E-2</v>
      </c>
      <c r="L34">
        <v>1.0500000000000001E-2</v>
      </c>
      <c r="M34">
        <v>-4.3799999999999999E-2</v>
      </c>
      <c r="N34">
        <v>-0.12989999999999999</v>
      </c>
      <c r="O34">
        <v>0.34499999999999997</v>
      </c>
    </row>
    <row r="35" spans="1:15" x14ac:dyDescent="0.35">
      <c r="A35">
        <v>13</v>
      </c>
      <c r="B35">
        <v>8.9116</v>
      </c>
      <c r="C35">
        <v>5.8650000000000002</v>
      </c>
      <c r="D35">
        <v>0</v>
      </c>
      <c r="E35">
        <v>2.7869000000000002</v>
      </c>
      <c r="F35">
        <v>0.94820000000000004</v>
      </c>
      <c r="G35">
        <v>1.2453000000000001</v>
      </c>
      <c r="H35">
        <v>2.93E-2</v>
      </c>
      <c r="I35">
        <v>0.58540000000000003</v>
      </c>
      <c r="J35">
        <v>0.44840000000000002</v>
      </c>
      <c r="K35">
        <v>1.0500000000000001E-2</v>
      </c>
      <c r="L35">
        <v>1.04E-2</v>
      </c>
      <c r="M35">
        <v>-4.0899999999999999E-2</v>
      </c>
      <c r="N35">
        <v>-0.12509999999999999</v>
      </c>
      <c r="O35">
        <v>0.34100000000000003</v>
      </c>
    </row>
    <row r="36" spans="1:15" x14ac:dyDescent="0.35">
      <c r="A36">
        <v>14</v>
      </c>
      <c r="B36">
        <v>9.1416000000000004</v>
      </c>
      <c r="C36">
        <v>6.1931000000000003</v>
      </c>
      <c r="D36">
        <v>0</v>
      </c>
      <c r="E36">
        <v>2.5943000000000001</v>
      </c>
      <c r="F36">
        <v>0.81459999999999999</v>
      </c>
      <c r="G36">
        <v>1.1137999999999999</v>
      </c>
      <c r="H36">
        <v>4.1200000000000001E-2</v>
      </c>
      <c r="I36">
        <v>0.56259999999999999</v>
      </c>
      <c r="J36">
        <v>0.43099999999999999</v>
      </c>
      <c r="K36">
        <v>8.3999999999999995E-3</v>
      </c>
      <c r="L36">
        <v>1.0200000000000001E-2</v>
      </c>
      <c r="M36">
        <v>-3.73E-2</v>
      </c>
      <c r="N36">
        <v>-0.1186</v>
      </c>
      <c r="O36">
        <v>0.33700000000000002</v>
      </c>
    </row>
    <row r="37" spans="1:15" x14ac:dyDescent="0.35">
      <c r="A37">
        <v>15</v>
      </c>
      <c r="B37">
        <v>9.3505000000000003</v>
      </c>
      <c r="C37">
        <v>6.4911000000000003</v>
      </c>
      <c r="D37">
        <v>0</v>
      </c>
      <c r="E37">
        <v>2.4194</v>
      </c>
      <c r="F37">
        <v>0.67749999999999999</v>
      </c>
      <c r="G37">
        <v>0.97670000000000001</v>
      </c>
      <c r="H37">
        <v>4.8000000000000001E-2</v>
      </c>
      <c r="I37">
        <v>0.5292</v>
      </c>
      <c r="J37">
        <v>0.40539999999999998</v>
      </c>
      <c r="K37">
        <v>6.1000000000000004E-3</v>
      </c>
      <c r="L37">
        <v>9.7999999999999997E-3</v>
      </c>
      <c r="M37">
        <v>-3.32E-2</v>
      </c>
      <c r="N37">
        <v>-0.11</v>
      </c>
      <c r="O37">
        <v>0.33200000000000002</v>
      </c>
    </row>
    <row r="38" spans="1:15" x14ac:dyDescent="0.35">
      <c r="A38">
        <v>16</v>
      </c>
      <c r="B38">
        <v>9.5329999999999995</v>
      </c>
      <c r="C38">
        <v>6.7515000000000001</v>
      </c>
      <c r="D38">
        <v>0</v>
      </c>
      <c r="E38">
        <v>2.2665999999999999</v>
      </c>
      <c r="F38">
        <v>0.54210000000000003</v>
      </c>
      <c r="G38">
        <v>0.83540000000000003</v>
      </c>
      <c r="H38">
        <v>5.2900000000000003E-2</v>
      </c>
      <c r="I38">
        <v>0.4834</v>
      </c>
      <c r="J38">
        <v>0.37030000000000002</v>
      </c>
      <c r="K38">
        <v>4.0000000000000001E-3</v>
      </c>
      <c r="L38">
        <v>9.4999999999999998E-3</v>
      </c>
      <c r="M38">
        <v>-2.9000000000000001E-2</v>
      </c>
      <c r="N38">
        <v>-9.9299999999999999E-2</v>
      </c>
      <c r="O38">
        <v>0.32800000000000001</v>
      </c>
    </row>
    <row r="39" spans="1:15" x14ac:dyDescent="0.35">
      <c r="A39">
        <v>17</v>
      </c>
      <c r="B39">
        <v>9.6847999999999992</v>
      </c>
      <c r="C39">
        <v>6.968</v>
      </c>
      <c r="D39">
        <v>0</v>
      </c>
      <c r="E39">
        <v>2.1395</v>
      </c>
      <c r="F39">
        <v>0.41170000000000001</v>
      </c>
      <c r="G39">
        <v>0.69030000000000002</v>
      </c>
      <c r="H39">
        <v>5.8299999999999998E-2</v>
      </c>
      <c r="I39">
        <v>0.4234</v>
      </c>
      <c r="J39">
        <v>0.32440000000000002</v>
      </c>
      <c r="K39">
        <v>2E-3</v>
      </c>
      <c r="L39">
        <v>8.9999999999999993E-3</v>
      </c>
      <c r="M39">
        <v>-2.4799999999999999E-2</v>
      </c>
      <c r="N39">
        <v>-8.6499999999999994E-2</v>
      </c>
      <c r="O39">
        <v>0.32600000000000001</v>
      </c>
    </row>
    <row r="40" spans="1:15" x14ac:dyDescent="0.35">
      <c r="A40">
        <v>18</v>
      </c>
      <c r="B40">
        <v>9.8263999999999996</v>
      </c>
      <c r="C40">
        <v>7.17</v>
      </c>
      <c r="D40">
        <v>0</v>
      </c>
      <c r="E40">
        <v>2.0209999999999999</v>
      </c>
      <c r="F40">
        <v>0.41360000000000002</v>
      </c>
      <c r="G40">
        <v>0.52810000000000001</v>
      </c>
      <c r="H40">
        <v>6.7299999999999999E-2</v>
      </c>
      <c r="I40">
        <v>0.34310000000000002</v>
      </c>
      <c r="J40">
        <v>0.26279999999999998</v>
      </c>
      <c r="K40">
        <v>1.2999999999999999E-3</v>
      </c>
      <c r="L40">
        <v>8.5000000000000006E-3</v>
      </c>
      <c r="M40">
        <v>-2.0299999999999999E-2</v>
      </c>
      <c r="N40">
        <v>-7.0300000000000001E-2</v>
      </c>
      <c r="O40">
        <v>0.32700000000000001</v>
      </c>
    </row>
    <row r="41" spans="1:15" x14ac:dyDescent="0.35">
      <c r="A41">
        <v>19</v>
      </c>
      <c r="B41">
        <v>9.9422999999999995</v>
      </c>
      <c r="C41">
        <v>7.3353000000000002</v>
      </c>
      <c r="D41">
        <v>0</v>
      </c>
      <c r="E41">
        <v>1.9239999999999999</v>
      </c>
      <c r="F41">
        <v>0.2402</v>
      </c>
      <c r="G41">
        <v>0.32969999999999999</v>
      </c>
      <c r="H41">
        <v>8.4099999999999994E-2</v>
      </c>
      <c r="I41">
        <v>0.22520000000000001</v>
      </c>
      <c r="J41">
        <v>0.17249999999999999</v>
      </c>
      <c r="K41">
        <v>8.9999999999999998E-4</v>
      </c>
      <c r="L41">
        <v>7.9000000000000008E-3</v>
      </c>
      <c r="M41">
        <v>-1.43E-2</v>
      </c>
      <c r="N41">
        <v>-4.6899999999999997E-2</v>
      </c>
      <c r="O41">
        <v>0.33300000000000002</v>
      </c>
    </row>
    <row r="42" spans="1:15" x14ac:dyDescent="0.35">
      <c r="A42">
        <v>20</v>
      </c>
      <c r="B42">
        <v>10.0009</v>
      </c>
      <c r="C42">
        <v>7.4189999999999996</v>
      </c>
      <c r="D42">
        <v>0</v>
      </c>
      <c r="E42">
        <v>1.8749</v>
      </c>
      <c r="F42">
        <v>7.8700000000000006E-2</v>
      </c>
      <c r="G42">
        <v>0.1128</v>
      </c>
      <c r="H42">
        <v>9.9500000000000005E-2</v>
      </c>
      <c r="I42">
        <v>7.9500000000000001E-2</v>
      </c>
      <c r="J42">
        <v>6.0900000000000003E-2</v>
      </c>
      <c r="K42">
        <v>1.6000000000000001E-3</v>
      </c>
      <c r="L42">
        <v>7.4999999999999997E-3</v>
      </c>
      <c r="M42">
        <v>-5.4999999999999997E-3</v>
      </c>
      <c r="N42">
        <v>-1.6899999999999998E-2</v>
      </c>
      <c r="O42">
        <v>0.34</v>
      </c>
    </row>
    <row r="44" spans="1:15" x14ac:dyDescent="0.35">
      <c r="A44" t="s">
        <v>168</v>
      </c>
      <c r="B44" t="s">
        <v>77</v>
      </c>
      <c r="C44">
        <v>2</v>
      </c>
      <c r="D44" t="s">
        <v>53</v>
      </c>
      <c r="E44" t="s">
        <v>207</v>
      </c>
    </row>
    <row r="45" spans="1:15" x14ac:dyDescent="0.35">
      <c r="A45" t="s">
        <v>77</v>
      </c>
      <c r="B45" t="s">
        <v>180</v>
      </c>
      <c r="C45" t="s">
        <v>79</v>
      </c>
      <c r="D45">
        <v>10</v>
      </c>
      <c r="E45" t="s">
        <v>77</v>
      </c>
      <c r="F45" t="s">
        <v>181</v>
      </c>
      <c r="G45" t="s">
        <v>79</v>
      </c>
      <c r="H45">
        <v>20</v>
      </c>
      <c r="I45" t="s">
        <v>182</v>
      </c>
      <c r="J45" t="s">
        <v>183</v>
      </c>
      <c r="K45" t="s">
        <v>79</v>
      </c>
      <c r="L45">
        <v>21</v>
      </c>
    </row>
    <row r="46" spans="1:15" x14ac:dyDescent="0.35">
      <c r="A46" t="s">
        <v>168</v>
      </c>
      <c r="B46" t="s">
        <v>184</v>
      </c>
      <c r="C46" t="s">
        <v>264</v>
      </c>
      <c r="D46" t="s">
        <v>79</v>
      </c>
      <c r="E46">
        <v>18.764489999999999</v>
      </c>
      <c r="F46" t="s">
        <v>185</v>
      </c>
      <c r="G46" t="s">
        <v>62</v>
      </c>
      <c r="H46" t="s">
        <v>195</v>
      </c>
      <c r="I46" t="s">
        <v>79</v>
      </c>
      <c r="J46">
        <v>3.460232</v>
      </c>
    </row>
    <row r="48" spans="1:15" x14ac:dyDescent="0.35">
      <c r="A48" t="s">
        <v>75</v>
      </c>
      <c r="B48" t="s">
        <v>173</v>
      </c>
      <c r="C48" t="s">
        <v>174</v>
      </c>
      <c r="D48" t="s">
        <v>175</v>
      </c>
      <c r="E48" t="s">
        <v>176</v>
      </c>
      <c r="F48" t="s">
        <v>58</v>
      </c>
      <c r="G48" t="s">
        <v>177</v>
      </c>
      <c r="H48" t="s">
        <v>178</v>
      </c>
      <c r="I48" t="s">
        <v>179</v>
      </c>
      <c r="J48" t="s">
        <v>84</v>
      </c>
    </row>
    <row r="49" spans="1:15" x14ac:dyDescent="0.35">
      <c r="A49" t="s">
        <v>85</v>
      </c>
      <c r="B49" t="s">
        <v>86</v>
      </c>
      <c r="C49" t="s">
        <v>87</v>
      </c>
      <c r="D49" t="s">
        <v>47</v>
      </c>
      <c r="E49" t="s">
        <v>88</v>
      </c>
      <c r="F49" t="s">
        <v>89</v>
      </c>
      <c r="G49" t="s">
        <v>90</v>
      </c>
    </row>
    <row r="50" spans="1:15" x14ac:dyDescent="0.35">
      <c r="A50" t="s">
        <v>186</v>
      </c>
      <c r="B50" t="s">
        <v>79</v>
      </c>
      <c r="C50">
        <v>0.13319</v>
      </c>
      <c r="D50" t="s">
        <v>187</v>
      </c>
      <c r="E50" t="s">
        <v>79</v>
      </c>
      <c r="F50">
        <v>3.8059999999999997E-2</v>
      </c>
    </row>
    <row r="51" spans="1:15" x14ac:dyDescent="0.35">
      <c r="A51" t="s">
        <v>188</v>
      </c>
      <c r="B51" t="s">
        <v>79</v>
      </c>
      <c r="C51">
        <v>-4.2300000000000003E-3</v>
      </c>
      <c r="D51" t="s">
        <v>189</v>
      </c>
      <c r="E51" t="s">
        <v>79</v>
      </c>
      <c r="F51">
        <v>-8.4899999999999993E-3</v>
      </c>
    </row>
    <row r="52" spans="1:15" x14ac:dyDescent="0.35">
      <c r="A52" t="s">
        <v>190</v>
      </c>
      <c r="B52" t="s">
        <v>79</v>
      </c>
      <c r="C52">
        <v>7.8499999999999993E-3</v>
      </c>
      <c r="D52" t="s">
        <v>191</v>
      </c>
      <c r="E52" t="s">
        <v>79</v>
      </c>
      <c r="F52">
        <v>1.48E-3</v>
      </c>
    </row>
    <row r="53" spans="1:15" x14ac:dyDescent="0.35">
      <c r="A53" t="s">
        <v>192</v>
      </c>
      <c r="B53" t="s">
        <v>79</v>
      </c>
      <c r="C53">
        <v>4.7400000000000003E-3</v>
      </c>
      <c r="D53" t="s">
        <v>193</v>
      </c>
      <c r="E53" t="s">
        <v>79</v>
      </c>
      <c r="F53">
        <v>3.1099999999999999E-3</v>
      </c>
    </row>
    <row r="55" spans="1:15" x14ac:dyDescent="0.35">
      <c r="A55" t="s">
        <v>75</v>
      </c>
      <c r="B55" t="s">
        <v>173</v>
      </c>
      <c r="C55" t="s">
        <v>174</v>
      </c>
      <c r="D55" t="s">
        <v>194</v>
      </c>
      <c r="E55" t="s">
        <v>195</v>
      </c>
    </row>
    <row r="56" spans="1:15" x14ac:dyDescent="0.35">
      <c r="A56" t="s">
        <v>186</v>
      </c>
      <c r="B56" t="s">
        <v>79</v>
      </c>
      <c r="C56">
        <v>0.42703000000000002</v>
      </c>
      <c r="D56" t="s">
        <v>190</v>
      </c>
      <c r="E56" t="s">
        <v>79</v>
      </c>
      <c r="F56">
        <v>2.5180000000000001E-2</v>
      </c>
    </row>
    <row r="58" spans="1:15" x14ac:dyDescent="0.35">
      <c r="A58" t="s">
        <v>170</v>
      </c>
      <c r="B58" t="s">
        <v>75</v>
      </c>
      <c r="C58" t="s">
        <v>173</v>
      </c>
      <c r="D58" t="s">
        <v>174</v>
      </c>
      <c r="E58" t="s">
        <v>170</v>
      </c>
      <c r="F58" t="s">
        <v>196</v>
      </c>
      <c r="G58" t="s">
        <v>63</v>
      </c>
    </row>
    <row r="59" spans="1:15" x14ac:dyDescent="0.35">
      <c r="A59" t="s">
        <v>197</v>
      </c>
      <c r="B59" t="s">
        <v>59</v>
      </c>
      <c r="C59" t="s">
        <v>60</v>
      </c>
      <c r="D59" t="s">
        <v>61</v>
      </c>
      <c r="E59" t="s">
        <v>63</v>
      </c>
      <c r="F59" t="s">
        <v>198</v>
      </c>
      <c r="G59" t="s">
        <v>265</v>
      </c>
      <c r="H59" t="s">
        <v>200</v>
      </c>
      <c r="I59" t="s">
        <v>201</v>
      </c>
      <c r="J59" t="s">
        <v>199</v>
      </c>
      <c r="K59" t="s">
        <v>202</v>
      </c>
      <c r="L59" t="s">
        <v>203</v>
      </c>
      <c r="M59" t="s">
        <v>204</v>
      </c>
      <c r="N59" t="s">
        <v>205</v>
      </c>
      <c r="O59" t="s">
        <v>206</v>
      </c>
    </row>
    <row r="60" spans="1:15" x14ac:dyDescent="0.35">
      <c r="A60">
        <v>21</v>
      </c>
      <c r="B60">
        <v>6.2129000000000003</v>
      </c>
      <c r="C60">
        <v>-2.0154999999999998</v>
      </c>
      <c r="D60">
        <v>0</v>
      </c>
      <c r="E60">
        <v>5.0461</v>
      </c>
      <c r="F60">
        <v>0.17879999999999999</v>
      </c>
      <c r="G60">
        <v>1.8917999999999999</v>
      </c>
      <c r="H60">
        <v>-0.73770000000000002</v>
      </c>
      <c r="I60">
        <v>0.42149999999999999</v>
      </c>
      <c r="J60">
        <v>0.32290000000000002</v>
      </c>
      <c r="K60">
        <v>0.64080000000000004</v>
      </c>
      <c r="L60">
        <v>8.3999999999999995E-3</v>
      </c>
      <c r="M60">
        <v>-0.02</v>
      </c>
      <c r="N60">
        <v>9.3200000000000005E-2</v>
      </c>
      <c r="O60">
        <v>0.312</v>
      </c>
    </row>
    <row r="61" spans="1:15" x14ac:dyDescent="0.35">
      <c r="A61">
        <v>22</v>
      </c>
      <c r="B61">
        <v>6.2624000000000004</v>
      </c>
      <c r="C61">
        <v>-2.0861000000000001</v>
      </c>
      <c r="D61">
        <v>0</v>
      </c>
      <c r="E61">
        <v>5.0045999999999999</v>
      </c>
      <c r="F61">
        <v>0.52749999999999997</v>
      </c>
      <c r="G61">
        <v>1.9406000000000001</v>
      </c>
      <c r="H61">
        <v>-9.4399999999999998E-2</v>
      </c>
      <c r="I61">
        <v>0.50349999999999995</v>
      </c>
      <c r="J61">
        <v>0.38569999999999999</v>
      </c>
      <c r="K61">
        <v>4.9299999999999997E-2</v>
      </c>
      <c r="L61">
        <v>9.1000000000000004E-3</v>
      </c>
      <c r="M61">
        <v>-2.8299999999999999E-2</v>
      </c>
      <c r="N61">
        <v>0.1027</v>
      </c>
      <c r="O61">
        <v>0.32300000000000001</v>
      </c>
    </row>
    <row r="62" spans="1:15" x14ac:dyDescent="0.35">
      <c r="A62">
        <v>23</v>
      </c>
      <c r="B62">
        <v>6.3601999999999999</v>
      </c>
      <c r="C62">
        <v>-2.2256</v>
      </c>
      <c r="D62">
        <v>0</v>
      </c>
      <c r="E62">
        <v>4.9227999999999996</v>
      </c>
      <c r="F62">
        <v>0.85060000000000002</v>
      </c>
      <c r="G62">
        <v>1.9710000000000001</v>
      </c>
      <c r="H62">
        <v>5.0200000000000002E-2</v>
      </c>
      <c r="I62">
        <v>0.52229999999999999</v>
      </c>
      <c r="J62">
        <v>0.40010000000000001</v>
      </c>
      <c r="K62">
        <v>2.9000000000000001E-2</v>
      </c>
      <c r="L62">
        <v>9.2999999999999992E-3</v>
      </c>
      <c r="M62">
        <v>-3.4500000000000003E-2</v>
      </c>
      <c r="N62">
        <v>0.1104</v>
      </c>
      <c r="O62">
        <v>0.33600000000000002</v>
      </c>
    </row>
    <row r="63" spans="1:15" x14ac:dyDescent="0.35">
      <c r="A63">
        <v>24</v>
      </c>
      <c r="B63">
        <v>6.5038999999999998</v>
      </c>
      <c r="C63">
        <v>-2.4306000000000001</v>
      </c>
      <c r="D63">
        <v>0</v>
      </c>
      <c r="E63">
        <v>4.8025000000000002</v>
      </c>
      <c r="F63">
        <v>1.1329</v>
      </c>
      <c r="G63">
        <v>1.9816</v>
      </c>
      <c r="H63">
        <v>0.11310000000000001</v>
      </c>
      <c r="I63">
        <v>0.53859999999999997</v>
      </c>
      <c r="J63">
        <v>0.41260000000000002</v>
      </c>
      <c r="K63">
        <v>2.7099999999999999E-2</v>
      </c>
      <c r="L63">
        <v>9.4999999999999998E-3</v>
      </c>
      <c r="M63">
        <v>-3.9199999999999999E-2</v>
      </c>
      <c r="N63">
        <v>0.1168</v>
      </c>
      <c r="O63">
        <v>0.34499999999999997</v>
      </c>
    </row>
    <row r="64" spans="1:15" x14ac:dyDescent="0.35">
      <c r="A64">
        <v>25</v>
      </c>
      <c r="B64">
        <v>6.69</v>
      </c>
      <c r="C64">
        <v>-2.6960000000000002</v>
      </c>
      <c r="D64">
        <v>0</v>
      </c>
      <c r="E64">
        <v>4.6467000000000001</v>
      </c>
      <c r="F64">
        <v>1.3625</v>
      </c>
      <c r="G64">
        <v>1.9726999999999999</v>
      </c>
      <c r="H64">
        <v>0.1249</v>
      </c>
      <c r="I64">
        <v>0.55430000000000001</v>
      </c>
      <c r="J64">
        <v>0.42459999999999998</v>
      </c>
      <c r="K64">
        <v>2.64E-2</v>
      </c>
      <c r="L64">
        <v>9.7000000000000003E-3</v>
      </c>
      <c r="M64">
        <v>-4.2700000000000002E-2</v>
      </c>
      <c r="N64">
        <v>0.122</v>
      </c>
      <c r="O64">
        <v>0.35</v>
      </c>
    </row>
    <row r="65" spans="1:15" x14ac:dyDescent="0.35">
      <c r="A65">
        <v>26</v>
      </c>
      <c r="B65">
        <v>6.9138000000000002</v>
      </c>
      <c r="C65">
        <v>-3.0152000000000001</v>
      </c>
      <c r="D65">
        <v>0</v>
      </c>
      <c r="E65">
        <v>4.4592999999999998</v>
      </c>
      <c r="F65">
        <v>1.5309999999999999</v>
      </c>
      <c r="G65">
        <v>1.9439</v>
      </c>
      <c r="H65">
        <v>0.11899999999999999</v>
      </c>
      <c r="I65">
        <v>0.56930000000000003</v>
      </c>
      <c r="J65">
        <v>0.43609999999999999</v>
      </c>
      <c r="K65">
        <v>2.58E-2</v>
      </c>
      <c r="L65">
        <v>9.9000000000000008E-3</v>
      </c>
      <c r="M65">
        <v>-4.4999999999999998E-2</v>
      </c>
      <c r="N65">
        <v>0.1263</v>
      </c>
      <c r="O65">
        <v>0.35299999999999998</v>
      </c>
    </row>
    <row r="66" spans="1:15" x14ac:dyDescent="0.35">
      <c r="A66">
        <v>27</v>
      </c>
      <c r="B66">
        <v>7.1698000000000004</v>
      </c>
      <c r="C66">
        <v>-3.3805000000000001</v>
      </c>
      <c r="D66">
        <v>0</v>
      </c>
      <c r="E66">
        <v>4.2450000000000001</v>
      </c>
      <c r="F66">
        <v>1.6342000000000001</v>
      </c>
      <c r="G66">
        <v>1.8947000000000001</v>
      </c>
      <c r="H66">
        <v>0.11070000000000001</v>
      </c>
      <c r="I66">
        <v>0.58309999999999995</v>
      </c>
      <c r="J66">
        <v>0.44669999999999999</v>
      </c>
      <c r="K66">
        <v>2.46E-2</v>
      </c>
      <c r="L66">
        <v>1.01E-2</v>
      </c>
      <c r="M66">
        <v>-4.6600000000000003E-2</v>
      </c>
      <c r="N66">
        <v>0.12970000000000001</v>
      </c>
      <c r="O66">
        <v>0.35399999999999998</v>
      </c>
    </row>
    <row r="67" spans="1:15" x14ac:dyDescent="0.35">
      <c r="A67">
        <v>28</v>
      </c>
      <c r="B67">
        <v>7.4519000000000002</v>
      </c>
      <c r="C67">
        <v>-3.7827999999999999</v>
      </c>
      <c r="D67">
        <v>0</v>
      </c>
      <c r="E67">
        <v>4.0088999999999997</v>
      </c>
      <c r="F67">
        <v>1.6721999999999999</v>
      </c>
      <c r="G67">
        <v>1.8249</v>
      </c>
      <c r="H67">
        <v>0.10440000000000001</v>
      </c>
      <c r="I67">
        <v>0.59489999999999998</v>
      </c>
      <c r="J67">
        <v>0.45579999999999998</v>
      </c>
      <c r="K67">
        <v>2.2800000000000001E-2</v>
      </c>
      <c r="L67">
        <v>1.03E-2</v>
      </c>
      <c r="M67">
        <v>-4.7500000000000001E-2</v>
      </c>
      <c r="N67">
        <v>0.13220000000000001</v>
      </c>
      <c r="O67">
        <v>0.35399999999999998</v>
      </c>
    </row>
    <row r="68" spans="1:15" x14ac:dyDescent="0.35">
      <c r="A68">
        <v>29</v>
      </c>
      <c r="B68">
        <v>7.7529000000000003</v>
      </c>
      <c r="C68">
        <v>-4.2122000000000002</v>
      </c>
      <c r="D68">
        <v>0</v>
      </c>
      <c r="E68">
        <v>3.7568999999999999</v>
      </c>
      <c r="F68">
        <v>1.6494</v>
      </c>
      <c r="G68">
        <v>1.7345999999999999</v>
      </c>
      <c r="H68">
        <v>0.10100000000000001</v>
      </c>
      <c r="I68">
        <v>0.60370000000000001</v>
      </c>
      <c r="J68">
        <v>0.46250000000000002</v>
      </c>
      <c r="K68">
        <v>2.07E-2</v>
      </c>
      <c r="L68">
        <v>1.04E-2</v>
      </c>
      <c r="M68">
        <v>-4.7699999999999999E-2</v>
      </c>
      <c r="N68">
        <v>0.1338</v>
      </c>
      <c r="O68">
        <v>0.35299999999999998</v>
      </c>
    </row>
    <row r="69" spans="1:15" x14ac:dyDescent="0.35">
      <c r="A69">
        <v>30</v>
      </c>
      <c r="B69">
        <v>8.0655000000000001</v>
      </c>
      <c r="C69">
        <v>-4.6581000000000001</v>
      </c>
      <c r="D69">
        <v>0</v>
      </c>
      <c r="E69">
        <v>3.4952000000000001</v>
      </c>
      <c r="F69">
        <v>1.5731999999999999</v>
      </c>
      <c r="G69">
        <v>1.6253</v>
      </c>
      <c r="H69">
        <v>9.9199999999999997E-2</v>
      </c>
      <c r="I69">
        <v>0.60829999999999995</v>
      </c>
      <c r="J69">
        <v>0.46600000000000003</v>
      </c>
      <c r="K69">
        <v>1.8100000000000002E-2</v>
      </c>
      <c r="L69">
        <v>1.0500000000000001E-2</v>
      </c>
      <c r="M69">
        <v>-4.7300000000000002E-2</v>
      </c>
      <c r="N69">
        <v>0.1341</v>
      </c>
      <c r="O69">
        <v>0.35099999999999998</v>
      </c>
    </row>
    <row r="70" spans="1:15" x14ac:dyDescent="0.35">
      <c r="A70">
        <v>31</v>
      </c>
      <c r="B70">
        <v>8.3819999999999997</v>
      </c>
      <c r="C70">
        <v>-5.1096000000000004</v>
      </c>
      <c r="D70">
        <v>0</v>
      </c>
      <c r="E70">
        <v>3.2302</v>
      </c>
      <c r="F70">
        <v>1.4539</v>
      </c>
      <c r="G70">
        <v>1.4995000000000001</v>
      </c>
      <c r="H70">
        <v>9.2499999999999999E-2</v>
      </c>
      <c r="I70">
        <v>0.60760000000000003</v>
      </c>
      <c r="J70">
        <v>0.46550000000000002</v>
      </c>
      <c r="K70">
        <v>1.52E-2</v>
      </c>
      <c r="L70">
        <v>1.06E-2</v>
      </c>
      <c r="M70">
        <v>-4.6100000000000002E-2</v>
      </c>
      <c r="N70">
        <v>0.13289999999999999</v>
      </c>
      <c r="O70">
        <v>0.34899999999999998</v>
      </c>
    </row>
    <row r="71" spans="1:15" x14ac:dyDescent="0.35">
      <c r="A71">
        <v>32</v>
      </c>
      <c r="B71">
        <v>8.6660000000000004</v>
      </c>
      <c r="C71">
        <v>-5.5147000000000004</v>
      </c>
      <c r="D71">
        <v>0</v>
      </c>
      <c r="E71">
        <v>2.9923999999999999</v>
      </c>
      <c r="F71">
        <v>1.0716000000000001</v>
      </c>
      <c r="G71">
        <v>1.3712</v>
      </c>
      <c r="H71">
        <v>7.9799999999999996E-2</v>
      </c>
      <c r="I71">
        <v>0.60009999999999997</v>
      </c>
      <c r="J71">
        <v>0.4597</v>
      </c>
      <c r="K71">
        <v>1.24E-2</v>
      </c>
      <c r="L71">
        <v>1.0500000000000001E-2</v>
      </c>
      <c r="M71">
        <v>-4.3799999999999999E-2</v>
      </c>
      <c r="N71">
        <v>0.12989999999999999</v>
      </c>
      <c r="O71">
        <v>0.34499999999999997</v>
      </c>
    </row>
    <row r="72" spans="1:15" x14ac:dyDescent="0.35">
      <c r="A72">
        <v>33</v>
      </c>
      <c r="B72">
        <v>8.9116</v>
      </c>
      <c r="C72">
        <v>-5.8650000000000002</v>
      </c>
      <c r="D72">
        <v>0</v>
      </c>
      <c r="E72">
        <v>2.7869000000000002</v>
      </c>
      <c r="F72">
        <v>0.94820000000000004</v>
      </c>
      <c r="G72">
        <v>1.2453000000000001</v>
      </c>
      <c r="H72">
        <v>2.93E-2</v>
      </c>
      <c r="I72">
        <v>0.58540000000000003</v>
      </c>
      <c r="J72">
        <v>0.44840000000000002</v>
      </c>
      <c r="K72">
        <v>1.0500000000000001E-2</v>
      </c>
      <c r="L72">
        <v>1.04E-2</v>
      </c>
      <c r="M72">
        <v>-4.0899999999999999E-2</v>
      </c>
      <c r="N72">
        <v>0.12509999999999999</v>
      </c>
      <c r="O72">
        <v>0.34100000000000003</v>
      </c>
    </row>
    <row r="73" spans="1:15" x14ac:dyDescent="0.35">
      <c r="A73">
        <v>34</v>
      </c>
      <c r="B73">
        <v>9.1416000000000004</v>
      </c>
      <c r="C73">
        <v>-6.1931000000000003</v>
      </c>
      <c r="D73">
        <v>0</v>
      </c>
      <c r="E73">
        <v>2.5943000000000001</v>
      </c>
      <c r="F73">
        <v>0.81459999999999999</v>
      </c>
      <c r="G73">
        <v>1.1137999999999999</v>
      </c>
      <c r="H73">
        <v>4.1200000000000001E-2</v>
      </c>
      <c r="I73">
        <v>0.56259999999999999</v>
      </c>
      <c r="J73">
        <v>0.43099999999999999</v>
      </c>
      <c r="K73">
        <v>8.3999999999999995E-3</v>
      </c>
      <c r="L73">
        <v>1.0200000000000001E-2</v>
      </c>
      <c r="M73">
        <v>-3.73E-2</v>
      </c>
      <c r="N73">
        <v>0.1186</v>
      </c>
      <c r="O73">
        <v>0.33700000000000002</v>
      </c>
    </row>
    <row r="74" spans="1:15" x14ac:dyDescent="0.35">
      <c r="A74">
        <v>35</v>
      </c>
      <c r="B74">
        <v>9.3505000000000003</v>
      </c>
      <c r="C74">
        <v>-6.4911000000000003</v>
      </c>
      <c r="D74">
        <v>0</v>
      </c>
      <c r="E74">
        <v>2.4194</v>
      </c>
      <c r="F74">
        <v>0.67749999999999999</v>
      </c>
      <c r="G74">
        <v>0.97670000000000001</v>
      </c>
      <c r="H74">
        <v>4.8000000000000001E-2</v>
      </c>
      <c r="I74">
        <v>0.5292</v>
      </c>
      <c r="J74">
        <v>0.40539999999999998</v>
      </c>
      <c r="K74">
        <v>6.1000000000000004E-3</v>
      </c>
      <c r="L74">
        <v>9.7999999999999997E-3</v>
      </c>
      <c r="M74">
        <v>-3.32E-2</v>
      </c>
      <c r="N74">
        <v>0.11</v>
      </c>
      <c r="O74">
        <v>0.33200000000000002</v>
      </c>
    </row>
    <row r="75" spans="1:15" x14ac:dyDescent="0.35">
      <c r="A75">
        <v>36</v>
      </c>
      <c r="B75">
        <v>9.5329999999999995</v>
      </c>
      <c r="C75">
        <v>-6.7515000000000001</v>
      </c>
      <c r="D75">
        <v>0</v>
      </c>
      <c r="E75">
        <v>2.2665999999999999</v>
      </c>
      <c r="F75">
        <v>0.54210000000000003</v>
      </c>
      <c r="G75">
        <v>0.83540000000000003</v>
      </c>
      <c r="H75">
        <v>5.2900000000000003E-2</v>
      </c>
      <c r="I75">
        <v>0.4834</v>
      </c>
      <c r="J75">
        <v>0.37030000000000002</v>
      </c>
      <c r="K75">
        <v>4.0000000000000001E-3</v>
      </c>
      <c r="L75">
        <v>9.4999999999999998E-3</v>
      </c>
      <c r="M75">
        <v>-2.9000000000000001E-2</v>
      </c>
      <c r="N75">
        <v>9.9299999999999999E-2</v>
      </c>
      <c r="O75">
        <v>0.32800000000000001</v>
      </c>
    </row>
    <row r="76" spans="1:15" x14ac:dyDescent="0.35">
      <c r="A76">
        <v>37</v>
      </c>
      <c r="B76">
        <v>9.6847999999999992</v>
      </c>
      <c r="C76">
        <v>-6.968</v>
      </c>
      <c r="D76">
        <v>0</v>
      </c>
      <c r="E76">
        <v>2.1395</v>
      </c>
      <c r="F76">
        <v>0.41170000000000001</v>
      </c>
      <c r="G76">
        <v>0.69030000000000002</v>
      </c>
      <c r="H76">
        <v>5.8299999999999998E-2</v>
      </c>
      <c r="I76">
        <v>0.4234</v>
      </c>
      <c r="J76">
        <v>0.32440000000000002</v>
      </c>
      <c r="K76">
        <v>2E-3</v>
      </c>
      <c r="L76">
        <v>8.9999999999999993E-3</v>
      </c>
      <c r="M76">
        <v>-2.4799999999999999E-2</v>
      </c>
      <c r="N76">
        <v>8.6499999999999994E-2</v>
      </c>
      <c r="O76">
        <v>0.32600000000000001</v>
      </c>
    </row>
    <row r="77" spans="1:15" x14ac:dyDescent="0.35">
      <c r="A77">
        <v>38</v>
      </c>
      <c r="B77">
        <v>9.8263999999999996</v>
      </c>
      <c r="C77">
        <v>-7.17</v>
      </c>
      <c r="D77">
        <v>0</v>
      </c>
      <c r="E77">
        <v>2.0209999999999999</v>
      </c>
      <c r="F77">
        <v>0.41360000000000002</v>
      </c>
      <c r="G77">
        <v>0.52810000000000001</v>
      </c>
      <c r="H77">
        <v>6.7299999999999999E-2</v>
      </c>
      <c r="I77">
        <v>0.34310000000000002</v>
      </c>
      <c r="J77">
        <v>0.26279999999999998</v>
      </c>
      <c r="K77">
        <v>1.2999999999999999E-3</v>
      </c>
      <c r="L77">
        <v>8.5000000000000006E-3</v>
      </c>
      <c r="M77">
        <v>-2.0299999999999999E-2</v>
      </c>
      <c r="N77">
        <v>7.0300000000000001E-2</v>
      </c>
      <c r="O77">
        <v>0.32700000000000001</v>
      </c>
    </row>
    <row r="78" spans="1:15" x14ac:dyDescent="0.35">
      <c r="A78">
        <v>39</v>
      </c>
      <c r="B78">
        <v>9.9422999999999995</v>
      </c>
      <c r="C78">
        <v>-7.3353000000000002</v>
      </c>
      <c r="D78">
        <v>0</v>
      </c>
      <c r="E78">
        <v>1.9239999999999999</v>
      </c>
      <c r="F78">
        <v>0.2402</v>
      </c>
      <c r="G78">
        <v>0.32969999999999999</v>
      </c>
      <c r="H78">
        <v>8.4099999999999994E-2</v>
      </c>
      <c r="I78">
        <v>0.22520000000000001</v>
      </c>
      <c r="J78">
        <v>0.17249999999999999</v>
      </c>
      <c r="K78">
        <v>8.9999999999999998E-4</v>
      </c>
      <c r="L78">
        <v>7.9000000000000008E-3</v>
      </c>
      <c r="M78">
        <v>-1.43E-2</v>
      </c>
      <c r="N78">
        <v>4.6899999999999997E-2</v>
      </c>
      <c r="O78">
        <v>0.33300000000000002</v>
      </c>
    </row>
    <row r="79" spans="1:15" x14ac:dyDescent="0.35">
      <c r="A79">
        <v>40</v>
      </c>
      <c r="B79">
        <v>10.0009</v>
      </c>
      <c r="C79">
        <v>-7.4189999999999996</v>
      </c>
      <c r="D79">
        <v>0</v>
      </c>
      <c r="E79">
        <v>1.8749</v>
      </c>
      <c r="F79">
        <v>7.8700000000000006E-2</v>
      </c>
      <c r="G79">
        <v>0.1128</v>
      </c>
      <c r="H79">
        <v>9.9500000000000005E-2</v>
      </c>
      <c r="I79">
        <v>7.9500000000000001E-2</v>
      </c>
      <c r="J79">
        <v>6.0900000000000003E-2</v>
      </c>
      <c r="K79">
        <v>1.6000000000000001E-3</v>
      </c>
      <c r="L79">
        <v>7.4999999999999997E-3</v>
      </c>
      <c r="M79">
        <v>-5.4999999999999997E-3</v>
      </c>
      <c r="N79">
        <v>1.6899999999999998E-2</v>
      </c>
      <c r="O79">
        <v>0.34</v>
      </c>
    </row>
    <row r="81" spans="1:15" x14ac:dyDescent="0.35">
      <c r="A81" t="s">
        <v>168</v>
      </c>
      <c r="B81" t="s">
        <v>77</v>
      </c>
      <c r="C81">
        <v>3</v>
      </c>
      <c r="D81" t="s">
        <v>352</v>
      </c>
      <c r="E81" t="s">
        <v>120</v>
      </c>
      <c r="F81" t="s">
        <v>294</v>
      </c>
    </row>
    <row r="82" spans="1:15" x14ac:dyDescent="0.35">
      <c r="A82" t="s">
        <v>77</v>
      </c>
      <c r="B82" t="s">
        <v>180</v>
      </c>
      <c r="C82" t="s">
        <v>79</v>
      </c>
      <c r="D82">
        <v>20</v>
      </c>
      <c r="E82" t="s">
        <v>77</v>
      </c>
      <c r="F82" t="s">
        <v>181</v>
      </c>
      <c r="G82" t="s">
        <v>79</v>
      </c>
      <c r="H82">
        <v>10</v>
      </c>
      <c r="I82" t="s">
        <v>182</v>
      </c>
      <c r="J82" t="s">
        <v>183</v>
      </c>
      <c r="K82" t="s">
        <v>79</v>
      </c>
      <c r="L82">
        <v>41</v>
      </c>
    </row>
    <row r="83" spans="1:15" x14ac:dyDescent="0.35">
      <c r="A83" t="s">
        <v>168</v>
      </c>
      <c r="B83" t="s">
        <v>184</v>
      </c>
      <c r="C83" t="s">
        <v>264</v>
      </c>
      <c r="D83" t="s">
        <v>79</v>
      </c>
      <c r="E83">
        <v>20.050402999999999</v>
      </c>
      <c r="F83" t="s">
        <v>185</v>
      </c>
      <c r="G83" t="s">
        <v>62</v>
      </c>
      <c r="H83" t="s">
        <v>195</v>
      </c>
      <c r="I83" t="s">
        <v>79</v>
      </c>
      <c r="J83">
        <v>9.9922269999999997</v>
      </c>
    </row>
    <row r="85" spans="1:15" x14ac:dyDescent="0.35">
      <c r="A85" t="s">
        <v>75</v>
      </c>
      <c r="B85" t="s">
        <v>173</v>
      </c>
      <c r="C85" t="s">
        <v>174</v>
      </c>
      <c r="D85" t="s">
        <v>175</v>
      </c>
      <c r="E85" t="s">
        <v>176</v>
      </c>
      <c r="F85" t="s">
        <v>58</v>
      </c>
      <c r="G85" t="s">
        <v>177</v>
      </c>
      <c r="H85" t="s">
        <v>178</v>
      </c>
      <c r="I85" t="s">
        <v>179</v>
      </c>
      <c r="J85" t="s">
        <v>84</v>
      </c>
    </row>
    <row r="86" spans="1:15" x14ac:dyDescent="0.35">
      <c r="A86" t="s">
        <v>85</v>
      </c>
      <c r="B86" t="s">
        <v>86</v>
      </c>
      <c r="C86" t="s">
        <v>87</v>
      </c>
      <c r="D86" t="s">
        <v>47</v>
      </c>
      <c r="E86" t="s">
        <v>88</v>
      </c>
      <c r="F86" t="s">
        <v>89</v>
      </c>
      <c r="G86" t="s">
        <v>90</v>
      </c>
    </row>
    <row r="87" spans="1:15" x14ac:dyDescent="0.35">
      <c r="A87" t="s">
        <v>186</v>
      </c>
      <c r="B87" t="s">
        <v>79</v>
      </c>
      <c r="C87">
        <v>6.9440000000000002E-2</v>
      </c>
      <c r="D87" t="s">
        <v>187</v>
      </c>
      <c r="E87" t="s">
        <v>79</v>
      </c>
      <c r="F87">
        <v>-4.6100000000000004E-3</v>
      </c>
    </row>
    <row r="88" spans="1:15" x14ac:dyDescent="0.35">
      <c r="A88" t="s">
        <v>188</v>
      </c>
      <c r="B88" t="s">
        <v>79</v>
      </c>
      <c r="C88">
        <v>-1.1E-4</v>
      </c>
      <c r="D88" t="s">
        <v>189</v>
      </c>
      <c r="E88" t="s">
        <v>79</v>
      </c>
      <c r="F88">
        <v>2.232E-2</v>
      </c>
    </row>
    <row r="89" spans="1:15" x14ac:dyDescent="0.35">
      <c r="A89" t="s">
        <v>190</v>
      </c>
      <c r="B89" t="s">
        <v>79</v>
      </c>
      <c r="C89">
        <v>4.7699999999999999E-3</v>
      </c>
      <c r="D89" t="s">
        <v>191</v>
      </c>
      <c r="E89" t="s">
        <v>79</v>
      </c>
      <c r="F89">
        <v>-6.9999999999999994E-5</v>
      </c>
    </row>
    <row r="90" spans="1:15" x14ac:dyDescent="0.35">
      <c r="A90" t="s">
        <v>192</v>
      </c>
      <c r="B90" t="s">
        <v>79</v>
      </c>
      <c r="C90">
        <v>4.7699999999999999E-3</v>
      </c>
      <c r="D90" t="s">
        <v>193</v>
      </c>
      <c r="E90" t="s">
        <v>79</v>
      </c>
      <c r="F90">
        <v>0</v>
      </c>
    </row>
    <row r="92" spans="1:15" x14ac:dyDescent="0.35">
      <c r="A92" t="s">
        <v>75</v>
      </c>
      <c r="B92" t="s">
        <v>173</v>
      </c>
      <c r="C92" t="s">
        <v>174</v>
      </c>
      <c r="D92" t="s">
        <v>194</v>
      </c>
      <c r="E92" t="s">
        <v>195</v>
      </c>
    </row>
    <row r="93" spans="1:15" x14ac:dyDescent="0.35">
      <c r="A93" t="s">
        <v>186</v>
      </c>
      <c r="B93" t="s">
        <v>79</v>
      </c>
      <c r="C93">
        <v>0.20834</v>
      </c>
      <c r="D93" t="s">
        <v>190</v>
      </c>
      <c r="E93" t="s">
        <v>79</v>
      </c>
      <c r="F93">
        <v>1.4319999999999999E-2</v>
      </c>
    </row>
    <row r="95" spans="1:15" x14ac:dyDescent="0.35">
      <c r="A95" t="s">
        <v>170</v>
      </c>
      <c r="B95" t="s">
        <v>75</v>
      </c>
      <c r="C95" t="s">
        <v>173</v>
      </c>
      <c r="D95" t="s">
        <v>174</v>
      </c>
      <c r="E95" t="s">
        <v>170</v>
      </c>
      <c r="F95" t="s">
        <v>196</v>
      </c>
      <c r="G95" t="s">
        <v>63</v>
      </c>
    </row>
    <row r="96" spans="1:15" x14ac:dyDescent="0.35">
      <c r="A96" t="s">
        <v>197</v>
      </c>
      <c r="B96" t="s">
        <v>59</v>
      </c>
      <c r="C96" t="s">
        <v>60</v>
      </c>
      <c r="D96" t="s">
        <v>61</v>
      </c>
      <c r="E96" t="s">
        <v>63</v>
      </c>
      <c r="F96" t="s">
        <v>198</v>
      </c>
      <c r="G96" t="s">
        <v>265</v>
      </c>
      <c r="H96" t="s">
        <v>200</v>
      </c>
      <c r="I96" t="s">
        <v>201</v>
      </c>
      <c r="J96" t="s">
        <v>199</v>
      </c>
      <c r="K96" t="s">
        <v>202</v>
      </c>
      <c r="L96" t="s">
        <v>203</v>
      </c>
      <c r="M96" t="s">
        <v>204</v>
      </c>
      <c r="N96" t="s">
        <v>205</v>
      </c>
      <c r="O96" t="s">
        <v>206</v>
      </c>
    </row>
    <row r="97" spans="1:15" x14ac:dyDescent="0.35">
      <c r="A97">
        <v>41</v>
      </c>
      <c r="B97">
        <v>6.0699999999999997E-2</v>
      </c>
      <c r="C97">
        <v>1.2E-2</v>
      </c>
      <c r="D97">
        <v>0</v>
      </c>
      <c r="E97">
        <v>12.8933</v>
      </c>
      <c r="F97">
        <v>0.61550000000000005</v>
      </c>
      <c r="G97">
        <v>2.1671</v>
      </c>
      <c r="H97">
        <v>6.2600000000000003E-2</v>
      </c>
      <c r="I97">
        <v>2.2418</v>
      </c>
      <c r="J97">
        <v>0.16070000000000001</v>
      </c>
      <c r="K97">
        <v>9.4899999999999998E-2</v>
      </c>
      <c r="L97">
        <v>0</v>
      </c>
      <c r="M97">
        <v>-4.4900000000000002E-2</v>
      </c>
      <c r="N97">
        <v>-1.6899999999999998E-2</v>
      </c>
      <c r="O97">
        <v>0.52900000000000003</v>
      </c>
    </row>
    <row r="98" spans="1:15" x14ac:dyDescent="0.35">
      <c r="A98">
        <v>42</v>
      </c>
      <c r="B98">
        <v>0.53710000000000002</v>
      </c>
      <c r="C98">
        <v>0.10630000000000001</v>
      </c>
      <c r="D98">
        <v>0</v>
      </c>
      <c r="E98">
        <v>12.4169</v>
      </c>
      <c r="F98">
        <v>1.7202999999999999</v>
      </c>
      <c r="G98">
        <v>2.1669</v>
      </c>
      <c r="H98">
        <v>6.2600000000000003E-2</v>
      </c>
      <c r="I98">
        <v>2.4287000000000001</v>
      </c>
      <c r="J98">
        <v>0.1741</v>
      </c>
      <c r="K98">
        <v>1.26E-2</v>
      </c>
      <c r="L98">
        <v>0</v>
      </c>
      <c r="M98">
        <v>-4.53E-2</v>
      </c>
      <c r="N98">
        <v>-1.7299999999999999E-2</v>
      </c>
      <c r="O98">
        <v>0.51</v>
      </c>
    </row>
    <row r="99" spans="1:15" x14ac:dyDescent="0.35">
      <c r="A99">
        <v>43</v>
      </c>
      <c r="B99">
        <v>1.4433</v>
      </c>
      <c r="C99">
        <v>0.28570000000000001</v>
      </c>
      <c r="D99">
        <v>0</v>
      </c>
      <c r="E99">
        <v>11.5107</v>
      </c>
      <c r="F99">
        <v>2.4839000000000002</v>
      </c>
      <c r="G99">
        <v>2.1648000000000001</v>
      </c>
      <c r="H99">
        <v>6.2399999999999997E-2</v>
      </c>
      <c r="I99">
        <v>2.6171000000000002</v>
      </c>
      <c r="J99">
        <v>0.18759999999999999</v>
      </c>
      <c r="K99">
        <v>1.38E-2</v>
      </c>
      <c r="L99">
        <v>0</v>
      </c>
      <c r="M99">
        <v>-4.3700000000000003E-2</v>
      </c>
      <c r="N99">
        <v>-1.7600000000000001E-2</v>
      </c>
      <c r="O99">
        <v>0.48299999999999998</v>
      </c>
    </row>
    <row r="100" spans="1:15" x14ac:dyDescent="0.35">
      <c r="A100">
        <v>44</v>
      </c>
      <c r="B100">
        <v>2.6905000000000001</v>
      </c>
      <c r="C100">
        <v>0.53259999999999996</v>
      </c>
      <c r="D100">
        <v>0</v>
      </c>
      <c r="E100">
        <v>10.263400000000001</v>
      </c>
      <c r="F100">
        <v>2.7907000000000002</v>
      </c>
      <c r="G100">
        <v>2.1572</v>
      </c>
      <c r="H100">
        <v>6.1699999999999998E-2</v>
      </c>
      <c r="I100">
        <v>2.9249999999999998</v>
      </c>
      <c r="J100">
        <v>0.20960000000000001</v>
      </c>
      <c r="K100">
        <v>1.52E-2</v>
      </c>
      <c r="L100">
        <v>0</v>
      </c>
      <c r="M100">
        <v>-3.9600000000000003E-2</v>
      </c>
      <c r="N100">
        <v>-1.7899999999999999E-2</v>
      </c>
      <c r="O100">
        <v>0.439</v>
      </c>
    </row>
    <row r="101" spans="1:15" x14ac:dyDescent="0.35">
      <c r="A101">
        <v>45</v>
      </c>
      <c r="B101">
        <v>4.1567999999999996</v>
      </c>
      <c r="C101">
        <v>0.82279999999999998</v>
      </c>
      <c r="D101">
        <v>0</v>
      </c>
      <c r="E101">
        <v>8.7972000000000001</v>
      </c>
      <c r="F101">
        <v>2.6516000000000002</v>
      </c>
      <c r="G101">
        <v>2.1326000000000001</v>
      </c>
      <c r="H101">
        <v>5.9700000000000003E-2</v>
      </c>
      <c r="I101">
        <v>3.3788</v>
      </c>
      <c r="J101">
        <v>0.2422</v>
      </c>
      <c r="K101">
        <v>1.3100000000000001E-2</v>
      </c>
      <c r="L101">
        <v>0</v>
      </c>
      <c r="M101">
        <v>-3.0599999999999999E-2</v>
      </c>
      <c r="N101">
        <v>-1.77E-2</v>
      </c>
      <c r="O101">
        <v>0.376</v>
      </c>
    </row>
    <row r="102" spans="1:15" x14ac:dyDescent="0.35">
      <c r="A102">
        <v>46</v>
      </c>
      <c r="B102">
        <v>4.7937000000000003</v>
      </c>
      <c r="C102">
        <v>1.1367</v>
      </c>
      <c r="D102">
        <v>0</v>
      </c>
      <c r="E102">
        <v>8.4793000000000003</v>
      </c>
      <c r="F102">
        <v>2.702</v>
      </c>
      <c r="G102">
        <v>2.0586000000000002</v>
      </c>
      <c r="H102">
        <v>6.0299999999999999E-2</v>
      </c>
      <c r="I102">
        <v>0.2465</v>
      </c>
      <c r="J102">
        <v>0.24249999999999999</v>
      </c>
      <c r="K102">
        <v>1.3299999999999999E-2</v>
      </c>
      <c r="L102">
        <v>0</v>
      </c>
      <c r="M102">
        <v>-1.67E-2</v>
      </c>
      <c r="N102">
        <v>-5.9499999999999997E-2</v>
      </c>
      <c r="O102">
        <v>0.31900000000000001</v>
      </c>
    </row>
    <row r="103" spans="1:15" x14ac:dyDescent="0.35">
      <c r="A103">
        <v>47</v>
      </c>
      <c r="B103">
        <v>4.5389999999999997</v>
      </c>
      <c r="C103">
        <v>1.4436</v>
      </c>
      <c r="D103">
        <v>0</v>
      </c>
      <c r="E103">
        <v>9.3408999999999995</v>
      </c>
      <c r="F103">
        <v>2.6852</v>
      </c>
      <c r="G103">
        <v>2.0318999999999998</v>
      </c>
      <c r="H103">
        <v>6.7500000000000004E-2</v>
      </c>
      <c r="I103">
        <v>0.22059999999999999</v>
      </c>
      <c r="J103">
        <v>0.217</v>
      </c>
      <c r="K103">
        <v>1.5699999999999999E-2</v>
      </c>
      <c r="L103">
        <v>0</v>
      </c>
      <c r="M103">
        <v>-1.4800000000000001E-2</v>
      </c>
      <c r="N103">
        <v>-5.3199999999999997E-2</v>
      </c>
      <c r="O103">
        <v>0.318</v>
      </c>
    </row>
    <row r="104" spans="1:15" x14ac:dyDescent="0.35">
      <c r="A104">
        <v>48</v>
      </c>
      <c r="B104">
        <v>4.3223000000000003</v>
      </c>
      <c r="C104">
        <v>1.7045999999999999</v>
      </c>
      <c r="D104">
        <v>0</v>
      </c>
      <c r="E104">
        <v>10.0739</v>
      </c>
      <c r="F104">
        <v>2.2982</v>
      </c>
      <c r="G104">
        <v>2.0068999999999999</v>
      </c>
      <c r="H104">
        <v>7.1999999999999995E-2</v>
      </c>
      <c r="I104">
        <v>0.2019</v>
      </c>
      <c r="J104">
        <v>0.1986</v>
      </c>
      <c r="K104">
        <v>1.5299999999999999E-2</v>
      </c>
      <c r="L104">
        <v>0</v>
      </c>
      <c r="M104">
        <v>-1.49E-2</v>
      </c>
      <c r="N104">
        <v>-4.9700000000000001E-2</v>
      </c>
      <c r="O104">
        <v>0.32500000000000001</v>
      </c>
    </row>
    <row r="105" spans="1:15" x14ac:dyDescent="0.35">
      <c r="A105">
        <v>49</v>
      </c>
      <c r="B105">
        <v>4.1649000000000003</v>
      </c>
      <c r="C105">
        <v>1.8942000000000001</v>
      </c>
      <c r="D105">
        <v>0</v>
      </c>
      <c r="E105">
        <v>10.606400000000001</v>
      </c>
      <c r="F105">
        <v>1.5535000000000001</v>
      </c>
      <c r="G105">
        <v>1.9841</v>
      </c>
      <c r="H105">
        <v>7.5399999999999995E-2</v>
      </c>
      <c r="I105">
        <v>0.1898</v>
      </c>
      <c r="J105">
        <v>0.1867</v>
      </c>
      <c r="K105">
        <v>1.21E-2</v>
      </c>
      <c r="L105">
        <v>0</v>
      </c>
      <c r="M105">
        <v>-1.5800000000000002E-2</v>
      </c>
      <c r="N105">
        <v>-4.82E-2</v>
      </c>
      <c r="O105">
        <v>0.33500000000000002</v>
      </c>
    </row>
    <row r="106" spans="1:15" x14ac:dyDescent="0.35">
      <c r="A106">
        <v>50</v>
      </c>
      <c r="B106">
        <v>4.0820999999999996</v>
      </c>
      <c r="C106">
        <v>1.9939</v>
      </c>
      <c r="D106">
        <v>0</v>
      </c>
      <c r="E106">
        <v>10.8863</v>
      </c>
      <c r="F106">
        <v>0.5494</v>
      </c>
      <c r="G106">
        <v>1.9410000000000001</v>
      </c>
      <c r="H106">
        <v>7.7299999999999994E-2</v>
      </c>
      <c r="I106">
        <v>0.18759999999999999</v>
      </c>
      <c r="J106">
        <v>0.1845</v>
      </c>
      <c r="K106">
        <v>-6.6600000000000006E-2</v>
      </c>
      <c r="L106">
        <v>0</v>
      </c>
      <c r="M106">
        <v>-1.6299999999999999E-2</v>
      </c>
      <c r="N106">
        <v>-4.6800000000000001E-2</v>
      </c>
      <c r="O106">
        <v>0.33800000000000002</v>
      </c>
    </row>
    <row r="108" spans="1:15" x14ac:dyDescent="0.35">
      <c r="A108" t="s">
        <v>168</v>
      </c>
      <c r="B108" t="s">
        <v>77</v>
      </c>
      <c r="C108">
        <v>4</v>
      </c>
      <c r="D108" t="s">
        <v>352</v>
      </c>
      <c r="E108" t="s">
        <v>120</v>
      </c>
      <c r="F108" t="s">
        <v>294</v>
      </c>
      <c r="G108" t="s">
        <v>207</v>
      </c>
    </row>
    <row r="109" spans="1:15" x14ac:dyDescent="0.35">
      <c r="A109" t="s">
        <v>77</v>
      </c>
      <c r="B109" t="s">
        <v>180</v>
      </c>
      <c r="C109" t="s">
        <v>79</v>
      </c>
      <c r="D109">
        <v>20</v>
      </c>
      <c r="E109" t="s">
        <v>77</v>
      </c>
      <c r="F109" t="s">
        <v>181</v>
      </c>
      <c r="G109" t="s">
        <v>79</v>
      </c>
      <c r="H109">
        <v>10</v>
      </c>
      <c r="I109" t="s">
        <v>182</v>
      </c>
      <c r="J109" t="s">
        <v>183</v>
      </c>
      <c r="K109" t="s">
        <v>79</v>
      </c>
      <c r="L109">
        <v>51</v>
      </c>
    </row>
    <row r="110" spans="1:15" x14ac:dyDescent="0.35">
      <c r="A110" t="s">
        <v>168</v>
      </c>
      <c r="B110" t="s">
        <v>184</v>
      </c>
      <c r="C110" t="s">
        <v>264</v>
      </c>
      <c r="D110" t="s">
        <v>79</v>
      </c>
      <c r="E110">
        <v>20.050402999999999</v>
      </c>
      <c r="F110" t="s">
        <v>185</v>
      </c>
      <c r="G110" t="s">
        <v>62</v>
      </c>
      <c r="H110" t="s">
        <v>195</v>
      </c>
      <c r="I110" t="s">
        <v>79</v>
      </c>
      <c r="J110">
        <v>9.9922269999999997</v>
      </c>
    </row>
    <row r="112" spans="1:15" x14ac:dyDescent="0.35">
      <c r="A112" t="s">
        <v>75</v>
      </c>
      <c r="B112" t="s">
        <v>173</v>
      </c>
      <c r="C112" t="s">
        <v>174</v>
      </c>
      <c r="D112" t="s">
        <v>175</v>
      </c>
      <c r="E112" t="s">
        <v>176</v>
      </c>
      <c r="F112" t="s">
        <v>58</v>
      </c>
      <c r="G112" t="s">
        <v>177</v>
      </c>
      <c r="H112" t="s">
        <v>178</v>
      </c>
      <c r="I112" t="s">
        <v>179</v>
      </c>
      <c r="J112" t="s">
        <v>84</v>
      </c>
    </row>
    <row r="113" spans="1:15" x14ac:dyDescent="0.35">
      <c r="A113" t="s">
        <v>85</v>
      </c>
      <c r="B113" t="s">
        <v>86</v>
      </c>
      <c r="C113" t="s">
        <v>87</v>
      </c>
      <c r="D113" t="s">
        <v>47</v>
      </c>
      <c r="E113" t="s">
        <v>88</v>
      </c>
      <c r="F113" t="s">
        <v>89</v>
      </c>
      <c r="G113" t="s">
        <v>90</v>
      </c>
    </row>
    <row r="114" spans="1:15" x14ac:dyDescent="0.35">
      <c r="A114" t="s">
        <v>186</v>
      </c>
      <c r="B114" t="s">
        <v>79</v>
      </c>
      <c r="C114">
        <v>6.9440000000000002E-2</v>
      </c>
      <c r="D114" t="s">
        <v>187</v>
      </c>
      <c r="E114" t="s">
        <v>79</v>
      </c>
      <c r="F114">
        <v>4.6100000000000004E-3</v>
      </c>
    </row>
    <row r="115" spans="1:15" x14ac:dyDescent="0.35">
      <c r="A115" t="s">
        <v>188</v>
      </c>
      <c r="B115" t="s">
        <v>79</v>
      </c>
      <c r="C115">
        <v>1.1E-4</v>
      </c>
      <c r="D115" t="s">
        <v>189</v>
      </c>
      <c r="E115" t="s">
        <v>79</v>
      </c>
      <c r="F115">
        <v>2.232E-2</v>
      </c>
    </row>
    <row r="116" spans="1:15" x14ac:dyDescent="0.35">
      <c r="A116" t="s">
        <v>190</v>
      </c>
      <c r="B116" t="s">
        <v>79</v>
      </c>
      <c r="C116">
        <v>4.7699999999999999E-3</v>
      </c>
      <c r="D116" t="s">
        <v>191</v>
      </c>
      <c r="E116" t="s">
        <v>79</v>
      </c>
      <c r="F116">
        <v>6.9999999999999994E-5</v>
      </c>
    </row>
    <row r="117" spans="1:15" x14ac:dyDescent="0.35">
      <c r="A117" t="s">
        <v>192</v>
      </c>
      <c r="B117" t="s">
        <v>79</v>
      </c>
      <c r="C117">
        <v>4.7699999999999999E-3</v>
      </c>
      <c r="D117" t="s">
        <v>193</v>
      </c>
      <c r="E117" t="s">
        <v>79</v>
      </c>
      <c r="F117">
        <v>0</v>
      </c>
    </row>
    <row r="119" spans="1:15" x14ac:dyDescent="0.35">
      <c r="A119" t="s">
        <v>75</v>
      </c>
      <c r="B119" t="s">
        <v>173</v>
      </c>
      <c r="C119" t="s">
        <v>174</v>
      </c>
      <c r="D119" t="s">
        <v>194</v>
      </c>
      <c r="E119" t="s">
        <v>195</v>
      </c>
    </row>
    <row r="120" spans="1:15" x14ac:dyDescent="0.35">
      <c r="A120" t="s">
        <v>186</v>
      </c>
      <c r="B120" t="s">
        <v>79</v>
      </c>
      <c r="C120">
        <v>0.20834</v>
      </c>
      <c r="D120" t="s">
        <v>190</v>
      </c>
      <c r="E120" t="s">
        <v>79</v>
      </c>
      <c r="F120">
        <v>1.4319999999999999E-2</v>
      </c>
    </row>
    <row r="122" spans="1:15" x14ac:dyDescent="0.35">
      <c r="A122" t="s">
        <v>170</v>
      </c>
      <c r="B122" t="s">
        <v>75</v>
      </c>
      <c r="C122" t="s">
        <v>173</v>
      </c>
      <c r="D122" t="s">
        <v>174</v>
      </c>
      <c r="E122" t="s">
        <v>170</v>
      </c>
      <c r="F122" t="s">
        <v>196</v>
      </c>
      <c r="G122" t="s">
        <v>63</v>
      </c>
    </row>
    <row r="123" spans="1:15" x14ac:dyDescent="0.35">
      <c r="A123" t="s">
        <v>197</v>
      </c>
      <c r="B123" t="s">
        <v>59</v>
      </c>
      <c r="C123" t="s">
        <v>60</v>
      </c>
      <c r="D123" t="s">
        <v>61</v>
      </c>
      <c r="E123" t="s">
        <v>63</v>
      </c>
      <c r="F123" t="s">
        <v>198</v>
      </c>
      <c r="G123" t="s">
        <v>265</v>
      </c>
      <c r="H123" t="s">
        <v>200</v>
      </c>
      <c r="I123" t="s">
        <v>201</v>
      </c>
      <c r="J123" t="s">
        <v>199</v>
      </c>
      <c r="K123" t="s">
        <v>202</v>
      </c>
      <c r="L123" t="s">
        <v>203</v>
      </c>
      <c r="M123" t="s">
        <v>204</v>
      </c>
      <c r="N123" t="s">
        <v>205</v>
      </c>
      <c r="O123" t="s">
        <v>206</v>
      </c>
    </row>
    <row r="124" spans="1:15" x14ac:dyDescent="0.35">
      <c r="A124">
        <v>51</v>
      </c>
      <c r="B124">
        <v>6.0699999999999997E-2</v>
      </c>
      <c r="C124">
        <v>-1.2E-2</v>
      </c>
      <c r="D124">
        <v>0</v>
      </c>
      <c r="E124">
        <v>12.8933</v>
      </c>
      <c r="F124">
        <v>0.61550000000000005</v>
      </c>
      <c r="G124">
        <v>2.1671</v>
      </c>
      <c r="H124">
        <v>6.2600000000000003E-2</v>
      </c>
      <c r="I124">
        <v>2.2418</v>
      </c>
      <c r="J124">
        <v>0.16070000000000001</v>
      </c>
      <c r="K124">
        <v>9.4899999999999998E-2</v>
      </c>
      <c r="L124">
        <v>0</v>
      </c>
      <c r="M124">
        <v>-4.4900000000000002E-2</v>
      </c>
      <c r="N124">
        <v>1.6899999999999998E-2</v>
      </c>
      <c r="O124">
        <v>0.52900000000000003</v>
      </c>
    </row>
    <row r="125" spans="1:15" x14ac:dyDescent="0.35">
      <c r="A125">
        <v>52</v>
      </c>
      <c r="B125">
        <v>0.53710000000000002</v>
      </c>
      <c r="C125">
        <v>-0.10630000000000001</v>
      </c>
      <c r="D125">
        <v>0</v>
      </c>
      <c r="E125">
        <v>12.4169</v>
      </c>
      <c r="F125">
        <v>1.7202999999999999</v>
      </c>
      <c r="G125">
        <v>2.1669</v>
      </c>
      <c r="H125">
        <v>6.2600000000000003E-2</v>
      </c>
      <c r="I125">
        <v>2.4287000000000001</v>
      </c>
      <c r="J125">
        <v>0.1741</v>
      </c>
      <c r="K125">
        <v>1.26E-2</v>
      </c>
      <c r="L125">
        <v>0</v>
      </c>
      <c r="M125">
        <v>-4.53E-2</v>
      </c>
      <c r="N125">
        <v>1.7299999999999999E-2</v>
      </c>
      <c r="O125">
        <v>0.51</v>
      </c>
    </row>
    <row r="126" spans="1:15" x14ac:dyDescent="0.35">
      <c r="A126">
        <v>53</v>
      </c>
      <c r="B126">
        <v>1.4433</v>
      </c>
      <c r="C126">
        <v>-0.28570000000000001</v>
      </c>
      <c r="D126">
        <v>0</v>
      </c>
      <c r="E126">
        <v>11.5107</v>
      </c>
      <c r="F126">
        <v>2.4839000000000002</v>
      </c>
      <c r="G126">
        <v>2.1648000000000001</v>
      </c>
      <c r="H126">
        <v>6.2399999999999997E-2</v>
      </c>
      <c r="I126">
        <v>2.6171000000000002</v>
      </c>
      <c r="J126">
        <v>0.18759999999999999</v>
      </c>
      <c r="K126">
        <v>1.38E-2</v>
      </c>
      <c r="L126">
        <v>0</v>
      </c>
      <c r="M126">
        <v>-4.3700000000000003E-2</v>
      </c>
      <c r="N126">
        <v>1.7600000000000001E-2</v>
      </c>
      <c r="O126">
        <v>0.48299999999999998</v>
      </c>
    </row>
    <row r="127" spans="1:15" x14ac:dyDescent="0.35">
      <c r="A127">
        <v>54</v>
      </c>
      <c r="B127">
        <v>2.6905000000000001</v>
      </c>
      <c r="C127">
        <v>-0.53259999999999996</v>
      </c>
      <c r="D127">
        <v>0</v>
      </c>
      <c r="E127">
        <v>10.263400000000001</v>
      </c>
      <c r="F127">
        <v>2.7907000000000002</v>
      </c>
      <c r="G127">
        <v>2.1572</v>
      </c>
      <c r="H127">
        <v>6.1699999999999998E-2</v>
      </c>
      <c r="I127">
        <v>2.9249999999999998</v>
      </c>
      <c r="J127">
        <v>0.20960000000000001</v>
      </c>
      <c r="K127">
        <v>1.52E-2</v>
      </c>
      <c r="L127">
        <v>0</v>
      </c>
      <c r="M127">
        <v>-3.9600000000000003E-2</v>
      </c>
      <c r="N127">
        <v>1.7899999999999999E-2</v>
      </c>
      <c r="O127">
        <v>0.439</v>
      </c>
    </row>
    <row r="128" spans="1:15" x14ac:dyDescent="0.35">
      <c r="A128">
        <v>55</v>
      </c>
      <c r="B128">
        <v>4.1567999999999996</v>
      </c>
      <c r="C128">
        <v>-0.82279999999999998</v>
      </c>
      <c r="D128">
        <v>0</v>
      </c>
      <c r="E128">
        <v>8.7972000000000001</v>
      </c>
      <c r="F128">
        <v>2.6516000000000002</v>
      </c>
      <c r="G128">
        <v>2.1326000000000001</v>
      </c>
      <c r="H128">
        <v>5.9700000000000003E-2</v>
      </c>
      <c r="I128">
        <v>3.3788</v>
      </c>
      <c r="J128">
        <v>0.2422</v>
      </c>
      <c r="K128">
        <v>1.3100000000000001E-2</v>
      </c>
      <c r="L128">
        <v>0</v>
      </c>
      <c r="M128">
        <v>-3.0599999999999999E-2</v>
      </c>
      <c r="N128">
        <v>1.77E-2</v>
      </c>
      <c r="O128">
        <v>0.376</v>
      </c>
    </row>
    <row r="129" spans="1:15" x14ac:dyDescent="0.35">
      <c r="A129">
        <v>56</v>
      </c>
      <c r="B129">
        <v>4.7937000000000003</v>
      </c>
      <c r="C129">
        <v>-1.1367</v>
      </c>
      <c r="D129">
        <v>0</v>
      </c>
      <c r="E129">
        <v>8.4793000000000003</v>
      </c>
      <c r="F129">
        <v>2.702</v>
      </c>
      <c r="G129">
        <v>2.0586000000000002</v>
      </c>
      <c r="H129">
        <v>6.0299999999999999E-2</v>
      </c>
      <c r="I129">
        <v>0.2465</v>
      </c>
      <c r="J129">
        <v>0.24249999999999999</v>
      </c>
      <c r="K129">
        <v>1.3299999999999999E-2</v>
      </c>
      <c r="L129">
        <v>0</v>
      </c>
      <c r="M129">
        <v>-1.67E-2</v>
      </c>
      <c r="N129">
        <v>5.9499999999999997E-2</v>
      </c>
      <c r="O129">
        <v>0.31900000000000001</v>
      </c>
    </row>
    <row r="130" spans="1:15" x14ac:dyDescent="0.35">
      <c r="A130">
        <v>57</v>
      </c>
      <c r="B130">
        <v>4.5389999999999997</v>
      </c>
      <c r="C130">
        <v>-1.4436</v>
      </c>
      <c r="D130">
        <v>0</v>
      </c>
      <c r="E130">
        <v>9.3408999999999995</v>
      </c>
      <c r="F130">
        <v>2.6852</v>
      </c>
      <c r="G130">
        <v>2.0318999999999998</v>
      </c>
      <c r="H130">
        <v>6.7500000000000004E-2</v>
      </c>
      <c r="I130">
        <v>0.22059999999999999</v>
      </c>
      <c r="J130">
        <v>0.217</v>
      </c>
      <c r="K130">
        <v>1.5699999999999999E-2</v>
      </c>
      <c r="L130">
        <v>0</v>
      </c>
      <c r="M130">
        <v>-1.4800000000000001E-2</v>
      </c>
      <c r="N130">
        <v>5.3199999999999997E-2</v>
      </c>
      <c r="O130">
        <v>0.318</v>
      </c>
    </row>
    <row r="131" spans="1:15" x14ac:dyDescent="0.35">
      <c r="A131">
        <v>58</v>
      </c>
      <c r="B131">
        <v>4.3223000000000003</v>
      </c>
      <c r="C131">
        <v>-1.7045999999999999</v>
      </c>
      <c r="D131">
        <v>0</v>
      </c>
      <c r="E131">
        <v>10.0739</v>
      </c>
      <c r="F131">
        <v>2.2982</v>
      </c>
      <c r="G131">
        <v>2.0068999999999999</v>
      </c>
      <c r="H131">
        <v>7.1999999999999995E-2</v>
      </c>
      <c r="I131">
        <v>0.2019</v>
      </c>
      <c r="J131">
        <v>0.1986</v>
      </c>
      <c r="K131">
        <v>1.5299999999999999E-2</v>
      </c>
      <c r="L131">
        <v>0</v>
      </c>
      <c r="M131">
        <v>-1.49E-2</v>
      </c>
      <c r="N131">
        <v>4.9700000000000001E-2</v>
      </c>
      <c r="O131">
        <v>0.32500000000000001</v>
      </c>
    </row>
    <row r="132" spans="1:15" x14ac:dyDescent="0.35">
      <c r="A132">
        <v>59</v>
      </c>
      <c r="B132">
        <v>4.1649000000000003</v>
      </c>
      <c r="C132">
        <v>-1.8942000000000001</v>
      </c>
      <c r="D132">
        <v>0</v>
      </c>
      <c r="E132">
        <v>10.606400000000001</v>
      </c>
      <c r="F132">
        <v>1.5535000000000001</v>
      </c>
      <c r="G132">
        <v>1.9841</v>
      </c>
      <c r="H132">
        <v>7.5399999999999995E-2</v>
      </c>
      <c r="I132">
        <v>0.1898</v>
      </c>
      <c r="J132">
        <v>0.1867</v>
      </c>
      <c r="K132">
        <v>1.21E-2</v>
      </c>
      <c r="L132">
        <v>0</v>
      </c>
      <c r="M132">
        <v>-1.5800000000000002E-2</v>
      </c>
      <c r="N132">
        <v>4.82E-2</v>
      </c>
      <c r="O132">
        <v>0.33500000000000002</v>
      </c>
    </row>
    <row r="133" spans="1:15" x14ac:dyDescent="0.35">
      <c r="A133">
        <v>60</v>
      </c>
      <c r="B133">
        <v>4.0820999999999996</v>
      </c>
      <c r="C133">
        <v>-1.9939</v>
      </c>
      <c r="D133">
        <v>0</v>
      </c>
      <c r="E133">
        <v>10.8863</v>
      </c>
      <c r="F133">
        <v>0.5494</v>
      </c>
      <c r="G133">
        <v>1.9410000000000001</v>
      </c>
      <c r="H133">
        <v>7.7299999999999994E-2</v>
      </c>
      <c r="I133">
        <v>0.18759999999999999</v>
      </c>
      <c r="J133">
        <v>0.1845</v>
      </c>
      <c r="K133">
        <v>-6.6600000000000006E-2</v>
      </c>
      <c r="L133">
        <v>0</v>
      </c>
      <c r="M133">
        <v>-1.6299999999999999E-2</v>
      </c>
      <c r="N133">
        <v>4.6800000000000001E-2</v>
      </c>
      <c r="O133">
        <v>0.33800000000000002</v>
      </c>
    </row>
    <row r="135" spans="1:15" x14ac:dyDescent="0.35">
      <c r="A135" t="s">
        <v>168</v>
      </c>
      <c r="B135" t="s">
        <v>77</v>
      </c>
      <c r="C135">
        <v>5</v>
      </c>
      <c r="D135" t="s">
        <v>353</v>
      </c>
      <c r="E135" t="s">
        <v>354</v>
      </c>
    </row>
    <row r="136" spans="1:15" x14ac:dyDescent="0.35">
      <c r="A136" t="s">
        <v>77</v>
      </c>
      <c r="B136" t="s">
        <v>180</v>
      </c>
      <c r="C136" t="s">
        <v>79</v>
      </c>
      <c r="D136">
        <v>10</v>
      </c>
      <c r="E136" t="s">
        <v>77</v>
      </c>
      <c r="F136" t="s">
        <v>181</v>
      </c>
      <c r="G136" t="s">
        <v>79</v>
      </c>
      <c r="H136">
        <v>20</v>
      </c>
      <c r="I136" t="s">
        <v>182</v>
      </c>
      <c r="J136" t="s">
        <v>183</v>
      </c>
      <c r="K136" t="s">
        <v>79</v>
      </c>
      <c r="L136">
        <v>61</v>
      </c>
    </row>
    <row r="137" spans="1:15" x14ac:dyDescent="0.35">
      <c r="A137" t="s">
        <v>168</v>
      </c>
      <c r="B137" t="s">
        <v>184</v>
      </c>
      <c r="C137" t="s">
        <v>264</v>
      </c>
      <c r="D137" t="s">
        <v>79</v>
      </c>
      <c r="E137">
        <v>9.0140429999999991</v>
      </c>
      <c r="F137" t="s">
        <v>185</v>
      </c>
      <c r="G137" t="s">
        <v>62</v>
      </c>
      <c r="H137" t="s">
        <v>195</v>
      </c>
      <c r="I137" t="s">
        <v>79</v>
      </c>
      <c r="J137">
        <v>2.4514</v>
      </c>
    </row>
    <row r="139" spans="1:15" x14ac:dyDescent="0.35">
      <c r="A139" t="s">
        <v>75</v>
      </c>
      <c r="B139" t="s">
        <v>173</v>
      </c>
      <c r="C139" t="s">
        <v>174</v>
      </c>
      <c r="D139" t="s">
        <v>175</v>
      </c>
      <c r="E139" t="s">
        <v>176</v>
      </c>
      <c r="F139" t="s">
        <v>58</v>
      </c>
      <c r="G139" t="s">
        <v>177</v>
      </c>
      <c r="H139" t="s">
        <v>178</v>
      </c>
      <c r="I139" t="s">
        <v>179</v>
      </c>
      <c r="J139" t="s">
        <v>84</v>
      </c>
    </row>
    <row r="140" spans="1:15" x14ac:dyDescent="0.35">
      <c r="A140" t="s">
        <v>85</v>
      </c>
      <c r="B140" t="s">
        <v>86</v>
      </c>
      <c r="C140" t="s">
        <v>87</v>
      </c>
      <c r="D140" t="s">
        <v>47</v>
      </c>
      <c r="E140" t="s">
        <v>88</v>
      </c>
      <c r="F140" t="s">
        <v>89</v>
      </c>
      <c r="G140" t="s">
        <v>90</v>
      </c>
    </row>
    <row r="141" spans="1:15" x14ac:dyDescent="0.35">
      <c r="A141" t="s">
        <v>186</v>
      </c>
      <c r="B141" t="s">
        <v>79</v>
      </c>
      <c r="C141">
        <v>1.103E-2</v>
      </c>
      <c r="D141" t="s">
        <v>187</v>
      </c>
      <c r="E141" t="s">
        <v>79</v>
      </c>
      <c r="F141">
        <v>-3.0000000000000001E-3</v>
      </c>
    </row>
    <row r="142" spans="1:15" x14ac:dyDescent="0.35">
      <c r="A142" t="s">
        <v>188</v>
      </c>
      <c r="B142" t="s">
        <v>79</v>
      </c>
      <c r="C142">
        <v>4.6000000000000001E-4</v>
      </c>
      <c r="D142" t="s">
        <v>189</v>
      </c>
      <c r="E142" t="s">
        <v>79</v>
      </c>
      <c r="F142">
        <v>-1.252E-2</v>
      </c>
    </row>
    <row r="143" spans="1:15" x14ac:dyDescent="0.35">
      <c r="A143" t="s">
        <v>190</v>
      </c>
      <c r="B143" t="s">
        <v>79</v>
      </c>
      <c r="C143">
        <v>3.5E-4</v>
      </c>
      <c r="D143" t="s">
        <v>191</v>
      </c>
      <c r="E143" t="s">
        <v>79</v>
      </c>
      <c r="F143">
        <v>-2.5000000000000001E-4</v>
      </c>
    </row>
    <row r="144" spans="1:15" x14ac:dyDescent="0.35">
      <c r="A144" t="s">
        <v>192</v>
      </c>
      <c r="B144" t="s">
        <v>79</v>
      </c>
      <c r="C144">
        <v>3.5E-4</v>
      </c>
      <c r="D144" t="s">
        <v>193</v>
      </c>
      <c r="E144" t="s">
        <v>79</v>
      </c>
      <c r="F144">
        <v>0</v>
      </c>
    </row>
    <row r="146" spans="1:15" x14ac:dyDescent="0.35">
      <c r="A146" t="s">
        <v>75</v>
      </c>
      <c r="B146" t="s">
        <v>173</v>
      </c>
      <c r="C146" t="s">
        <v>174</v>
      </c>
      <c r="D146" t="s">
        <v>194</v>
      </c>
      <c r="E146" t="s">
        <v>195</v>
      </c>
    </row>
    <row r="147" spans="1:15" x14ac:dyDescent="0.35">
      <c r="A147" t="s">
        <v>186</v>
      </c>
      <c r="B147" t="s">
        <v>79</v>
      </c>
      <c r="C147">
        <v>7.3609999999999995E-2</v>
      </c>
      <c r="D147" t="s">
        <v>190</v>
      </c>
      <c r="E147" t="s">
        <v>79</v>
      </c>
      <c r="F147">
        <v>2.3600000000000001E-3</v>
      </c>
    </row>
    <row r="149" spans="1:15" x14ac:dyDescent="0.35">
      <c r="A149" t="s">
        <v>170</v>
      </c>
      <c r="B149" t="s">
        <v>75</v>
      </c>
      <c r="C149" t="s">
        <v>173</v>
      </c>
      <c r="D149" t="s">
        <v>174</v>
      </c>
      <c r="E149" t="s">
        <v>170</v>
      </c>
      <c r="F149" t="s">
        <v>196</v>
      </c>
      <c r="G149" t="s">
        <v>63</v>
      </c>
    </row>
    <row r="150" spans="1:15" x14ac:dyDescent="0.35">
      <c r="A150" t="s">
        <v>197</v>
      </c>
      <c r="B150" t="s">
        <v>59</v>
      </c>
      <c r="C150" t="s">
        <v>60</v>
      </c>
      <c r="D150" t="s">
        <v>61</v>
      </c>
      <c r="E150" t="s">
        <v>63</v>
      </c>
      <c r="F150" t="s">
        <v>198</v>
      </c>
      <c r="G150" t="s">
        <v>265</v>
      </c>
      <c r="H150" t="s">
        <v>200</v>
      </c>
      <c r="I150" t="s">
        <v>201</v>
      </c>
      <c r="J150" t="s">
        <v>199</v>
      </c>
      <c r="K150" t="s">
        <v>202</v>
      </c>
      <c r="L150" t="s">
        <v>203</v>
      </c>
      <c r="M150" t="s">
        <v>204</v>
      </c>
      <c r="N150" t="s">
        <v>205</v>
      </c>
      <c r="O150" t="s">
        <v>206</v>
      </c>
    </row>
    <row r="151" spans="1:15" x14ac:dyDescent="0.35">
      <c r="A151">
        <v>61</v>
      </c>
      <c r="B151">
        <v>11.4252</v>
      </c>
      <c r="C151">
        <v>2.0123000000000002</v>
      </c>
      <c r="D151">
        <v>-0.1</v>
      </c>
      <c r="E151">
        <v>3.7673000000000001</v>
      </c>
      <c r="F151">
        <v>8.5300000000000001E-2</v>
      </c>
      <c r="G151">
        <v>-0.12859999999999999</v>
      </c>
      <c r="H151">
        <v>6.59E-2</v>
      </c>
      <c r="I151">
        <v>-5.0200000000000002E-2</v>
      </c>
      <c r="J151">
        <v>-3.4599999999999999E-2</v>
      </c>
      <c r="K151">
        <v>4.1999999999999997E-3</v>
      </c>
      <c r="L151">
        <v>0</v>
      </c>
      <c r="M151">
        <v>-9.4999999999999998E-3</v>
      </c>
      <c r="N151">
        <v>-6.9999999999999999E-4</v>
      </c>
      <c r="O151">
        <v>-2.4E-2</v>
      </c>
    </row>
    <row r="152" spans="1:15" x14ac:dyDescent="0.35">
      <c r="A152">
        <v>62</v>
      </c>
      <c r="B152">
        <v>11.463800000000001</v>
      </c>
      <c r="C152">
        <v>2.0573999999999999</v>
      </c>
      <c r="D152">
        <v>-0.1</v>
      </c>
      <c r="E152">
        <v>3.7349000000000001</v>
      </c>
      <c r="F152">
        <v>0.2515</v>
      </c>
      <c r="G152">
        <v>-0.16200000000000001</v>
      </c>
      <c r="H152">
        <v>6.5799999999999997E-2</v>
      </c>
      <c r="I152">
        <v>-5.8799999999999998E-2</v>
      </c>
      <c r="J152">
        <v>-4.0500000000000001E-2</v>
      </c>
      <c r="K152">
        <v>-3.61E-2</v>
      </c>
      <c r="L152">
        <v>0</v>
      </c>
      <c r="M152">
        <v>-1.3599999999999999E-2</v>
      </c>
      <c r="N152">
        <v>-2.0999999999999999E-3</v>
      </c>
      <c r="O152">
        <v>-8.6999999999999994E-2</v>
      </c>
    </row>
    <row r="153" spans="1:15" x14ac:dyDescent="0.35">
      <c r="A153">
        <v>63</v>
      </c>
      <c r="B153">
        <v>11.539899999999999</v>
      </c>
      <c r="C153">
        <v>2.1465999999999998</v>
      </c>
      <c r="D153">
        <v>-0.1</v>
      </c>
      <c r="E153">
        <v>3.6709000000000001</v>
      </c>
      <c r="F153">
        <v>0.40529999999999999</v>
      </c>
      <c r="G153">
        <v>-9.7799999999999998E-2</v>
      </c>
      <c r="H153">
        <v>6.5600000000000006E-2</v>
      </c>
      <c r="I153">
        <v>-3.6900000000000002E-2</v>
      </c>
      <c r="J153">
        <v>-2.5399999999999999E-2</v>
      </c>
      <c r="K153">
        <v>-1.55E-2</v>
      </c>
      <c r="L153">
        <v>0</v>
      </c>
      <c r="M153">
        <v>-1.2200000000000001E-2</v>
      </c>
      <c r="N153">
        <v>-4.1999999999999997E-3</v>
      </c>
      <c r="O153">
        <v>-0.23</v>
      </c>
    </row>
    <row r="154" spans="1:15" x14ac:dyDescent="0.35">
      <c r="A154">
        <v>64</v>
      </c>
      <c r="B154">
        <v>11.6518</v>
      </c>
      <c r="C154">
        <v>2.2774999999999999</v>
      </c>
      <c r="D154">
        <v>-0.1</v>
      </c>
      <c r="E154">
        <v>3.5769000000000002</v>
      </c>
      <c r="F154">
        <v>0.53920000000000001</v>
      </c>
      <c r="G154">
        <v>6.0000000000000001E-3</v>
      </c>
      <c r="H154">
        <v>6.54E-2</v>
      </c>
      <c r="I154">
        <v>2.7000000000000001E-3</v>
      </c>
      <c r="J154">
        <v>1.8E-3</v>
      </c>
      <c r="K154">
        <v>-1.6999999999999999E-3</v>
      </c>
      <c r="L154">
        <v>0</v>
      </c>
      <c r="M154">
        <v>-9.1000000000000004E-3</v>
      </c>
      <c r="N154">
        <v>-7.1999999999999998E-3</v>
      </c>
      <c r="O154">
        <v>999</v>
      </c>
    </row>
    <row r="155" spans="1:15" x14ac:dyDescent="0.35">
      <c r="A155">
        <v>65</v>
      </c>
      <c r="B155">
        <v>11.7966</v>
      </c>
      <c r="C155">
        <v>2.4470999999999998</v>
      </c>
      <c r="D155">
        <v>-0.1</v>
      </c>
      <c r="E155">
        <v>3.4550999999999998</v>
      </c>
      <c r="F155">
        <v>0.64739999999999998</v>
      </c>
      <c r="G155">
        <v>0.1095</v>
      </c>
      <c r="H155">
        <v>6.5199999999999994E-2</v>
      </c>
      <c r="I155">
        <v>4.5900000000000003E-2</v>
      </c>
      <c r="J155">
        <v>3.1600000000000003E-2</v>
      </c>
      <c r="K155">
        <v>2.3E-3</v>
      </c>
      <c r="L155">
        <v>0</v>
      </c>
      <c r="M155">
        <v>-5.5999999999999999E-3</v>
      </c>
      <c r="N155">
        <v>-1.03E-2</v>
      </c>
      <c r="O155">
        <v>0.42699999999999999</v>
      </c>
    </row>
    <row r="156" spans="1:15" x14ac:dyDescent="0.35">
      <c r="A156">
        <v>66</v>
      </c>
      <c r="B156">
        <v>11.970800000000001</v>
      </c>
      <c r="C156">
        <v>2.6511</v>
      </c>
      <c r="D156">
        <v>-0.1</v>
      </c>
      <c r="E156">
        <v>3.3087</v>
      </c>
      <c r="F156">
        <v>0.72589999999999999</v>
      </c>
      <c r="G156">
        <v>0.1769</v>
      </c>
      <c r="H156">
        <v>6.5000000000000002E-2</v>
      </c>
      <c r="I156">
        <v>7.7399999999999997E-2</v>
      </c>
      <c r="J156">
        <v>5.3400000000000003E-2</v>
      </c>
      <c r="K156">
        <v>3.5999999999999999E-3</v>
      </c>
      <c r="L156">
        <v>0</v>
      </c>
      <c r="M156">
        <v>-3.5000000000000001E-3</v>
      </c>
      <c r="N156">
        <v>-1.29E-2</v>
      </c>
      <c r="O156">
        <v>0.317</v>
      </c>
    </row>
    <row r="157" spans="1:15" x14ac:dyDescent="0.35">
      <c r="A157">
        <v>67</v>
      </c>
      <c r="B157">
        <v>12.1701</v>
      </c>
      <c r="C157">
        <v>2.8845000000000001</v>
      </c>
      <c r="D157">
        <v>-0.1</v>
      </c>
      <c r="E157">
        <v>3.1410999999999998</v>
      </c>
      <c r="F157">
        <v>0.77270000000000005</v>
      </c>
      <c r="G157">
        <v>0.21129999999999999</v>
      </c>
      <c r="H157">
        <v>6.4799999999999996E-2</v>
      </c>
      <c r="I157">
        <v>9.74E-2</v>
      </c>
      <c r="J157">
        <v>6.7100000000000007E-2</v>
      </c>
      <c r="K157">
        <v>4.3E-3</v>
      </c>
      <c r="L157">
        <v>0</v>
      </c>
      <c r="M157">
        <v>-2.8999999999999998E-3</v>
      </c>
      <c r="N157">
        <v>-1.4999999999999999E-2</v>
      </c>
      <c r="O157">
        <v>0.29299999999999998</v>
      </c>
    </row>
    <row r="158" spans="1:15" x14ac:dyDescent="0.35">
      <c r="A158">
        <v>68</v>
      </c>
      <c r="B158">
        <v>12.3896</v>
      </c>
      <c r="C158">
        <v>3.1415999999999999</v>
      </c>
      <c r="D158">
        <v>-0.1</v>
      </c>
      <c r="E158">
        <v>2.9565000000000001</v>
      </c>
      <c r="F158">
        <v>0.78800000000000003</v>
      </c>
      <c r="G158">
        <v>0.22939999999999999</v>
      </c>
      <c r="H158">
        <v>6.4699999999999994E-2</v>
      </c>
      <c r="I158">
        <v>0.1124</v>
      </c>
      <c r="J158">
        <v>7.7499999999999999E-2</v>
      </c>
      <c r="K158">
        <v>4.8999999999999998E-3</v>
      </c>
      <c r="L158">
        <v>0</v>
      </c>
      <c r="M158">
        <v>-2.7000000000000001E-3</v>
      </c>
      <c r="N158">
        <v>-1.6799999999999999E-2</v>
      </c>
      <c r="O158">
        <v>0.28399999999999997</v>
      </c>
    </row>
    <row r="159" spans="1:15" x14ac:dyDescent="0.35">
      <c r="A159">
        <v>69</v>
      </c>
      <c r="B159">
        <v>12.624000000000001</v>
      </c>
      <c r="C159">
        <v>3.4159000000000002</v>
      </c>
      <c r="D159">
        <v>-0.1</v>
      </c>
      <c r="E159">
        <v>2.7595000000000001</v>
      </c>
      <c r="F159">
        <v>0.77410000000000001</v>
      </c>
      <c r="G159">
        <v>0.2402</v>
      </c>
      <c r="H159">
        <v>6.4699999999999994E-2</v>
      </c>
      <c r="I159">
        <v>0.12609999999999999</v>
      </c>
      <c r="J159">
        <v>8.6900000000000005E-2</v>
      </c>
      <c r="K159">
        <v>5.4000000000000003E-3</v>
      </c>
      <c r="L159">
        <v>0</v>
      </c>
      <c r="M159">
        <v>-2.3999999999999998E-3</v>
      </c>
      <c r="N159">
        <v>-1.83E-2</v>
      </c>
      <c r="O159">
        <v>0.27700000000000002</v>
      </c>
    </row>
    <row r="160" spans="1:15" x14ac:dyDescent="0.35">
      <c r="A160">
        <v>70</v>
      </c>
      <c r="B160">
        <v>12.8673</v>
      </c>
      <c r="C160">
        <v>3.7008999999999999</v>
      </c>
      <c r="D160">
        <v>-0.1</v>
      </c>
      <c r="E160">
        <v>2.5550000000000002</v>
      </c>
      <c r="F160">
        <v>0.73480000000000001</v>
      </c>
      <c r="G160">
        <v>0.246</v>
      </c>
      <c r="H160">
        <v>6.4699999999999994E-2</v>
      </c>
      <c r="I160">
        <v>0.1396</v>
      </c>
      <c r="J160">
        <v>9.6100000000000005E-2</v>
      </c>
      <c r="K160">
        <v>5.7999999999999996E-3</v>
      </c>
      <c r="L160">
        <v>0</v>
      </c>
      <c r="M160">
        <v>-1.8E-3</v>
      </c>
      <c r="N160">
        <v>-1.9699999999999999E-2</v>
      </c>
      <c r="O160">
        <v>0.26900000000000002</v>
      </c>
    </row>
    <row r="161" spans="1:15" x14ac:dyDescent="0.35">
      <c r="A161">
        <v>71</v>
      </c>
      <c r="B161">
        <v>13.1137</v>
      </c>
      <c r="C161">
        <v>3.9893999999999998</v>
      </c>
      <c r="D161">
        <v>-0.1</v>
      </c>
      <c r="E161">
        <v>2.3477999999999999</v>
      </c>
      <c r="F161">
        <v>0.67530000000000001</v>
      </c>
      <c r="G161">
        <v>0.24929999999999999</v>
      </c>
      <c r="H161">
        <v>6.4799999999999996E-2</v>
      </c>
      <c r="I161">
        <v>0.15390000000000001</v>
      </c>
      <c r="J161">
        <v>0.106</v>
      </c>
      <c r="K161">
        <v>6.1000000000000004E-3</v>
      </c>
      <c r="L161">
        <v>0</v>
      </c>
      <c r="M161">
        <v>-6.9999999999999999E-4</v>
      </c>
      <c r="N161">
        <v>-2.07E-2</v>
      </c>
      <c r="O161">
        <v>0.25700000000000001</v>
      </c>
    </row>
    <row r="162" spans="1:15" x14ac:dyDescent="0.35">
      <c r="A162">
        <v>72</v>
      </c>
      <c r="B162">
        <v>13.356999999999999</v>
      </c>
      <c r="C162">
        <v>4.2744</v>
      </c>
      <c r="D162">
        <v>-0.1</v>
      </c>
      <c r="E162">
        <v>2.1433</v>
      </c>
      <c r="F162">
        <v>0.60119999999999996</v>
      </c>
      <c r="G162">
        <v>0.25190000000000001</v>
      </c>
      <c r="H162">
        <v>6.5000000000000002E-2</v>
      </c>
      <c r="I162">
        <v>0.1704</v>
      </c>
      <c r="J162">
        <v>0.1174</v>
      </c>
      <c r="K162">
        <v>6.4000000000000003E-3</v>
      </c>
      <c r="L162">
        <v>0</v>
      </c>
      <c r="M162">
        <v>1.1999999999999999E-3</v>
      </c>
      <c r="N162">
        <v>-2.1399999999999999E-2</v>
      </c>
      <c r="O162">
        <v>0.24</v>
      </c>
    </row>
    <row r="163" spans="1:15" x14ac:dyDescent="0.35">
      <c r="A163">
        <v>73</v>
      </c>
      <c r="B163">
        <v>13.5914</v>
      </c>
      <c r="C163">
        <v>4.5487000000000002</v>
      </c>
      <c r="D163">
        <v>-0.1</v>
      </c>
      <c r="E163">
        <v>1.9462999999999999</v>
      </c>
      <c r="F163">
        <v>0.51880000000000004</v>
      </c>
      <c r="G163">
        <v>0.252</v>
      </c>
      <c r="H163">
        <v>6.5299999999999997E-2</v>
      </c>
      <c r="I163">
        <v>0.18779999999999999</v>
      </c>
      <c r="J163">
        <v>0.12939999999999999</v>
      </c>
      <c r="K163">
        <v>6.1000000000000004E-3</v>
      </c>
      <c r="L163">
        <v>0</v>
      </c>
      <c r="M163">
        <v>4.3E-3</v>
      </c>
      <c r="N163">
        <v>-2.1399999999999999E-2</v>
      </c>
      <c r="O163">
        <v>0.217</v>
      </c>
    </row>
    <row r="164" spans="1:15" x14ac:dyDescent="0.35">
      <c r="A164">
        <v>74</v>
      </c>
      <c r="B164">
        <v>13.8109</v>
      </c>
      <c r="C164">
        <v>4.8057999999999996</v>
      </c>
      <c r="D164">
        <v>-0.1</v>
      </c>
      <c r="E164">
        <v>1.7617</v>
      </c>
      <c r="F164">
        <v>0.43340000000000001</v>
      </c>
      <c r="G164">
        <v>0.23980000000000001</v>
      </c>
      <c r="H164">
        <v>6.5699999999999995E-2</v>
      </c>
      <c r="I164">
        <v>0.1976</v>
      </c>
      <c r="J164">
        <v>0.1361</v>
      </c>
      <c r="K164">
        <v>5.4000000000000003E-3</v>
      </c>
      <c r="L164">
        <v>0</v>
      </c>
      <c r="M164">
        <v>7.4999999999999997E-3</v>
      </c>
      <c r="N164">
        <v>-2.0199999999999999E-2</v>
      </c>
      <c r="O164">
        <v>0.19500000000000001</v>
      </c>
    </row>
    <row r="165" spans="1:15" x14ac:dyDescent="0.35">
      <c r="A165">
        <v>75</v>
      </c>
      <c r="B165">
        <v>14.010199999999999</v>
      </c>
      <c r="C165">
        <v>5.0392000000000001</v>
      </c>
      <c r="D165">
        <v>-0.1</v>
      </c>
      <c r="E165">
        <v>1.5941000000000001</v>
      </c>
      <c r="F165">
        <v>0.34970000000000001</v>
      </c>
      <c r="G165">
        <v>0.2074</v>
      </c>
      <c r="H165">
        <v>6.6100000000000006E-2</v>
      </c>
      <c r="I165">
        <v>0.18890000000000001</v>
      </c>
      <c r="J165">
        <v>0.13009999999999999</v>
      </c>
      <c r="K165">
        <v>4.7999999999999996E-3</v>
      </c>
      <c r="L165">
        <v>0</v>
      </c>
      <c r="M165">
        <v>9.2999999999999992E-3</v>
      </c>
      <c r="N165">
        <v>-1.7600000000000001E-2</v>
      </c>
      <c r="O165">
        <v>0.17799999999999999</v>
      </c>
    </row>
    <row r="166" spans="1:15" x14ac:dyDescent="0.35">
      <c r="A166">
        <v>76</v>
      </c>
      <c r="B166">
        <v>14.1844</v>
      </c>
      <c r="C166">
        <v>5.2431999999999999</v>
      </c>
      <c r="D166">
        <v>-0.1</v>
      </c>
      <c r="E166">
        <v>1.4477</v>
      </c>
      <c r="F166">
        <v>0.2712</v>
      </c>
      <c r="G166">
        <v>0.16500000000000001</v>
      </c>
      <c r="H166">
        <v>6.6500000000000004E-2</v>
      </c>
      <c r="I166">
        <v>0.16550000000000001</v>
      </c>
      <c r="J166">
        <v>0.114</v>
      </c>
      <c r="K166">
        <v>4.1999999999999997E-3</v>
      </c>
      <c r="L166">
        <v>0</v>
      </c>
      <c r="M166">
        <v>9.9000000000000008E-3</v>
      </c>
      <c r="N166">
        <v>-1.41E-2</v>
      </c>
      <c r="O166">
        <v>0.16300000000000001</v>
      </c>
    </row>
    <row r="167" spans="1:15" x14ac:dyDescent="0.35">
      <c r="A167">
        <v>77</v>
      </c>
      <c r="B167">
        <v>14.3292</v>
      </c>
      <c r="C167">
        <v>5.4127999999999998</v>
      </c>
      <c r="D167">
        <v>-0.1</v>
      </c>
      <c r="E167">
        <v>1.3259000000000001</v>
      </c>
      <c r="F167">
        <v>0.19989999999999999</v>
      </c>
      <c r="G167">
        <v>0.1222</v>
      </c>
      <c r="H167">
        <v>6.6900000000000001E-2</v>
      </c>
      <c r="I167">
        <v>0.13389999999999999</v>
      </c>
      <c r="J167">
        <v>9.2200000000000004E-2</v>
      </c>
      <c r="K167">
        <v>3.3999999999999998E-3</v>
      </c>
      <c r="L167">
        <v>0</v>
      </c>
      <c r="M167">
        <v>9.5999999999999992E-3</v>
      </c>
      <c r="N167">
        <v>-1.0200000000000001E-2</v>
      </c>
      <c r="O167">
        <v>0.14599999999999999</v>
      </c>
    </row>
    <row r="168" spans="1:15" x14ac:dyDescent="0.35">
      <c r="A168">
        <v>78</v>
      </c>
      <c r="B168">
        <v>14.4411</v>
      </c>
      <c r="C168">
        <v>5.5437000000000003</v>
      </c>
      <c r="D168">
        <v>-0.1</v>
      </c>
      <c r="E168">
        <v>1.2319</v>
      </c>
      <c r="F168">
        <v>0.13600000000000001</v>
      </c>
      <c r="G168">
        <v>8.2900000000000001E-2</v>
      </c>
      <c r="H168">
        <v>6.7199999999999996E-2</v>
      </c>
      <c r="I168">
        <v>9.7799999999999998E-2</v>
      </c>
      <c r="J168">
        <v>6.7400000000000002E-2</v>
      </c>
      <c r="K168">
        <v>2.3999999999999998E-3</v>
      </c>
      <c r="L168">
        <v>0</v>
      </c>
      <c r="M168">
        <v>8.3000000000000001E-3</v>
      </c>
      <c r="N168">
        <v>-6.4999999999999997E-3</v>
      </c>
      <c r="O168">
        <v>0.127</v>
      </c>
    </row>
    <row r="169" spans="1:15" x14ac:dyDescent="0.35">
      <c r="A169">
        <v>79</v>
      </c>
      <c r="B169">
        <v>14.517200000000001</v>
      </c>
      <c r="C169">
        <v>5.6329000000000002</v>
      </c>
      <c r="D169">
        <v>-0.1</v>
      </c>
      <c r="E169">
        <v>1.1678999999999999</v>
      </c>
      <c r="F169">
        <v>7.8700000000000006E-2</v>
      </c>
      <c r="G169">
        <v>4.7699999999999999E-2</v>
      </c>
      <c r="H169">
        <v>6.7400000000000002E-2</v>
      </c>
      <c r="I169">
        <v>5.9400000000000001E-2</v>
      </c>
      <c r="J169">
        <v>4.0899999999999999E-2</v>
      </c>
      <c r="K169">
        <v>1.1999999999999999E-3</v>
      </c>
      <c r="L169">
        <v>0</v>
      </c>
      <c r="M169">
        <v>5.7000000000000002E-3</v>
      </c>
      <c r="N169">
        <v>-3.3999999999999998E-3</v>
      </c>
      <c r="O169">
        <v>0.11</v>
      </c>
    </row>
    <row r="170" spans="1:15" x14ac:dyDescent="0.35">
      <c r="A170">
        <v>80</v>
      </c>
      <c r="B170">
        <v>14.5558</v>
      </c>
      <c r="C170">
        <v>5.6779999999999999</v>
      </c>
      <c r="D170">
        <v>-0.1</v>
      </c>
      <c r="E170">
        <v>1.1355</v>
      </c>
      <c r="F170">
        <v>2.5700000000000001E-2</v>
      </c>
      <c r="G170">
        <v>1.5599999999999999E-2</v>
      </c>
      <c r="H170">
        <v>6.7599999999999993E-2</v>
      </c>
      <c r="I170">
        <v>0.02</v>
      </c>
      <c r="J170">
        <v>1.38E-2</v>
      </c>
      <c r="K170">
        <v>0</v>
      </c>
      <c r="L170">
        <v>0</v>
      </c>
      <c r="M170">
        <v>2E-3</v>
      </c>
      <c r="N170">
        <v>-1E-3</v>
      </c>
      <c r="O170">
        <v>0.10100000000000001</v>
      </c>
    </row>
    <row r="172" spans="1:15" x14ac:dyDescent="0.35">
      <c r="A172" t="s">
        <v>168</v>
      </c>
      <c r="B172" t="s">
        <v>77</v>
      </c>
      <c r="C172">
        <v>6</v>
      </c>
      <c r="D172" t="s">
        <v>353</v>
      </c>
      <c r="E172" t="s">
        <v>354</v>
      </c>
      <c r="F172" t="s">
        <v>207</v>
      </c>
    </row>
    <row r="173" spans="1:15" x14ac:dyDescent="0.35">
      <c r="A173" t="s">
        <v>77</v>
      </c>
      <c r="B173" t="s">
        <v>180</v>
      </c>
      <c r="C173" t="s">
        <v>79</v>
      </c>
      <c r="D173">
        <v>10</v>
      </c>
      <c r="E173" t="s">
        <v>77</v>
      </c>
      <c r="F173" t="s">
        <v>181</v>
      </c>
      <c r="G173" t="s">
        <v>79</v>
      </c>
      <c r="H173">
        <v>20</v>
      </c>
      <c r="I173" t="s">
        <v>182</v>
      </c>
      <c r="J173" t="s">
        <v>183</v>
      </c>
      <c r="K173" t="s">
        <v>79</v>
      </c>
      <c r="L173">
        <v>81</v>
      </c>
    </row>
    <row r="174" spans="1:15" x14ac:dyDescent="0.35">
      <c r="A174" t="s">
        <v>168</v>
      </c>
      <c r="B174" t="s">
        <v>184</v>
      </c>
      <c r="C174" t="s">
        <v>264</v>
      </c>
      <c r="D174" t="s">
        <v>79</v>
      </c>
      <c r="E174">
        <v>9.0140429999999991</v>
      </c>
      <c r="F174" t="s">
        <v>185</v>
      </c>
      <c r="G174" t="s">
        <v>62</v>
      </c>
      <c r="H174" t="s">
        <v>195</v>
      </c>
      <c r="I174" t="s">
        <v>79</v>
      </c>
      <c r="J174">
        <v>2.4514</v>
      </c>
    </row>
    <row r="176" spans="1:15" x14ac:dyDescent="0.35">
      <c r="A176" t="s">
        <v>75</v>
      </c>
      <c r="B176" t="s">
        <v>173</v>
      </c>
      <c r="C176" t="s">
        <v>174</v>
      </c>
      <c r="D176" t="s">
        <v>175</v>
      </c>
      <c r="E176" t="s">
        <v>176</v>
      </c>
      <c r="F176" t="s">
        <v>58</v>
      </c>
      <c r="G176" t="s">
        <v>177</v>
      </c>
      <c r="H176" t="s">
        <v>178</v>
      </c>
      <c r="I176" t="s">
        <v>179</v>
      </c>
      <c r="J176" t="s">
        <v>84</v>
      </c>
    </row>
    <row r="177" spans="1:15" x14ac:dyDescent="0.35">
      <c r="A177" t="s">
        <v>85</v>
      </c>
      <c r="B177" t="s">
        <v>86</v>
      </c>
      <c r="C177" t="s">
        <v>87</v>
      </c>
      <c r="D177" t="s">
        <v>47</v>
      </c>
      <c r="E177" t="s">
        <v>88</v>
      </c>
      <c r="F177" t="s">
        <v>89</v>
      </c>
      <c r="G177" t="s">
        <v>90</v>
      </c>
    </row>
    <row r="178" spans="1:15" x14ac:dyDescent="0.35">
      <c r="A178" t="s">
        <v>186</v>
      </c>
      <c r="B178" t="s">
        <v>79</v>
      </c>
      <c r="C178">
        <v>1.103E-2</v>
      </c>
      <c r="D178" t="s">
        <v>187</v>
      </c>
      <c r="E178" t="s">
        <v>79</v>
      </c>
      <c r="F178">
        <v>3.0000000000000001E-3</v>
      </c>
    </row>
    <row r="179" spans="1:15" x14ac:dyDescent="0.35">
      <c r="A179" t="s">
        <v>188</v>
      </c>
      <c r="B179" t="s">
        <v>79</v>
      </c>
      <c r="C179">
        <v>-4.6000000000000001E-4</v>
      </c>
      <c r="D179" t="s">
        <v>189</v>
      </c>
      <c r="E179" t="s">
        <v>79</v>
      </c>
      <c r="F179">
        <v>-1.252E-2</v>
      </c>
    </row>
    <row r="180" spans="1:15" x14ac:dyDescent="0.35">
      <c r="A180" t="s">
        <v>190</v>
      </c>
      <c r="B180" t="s">
        <v>79</v>
      </c>
      <c r="C180">
        <v>3.5E-4</v>
      </c>
      <c r="D180" t="s">
        <v>191</v>
      </c>
      <c r="E180" t="s">
        <v>79</v>
      </c>
      <c r="F180">
        <v>2.5000000000000001E-4</v>
      </c>
    </row>
    <row r="181" spans="1:15" x14ac:dyDescent="0.35">
      <c r="A181" t="s">
        <v>192</v>
      </c>
      <c r="B181" t="s">
        <v>79</v>
      </c>
      <c r="C181">
        <v>3.5E-4</v>
      </c>
      <c r="D181" t="s">
        <v>193</v>
      </c>
      <c r="E181" t="s">
        <v>79</v>
      </c>
      <c r="F181">
        <v>0</v>
      </c>
    </row>
    <row r="183" spans="1:15" x14ac:dyDescent="0.35">
      <c r="A183" t="s">
        <v>75</v>
      </c>
      <c r="B183" t="s">
        <v>173</v>
      </c>
      <c r="C183" t="s">
        <v>174</v>
      </c>
      <c r="D183" t="s">
        <v>194</v>
      </c>
      <c r="E183" t="s">
        <v>195</v>
      </c>
    </row>
    <row r="184" spans="1:15" x14ac:dyDescent="0.35">
      <c r="A184" t="s">
        <v>186</v>
      </c>
      <c r="B184" t="s">
        <v>79</v>
      </c>
      <c r="C184">
        <v>7.3609999999999995E-2</v>
      </c>
      <c r="D184" t="s">
        <v>190</v>
      </c>
      <c r="E184" t="s">
        <v>79</v>
      </c>
      <c r="F184">
        <v>2.3600000000000001E-3</v>
      </c>
    </row>
    <row r="186" spans="1:15" x14ac:dyDescent="0.35">
      <c r="A186" t="s">
        <v>170</v>
      </c>
      <c r="B186" t="s">
        <v>75</v>
      </c>
      <c r="C186" t="s">
        <v>173</v>
      </c>
      <c r="D186" t="s">
        <v>174</v>
      </c>
      <c r="E186" t="s">
        <v>170</v>
      </c>
      <c r="F186" t="s">
        <v>196</v>
      </c>
      <c r="G186" t="s">
        <v>63</v>
      </c>
    </row>
    <row r="187" spans="1:15" x14ac:dyDescent="0.35">
      <c r="A187" t="s">
        <v>197</v>
      </c>
      <c r="B187" t="s">
        <v>59</v>
      </c>
      <c r="C187" t="s">
        <v>60</v>
      </c>
      <c r="D187" t="s">
        <v>61</v>
      </c>
      <c r="E187" t="s">
        <v>63</v>
      </c>
      <c r="F187" t="s">
        <v>198</v>
      </c>
      <c r="G187" t="s">
        <v>265</v>
      </c>
      <c r="H187" t="s">
        <v>200</v>
      </c>
      <c r="I187" t="s">
        <v>201</v>
      </c>
      <c r="J187" t="s">
        <v>199</v>
      </c>
      <c r="K187" t="s">
        <v>202</v>
      </c>
      <c r="L187" t="s">
        <v>203</v>
      </c>
      <c r="M187" t="s">
        <v>204</v>
      </c>
      <c r="N187" t="s">
        <v>205</v>
      </c>
      <c r="O187" t="s">
        <v>206</v>
      </c>
    </row>
    <row r="188" spans="1:15" x14ac:dyDescent="0.35">
      <c r="A188">
        <v>81</v>
      </c>
      <c r="B188">
        <v>11.4252</v>
      </c>
      <c r="C188">
        <v>-2.0123000000000002</v>
      </c>
      <c r="D188">
        <v>-0.1</v>
      </c>
      <c r="E188">
        <v>3.7673000000000001</v>
      </c>
      <c r="F188">
        <v>8.5300000000000001E-2</v>
      </c>
      <c r="G188">
        <v>-0.12859999999999999</v>
      </c>
      <c r="H188">
        <v>6.59E-2</v>
      </c>
      <c r="I188">
        <v>-5.0200000000000002E-2</v>
      </c>
      <c r="J188">
        <v>-3.4599999999999999E-2</v>
      </c>
      <c r="K188">
        <v>4.1999999999999997E-3</v>
      </c>
      <c r="L188">
        <v>0</v>
      </c>
      <c r="M188">
        <v>-9.4999999999999998E-3</v>
      </c>
      <c r="N188">
        <v>6.9999999999999999E-4</v>
      </c>
      <c r="O188">
        <v>-2.4E-2</v>
      </c>
    </row>
    <row r="189" spans="1:15" x14ac:dyDescent="0.35">
      <c r="A189">
        <v>82</v>
      </c>
      <c r="B189">
        <v>11.463800000000001</v>
      </c>
      <c r="C189">
        <v>-2.0573999999999999</v>
      </c>
      <c r="D189">
        <v>-0.1</v>
      </c>
      <c r="E189">
        <v>3.7349000000000001</v>
      </c>
      <c r="F189">
        <v>0.2515</v>
      </c>
      <c r="G189">
        <v>-0.16200000000000001</v>
      </c>
      <c r="H189">
        <v>6.5799999999999997E-2</v>
      </c>
      <c r="I189">
        <v>-5.8799999999999998E-2</v>
      </c>
      <c r="J189">
        <v>-4.0500000000000001E-2</v>
      </c>
      <c r="K189">
        <v>-3.61E-2</v>
      </c>
      <c r="L189">
        <v>0</v>
      </c>
      <c r="M189">
        <v>-1.3599999999999999E-2</v>
      </c>
      <c r="N189">
        <v>2.0999999999999999E-3</v>
      </c>
      <c r="O189">
        <v>-8.6999999999999994E-2</v>
      </c>
    </row>
    <row r="190" spans="1:15" x14ac:dyDescent="0.35">
      <c r="A190">
        <v>83</v>
      </c>
      <c r="B190">
        <v>11.539899999999999</v>
      </c>
      <c r="C190">
        <v>-2.1465999999999998</v>
      </c>
      <c r="D190">
        <v>-0.1</v>
      </c>
      <c r="E190">
        <v>3.6709000000000001</v>
      </c>
      <c r="F190">
        <v>0.40529999999999999</v>
      </c>
      <c r="G190">
        <v>-9.7799999999999998E-2</v>
      </c>
      <c r="H190">
        <v>6.5600000000000006E-2</v>
      </c>
      <c r="I190">
        <v>-3.6900000000000002E-2</v>
      </c>
      <c r="J190">
        <v>-2.5399999999999999E-2</v>
      </c>
      <c r="K190">
        <v>-1.55E-2</v>
      </c>
      <c r="L190">
        <v>0</v>
      </c>
      <c r="M190">
        <v>-1.2200000000000001E-2</v>
      </c>
      <c r="N190">
        <v>4.1999999999999997E-3</v>
      </c>
      <c r="O190">
        <v>-0.23</v>
      </c>
    </row>
    <row r="191" spans="1:15" x14ac:dyDescent="0.35">
      <c r="A191">
        <v>84</v>
      </c>
      <c r="B191">
        <v>11.6518</v>
      </c>
      <c r="C191">
        <v>-2.2774999999999999</v>
      </c>
      <c r="D191">
        <v>-0.1</v>
      </c>
      <c r="E191">
        <v>3.5769000000000002</v>
      </c>
      <c r="F191">
        <v>0.53920000000000001</v>
      </c>
      <c r="G191">
        <v>6.0000000000000001E-3</v>
      </c>
      <c r="H191">
        <v>6.54E-2</v>
      </c>
      <c r="I191">
        <v>2.7000000000000001E-3</v>
      </c>
      <c r="J191">
        <v>1.8E-3</v>
      </c>
      <c r="K191">
        <v>-1.6999999999999999E-3</v>
      </c>
      <c r="L191">
        <v>0</v>
      </c>
      <c r="M191">
        <v>-9.1000000000000004E-3</v>
      </c>
      <c r="N191">
        <v>7.1999999999999998E-3</v>
      </c>
      <c r="O191">
        <v>999</v>
      </c>
    </row>
    <row r="192" spans="1:15" x14ac:dyDescent="0.35">
      <c r="A192">
        <v>85</v>
      </c>
      <c r="B192">
        <v>11.7966</v>
      </c>
      <c r="C192">
        <v>-2.4470999999999998</v>
      </c>
      <c r="D192">
        <v>-0.1</v>
      </c>
      <c r="E192">
        <v>3.4550999999999998</v>
      </c>
      <c r="F192">
        <v>0.64739999999999998</v>
      </c>
      <c r="G192">
        <v>0.1095</v>
      </c>
      <c r="H192">
        <v>6.5199999999999994E-2</v>
      </c>
      <c r="I192">
        <v>4.5900000000000003E-2</v>
      </c>
      <c r="J192">
        <v>3.1600000000000003E-2</v>
      </c>
      <c r="K192">
        <v>2.3E-3</v>
      </c>
      <c r="L192">
        <v>0</v>
      </c>
      <c r="M192">
        <v>-5.5999999999999999E-3</v>
      </c>
      <c r="N192">
        <v>1.03E-2</v>
      </c>
      <c r="O192">
        <v>0.42699999999999999</v>
      </c>
    </row>
    <row r="193" spans="1:15" x14ac:dyDescent="0.35">
      <c r="A193">
        <v>86</v>
      </c>
      <c r="B193">
        <v>11.970800000000001</v>
      </c>
      <c r="C193">
        <v>-2.6511</v>
      </c>
      <c r="D193">
        <v>-0.1</v>
      </c>
      <c r="E193">
        <v>3.3087</v>
      </c>
      <c r="F193">
        <v>0.72589999999999999</v>
      </c>
      <c r="G193">
        <v>0.1769</v>
      </c>
      <c r="H193">
        <v>6.5000000000000002E-2</v>
      </c>
      <c r="I193">
        <v>7.7399999999999997E-2</v>
      </c>
      <c r="J193">
        <v>5.3400000000000003E-2</v>
      </c>
      <c r="K193">
        <v>3.5999999999999999E-3</v>
      </c>
      <c r="L193">
        <v>0</v>
      </c>
      <c r="M193">
        <v>-3.5000000000000001E-3</v>
      </c>
      <c r="N193">
        <v>1.29E-2</v>
      </c>
      <c r="O193">
        <v>0.317</v>
      </c>
    </row>
    <row r="194" spans="1:15" x14ac:dyDescent="0.35">
      <c r="A194">
        <v>87</v>
      </c>
      <c r="B194">
        <v>12.1701</v>
      </c>
      <c r="C194">
        <v>-2.8845000000000001</v>
      </c>
      <c r="D194">
        <v>-0.1</v>
      </c>
      <c r="E194">
        <v>3.1410999999999998</v>
      </c>
      <c r="F194">
        <v>0.77270000000000005</v>
      </c>
      <c r="G194">
        <v>0.21129999999999999</v>
      </c>
      <c r="H194">
        <v>6.4799999999999996E-2</v>
      </c>
      <c r="I194">
        <v>9.74E-2</v>
      </c>
      <c r="J194">
        <v>6.7100000000000007E-2</v>
      </c>
      <c r="K194">
        <v>4.3E-3</v>
      </c>
      <c r="L194">
        <v>0</v>
      </c>
      <c r="M194">
        <v>-2.8999999999999998E-3</v>
      </c>
      <c r="N194">
        <v>1.4999999999999999E-2</v>
      </c>
      <c r="O194">
        <v>0.29299999999999998</v>
      </c>
    </row>
    <row r="195" spans="1:15" x14ac:dyDescent="0.35">
      <c r="A195">
        <v>88</v>
      </c>
      <c r="B195">
        <v>12.3896</v>
      </c>
      <c r="C195">
        <v>-3.1415999999999999</v>
      </c>
      <c r="D195">
        <v>-0.1</v>
      </c>
      <c r="E195">
        <v>2.9565000000000001</v>
      </c>
      <c r="F195">
        <v>0.78800000000000003</v>
      </c>
      <c r="G195">
        <v>0.22939999999999999</v>
      </c>
      <c r="H195">
        <v>6.4699999999999994E-2</v>
      </c>
      <c r="I195">
        <v>0.1124</v>
      </c>
      <c r="J195">
        <v>7.7499999999999999E-2</v>
      </c>
      <c r="K195">
        <v>4.8999999999999998E-3</v>
      </c>
      <c r="L195">
        <v>0</v>
      </c>
      <c r="M195">
        <v>-2.7000000000000001E-3</v>
      </c>
      <c r="N195">
        <v>1.6799999999999999E-2</v>
      </c>
      <c r="O195">
        <v>0.28399999999999997</v>
      </c>
    </row>
    <row r="196" spans="1:15" x14ac:dyDescent="0.35">
      <c r="A196">
        <v>89</v>
      </c>
      <c r="B196">
        <v>12.624000000000001</v>
      </c>
      <c r="C196">
        <v>-3.4159000000000002</v>
      </c>
      <c r="D196">
        <v>-0.1</v>
      </c>
      <c r="E196">
        <v>2.7595000000000001</v>
      </c>
      <c r="F196">
        <v>0.77410000000000001</v>
      </c>
      <c r="G196">
        <v>0.2402</v>
      </c>
      <c r="H196">
        <v>6.4699999999999994E-2</v>
      </c>
      <c r="I196">
        <v>0.12609999999999999</v>
      </c>
      <c r="J196">
        <v>8.6900000000000005E-2</v>
      </c>
      <c r="K196">
        <v>5.4000000000000003E-3</v>
      </c>
      <c r="L196">
        <v>0</v>
      </c>
      <c r="M196">
        <v>-2.3999999999999998E-3</v>
      </c>
      <c r="N196">
        <v>1.83E-2</v>
      </c>
      <c r="O196">
        <v>0.27700000000000002</v>
      </c>
    </row>
    <row r="197" spans="1:15" x14ac:dyDescent="0.35">
      <c r="A197">
        <v>90</v>
      </c>
      <c r="B197">
        <v>12.8673</v>
      </c>
      <c r="C197">
        <v>-3.7008999999999999</v>
      </c>
      <c r="D197">
        <v>-0.1</v>
      </c>
      <c r="E197">
        <v>2.5550000000000002</v>
      </c>
      <c r="F197">
        <v>0.73480000000000001</v>
      </c>
      <c r="G197">
        <v>0.246</v>
      </c>
      <c r="H197">
        <v>6.4699999999999994E-2</v>
      </c>
      <c r="I197">
        <v>0.1396</v>
      </c>
      <c r="J197">
        <v>9.6100000000000005E-2</v>
      </c>
      <c r="K197">
        <v>5.7999999999999996E-3</v>
      </c>
      <c r="L197">
        <v>0</v>
      </c>
      <c r="M197">
        <v>-1.8E-3</v>
      </c>
      <c r="N197">
        <v>1.9699999999999999E-2</v>
      </c>
      <c r="O197">
        <v>0.26900000000000002</v>
      </c>
    </row>
    <row r="198" spans="1:15" x14ac:dyDescent="0.35">
      <c r="A198">
        <v>91</v>
      </c>
      <c r="B198">
        <v>13.1137</v>
      </c>
      <c r="C198">
        <v>-3.9893999999999998</v>
      </c>
      <c r="D198">
        <v>-0.1</v>
      </c>
      <c r="E198">
        <v>2.3477999999999999</v>
      </c>
      <c r="F198">
        <v>0.67530000000000001</v>
      </c>
      <c r="G198">
        <v>0.24929999999999999</v>
      </c>
      <c r="H198">
        <v>6.4799999999999996E-2</v>
      </c>
      <c r="I198">
        <v>0.15390000000000001</v>
      </c>
      <c r="J198">
        <v>0.106</v>
      </c>
      <c r="K198">
        <v>6.1000000000000004E-3</v>
      </c>
      <c r="L198">
        <v>0</v>
      </c>
      <c r="M198">
        <v>-6.9999999999999999E-4</v>
      </c>
      <c r="N198">
        <v>2.07E-2</v>
      </c>
      <c r="O198">
        <v>0.25700000000000001</v>
      </c>
    </row>
    <row r="199" spans="1:15" x14ac:dyDescent="0.35">
      <c r="A199">
        <v>92</v>
      </c>
      <c r="B199">
        <v>13.356999999999999</v>
      </c>
      <c r="C199">
        <v>-4.2744</v>
      </c>
      <c r="D199">
        <v>-0.1</v>
      </c>
      <c r="E199">
        <v>2.1433</v>
      </c>
      <c r="F199">
        <v>0.60119999999999996</v>
      </c>
      <c r="G199">
        <v>0.25190000000000001</v>
      </c>
      <c r="H199">
        <v>6.5000000000000002E-2</v>
      </c>
      <c r="I199">
        <v>0.1704</v>
      </c>
      <c r="J199">
        <v>0.1174</v>
      </c>
      <c r="K199">
        <v>6.4000000000000003E-3</v>
      </c>
      <c r="L199">
        <v>0</v>
      </c>
      <c r="M199">
        <v>1.1999999999999999E-3</v>
      </c>
      <c r="N199">
        <v>2.1399999999999999E-2</v>
      </c>
      <c r="O199">
        <v>0.24</v>
      </c>
    </row>
    <row r="200" spans="1:15" x14ac:dyDescent="0.35">
      <c r="A200">
        <v>93</v>
      </c>
      <c r="B200">
        <v>13.5914</v>
      </c>
      <c r="C200">
        <v>-4.5487000000000002</v>
      </c>
      <c r="D200">
        <v>-0.1</v>
      </c>
      <c r="E200">
        <v>1.9462999999999999</v>
      </c>
      <c r="F200">
        <v>0.51880000000000004</v>
      </c>
      <c r="G200">
        <v>0.252</v>
      </c>
      <c r="H200">
        <v>6.5299999999999997E-2</v>
      </c>
      <c r="I200">
        <v>0.18779999999999999</v>
      </c>
      <c r="J200">
        <v>0.12939999999999999</v>
      </c>
      <c r="K200">
        <v>6.1000000000000004E-3</v>
      </c>
      <c r="L200">
        <v>0</v>
      </c>
      <c r="M200">
        <v>4.3E-3</v>
      </c>
      <c r="N200">
        <v>2.1399999999999999E-2</v>
      </c>
      <c r="O200">
        <v>0.217</v>
      </c>
    </row>
    <row r="201" spans="1:15" x14ac:dyDescent="0.35">
      <c r="A201">
        <v>94</v>
      </c>
      <c r="B201">
        <v>13.8109</v>
      </c>
      <c r="C201">
        <v>-4.8057999999999996</v>
      </c>
      <c r="D201">
        <v>-0.1</v>
      </c>
      <c r="E201">
        <v>1.7617</v>
      </c>
      <c r="F201">
        <v>0.43340000000000001</v>
      </c>
      <c r="G201">
        <v>0.23980000000000001</v>
      </c>
      <c r="H201">
        <v>6.5699999999999995E-2</v>
      </c>
      <c r="I201">
        <v>0.1976</v>
      </c>
      <c r="J201">
        <v>0.1361</v>
      </c>
      <c r="K201">
        <v>5.4000000000000003E-3</v>
      </c>
      <c r="L201">
        <v>0</v>
      </c>
      <c r="M201">
        <v>7.4999999999999997E-3</v>
      </c>
      <c r="N201">
        <v>2.0199999999999999E-2</v>
      </c>
      <c r="O201">
        <v>0.19500000000000001</v>
      </c>
    </row>
    <row r="202" spans="1:15" x14ac:dyDescent="0.35">
      <c r="A202">
        <v>95</v>
      </c>
      <c r="B202">
        <v>14.010199999999999</v>
      </c>
      <c r="C202">
        <v>-5.0392000000000001</v>
      </c>
      <c r="D202">
        <v>-0.1</v>
      </c>
      <c r="E202">
        <v>1.5941000000000001</v>
      </c>
      <c r="F202">
        <v>0.34970000000000001</v>
      </c>
      <c r="G202">
        <v>0.2074</v>
      </c>
      <c r="H202">
        <v>6.6100000000000006E-2</v>
      </c>
      <c r="I202">
        <v>0.18890000000000001</v>
      </c>
      <c r="J202">
        <v>0.13009999999999999</v>
      </c>
      <c r="K202">
        <v>4.7999999999999996E-3</v>
      </c>
      <c r="L202">
        <v>0</v>
      </c>
      <c r="M202">
        <v>9.2999999999999992E-3</v>
      </c>
      <c r="N202">
        <v>1.7600000000000001E-2</v>
      </c>
      <c r="O202">
        <v>0.17799999999999999</v>
      </c>
    </row>
    <row r="203" spans="1:15" x14ac:dyDescent="0.35">
      <c r="A203">
        <v>96</v>
      </c>
      <c r="B203">
        <v>14.1844</v>
      </c>
      <c r="C203">
        <v>-5.2431999999999999</v>
      </c>
      <c r="D203">
        <v>-0.1</v>
      </c>
      <c r="E203">
        <v>1.4477</v>
      </c>
      <c r="F203">
        <v>0.2712</v>
      </c>
      <c r="G203">
        <v>0.16500000000000001</v>
      </c>
      <c r="H203">
        <v>6.6500000000000004E-2</v>
      </c>
      <c r="I203">
        <v>0.16550000000000001</v>
      </c>
      <c r="J203">
        <v>0.114</v>
      </c>
      <c r="K203">
        <v>4.1999999999999997E-3</v>
      </c>
      <c r="L203">
        <v>0</v>
      </c>
      <c r="M203">
        <v>9.9000000000000008E-3</v>
      </c>
      <c r="N203">
        <v>1.41E-2</v>
      </c>
      <c r="O203">
        <v>0.16300000000000001</v>
      </c>
    </row>
    <row r="204" spans="1:15" x14ac:dyDescent="0.35">
      <c r="A204">
        <v>97</v>
      </c>
      <c r="B204">
        <v>14.3292</v>
      </c>
      <c r="C204">
        <v>-5.4127999999999998</v>
      </c>
      <c r="D204">
        <v>-0.1</v>
      </c>
      <c r="E204">
        <v>1.3259000000000001</v>
      </c>
      <c r="F204">
        <v>0.19989999999999999</v>
      </c>
      <c r="G204">
        <v>0.1222</v>
      </c>
      <c r="H204">
        <v>6.6900000000000001E-2</v>
      </c>
      <c r="I204">
        <v>0.13389999999999999</v>
      </c>
      <c r="J204">
        <v>9.2200000000000004E-2</v>
      </c>
      <c r="K204">
        <v>3.3999999999999998E-3</v>
      </c>
      <c r="L204">
        <v>0</v>
      </c>
      <c r="M204">
        <v>9.5999999999999992E-3</v>
      </c>
      <c r="N204">
        <v>1.0200000000000001E-2</v>
      </c>
      <c r="O204">
        <v>0.14599999999999999</v>
      </c>
    </row>
    <row r="205" spans="1:15" x14ac:dyDescent="0.35">
      <c r="A205">
        <v>98</v>
      </c>
      <c r="B205">
        <v>14.4411</v>
      </c>
      <c r="C205">
        <v>-5.5437000000000003</v>
      </c>
      <c r="D205">
        <v>-0.1</v>
      </c>
      <c r="E205">
        <v>1.2319</v>
      </c>
      <c r="F205">
        <v>0.13600000000000001</v>
      </c>
      <c r="G205">
        <v>8.2900000000000001E-2</v>
      </c>
      <c r="H205">
        <v>6.7199999999999996E-2</v>
      </c>
      <c r="I205">
        <v>9.7799999999999998E-2</v>
      </c>
      <c r="J205">
        <v>6.7400000000000002E-2</v>
      </c>
      <c r="K205">
        <v>2.3999999999999998E-3</v>
      </c>
      <c r="L205">
        <v>0</v>
      </c>
      <c r="M205">
        <v>8.3000000000000001E-3</v>
      </c>
      <c r="N205">
        <v>6.4999999999999997E-3</v>
      </c>
      <c r="O205">
        <v>0.127</v>
      </c>
    </row>
    <row r="206" spans="1:15" x14ac:dyDescent="0.35">
      <c r="A206">
        <v>99</v>
      </c>
      <c r="B206">
        <v>14.517200000000001</v>
      </c>
      <c r="C206">
        <v>-5.6329000000000002</v>
      </c>
      <c r="D206">
        <v>-0.1</v>
      </c>
      <c r="E206">
        <v>1.1678999999999999</v>
      </c>
      <c r="F206">
        <v>7.8700000000000006E-2</v>
      </c>
      <c r="G206">
        <v>4.7699999999999999E-2</v>
      </c>
      <c r="H206">
        <v>6.7400000000000002E-2</v>
      </c>
      <c r="I206">
        <v>5.9400000000000001E-2</v>
      </c>
      <c r="J206">
        <v>4.0899999999999999E-2</v>
      </c>
      <c r="K206">
        <v>1.1999999999999999E-3</v>
      </c>
      <c r="L206">
        <v>0</v>
      </c>
      <c r="M206">
        <v>5.7000000000000002E-3</v>
      </c>
      <c r="N206">
        <v>3.3999999999999998E-3</v>
      </c>
      <c r="O206">
        <v>0.11</v>
      </c>
    </row>
    <row r="207" spans="1:15" x14ac:dyDescent="0.35">
      <c r="A207">
        <v>100</v>
      </c>
      <c r="B207">
        <v>14.5558</v>
      </c>
      <c r="C207">
        <v>-5.6779999999999999</v>
      </c>
      <c r="D207">
        <v>-0.1</v>
      </c>
      <c r="E207">
        <v>1.1355</v>
      </c>
      <c r="F207">
        <v>2.5700000000000001E-2</v>
      </c>
      <c r="G207">
        <v>1.5599999999999999E-2</v>
      </c>
      <c r="H207">
        <v>6.7599999999999993E-2</v>
      </c>
      <c r="I207">
        <v>0.02</v>
      </c>
      <c r="J207">
        <v>1.38E-2</v>
      </c>
      <c r="K207">
        <v>0</v>
      </c>
      <c r="L207">
        <v>0</v>
      </c>
      <c r="M207">
        <v>2E-3</v>
      </c>
      <c r="N207">
        <v>1E-3</v>
      </c>
      <c r="O207">
        <v>0.10100000000000001</v>
      </c>
    </row>
    <row r="209" spans="1:15" x14ac:dyDescent="0.35">
      <c r="A209" t="s">
        <v>168</v>
      </c>
      <c r="B209" t="s">
        <v>77</v>
      </c>
      <c r="C209">
        <v>7</v>
      </c>
      <c r="D209" t="s">
        <v>355</v>
      </c>
      <c r="E209" t="s">
        <v>354</v>
      </c>
    </row>
    <row r="210" spans="1:15" x14ac:dyDescent="0.35">
      <c r="A210" t="s">
        <v>77</v>
      </c>
      <c r="B210" t="s">
        <v>180</v>
      </c>
      <c r="C210" t="s">
        <v>79</v>
      </c>
      <c r="D210">
        <v>10</v>
      </c>
      <c r="E210" t="s">
        <v>77</v>
      </c>
      <c r="F210" t="s">
        <v>181</v>
      </c>
      <c r="G210" t="s">
        <v>79</v>
      </c>
      <c r="H210">
        <v>20</v>
      </c>
      <c r="I210" t="s">
        <v>182</v>
      </c>
      <c r="J210" t="s">
        <v>183</v>
      </c>
      <c r="K210">
        <f>101</f>
        <v>101</v>
      </c>
    </row>
    <row r="211" spans="1:15" x14ac:dyDescent="0.35">
      <c r="A211" t="s">
        <v>168</v>
      </c>
      <c r="B211" t="s">
        <v>184</v>
      </c>
      <c r="C211" t="s">
        <v>264</v>
      </c>
      <c r="D211" t="s">
        <v>79</v>
      </c>
      <c r="E211">
        <v>10.923742000000001</v>
      </c>
      <c r="F211" t="s">
        <v>185</v>
      </c>
      <c r="G211" t="s">
        <v>62</v>
      </c>
      <c r="H211" t="s">
        <v>195</v>
      </c>
      <c r="I211" t="s">
        <v>79</v>
      </c>
      <c r="J211">
        <v>3.3050999999999999</v>
      </c>
    </row>
    <row r="213" spans="1:15" x14ac:dyDescent="0.35">
      <c r="A213" t="s">
        <v>75</v>
      </c>
      <c r="B213" t="s">
        <v>173</v>
      </c>
      <c r="C213" t="s">
        <v>174</v>
      </c>
      <c r="D213" t="s">
        <v>175</v>
      </c>
      <c r="E213" t="s">
        <v>176</v>
      </c>
      <c r="F213" t="s">
        <v>58</v>
      </c>
      <c r="G213" t="s">
        <v>177</v>
      </c>
      <c r="H213" t="s">
        <v>178</v>
      </c>
      <c r="I213" t="s">
        <v>179</v>
      </c>
      <c r="J213" t="s">
        <v>84</v>
      </c>
    </row>
    <row r="214" spans="1:15" x14ac:dyDescent="0.35">
      <c r="A214" t="s">
        <v>85</v>
      </c>
      <c r="B214" t="s">
        <v>86</v>
      </c>
      <c r="C214" t="s">
        <v>87</v>
      </c>
      <c r="D214" t="s">
        <v>47</v>
      </c>
      <c r="E214" t="s">
        <v>88</v>
      </c>
      <c r="F214" t="s">
        <v>89</v>
      </c>
      <c r="G214" t="s">
        <v>90</v>
      </c>
    </row>
    <row r="215" spans="1:15" x14ac:dyDescent="0.35">
      <c r="A215" t="s">
        <v>186</v>
      </c>
      <c r="B215" t="s">
        <v>79</v>
      </c>
      <c r="C215">
        <v>2.49E-3</v>
      </c>
      <c r="D215" t="s">
        <v>187</v>
      </c>
      <c r="E215" t="s">
        <v>79</v>
      </c>
      <c r="F215">
        <v>-9.3999999999999997E-4</v>
      </c>
    </row>
    <row r="216" spans="1:15" x14ac:dyDescent="0.35">
      <c r="A216" t="s">
        <v>188</v>
      </c>
      <c r="B216" t="s">
        <v>79</v>
      </c>
      <c r="C216">
        <v>-6.6299999999999996E-3</v>
      </c>
      <c r="D216" t="s">
        <v>189</v>
      </c>
      <c r="E216" t="s">
        <v>79</v>
      </c>
      <c r="F216">
        <v>-1.31E-3</v>
      </c>
    </row>
    <row r="217" spans="1:15" x14ac:dyDescent="0.35">
      <c r="A217" t="s">
        <v>190</v>
      </c>
      <c r="B217" t="s">
        <v>79</v>
      </c>
      <c r="C217">
        <v>1.2E-4</v>
      </c>
      <c r="D217" t="s">
        <v>191</v>
      </c>
      <c r="E217" t="s">
        <v>79</v>
      </c>
      <c r="F217">
        <v>1E-3</v>
      </c>
    </row>
    <row r="218" spans="1:15" x14ac:dyDescent="0.35">
      <c r="A218" t="s">
        <v>192</v>
      </c>
      <c r="B218" t="s">
        <v>79</v>
      </c>
      <c r="C218">
        <v>1.2E-4</v>
      </c>
      <c r="D218" t="s">
        <v>193</v>
      </c>
      <c r="E218" t="s">
        <v>79</v>
      </c>
      <c r="F218">
        <v>0</v>
      </c>
    </row>
    <row r="220" spans="1:15" x14ac:dyDescent="0.35">
      <c r="A220" t="s">
        <v>75</v>
      </c>
      <c r="B220" t="s">
        <v>173</v>
      </c>
      <c r="C220" t="s">
        <v>174</v>
      </c>
      <c r="D220" t="s">
        <v>194</v>
      </c>
      <c r="E220" t="s">
        <v>195</v>
      </c>
    </row>
    <row r="221" spans="1:15" x14ac:dyDescent="0.35">
      <c r="A221" t="s">
        <v>186</v>
      </c>
      <c r="B221" t="s">
        <v>79</v>
      </c>
      <c r="C221">
        <v>3.9030000000000002E-2</v>
      </c>
      <c r="D221" t="s">
        <v>190</v>
      </c>
      <c r="E221" t="s">
        <v>79</v>
      </c>
      <c r="F221">
        <v>6.8000000000000005E-4</v>
      </c>
    </row>
    <row r="223" spans="1:15" x14ac:dyDescent="0.35">
      <c r="A223" t="s">
        <v>170</v>
      </c>
      <c r="B223" t="s">
        <v>75</v>
      </c>
      <c r="C223" t="s">
        <v>173</v>
      </c>
      <c r="D223" t="s">
        <v>174</v>
      </c>
      <c r="E223" t="s">
        <v>170</v>
      </c>
      <c r="F223" t="s">
        <v>196</v>
      </c>
      <c r="G223" t="s">
        <v>63</v>
      </c>
    </row>
    <row r="224" spans="1:15" x14ac:dyDescent="0.35">
      <c r="A224" t="s">
        <v>197</v>
      </c>
      <c r="B224" t="s">
        <v>59</v>
      </c>
      <c r="C224" t="s">
        <v>60</v>
      </c>
      <c r="D224" t="s">
        <v>61</v>
      </c>
      <c r="E224" t="s">
        <v>63</v>
      </c>
      <c r="F224" t="s">
        <v>198</v>
      </c>
      <c r="G224" t="s">
        <v>265</v>
      </c>
      <c r="H224" t="s">
        <v>200</v>
      </c>
      <c r="I224" t="s">
        <v>201</v>
      </c>
      <c r="J224" t="s">
        <v>199</v>
      </c>
      <c r="K224" t="s">
        <v>202</v>
      </c>
      <c r="L224" t="s">
        <v>203</v>
      </c>
      <c r="M224" t="s">
        <v>204</v>
      </c>
      <c r="N224" t="s">
        <v>205</v>
      </c>
      <c r="O224" t="s">
        <v>206</v>
      </c>
    </row>
    <row r="225" spans="1:15" x14ac:dyDescent="0.35">
      <c r="A225">
        <v>101</v>
      </c>
      <c r="B225">
        <v>8.9688999999999997</v>
      </c>
      <c r="C225">
        <v>0.96689999999999998</v>
      </c>
      <c r="D225">
        <v>4.7999999999999996E-3</v>
      </c>
      <c r="E225">
        <v>4.4034000000000004</v>
      </c>
      <c r="F225">
        <v>8.9599999999999999E-2</v>
      </c>
      <c r="G225">
        <v>1.6799999999999999E-2</v>
      </c>
      <c r="H225">
        <v>2.3300000000000001E-2</v>
      </c>
      <c r="I225">
        <v>6.4000000000000003E-3</v>
      </c>
      <c r="J225">
        <v>3.8E-3</v>
      </c>
      <c r="K225">
        <v>2.0000000000000001E-4</v>
      </c>
      <c r="L225">
        <v>0</v>
      </c>
      <c r="M225">
        <v>1E-4</v>
      </c>
      <c r="N225">
        <v>-6.9999999999999999E-4</v>
      </c>
      <c r="O225">
        <v>0.23400000000000001</v>
      </c>
    </row>
    <row r="226" spans="1:15" x14ac:dyDescent="0.35">
      <c r="A226">
        <v>102</v>
      </c>
      <c r="B226">
        <v>9.0040999999999993</v>
      </c>
      <c r="C226">
        <v>0.98080000000000001</v>
      </c>
      <c r="D226">
        <v>4.2900000000000001E-2</v>
      </c>
      <c r="E226">
        <v>4.3764000000000003</v>
      </c>
      <c r="F226">
        <v>0.26490000000000002</v>
      </c>
      <c r="G226">
        <v>0.05</v>
      </c>
      <c r="H226">
        <v>2.35E-2</v>
      </c>
      <c r="I226">
        <v>1.9199999999999998E-2</v>
      </c>
      <c r="J226">
        <v>1.14E-2</v>
      </c>
      <c r="K226">
        <v>4.0000000000000002E-4</v>
      </c>
      <c r="L226">
        <v>0</v>
      </c>
      <c r="M226">
        <v>2.0000000000000001E-4</v>
      </c>
      <c r="N226">
        <v>-2E-3</v>
      </c>
      <c r="O226">
        <v>0.23499999999999999</v>
      </c>
    </row>
    <row r="227" spans="1:15" x14ac:dyDescent="0.35">
      <c r="A227">
        <v>103</v>
      </c>
      <c r="B227">
        <v>9.0734999999999992</v>
      </c>
      <c r="C227">
        <v>1.0082</v>
      </c>
      <c r="D227">
        <v>0.1182</v>
      </c>
      <c r="E227">
        <v>4.3228999999999997</v>
      </c>
      <c r="F227">
        <v>0.42899999999999999</v>
      </c>
      <c r="G227">
        <v>8.0799999999999997E-2</v>
      </c>
      <c r="H227">
        <v>2.4E-2</v>
      </c>
      <c r="I227">
        <v>3.1399999999999997E-2</v>
      </c>
      <c r="J227">
        <v>1.8700000000000001E-2</v>
      </c>
      <c r="K227">
        <v>5.0000000000000001E-4</v>
      </c>
      <c r="L227">
        <v>0</v>
      </c>
      <c r="M227">
        <v>2.0000000000000001E-4</v>
      </c>
      <c r="N227">
        <v>-3.3999999999999998E-3</v>
      </c>
      <c r="O227">
        <v>0.23699999999999999</v>
      </c>
    </row>
    <row r="228" spans="1:15" x14ac:dyDescent="0.35">
      <c r="A228">
        <v>104</v>
      </c>
      <c r="B228">
        <v>9.1755999999999993</v>
      </c>
      <c r="C228">
        <v>1.0485</v>
      </c>
      <c r="D228">
        <v>0.2288</v>
      </c>
      <c r="E228">
        <v>4.2445000000000004</v>
      </c>
      <c r="F228">
        <v>0.57509999999999994</v>
      </c>
      <c r="G228">
        <v>0.10440000000000001</v>
      </c>
      <c r="H228">
        <v>2.4799999999999999E-2</v>
      </c>
      <c r="I228">
        <v>4.1399999999999999E-2</v>
      </c>
      <c r="J228">
        <v>2.46E-2</v>
      </c>
      <c r="K228">
        <v>5.0000000000000001E-4</v>
      </c>
      <c r="L228">
        <v>0</v>
      </c>
      <c r="M228">
        <v>1E-4</v>
      </c>
      <c r="N228">
        <v>-4.5999999999999999E-3</v>
      </c>
      <c r="O228">
        <v>0.245</v>
      </c>
    </row>
    <row r="229" spans="1:15" x14ac:dyDescent="0.35">
      <c r="A229">
        <v>105</v>
      </c>
      <c r="B229">
        <v>9.3077000000000005</v>
      </c>
      <c r="C229">
        <v>1.1006</v>
      </c>
      <c r="D229">
        <v>0.37209999999999999</v>
      </c>
      <c r="E229">
        <v>4.1428000000000003</v>
      </c>
      <c r="F229">
        <v>0.69769999999999999</v>
      </c>
      <c r="G229">
        <v>0.1172</v>
      </c>
      <c r="H229">
        <v>2.5600000000000001E-2</v>
      </c>
      <c r="I229">
        <v>4.7600000000000003E-2</v>
      </c>
      <c r="J229">
        <v>2.8299999999999999E-2</v>
      </c>
      <c r="K229">
        <v>5.9999999999999995E-4</v>
      </c>
      <c r="L229">
        <v>0</v>
      </c>
      <c r="M229">
        <v>-2.9999999999999997E-4</v>
      </c>
      <c r="N229">
        <v>-5.4999999999999997E-3</v>
      </c>
      <c r="O229">
        <v>0.25900000000000001</v>
      </c>
    </row>
    <row r="230" spans="1:15" x14ac:dyDescent="0.35">
      <c r="A230">
        <v>106</v>
      </c>
      <c r="B230">
        <v>9.4666999999999994</v>
      </c>
      <c r="C230">
        <v>1.1633</v>
      </c>
      <c r="D230">
        <v>0.5444</v>
      </c>
      <c r="E230">
        <v>4.0206</v>
      </c>
      <c r="F230">
        <v>0.79279999999999995</v>
      </c>
      <c r="G230">
        <v>0.1245</v>
      </c>
      <c r="H230">
        <v>2.64E-2</v>
      </c>
      <c r="I230">
        <v>5.21E-2</v>
      </c>
      <c r="J230">
        <v>3.1E-2</v>
      </c>
      <c r="K230">
        <v>8.0000000000000004E-4</v>
      </c>
      <c r="L230">
        <v>0</v>
      </c>
      <c r="M230">
        <v>-5.9999999999999995E-4</v>
      </c>
      <c r="N230">
        <v>-6.3E-3</v>
      </c>
      <c r="O230">
        <v>0.26900000000000002</v>
      </c>
    </row>
    <row r="231" spans="1:15" x14ac:dyDescent="0.35">
      <c r="A231">
        <v>107</v>
      </c>
      <c r="B231">
        <v>9.6485000000000003</v>
      </c>
      <c r="C231">
        <v>1.2351000000000001</v>
      </c>
      <c r="D231">
        <v>0.74150000000000005</v>
      </c>
      <c r="E231">
        <v>3.8807</v>
      </c>
      <c r="F231">
        <v>0.85799999999999998</v>
      </c>
      <c r="G231">
        <v>0.1348</v>
      </c>
      <c r="H231">
        <v>2.7E-2</v>
      </c>
      <c r="I231">
        <v>5.8400000000000001E-2</v>
      </c>
      <c r="J231">
        <v>3.4700000000000002E-2</v>
      </c>
      <c r="K231">
        <v>8.0000000000000004E-4</v>
      </c>
      <c r="L231">
        <v>0</v>
      </c>
      <c r="M231">
        <v>-4.0000000000000002E-4</v>
      </c>
      <c r="N231">
        <v>-6.8999999999999999E-3</v>
      </c>
      <c r="O231">
        <v>0.26200000000000001</v>
      </c>
    </row>
    <row r="232" spans="1:15" x14ac:dyDescent="0.35">
      <c r="A232">
        <v>108</v>
      </c>
      <c r="B232">
        <v>9.8488000000000007</v>
      </c>
      <c r="C232">
        <v>1.3141</v>
      </c>
      <c r="D232">
        <v>0.95860000000000001</v>
      </c>
      <c r="E232">
        <v>3.7267000000000001</v>
      </c>
      <c r="F232">
        <v>0.89280000000000004</v>
      </c>
      <c r="G232">
        <v>0.1462</v>
      </c>
      <c r="H232">
        <v>2.7400000000000001E-2</v>
      </c>
      <c r="I232">
        <v>6.59E-2</v>
      </c>
      <c r="J232">
        <v>3.9199999999999999E-2</v>
      </c>
      <c r="K232">
        <v>8.9999999999999998E-4</v>
      </c>
      <c r="L232">
        <v>0</v>
      </c>
      <c r="M232">
        <v>2.0000000000000001E-4</v>
      </c>
      <c r="N232">
        <v>-7.3000000000000001E-3</v>
      </c>
      <c r="O232">
        <v>0.245</v>
      </c>
    </row>
    <row r="233" spans="1:15" x14ac:dyDescent="0.35">
      <c r="A233">
        <v>109</v>
      </c>
      <c r="B233">
        <v>10.0626</v>
      </c>
      <c r="C233">
        <v>1.3985000000000001</v>
      </c>
      <c r="D233">
        <v>1.1903999999999999</v>
      </c>
      <c r="E233">
        <v>3.5623</v>
      </c>
      <c r="F233">
        <v>0.8982</v>
      </c>
      <c r="G233">
        <v>0.15459999999999999</v>
      </c>
      <c r="H233">
        <v>2.76E-2</v>
      </c>
      <c r="I233">
        <v>7.2999999999999995E-2</v>
      </c>
      <c r="J233">
        <v>4.3400000000000001E-2</v>
      </c>
      <c r="K233">
        <v>8.9999999999999998E-4</v>
      </c>
      <c r="L233">
        <v>0</v>
      </c>
      <c r="M233">
        <v>1.1000000000000001E-3</v>
      </c>
      <c r="N233">
        <v>-7.4000000000000003E-3</v>
      </c>
      <c r="O233">
        <v>0.22600000000000001</v>
      </c>
    </row>
    <row r="234" spans="1:15" x14ac:dyDescent="0.35">
      <c r="A234">
        <v>110</v>
      </c>
      <c r="B234">
        <v>10.284700000000001</v>
      </c>
      <c r="C234">
        <v>1.4861</v>
      </c>
      <c r="D234">
        <v>1.4311</v>
      </c>
      <c r="E234">
        <v>3.3915000000000002</v>
      </c>
      <c r="F234">
        <v>0.87680000000000002</v>
      </c>
      <c r="G234">
        <v>0.15909999999999999</v>
      </c>
      <c r="H234">
        <v>2.7799999999999998E-2</v>
      </c>
      <c r="I234">
        <v>7.8899999999999998E-2</v>
      </c>
      <c r="J234">
        <v>4.6899999999999997E-2</v>
      </c>
      <c r="K234">
        <v>8.9999999999999998E-4</v>
      </c>
      <c r="L234">
        <v>0</v>
      </c>
      <c r="M234">
        <v>2E-3</v>
      </c>
      <c r="N234">
        <v>-7.4000000000000003E-3</v>
      </c>
      <c r="O234">
        <v>0.20799999999999999</v>
      </c>
    </row>
    <row r="235" spans="1:15" x14ac:dyDescent="0.35">
      <c r="A235">
        <v>111</v>
      </c>
      <c r="B235">
        <v>10.509399999999999</v>
      </c>
      <c r="C235">
        <v>1.5747</v>
      </c>
      <c r="D235">
        <v>1.6747000000000001</v>
      </c>
      <c r="E235">
        <v>3.2187000000000001</v>
      </c>
      <c r="F235">
        <v>0.83209999999999995</v>
      </c>
      <c r="G235">
        <v>0.1598</v>
      </c>
      <c r="H235">
        <v>2.7799999999999998E-2</v>
      </c>
      <c r="I235">
        <v>8.3500000000000005E-2</v>
      </c>
      <c r="J235">
        <v>4.9599999999999998E-2</v>
      </c>
      <c r="K235">
        <v>8.9999999999999998E-4</v>
      </c>
      <c r="L235">
        <v>0</v>
      </c>
      <c r="M235">
        <v>2.8999999999999998E-3</v>
      </c>
      <c r="N235">
        <v>-7.1999999999999998E-3</v>
      </c>
      <c r="O235">
        <v>0.191</v>
      </c>
    </row>
    <row r="236" spans="1:15" x14ac:dyDescent="0.35">
      <c r="A236">
        <v>112</v>
      </c>
      <c r="B236">
        <v>10.7315</v>
      </c>
      <c r="C236">
        <v>1.6623000000000001</v>
      </c>
      <c r="D236">
        <v>1.9154</v>
      </c>
      <c r="E236">
        <v>3.0478999999999998</v>
      </c>
      <c r="F236">
        <v>0.76849999999999996</v>
      </c>
      <c r="G236">
        <v>0.15679999999999999</v>
      </c>
      <c r="H236">
        <v>2.7799999999999998E-2</v>
      </c>
      <c r="I236">
        <v>8.6499999999999994E-2</v>
      </c>
      <c r="J236">
        <v>5.1499999999999997E-2</v>
      </c>
      <c r="K236">
        <v>8.0000000000000004E-4</v>
      </c>
      <c r="L236">
        <v>0</v>
      </c>
      <c r="M236">
        <v>3.8999999999999998E-3</v>
      </c>
      <c r="N236">
        <v>-6.7999999999999996E-3</v>
      </c>
      <c r="O236">
        <v>0.17399999999999999</v>
      </c>
    </row>
    <row r="237" spans="1:15" x14ac:dyDescent="0.35">
      <c r="A237">
        <v>113</v>
      </c>
      <c r="B237">
        <v>10.9453</v>
      </c>
      <c r="C237">
        <v>1.7466999999999999</v>
      </c>
      <c r="D237">
        <v>2.1472000000000002</v>
      </c>
      <c r="E237">
        <v>2.8835000000000002</v>
      </c>
      <c r="F237">
        <v>0.69079999999999997</v>
      </c>
      <c r="G237">
        <v>0.1502</v>
      </c>
      <c r="H237">
        <v>2.7799999999999998E-2</v>
      </c>
      <c r="I237">
        <v>8.7599999999999997E-2</v>
      </c>
      <c r="J237">
        <v>5.21E-2</v>
      </c>
      <c r="K237">
        <v>8.0000000000000004E-4</v>
      </c>
      <c r="L237">
        <v>0</v>
      </c>
      <c r="M237">
        <v>4.7999999999999996E-3</v>
      </c>
      <c r="N237">
        <v>-6.1999999999999998E-3</v>
      </c>
      <c r="O237">
        <v>0.157</v>
      </c>
    </row>
    <row r="238" spans="1:15" x14ac:dyDescent="0.35">
      <c r="A238">
        <v>114</v>
      </c>
      <c r="B238">
        <v>11.1456</v>
      </c>
      <c r="C238">
        <v>1.8257000000000001</v>
      </c>
      <c r="D238">
        <v>2.3643000000000001</v>
      </c>
      <c r="E238">
        <v>2.7294999999999998</v>
      </c>
      <c r="F238">
        <v>0.60350000000000004</v>
      </c>
      <c r="G238">
        <v>0.13980000000000001</v>
      </c>
      <c r="H238">
        <v>2.7799999999999998E-2</v>
      </c>
      <c r="I238">
        <v>8.6099999999999996E-2</v>
      </c>
      <c r="J238">
        <v>5.1200000000000002E-2</v>
      </c>
      <c r="K238">
        <v>5.9999999999999995E-4</v>
      </c>
      <c r="L238">
        <v>0</v>
      </c>
      <c r="M238">
        <v>5.5999999999999999E-3</v>
      </c>
      <c r="N238">
        <v>-5.4000000000000003E-3</v>
      </c>
      <c r="O238">
        <v>0.14000000000000001</v>
      </c>
    </row>
    <row r="239" spans="1:15" x14ac:dyDescent="0.35">
      <c r="A239">
        <v>115</v>
      </c>
      <c r="B239">
        <v>11.327400000000001</v>
      </c>
      <c r="C239">
        <v>1.8975</v>
      </c>
      <c r="D239">
        <v>2.5613999999999999</v>
      </c>
      <c r="E239">
        <v>2.5895999999999999</v>
      </c>
      <c r="F239">
        <v>0.51060000000000005</v>
      </c>
      <c r="G239">
        <v>0.12570000000000001</v>
      </c>
      <c r="H239">
        <v>2.7699999999999999E-2</v>
      </c>
      <c r="I239">
        <v>8.1600000000000006E-2</v>
      </c>
      <c r="J239">
        <v>4.8500000000000001E-2</v>
      </c>
      <c r="K239">
        <v>5.0000000000000001E-4</v>
      </c>
      <c r="L239">
        <v>0</v>
      </c>
      <c r="M239">
        <v>6.1999999999999998E-3</v>
      </c>
      <c r="N239">
        <v>-4.4999999999999997E-3</v>
      </c>
      <c r="O239">
        <v>0.123</v>
      </c>
    </row>
    <row r="240" spans="1:15" x14ac:dyDescent="0.35">
      <c r="A240">
        <v>116</v>
      </c>
      <c r="B240">
        <v>11.4864</v>
      </c>
      <c r="C240">
        <v>1.9601999999999999</v>
      </c>
      <c r="D240">
        <v>2.7336999999999998</v>
      </c>
      <c r="E240">
        <v>2.4674</v>
      </c>
      <c r="F240">
        <v>0.41549999999999998</v>
      </c>
      <c r="G240">
        <v>0.1081</v>
      </c>
      <c r="H240">
        <v>2.7699999999999999E-2</v>
      </c>
      <c r="I240">
        <v>7.3700000000000002E-2</v>
      </c>
      <c r="J240">
        <v>4.3799999999999999E-2</v>
      </c>
      <c r="K240">
        <v>2.9999999999999997E-4</v>
      </c>
      <c r="L240">
        <v>0</v>
      </c>
      <c r="M240">
        <v>6.4000000000000003E-3</v>
      </c>
      <c r="N240">
        <v>-3.5000000000000001E-3</v>
      </c>
      <c r="O240">
        <v>0.105</v>
      </c>
    </row>
    <row r="241" spans="1:15" x14ac:dyDescent="0.35">
      <c r="A241">
        <v>117</v>
      </c>
      <c r="B241">
        <v>11.618499999999999</v>
      </c>
      <c r="C241">
        <v>2.0123000000000002</v>
      </c>
      <c r="D241">
        <v>2.8769999999999998</v>
      </c>
      <c r="E241">
        <v>2.3656999999999999</v>
      </c>
      <c r="F241">
        <v>0.32050000000000001</v>
      </c>
      <c r="G241">
        <v>8.7499999999999994E-2</v>
      </c>
      <c r="H241">
        <v>2.7699999999999999E-2</v>
      </c>
      <c r="I241">
        <v>6.2300000000000001E-2</v>
      </c>
      <c r="J241">
        <v>3.6999999999999998E-2</v>
      </c>
      <c r="K241">
        <v>1E-4</v>
      </c>
      <c r="L241">
        <v>0</v>
      </c>
      <c r="M241">
        <v>6.0000000000000001E-3</v>
      </c>
      <c r="N241">
        <v>-2.5000000000000001E-3</v>
      </c>
      <c r="O241">
        <v>8.7999999999999995E-2</v>
      </c>
    </row>
    <row r="242" spans="1:15" x14ac:dyDescent="0.35">
      <c r="A242">
        <v>118</v>
      </c>
      <c r="B242">
        <v>11.720599999999999</v>
      </c>
      <c r="C242">
        <v>2.0526</v>
      </c>
      <c r="D242">
        <v>2.9876</v>
      </c>
      <c r="E242">
        <v>2.2873000000000001</v>
      </c>
      <c r="F242">
        <v>0.22700000000000001</v>
      </c>
      <c r="G242">
        <v>6.4399999999999999E-2</v>
      </c>
      <c r="H242">
        <v>2.7699999999999999E-2</v>
      </c>
      <c r="I242">
        <v>4.7399999999999998E-2</v>
      </c>
      <c r="J242">
        <v>2.8199999999999999E-2</v>
      </c>
      <c r="K242">
        <v>-1E-4</v>
      </c>
      <c r="L242">
        <v>0</v>
      </c>
      <c r="M242">
        <v>5.0000000000000001E-3</v>
      </c>
      <c r="N242">
        <v>-1.5E-3</v>
      </c>
      <c r="O242">
        <v>7.1999999999999995E-2</v>
      </c>
    </row>
    <row r="243" spans="1:15" x14ac:dyDescent="0.35">
      <c r="A243">
        <v>119</v>
      </c>
      <c r="B243">
        <v>11.79</v>
      </c>
      <c r="C243">
        <v>2.08</v>
      </c>
      <c r="D243">
        <v>3.0629</v>
      </c>
      <c r="E243">
        <v>2.2338</v>
      </c>
      <c r="F243">
        <v>0.13519999999999999</v>
      </c>
      <c r="G243">
        <v>3.9399999999999998E-2</v>
      </c>
      <c r="H243">
        <v>2.76E-2</v>
      </c>
      <c r="I243">
        <v>2.9700000000000001E-2</v>
      </c>
      <c r="J243">
        <v>1.77E-2</v>
      </c>
      <c r="K243">
        <v>-2.0000000000000001E-4</v>
      </c>
      <c r="L243">
        <v>0</v>
      </c>
      <c r="M243">
        <v>3.3E-3</v>
      </c>
      <c r="N243">
        <v>-8.0000000000000004E-4</v>
      </c>
      <c r="O243">
        <v>0.06</v>
      </c>
    </row>
    <row r="244" spans="1:15" x14ac:dyDescent="0.35">
      <c r="A244">
        <v>120</v>
      </c>
      <c r="B244">
        <v>11.825200000000001</v>
      </c>
      <c r="C244">
        <v>2.0939000000000001</v>
      </c>
      <c r="D244">
        <v>3.101</v>
      </c>
      <c r="E244">
        <v>2.2067999999999999</v>
      </c>
      <c r="F244">
        <v>4.4900000000000002E-2</v>
      </c>
      <c r="G244">
        <v>1.3299999999999999E-2</v>
      </c>
      <c r="H244">
        <v>2.76E-2</v>
      </c>
      <c r="I244">
        <v>1.01E-2</v>
      </c>
      <c r="J244">
        <v>6.0000000000000001E-3</v>
      </c>
      <c r="K244">
        <v>-2.9999999999999997E-4</v>
      </c>
      <c r="L244">
        <v>0</v>
      </c>
      <c r="M244">
        <v>1.1999999999999999E-3</v>
      </c>
      <c r="N244">
        <v>-2.9999999999999997E-4</v>
      </c>
      <c r="O244">
        <v>5.5E-2</v>
      </c>
    </row>
    <row r="246" spans="1:15" x14ac:dyDescent="0.35">
      <c r="A246" t="s">
        <v>168</v>
      </c>
      <c r="B246" t="s">
        <v>77</v>
      </c>
      <c r="C246">
        <v>8</v>
      </c>
      <c r="D246" t="s">
        <v>355</v>
      </c>
      <c r="E246" t="s">
        <v>354</v>
      </c>
      <c r="F246" t="s">
        <v>207</v>
      </c>
    </row>
    <row r="247" spans="1:15" x14ac:dyDescent="0.35">
      <c r="A247" t="s">
        <v>77</v>
      </c>
      <c r="B247" t="s">
        <v>180</v>
      </c>
      <c r="C247" t="s">
        <v>79</v>
      </c>
      <c r="D247">
        <v>10</v>
      </c>
      <c r="E247" t="s">
        <v>77</v>
      </c>
      <c r="F247" t="s">
        <v>181</v>
      </c>
      <c r="G247" t="s">
        <v>79</v>
      </c>
      <c r="H247">
        <v>20</v>
      </c>
      <c r="I247" t="s">
        <v>182</v>
      </c>
      <c r="J247" t="s">
        <v>183</v>
      </c>
      <c r="K247">
        <f>121</f>
        <v>121</v>
      </c>
    </row>
    <row r="248" spans="1:15" x14ac:dyDescent="0.35">
      <c r="A248" t="s">
        <v>168</v>
      </c>
      <c r="B248" t="s">
        <v>184</v>
      </c>
      <c r="C248" t="s">
        <v>264</v>
      </c>
      <c r="D248" t="s">
        <v>79</v>
      </c>
      <c r="E248">
        <v>10.923742000000001</v>
      </c>
      <c r="F248" t="s">
        <v>185</v>
      </c>
      <c r="G248" t="s">
        <v>62</v>
      </c>
      <c r="H248" t="s">
        <v>195</v>
      </c>
      <c r="I248" t="s">
        <v>79</v>
      </c>
      <c r="J248">
        <v>3.3050999999999999</v>
      </c>
    </row>
    <row r="250" spans="1:15" x14ac:dyDescent="0.35">
      <c r="A250" t="s">
        <v>75</v>
      </c>
      <c r="B250" t="s">
        <v>173</v>
      </c>
      <c r="C250" t="s">
        <v>174</v>
      </c>
      <c r="D250" t="s">
        <v>175</v>
      </c>
      <c r="E250" t="s">
        <v>176</v>
      </c>
      <c r="F250" t="s">
        <v>58</v>
      </c>
      <c r="G250" t="s">
        <v>177</v>
      </c>
      <c r="H250" t="s">
        <v>178</v>
      </c>
      <c r="I250" t="s">
        <v>179</v>
      </c>
      <c r="J250" t="s">
        <v>84</v>
      </c>
    </row>
    <row r="251" spans="1:15" x14ac:dyDescent="0.35">
      <c r="A251" t="s">
        <v>85</v>
      </c>
      <c r="B251" t="s">
        <v>86</v>
      </c>
      <c r="C251" t="s">
        <v>87</v>
      </c>
      <c r="D251" t="s">
        <v>47</v>
      </c>
      <c r="E251" t="s">
        <v>88</v>
      </c>
      <c r="F251" t="s">
        <v>89</v>
      </c>
      <c r="G251" t="s">
        <v>90</v>
      </c>
    </row>
    <row r="252" spans="1:15" x14ac:dyDescent="0.35">
      <c r="A252" t="s">
        <v>186</v>
      </c>
      <c r="B252" t="s">
        <v>79</v>
      </c>
      <c r="C252">
        <v>2.49E-3</v>
      </c>
      <c r="D252" t="s">
        <v>187</v>
      </c>
      <c r="E252" t="s">
        <v>79</v>
      </c>
      <c r="F252">
        <v>9.3999999999999997E-4</v>
      </c>
    </row>
    <row r="253" spans="1:15" x14ac:dyDescent="0.35">
      <c r="A253" t="s">
        <v>188</v>
      </c>
      <c r="B253" t="s">
        <v>79</v>
      </c>
      <c r="C253">
        <v>6.6299999999999996E-3</v>
      </c>
      <c r="D253" t="s">
        <v>189</v>
      </c>
      <c r="E253" t="s">
        <v>79</v>
      </c>
      <c r="F253">
        <v>-1.31E-3</v>
      </c>
    </row>
    <row r="254" spans="1:15" x14ac:dyDescent="0.35">
      <c r="A254" t="s">
        <v>190</v>
      </c>
      <c r="B254" t="s">
        <v>79</v>
      </c>
      <c r="C254">
        <v>1.2E-4</v>
      </c>
      <c r="D254" t="s">
        <v>191</v>
      </c>
      <c r="E254" t="s">
        <v>79</v>
      </c>
      <c r="F254">
        <v>-1E-3</v>
      </c>
    </row>
    <row r="255" spans="1:15" x14ac:dyDescent="0.35">
      <c r="A255" t="s">
        <v>192</v>
      </c>
      <c r="B255" t="s">
        <v>79</v>
      </c>
      <c r="C255">
        <v>1.2E-4</v>
      </c>
      <c r="D255" t="s">
        <v>193</v>
      </c>
      <c r="E255" t="s">
        <v>79</v>
      </c>
      <c r="F255">
        <v>0</v>
      </c>
    </row>
    <row r="257" spans="1:15" x14ac:dyDescent="0.35">
      <c r="A257" t="s">
        <v>75</v>
      </c>
      <c r="B257" t="s">
        <v>173</v>
      </c>
      <c r="C257" t="s">
        <v>174</v>
      </c>
      <c r="D257" t="s">
        <v>194</v>
      </c>
      <c r="E257" t="s">
        <v>195</v>
      </c>
    </row>
    <row r="258" spans="1:15" x14ac:dyDescent="0.35">
      <c r="A258" t="s">
        <v>186</v>
      </c>
      <c r="B258" t="s">
        <v>79</v>
      </c>
      <c r="C258">
        <v>3.9030000000000002E-2</v>
      </c>
      <c r="D258" t="s">
        <v>190</v>
      </c>
      <c r="E258" t="s">
        <v>79</v>
      </c>
      <c r="F258">
        <v>6.8000000000000005E-4</v>
      </c>
    </row>
    <row r="260" spans="1:15" x14ac:dyDescent="0.35">
      <c r="A260" t="s">
        <v>170</v>
      </c>
      <c r="B260" t="s">
        <v>75</v>
      </c>
      <c r="C260" t="s">
        <v>173</v>
      </c>
      <c r="D260" t="s">
        <v>174</v>
      </c>
      <c r="E260" t="s">
        <v>170</v>
      </c>
      <c r="F260" t="s">
        <v>196</v>
      </c>
      <c r="G260" t="s">
        <v>63</v>
      </c>
    </row>
    <row r="261" spans="1:15" x14ac:dyDescent="0.35">
      <c r="A261" t="s">
        <v>197</v>
      </c>
      <c r="B261" t="s">
        <v>59</v>
      </c>
      <c r="C261" t="s">
        <v>60</v>
      </c>
      <c r="D261" t="s">
        <v>61</v>
      </c>
      <c r="E261" t="s">
        <v>63</v>
      </c>
      <c r="F261" t="s">
        <v>198</v>
      </c>
      <c r="G261" t="s">
        <v>265</v>
      </c>
      <c r="H261" t="s">
        <v>200</v>
      </c>
      <c r="I261" t="s">
        <v>201</v>
      </c>
      <c r="J261" t="s">
        <v>199</v>
      </c>
      <c r="K261" t="s">
        <v>202</v>
      </c>
      <c r="L261" t="s">
        <v>203</v>
      </c>
      <c r="M261" t="s">
        <v>204</v>
      </c>
      <c r="N261" t="s">
        <v>205</v>
      </c>
      <c r="O261" t="s">
        <v>206</v>
      </c>
    </row>
    <row r="262" spans="1:15" x14ac:dyDescent="0.35">
      <c r="A262">
        <v>121</v>
      </c>
      <c r="B262">
        <v>8.9688999999999997</v>
      </c>
      <c r="C262">
        <v>-0.96689999999999998</v>
      </c>
      <c r="D262">
        <v>4.7999999999999996E-3</v>
      </c>
      <c r="E262">
        <v>4.4034000000000004</v>
      </c>
      <c r="F262">
        <v>8.9599999999999999E-2</v>
      </c>
      <c r="G262">
        <v>1.6799999999999999E-2</v>
      </c>
      <c r="H262">
        <v>2.3300000000000001E-2</v>
      </c>
      <c r="I262">
        <v>6.4000000000000003E-3</v>
      </c>
      <c r="J262">
        <v>3.8E-3</v>
      </c>
      <c r="K262">
        <v>2.0000000000000001E-4</v>
      </c>
      <c r="L262">
        <v>0</v>
      </c>
      <c r="M262">
        <v>1E-4</v>
      </c>
      <c r="N262">
        <v>6.9999999999999999E-4</v>
      </c>
      <c r="O262">
        <v>0.23400000000000001</v>
      </c>
    </row>
    <row r="263" spans="1:15" x14ac:dyDescent="0.35">
      <c r="A263">
        <v>122</v>
      </c>
      <c r="B263">
        <v>9.0040999999999993</v>
      </c>
      <c r="C263">
        <v>-0.98080000000000001</v>
      </c>
      <c r="D263">
        <v>4.2900000000000001E-2</v>
      </c>
      <c r="E263">
        <v>4.3764000000000003</v>
      </c>
      <c r="F263">
        <v>0.26490000000000002</v>
      </c>
      <c r="G263">
        <v>0.05</v>
      </c>
      <c r="H263">
        <v>2.35E-2</v>
      </c>
      <c r="I263">
        <v>1.9199999999999998E-2</v>
      </c>
      <c r="J263">
        <v>1.14E-2</v>
      </c>
      <c r="K263">
        <v>4.0000000000000002E-4</v>
      </c>
      <c r="L263">
        <v>0</v>
      </c>
      <c r="M263">
        <v>2.0000000000000001E-4</v>
      </c>
      <c r="N263">
        <v>2E-3</v>
      </c>
      <c r="O263">
        <v>0.23499999999999999</v>
      </c>
    </row>
    <row r="264" spans="1:15" x14ac:dyDescent="0.35">
      <c r="A264">
        <v>123</v>
      </c>
      <c r="B264">
        <v>9.0734999999999992</v>
      </c>
      <c r="C264">
        <v>-1.0082</v>
      </c>
      <c r="D264">
        <v>0.1182</v>
      </c>
      <c r="E264">
        <v>4.3228999999999997</v>
      </c>
      <c r="F264">
        <v>0.42899999999999999</v>
      </c>
      <c r="G264">
        <v>8.0799999999999997E-2</v>
      </c>
      <c r="H264">
        <v>2.4E-2</v>
      </c>
      <c r="I264">
        <v>3.1399999999999997E-2</v>
      </c>
      <c r="J264">
        <v>1.8700000000000001E-2</v>
      </c>
      <c r="K264">
        <v>5.0000000000000001E-4</v>
      </c>
      <c r="L264">
        <v>0</v>
      </c>
      <c r="M264">
        <v>2.0000000000000001E-4</v>
      </c>
      <c r="N264">
        <v>3.3999999999999998E-3</v>
      </c>
      <c r="O264">
        <v>0.23699999999999999</v>
      </c>
    </row>
    <row r="265" spans="1:15" x14ac:dyDescent="0.35">
      <c r="A265">
        <v>124</v>
      </c>
      <c r="B265">
        <v>9.1755999999999993</v>
      </c>
      <c r="C265">
        <v>-1.0485</v>
      </c>
      <c r="D265">
        <v>0.2288</v>
      </c>
      <c r="E265">
        <v>4.2445000000000004</v>
      </c>
      <c r="F265">
        <v>0.57509999999999994</v>
      </c>
      <c r="G265">
        <v>0.10440000000000001</v>
      </c>
      <c r="H265">
        <v>2.4799999999999999E-2</v>
      </c>
      <c r="I265">
        <v>4.1399999999999999E-2</v>
      </c>
      <c r="J265">
        <v>2.46E-2</v>
      </c>
      <c r="K265">
        <v>5.0000000000000001E-4</v>
      </c>
      <c r="L265">
        <v>0</v>
      </c>
      <c r="M265">
        <v>1E-4</v>
      </c>
      <c r="N265">
        <v>4.5999999999999999E-3</v>
      </c>
      <c r="O265">
        <v>0.245</v>
      </c>
    </row>
    <row r="266" spans="1:15" x14ac:dyDescent="0.35">
      <c r="A266">
        <v>125</v>
      </c>
      <c r="B266">
        <v>9.3077000000000005</v>
      </c>
      <c r="C266">
        <v>-1.1006</v>
      </c>
      <c r="D266">
        <v>0.37209999999999999</v>
      </c>
      <c r="E266">
        <v>4.1428000000000003</v>
      </c>
      <c r="F266">
        <v>0.69769999999999999</v>
      </c>
      <c r="G266">
        <v>0.1172</v>
      </c>
      <c r="H266">
        <v>2.5600000000000001E-2</v>
      </c>
      <c r="I266">
        <v>4.7600000000000003E-2</v>
      </c>
      <c r="J266">
        <v>2.8299999999999999E-2</v>
      </c>
      <c r="K266">
        <v>5.9999999999999995E-4</v>
      </c>
      <c r="L266">
        <v>0</v>
      </c>
      <c r="M266">
        <v>-2.9999999999999997E-4</v>
      </c>
      <c r="N266">
        <v>5.4999999999999997E-3</v>
      </c>
      <c r="O266">
        <v>0.25900000000000001</v>
      </c>
    </row>
    <row r="267" spans="1:15" x14ac:dyDescent="0.35">
      <c r="A267">
        <v>126</v>
      </c>
      <c r="B267">
        <v>9.4666999999999994</v>
      </c>
      <c r="C267">
        <v>-1.1633</v>
      </c>
      <c r="D267">
        <v>0.5444</v>
      </c>
      <c r="E267">
        <v>4.0206</v>
      </c>
      <c r="F267">
        <v>0.79279999999999995</v>
      </c>
      <c r="G267">
        <v>0.1245</v>
      </c>
      <c r="H267">
        <v>2.64E-2</v>
      </c>
      <c r="I267">
        <v>5.21E-2</v>
      </c>
      <c r="J267">
        <v>3.1E-2</v>
      </c>
      <c r="K267">
        <v>8.0000000000000004E-4</v>
      </c>
      <c r="L267">
        <v>0</v>
      </c>
      <c r="M267">
        <v>-5.9999999999999995E-4</v>
      </c>
      <c r="N267">
        <v>6.3E-3</v>
      </c>
      <c r="O267">
        <v>0.26900000000000002</v>
      </c>
    </row>
    <row r="268" spans="1:15" x14ac:dyDescent="0.35">
      <c r="A268">
        <v>127</v>
      </c>
      <c r="B268">
        <v>9.6485000000000003</v>
      </c>
      <c r="C268">
        <v>-1.2351000000000001</v>
      </c>
      <c r="D268">
        <v>0.74150000000000005</v>
      </c>
      <c r="E268">
        <v>3.8807</v>
      </c>
      <c r="F268">
        <v>0.85799999999999998</v>
      </c>
      <c r="G268">
        <v>0.1348</v>
      </c>
      <c r="H268">
        <v>2.7E-2</v>
      </c>
      <c r="I268">
        <v>5.8400000000000001E-2</v>
      </c>
      <c r="J268">
        <v>3.4700000000000002E-2</v>
      </c>
      <c r="K268">
        <v>8.0000000000000004E-4</v>
      </c>
      <c r="L268">
        <v>0</v>
      </c>
      <c r="M268">
        <v>-4.0000000000000002E-4</v>
      </c>
      <c r="N268">
        <v>6.8999999999999999E-3</v>
      </c>
      <c r="O268">
        <v>0.26200000000000001</v>
      </c>
    </row>
    <row r="269" spans="1:15" x14ac:dyDescent="0.35">
      <c r="A269">
        <v>128</v>
      </c>
      <c r="B269">
        <v>9.8488000000000007</v>
      </c>
      <c r="C269">
        <v>-1.3141</v>
      </c>
      <c r="D269">
        <v>0.95860000000000001</v>
      </c>
      <c r="E269">
        <v>3.7267000000000001</v>
      </c>
      <c r="F269">
        <v>0.89280000000000004</v>
      </c>
      <c r="G269">
        <v>0.1462</v>
      </c>
      <c r="H269">
        <v>2.7400000000000001E-2</v>
      </c>
      <c r="I269">
        <v>6.59E-2</v>
      </c>
      <c r="J269">
        <v>3.9199999999999999E-2</v>
      </c>
      <c r="K269">
        <v>8.9999999999999998E-4</v>
      </c>
      <c r="L269">
        <v>0</v>
      </c>
      <c r="M269">
        <v>2.0000000000000001E-4</v>
      </c>
      <c r="N269">
        <v>7.3000000000000001E-3</v>
      </c>
      <c r="O269">
        <v>0.245</v>
      </c>
    </row>
    <row r="270" spans="1:15" x14ac:dyDescent="0.35">
      <c r="A270">
        <v>129</v>
      </c>
      <c r="B270">
        <v>10.0626</v>
      </c>
      <c r="C270">
        <v>-1.3985000000000001</v>
      </c>
      <c r="D270">
        <v>1.1903999999999999</v>
      </c>
      <c r="E270">
        <v>3.5623</v>
      </c>
      <c r="F270">
        <v>0.8982</v>
      </c>
      <c r="G270">
        <v>0.15459999999999999</v>
      </c>
      <c r="H270">
        <v>2.76E-2</v>
      </c>
      <c r="I270">
        <v>7.2999999999999995E-2</v>
      </c>
      <c r="J270">
        <v>4.3400000000000001E-2</v>
      </c>
      <c r="K270">
        <v>8.9999999999999998E-4</v>
      </c>
      <c r="L270">
        <v>0</v>
      </c>
      <c r="M270">
        <v>1.1000000000000001E-3</v>
      </c>
      <c r="N270">
        <v>7.4000000000000003E-3</v>
      </c>
      <c r="O270">
        <v>0.22600000000000001</v>
      </c>
    </row>
    <row r="271" spans="1:15" x14ac:dyDescent="0.35">
      <c r="A271">
        <v>130</v>
      </c>
      <c r="B271">
        <v>10.284700000000001</v>
      </c>
      <c r="C271">
        <v>-1.4861</v>
      </c>
      <c r="D271">
        <v>1.4311</v>
      </c>
      <c r="E271">
        <v>3.3915000000000002</v>
      </c>
      <c r="F271">
        <v>0.87680000000000002</v>
      </c>
      <c r="G271">
        <v>0.15909999999999999</v>
      </c>
      <c r="H271">
        <v>2.7799999999999998E-2</v>
      </c>
      <c r="I271">
        <v>7.8899999999999998E-2</v>
      </c>
      <c r="J271">
        <v>4.6899999999999997E-2</v>
      </c>
      <c r="K271">
        <v>8.9999999999999998E-4</v>
      </c>
      <c r="L271">
        <v>0</v>
      </c>
      <c r="M271">
        <v>2E-3</v>
      </c>
      <c r="N271">
        <v>7.4000000000000003E-3</v>
      </c>
      <c r="O271">
        <v>0.20799999999999999</v>
      </c>
    </row>
    <row r="272" spans="1:15" x14ac:dyDescent="0.35">
      <c r="A272">
        <v>131</v>
      </c>
      <c r="B272">
        <v>10.509399999999999</v>
      </c>
      <c r="C272">
        <v>-1.5747</v>
      </c>
      <c r="D272">
        <v>1.6747000000000001</v>
      </c>
      <c r="E272">
        <v>3.2187000000000001</v>
      </c>
      <c r="F272">
        <v>0.83209999999999995</v>
      </c>
      <c r="G272">
        <v>0.1598</v>
      </c>
      <c r="H272">
        <v>2.7799999999999998E-2</v>
      </c>
      <c r="I272">
        <v>8.3500000000000005E-2</v>
      </c>
      <c r="J272">
        <v>4.9599999999999998E-2</v>
      </c>
      <c r="K272">
        <v>8.9999999999999998E-4</v>
      </c>
      <c r="L272">
        <v>0</v>
      </c>
      <c r="M272">
        <v>2.8999999999999998E-3</v>
      </c>
      <c r="N272">
        <v>7.1999999999999998E-3</v>
      </c>
      <c r="O272">
        <v>0.191</v>
      </c>
    </row>
    <row r="273" spans="1:15" x14ac:dyDescent="0.35">
      <c r="A273">
        <v>132</v>
      </c>
      <c r="B273">
        <v>10.7315</v>
      </c>
      <c r="C273">
        <v>-1.6623000000000001</v>
      </c>
      <c r="D273">
        <v>1.9154</v>
      </c>
      <c r="E273">
        <v>3.0478999999999998</v>
      </c>
      <c r="F273">
        <v>0.76849999999999996</v>
      </c>
      <c r="G273">
        <v>0.15679999999999999</v>
      </c>
      <c r="H273">
        <v>2.7799999999999998E-2</v>
      </c>
      <c r="I273">
        <v>8.6499999999999994E-2</v>
      </c>
      <c r="J273">
        <v>5.1499999999999997E-2</v>
      </c>
      <c r="K273">
        <v>8.0000000000000004E-4</v>
      </c>
      <c r="L273">
        <v>0</v>
      </c>
      <c r="M273">
        <v>3.8999999999999998E-3</v>
      </c>
      <c r="N273">
        <v>6.7999999999999996E-3</v>
      </c>
      <c r="O273">
        <v>0.17399999999999999</v>
      </c>
    </row>
    <row r="274" spans="1:15" x14ac:dyDescent="0.35">
      <c r="A274">
        <v>133</v>
      </c>
      <c r="B274">
        <v>10.9453</v>
      </c>
      <c r="C274">
        <v>-1.7466999999999999</v>
      </c>
      <c r="D274">
        <v>2.1472000000000002</v>
      </c>
      <c r="E274">
        <v>2.8835000000000002</v>
      </c>
      <c r="F274">
        <v>0.69079999999999997</v>
      </c>
      <c r="G274">
        <v>0.1502</v>
      </c>
      <c r="H274">
        <v>2.7799999999999998E-2</v>
      </c>
      <c r="I274">
        <v>8.7599999999999997E-2</v>
      </c>
      <c r="J274">
        <v>5.21E-2</v>
      </c>
      <c r="K274">
        <v>8.0000000000000004E-4</v>
      </c>
      <c r="L274">
        <v>0</v>
      </c>
      <c r="M274">
        <v>4.7999999999999996E-3</v>
      </c>
      <c r="N274">
        <v>6.1999999999999998E-3</v>
      </c>
      <c r="O274">
        <v>0.157</v>
      </c>
    </row>
    <row r="275" spans="1:15" x14ac:dyDescent="0.35">
      <c r="A275">
        <v>134</v>
      </c>
      <c r="B275">
        <v>11.1456</v>
      </c>
      <c r="C275">
        <v>-1.8257000000000001</v>
      </c>
      <c r="D275">
        <v>2.3643000000000001</v>
      </c>
      <c r="E275">
        <v>2.7294999999999998</v>
      </c>
      <c r="F275">
        <v>0.60350000000000004</v>
      </c>
      <c r="G275">
        <v>0.13980000000000001</v>
      </c>
      <c r="H275">
        <v>2.7799999999999998E-2</v>
      </c>
      <c r="I275">
        <v>8.6099999999999996E-2</v>
      </c>
      <c r="J275">
        <v>5.1200000000000002E-2</v>
      </c>
      <c r="K275">
        <v>5.9999999999999995E-4</v>
      </c>
      <c r="L275">
        <v>0</v>
      </c>
      <c r="M275">
        <v>5.5999999999999999E-3</v>
      </c>
      <c r="N275">
        <v>5.4000000000000003E-3</v>
      </c>
      <c r="O275">
        <v>0.14000000000000001</v>
      </c>
    </row>
    <row r="276" spans="1:15" x14ac:dyDescent="0.35">
      <c r="A276">
        <v>135</v>
      </c>
      <c r="B276">
        <v>11.327400000000001</v>
      </c>
      <c r="C276">
        <v>-1.8975</v>
      </c>
      <c r="D276">
        <v>2.5613999999999999</v>
      </c>
      <c r="E276">
        <v>2.5895999999999999</v>
      </c>
      <c r="F276">
        <v>0.51060000000000005</v>
      </c>
      <c r="G276">
        <v>0.12570000000000001</v>
      </c>
      <c r="H276">
        <v>2.7699999999999999E-2</v>
      </c>
      <c r="I276">
        <v>8.1600000000000006E-2</v>
      </c>
      <c r="J276">
        <v>4.8500000000000001E-2</v>
      </c>
      <c r="K276">
        <v>5.0000000000000001E-4</v>
      </c>
      <c r="L276">
        <v>0</v>
      </c>
      <c r="M276">
        <v>6.1999999999999998E-3</v>
      </c>
      <c r="N276">
        <v>4.4999999999999997E-3</v>
      </c>
      <c r="O276">
        <v>0.123</v>
      </c>
    </row>
    <row r="277" spans="1:15" x14ac:dyDescent="0.35">
      <c r="A277">
        <v>136</v>
      </c>
      <c r="B277">
        <v>11.4864</v>
      </c>
      <c r="C277">
        <v>-1.9601999999999999</v>
      </c>
      <c r="D277">
        <v>2.7336999999999998</v>
      </c>
      <c r="E277">
        <v>2.4674</v>
      </c>
      <c r="F277">
        <v>0.41549999999999998</v>
      </c>
      <c r="G277">
        <v>0.1081</v>
      </c>
      <c r="H277">
        <v>2.7699999999999999E-2</v>
      </c>
      <c r="I277">
        <v>7.3700000000000002E-2</v>
      </c>
      <c r="J277">
        <v>4.3799999999999999E-2</v>
      </c>
      <c r="K277">
        <v>2.9999999999999997E-4</v>
      </c>
      <c r="L277">
        <v>0</v>
      </c>
      <c r="M277">
        <v>6.4000000000000003E-3</v>
      </c>
      <c r="N277">
        <v>3.5000000000000001E-3</v>
      </c>
      <c r="O277">
        <v>0.105</v>
      </c>
    </row>
    <row r="278" spans="1:15" x14ac:dyDescent="0.35">
      <c r="A278">
        <v>137</v>
      </c>
      <c r="B278">
        <v>11.618499999999999</v>
      </c>
      <c r="C278">
        <v>-2.0123000000000002</v>
      </c>
      <c r="D278">
        <v>2.8769999999999998</v>
      </c>
      <c r="E278">
        <v>2.3656999999999999</v>
      </c>
      <c r="F278">
        <v>0.32050000000000001</v>
      </c>
      <c r="G278">
        <v>8.7499999999999994E-2</v>
      </c>
      <c r="H278">
        <v>2.7699999999999999E-2</v>
      </c>
      <c r="I278">
        <v>6.2300000000000001E-2</v>
      </c>
      <c r="J278">
        <v>3.6999999999999998E-2</v>
      </c>
      <c r="K278">
        <v>1E-4</v>
      </c>
      <c r="L278">
        <v>0</v>
      </c>
      <c r="M278">
        <v>6.0000000000000001E-3</v>
      </c>
      <c r="N278">
        <v>2.5000000000000001E-3</v>
      </c>
      <c r="O278">
        <v>8.7999999999999995E-2</v>
      </c>
    </row>
    <row r="279" spans="1:15" x14ac:dyDescent="0.35">
      <c r="A279">
        <v>138</v>
      </c>
      <c r="B279">
        <v>11.720599999999999</v>
      </c>
      <c r="C279">
        <v>-2.0526</v>
      </c>
      <c r="D279">
        <v>2.9876</v>
      </c>
      <c r="E279">
        <v>2.2873000000000001</v>
      </c>
      <c r="F279">
        <v>0.22700000000000001</v>
      </c>
      <c r="G279">
        <v>6.4399999999999999E-2</v>
      </c>
      <c r="H279">
        <v>2.7699999999999999E-2</v>
      </c>
      <c r="I279">
        <v>4.7399999999999998E-2</v>
      </c>
      <c r="J279">
        <v>2.8199999999999999E-2</v>
      </c>
      <c r="K279">
        <v>-1E-4</v>
      </c>
      <c r="L279">
        <v>0</v>
      </c>
      <c r="M279">
        <v>5.0000000000000001E-3</v>
      </c>
      <c r="N279">
        <v>1.5E-3</v>
      </c>
      <c r="O279">
        <v>7.1999999999999995E-2</v>
      </c>
    </row>
    <row r="280" spans="1:15" x14ac:dyDescent="0.35">
      <c r="A280">
        <v>139</v>
      </c>
      <c r="B280">
        <v>11.79</v>
      </c>
      <c r="C280">
        <v>-2.08</v>
      </c>
      <c r="D280">
        <v>3.0629</v>
      </c>
      <c r="E280">
        <v>2.2338</v>
      </c>
      <c r="F280">
        <v>0.13519999999999999</v>
      </c>
      <c r="G280">
        <v>3.9399999999999998E-2</v>
      </c>
      <c r="H280">
        <v>2.76E-2</v>
      </c>
      <c r="I280">
        <v>2.9700000000000001E-2</v>
      </c>
      <c r="J280">
        <v>1.77E-2</v>
      </c>
      <c r="K280">
        <v>-2.0000000000000001E-4</v>
      </c>
      <c r="L280">
        <v>0</v>
      </c>
      <c r="M280">
        <v>3.3E-3</v>
      </c>
      <c r="N280">
        <v>8.0000000000000004E-4</v>
      </c>
      <c r="O280">
        <v>0.06</v>
      </c>
    </row>
    <row r="281" spans="1:15" x14ac:dyDescent="0.35">
      <c r="A281">
        <v>140</v>
      </c>
      <c r="B281">
        <v>11.825200000000001</v>
      </c>
      <c r="C281">
        <v>-2.0939000000000001</v>
      </c>
      <c r="D281">
        <v>3.101</v>
      </c>
      <c r="E281">
        <v>2.2067999999999999</v>
      </c>
      <c r="F281">
        <v>4.4900000000000002E-2</v>
      </c>
      <c r="G281">
        <v>1.3299999999999999E-2</v>
      </c>
      <c r="H281">
        <v>2.76E-2</v>
      </c>
      <c r="I281">
        <v>1.01E-2</v>
      </c>
      <c r="J281">
        <v>6.0000000000000001E-3</v>
      </c>
      <c r="K281">
        <v>-2.9999999999999997E-4</v>
      </c>
      <c r="L281">
        <v>0</v>
      </c>
      <c r="M281">
        <v>1.1999999999999999E-3</v>
      </c>
      <c r="N281">
        <v>2.9999999999999997E-4</v>
      </c>
      <c r="O281">
        <v>5.5E-2</v>
      </c>
    </row>
    <row r="282" spans="1:15" x14ac:dyDescent="0.35">
      <c r="A28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CDCL</vt:lpstr>
      <vt:lpstr>Main</vt:lpstr>
      <vt:lpstr>Tail Sizing</vt:lpstr>
      <vt:lpstr>BuildAVL</vt:lpstr>
      <vt:lpstr>CDCL(Re)</vt:lpstr>
      <vt:lpstr>Tail Drag</vt:lpstr>
      <vt:lpstr>CruiseCDCL</vt:lpstr>
      <vt:lpstr>CruiseST</vt:lpstr>
      <vt:lpstr>CruiseFS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2025-11-16T01:09:59Z</dcterms:modified>
</cp:coreProperties>
</file>